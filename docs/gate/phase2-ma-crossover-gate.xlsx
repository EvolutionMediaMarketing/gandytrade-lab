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Calc" sheetId="3" state="visible" r:id="rId5"/>
    <sheet name="Trades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<sst xmlns="http://schemas.openxmlformats.org/spreadsheetml/2006/main" count="99" uniqueCount="82">
  <si>
    <t xml:space="preserve">Phase 2 gate: moving-average crossover, checked by hand</t>
  </si>
  <si>
    <t xml:space="preserve">The 'Calc' sheet replays the strategy one candle per row using only the prices and the settings.</t>
  </si>
  <si>
    <t xml:space="preserve">Each candle: (1) at the open, carry out orders decided at the previous close: exits first, then entries;</t>
  </si>
  <si>
    <t xml:space="preserve">(2) during the candle, close the trade if the low reaches the stop-loss (at the open if it gapped below);</t>
  </si>
  <si>
    <t xml:space="preserve">(3) at the close, decide what to do at the next open.</t>
  </si>
  <si>
    <t xml:space="preserve">Buy price = open × (1 + spread/2 + slippage). Sell price = price × (1 − spread/2 − slippage).</t>
  </si>
  <si>
    <t xml:space="preserve">Size = cash × risk ÷ (buy price − stop), capped so the position is at most 30× cash.</t>
  </si>
  <si>
    <t xml:space="preserve">Financing = units × open price at entry × rate ÷ 365 × nights held. Commission on every order.</t>
  </si>
  <si>
    <t xml:space="preserve">The 'Trades' sheet puts the app's results beside the spreadsheet's. The 'Summary' sheet (last tab) shows whether they all match.</t>
  </si>
  <si>
    <t xml:space="preserve">Prices: made-up sample data for EUR/GBP (priced in pounds). The arithmetic is what's being checked.</t>
  </si>
  <si>
    <t xml:space="preserve">Yellow cells on 'Inputs' are the settings; change one and both columns would need re-running the app to compare.</t>
  </si>
  <si>
    <t xml:space="preserve">Setting</t>
  </si>
  <si>
    <t xml:space="preserve">Value</t>
  </si>
  <si>
    <t xml:space="preserve">Start balance (£)</t>
  </si>
  <si>
    <t xml:space="preserve">Risk per trade</t>
  </si>
  <si>
    <t xml:space="preserve">Fast average (candles)</t>
  </si>
  <si>
    <t xml:space="preserve">Slow average (candles)</t>
  </si>
  <si>
    <t xml:space="preserve">Stop distance (× ATR 14)</t>
  </si>
  <si>
    <t xml:space="preserve">Spread (%)</t>
  </si>
  <si>
    <t xml:space="preserve">Slippage (%)</t>
  </si>
  <si>
    <t xml:space="preserve">Commission (£ per order)</t>
  </si>
  <si>
    <t xml:space="preserve">Overnight financing (% a year)</t>
  </si>
  <si>
    <t xml:space="preserve">Leverage cap (× balance)</t>
  </si>
  <si>
    <t xml:space="preserve">Price adjustment per order (spread/2 + slippage)</t>
  </si>
  <si>
    <t xml:space="preserve">Financing per £ per night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</si>
  <si>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</si>
  <si>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</si>
  <si>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</si>
  <si>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</si>
  <si>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</si>
  <si>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Fast avg</t>
  </si>
  <si>
    <t xml:space="preserve">Slow avg</t>
  </si>
  <si>
    <t xml:space="preserve">True range</t>
  </si>
  <si>
    <t xml:space="preserve">ATR 14</t>
  </si>
  <si>
    <t xml:space="preserve">Crossed up</t>
  </si>
  <si>
    <t xml:space="preserve">Crossed down</t>
  </si>
  <si>
    <t xml:space="preserve">Stop if bought</t>
  </si>
  <si>
    <t xml:space="preserve">Exit at open?</t>
  </si>
  <si>
    <t xml:space="preserve">Sell fill at open</t>
  </si>
  <si>
    <t xml:space="preserve">Cash change: exit at open</t>
  </si>
  <si>
    <t xml:space="preserve">Cash after open exit</t>
  </si>
  <si>
    <t xml:space="preserve">Buy at open?</t>
  </si>
  <si>
    <t xml:space="preserve">Buy fill</t>
  </si>
  <si>
    <t xml:space="preserve">Units bought</t>
  </si>
  <si>
    <t xml:space="preserve">Units held</t>
  </si>
  <si>
    <t xml:space="preserve">Stop-loss</t>
  </si>
  <si>
    <t xml:space="preserve">Stop hit?</t>
  </si>
  <si>
    <t xml:space="preserve">Cash change: stop-loss</t>
  </si>
  <si>
    <t xml:space="preserve">Cash at close</t>
  </si>
  <si>
    <t xml:space="preserve">Units at close</t>
  </si>
  <si>
    <t xml:space="preserve">Sell at next open?</t>
  </si>
  <si>
    <t xml:space="preserve">Buy at next open?</t>
  </si>
  <si>
    <t xml:space="preserve">Entry fill</t>
  </si>
  <si>
    <t xml:space="preserve">Entry date</t>
  </si>
  <si>
    <t xml:space="preserve">Entry open</t>
  </si>
  <si>
    <t xml:space="preserve">Stop for next buy</t>
  </si>
  <si>
    <t xml:space="preserve">Stop carried</t>
  </si>
  <si>
    <t xml:space="preserve">Trade no.</t>
  </si>
  <si>
    <t xml:space="preserve">Trade no. before open</t>
  </si>
  <si>
    <t xml:space="preserve">Equity</t>
  </si>
  <si>
    <t xml:space="preserve">Cash change: end of test</t>
  </si>
  <si>
    <t xml:space="preserve">Sell fill if stopped</t>
  </si>
  <si>
    <t xml:space="preserve">Start</t>
  </si>
  <si>
    <t xml:space="preserve">Trade</t>
  </si>
  <si>
    <t xml:space="preserve">Entry date (app)</t>
  </si>
  <si>
    <t xml:space="preserve">Entry date (sheet)</t>
  </si>
  <si>
    <t xml:space="preserve">Buy fill (app)</t>
  </si>
  <si>
    <t xml:space="preserve">Buy fill (sheet)</t>
  </si>
  <si>
    <t xml:space="preserve">Units (app)</t>
  </si>
  <si>
    <t xml:space="preserve">Units (sheet)</t>
  </si>
  <si>
    <t xml:space="preserve">Exit (app)</t>
  </si>
  <si>
    <t xml:space="preserve">Profit £ (app)</t>
  </si>
  <si>
    <t xml:space="preserve">Profit £ (sheet)</t>
  </si>
  <si>
    <t xml:space="preserve">Difference £</t>
  </si>
  <si>
    <t xml:space="preserve">Match?</t>
  </si>
  <si>
    <t xml:space="preserve">Fast average crosses back below the slow average</t>
  </si>
  <si>
    <t xml:space="preserve">App</t>
  </si>
  <si>
    <t xml:space="preserve">Spreadsheet</t>
  </si>
  <si>
    <t xml:space="preserve">Number of trades</t>
  </si>
  <si>
    <t xml:space="preserve">Final balance (£)</t>
  </si>
  <si>
    <t xml:space="preserve">Trades matching</t>
  </si>
  <si>
    <t xml:space="preserve">GATE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</si>
</sst>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dd\ mmm\ yyyy"/>
    <numFmt numFmtId="167" formatCode="0.000000"/>
    <numFmt numFmtId="168" formatCode="\£#,##0.00;&quot;-£&quot;#,##0.00;\-"/>
    <numFmt numFmtId="169" formatCode="#,##0.00"/>
    <numFmt numFmtId="170" formatCode="#,##0.0000"/>
    <numFmt numFmtId="171" formatCode="\£#,##0.00;&quot;-£&quot;#,##0.00"/>
    <numFmt numFmtId="172" formatCode="\£0.000000;&quot;-£&quot;0.000000"/>
    <numFmt numFmtId="173" formatCode="\£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7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11</v>
      </c>
      <c r="B1" s="1" t="s">
        <v>12</v>
      </c>
    </row>
    <row r="2" customFormat="false" ht="15" hidden="false" customHeight="false" outlineLevel="0" collapsed="false">
      <c r="A2" s="2" t="s">
        <v>13</v>
      </c>
      <c r="B2" s="3" t="n">
        <v>1000</v>
      </c>
    </row>
    <row r="3" customFormat="false" ht="15" hidden="false" customHeight="false" outlineLevel="0" collapsed="false">
      <c r="A3" s="2" t="s">
        <v>14</v>
      </c>
      <c r="B3" s="3" t="n">
        <v>0.01</v>
      </c>
    </row>
    <row r="4" customFormat="false" ht="15" hidden="false" customHeight="false" outlineLevel="0" collapsed="false">
      <c r="A4" s="2" t="s">
        <v>15</v>
      </c>
      <c r="B4" s="3" t="n">
        <v>20</v>
      </c>
    </row>
    <row r="5" customFormat="false" ht="15" hidden="false" customHeight="false" outlineLevel="0" collapsed="false">
      <c r="A5" s="2" t="s">
        <v>16</v>
      </c>
      <c r="B5" s="3" t="n">
        <v>50</v>
      </c>
    </row>
    <row r="6" customFormat="false" ht="15" hidden="false" customHeight="false" outlineLevel="0" collapsed="false">
      <c r="A6" s="2" t="s">
        <v>17</v>
      </c>
      <c r="B6" s="3" t="n">
        <v>2</v>
      </c>
    </row>
    <row r="7" customFormat="false" ht="15" hidden="false" customHeight="false" outlineLevel="0" collapsed="false">
      <c r="A7" s="2" t="s">
        <v>18</v>
      </c>
      <c r="B7" s="3" t="n">
        <v>0.02</v>
      </c>
    </row>
    <row r="8" customFormat="false" ht="15" hidden="false" customHeight="false" outlineLevel="0" collapsed="false">
      <c r="A8" s="2" t="s">
        <v>19</v>
      </c>
      <c r="B8" s="3" t="n">
        <v>0.01</v>
      </c>
    </row>
    <row r="9" customFormat="false" ht="15" hidden="false" customHeight="false" outlineLevel="0" collapsed="false">
      <c r="A9" s="2" t="s">
        <v>20</v>
      </c>
      <c r="B9" s="3" t="n">
        <v>1</v>
      </c>
    </row>
    <row r="10" customFormat="false" ht="15" hidden="false" customHeight="false" outlineLevel="0" collapsed="false">
      <c r="A10" s="2" t="s">
        <v>21</v>
      </c>
      <c r="B10" s="3" t="n">
        <v>6.5</v>
      </c>
    </row>
    <row r="11" customFormat="false" ht="15" hidden="false" customHeight="false" outlineLevel="0" collapsed="false">
      <c r="A11" s="2" t="s">
        <v>22</v>
      </c>
      <c r="B11" s="3" t="n">
        <v>30</v>
      </c>
    </row>
    <row r="12" customFormat="false" ht="15" hidden="false" customHeight="false" outlineLevel="0" collapsed="false">
      <c r="A12" s="2" t="s">
        <v>23</v>
      </c>
      <c r="B12" s="2" t="n">
        <f aca="false">Inputs!$B$7/200+Inputs!$B$8/100</f>
        <v>0.0002</v>
      </c>
    </row>
    <row r="13" customFormat="false" ht="15" hidden="false" customHeight="false" outlineLevel="0" collapsed="false">
      <c r="A13" s="2" t="s">
        <v>24</v>
      </c>
      <c r="B13" s="2" t="n">
        <f aca="false">Inputs!$B$10/100/365</f>
        <v>0.000178082191780822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7" min="1" style="0" width="13"/>
  </cols>
  <sheetData>
    <row r="1" customFormat="false" ht="39.55" hidden="false" customHeight="fals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  <c r="S1" s="4" t="s">
        <v>43</v>
      </c>
      <c r="T1" s="4" t="s">
        <v>44</v>
      </c>
      <c r="U1" s="4" t="s">
        <v>45</v>
      </c>
      <c r="V1" s="4" t="s">
        <v>46</v>
      </c>
      <c r="W1" s="4" t="s">
        <v>47</v>
      </c>
      <c r="X1" s="4" t="s">
        <v>48</v>
      </c>
      <c r="Y1" s="4" t="s">
        <v>49</v>
      </c>
      <c r="Z1" s="4" t="s">
        <v>50</v>
      </c>
      <c r="AA1" s="4" t="s">
        <v>51</v>
      </c>
      <c r="AB1" s="4" t="s">
        <v>52</v>
      </c>
      <c r="AC1" s="4" t="s">
        <v>53</v>
      </c>
      <c r="AD1" s="4" t="s">
        <v>54</v>
      </c>
      <c r="AE1" s="4" t="s">
        <v>55</v>
      </c>
      <c r="AF1" s="4" t="s">
        <v>56</v>
      </c>
      <c r="AG1" s="4" t="s">
        <v>57</v>
      </c>
      <c r="AH1" s="4" t="s">
        <v>58</v>
      </c>
      <c r="AI1" s="4" t="s">
        <v>59</v>
      </c>
      <c r="AJ1" s="4" t="s">
        <v>60</v>
      </c>
      <c r="AK1" s="4" t="s">
        <v>61</v>
      </c>
    </row>
    <row r="2" customFormat="false" ht="15" hidden="false" customHeight="false" outlineLevel="0" collapsed="false">
      <c r="A2" s="0" t="s">
        <v>62</v>
      </c>
      <c r="X2" s="0" t="n">
        <f aca="false">Inputs!$B$2</f>
        <v>1000</v>
      </c>
      <c r="Y2" s="0" t="n">
        <v>0</v>
      </c>
      <c r="Z2" s="5" t="b">
        <f aca="false">FALSE()</f>
        <v>0</v>
      </c>
      <c r="AA2" s="5" t="b">
        <f aca="false">FALSE()</f>
        <v>0</v>
      </c>
      <c r="AB2" s="0" t="n">
        <v>0</v>
      </c>
      <c r="AC2" s="0" t="n">
        <v>0</v>
      </c>
      <c r="AD2" s="0" t="n">
        <v>0</v>
      </c>
      <c r="AG2" s="0" t="n">
        <v>0</v>
      </c>
    </row>
    <row r="3" customFormat="false" ht="15" hidden="false" customHeight="false" outlineLevel="0" collapsed="false">
      <c r="A3" s="6" t="n">
        <v>44787</v>
      </c>
      <c r="B3" s="7" t="n">
        <v>0.827737680516957</v>
      </c>
      <c r="C3" s="7" t="n">
        <v>0.831731116984368</v>
      </c>
      <c r="D3" s="7" t="n">
        <v>0.822055536662732</v>
      </c>
      <c r="E3" s="7" t="n">
        <v>0.830851967611484</v>
      </c>
      <c r="F3" s="8" t="str">
        <f aca="true">IF(ROW()-2&gt;=Inputs!$B$4,AVERAGE(OFFSET(E3,1-Inputs!$B$4,0,Inputs!$B$4,1)),"")</f>
        <v/>
      </c>
      <c r="G3" s="8" t="str">
        <f aca="true">IF(ROW()-2&gt;=Inputs!$B$5,AVERAGE(OFFSET(E3,1-Inputs!$B$5,0,Inputs!$B$5,1)),"")</f>
        <v/>
      </c>
      <c r="H3" s="8" t="n">
        <f aca="false">C3-D3</f>
        <v>0.00967558032163607</v>
      </c>
      <c r="I3" s="8" t="str">
        <f aca="true">IF(ROW()-2&lt;14,"",IF(ROW()-2=14,AVERAGE(OFFSET(H3,-13,0,14,1)),(I2*13+H3)/14))</f>
        <v/>
      </c>
      <c r="J3" s="9" t="b">
        <f aca="false">IF(AND(ISNUMBER(F3),ISNUMBER(G3),ISNUMBER(F2),ISNUMBER(G2)),AND(F3&gt;G3,F2&lt;=G2),FALSE())</f>
        <v>0</v>
      </c>
      <c r="K3" s="9" t="b">
        <f aca="false">IF(AND(ISNUMBER(F3),ISNUMBER(G3),ISNUMBER(F2),ISNUMBER(G2)),AND(F3&lt;G3,F2&gt;=G2),FALSE())</f>
        <v>0</v>
      </c>
      <c r="L3" s="8" t="str">
        <f aca="false">IF(ISNUMBER(I3),E3-Inputs!$B$6*I3,"")</f>
        <v/>
      </c>
      <c r="M3" s="9" t="b">
        <f aca="false">AND(Y2&gt;0,Z2)</f>
        <v>0</v>
      </c>
      <c r="N3" s="8" t="n">
        <f aca="false">B3*(1-Inputs!$B$12)</f>
        <v>0.827572132980854</v>
      </c>
      <c r="O3" s="10" t="n">
        <f aca="false">IF(M3,Y2*(N3-AB2)-Inputs!$B$9-Y2*AD2*Inputs!$B$13*(A3-AC2),0)</f>
        <v>0</v>
      </c>
      <c r="P3" s="10" t="n">
        <f aca="false">X2+O3</f>
        <v>1000</v>
      </c>
      <c r="Q3" s="9" t="b">
        <f aca="false">AND(IF(M3,0,Y2)=0,AA2,IF(ISNUMBER(AE2),B3&gt;AE2,FALSE()))</f>
        <v>0</v>
      </c>
      <c r="R3" s="8" t="n">
        <f aca="false">B3*(1+Inputs!$B$12)</f>
        <v>0.827903228053061</v>
      </c>
      <c r="S3" s="11" t="n">
        <f aca="false">IF(Q3,MIN(P3*Inputs!$B$3/(R3-AE2),P3*Inputs!$B$11/R3),0)</f>
        <v>0</v>
      </c>
      <c r="T3" s="11" t="n">
        <f aca="false">IF(Q3,S3,IF(M3,0,Y2))</f>
        <v>0</v>
      </c>
      <c r="U3" s="8" t="n">
        <f aca="false">IF(Q3,AE2,AF2)</f>
        <v>0</v>
      </c>
      <c r="V3" s="9" t="b">
        <f aca="false">AND(T3&gt;0,D3&lt;=U3)</f>
        <v>0</v>
      </c>
      <c r="W3" s="10" t="n">
        <f aca="false">IF(V3,T3*(AK3-AB3)-Inputs!$B$9-T3*AD3*Inputs!$B$13*(A3-AC3),0)</f>
        <v>0</v>
      </c>
      <c r="X3" s="10" t="n">
        <f aca="false">P3-IF(Q3,Inputs!$B$9,0)+W3</f>
        <v>1000</v>
      </c>
      <c r="Y3" s="11" t="n">
        <f aca="false">IF(V3,0,T3)</f>
        <v>0</v>
      </c>
      <c r="Z3" s="9" t="b">
        <f aca="false">AND(Y3&gt;0,K3)</f>
        <v>0</v>
      </c>
      <c r="AA3" s="9" t="b">
        <f aca="false">AND(Y3=0,J3,ISNUMBER(L3))</f>
        <v>0</v>
      </c>
      <c r="AB3" s="8" t="n">
        <f aca="false">IF(Q3,R3,AB2)</f>
        <v>0</v>
      </c>
      <c r="AC3" s="12" t="n">
        <f aca="false">IF(Q3,A3,AC2)</f>
        <v>0</v>
      </c>
      <c r="AD3" s="8" t="n">
        <f aca="false">IF(Q3,B3,AD2)</f>
        <v>0</v>
      </c>
      <c r="AE3" s="8" t="str">
        <f aca="false">IF(AA3,L3,"")</f>
        <v/>
      </c>
      <c r="AF3" s="8" t="n">
        <f aca="false">U3</f>
        <v>0</v>
      </c>
      <c r="AG3" s="2" t="n">
        <f aca="false">AG2+IF(Q3,1,0)</f>
        <v>0</v>
      </c>
      <c r="AH3" s="2" t="n">
        <f aca="false">AG2</f>
        <v>0</v>
      </c>
      <c r="AI3" s="10" t="n">
        <f aca="false">X3+Y3*(E3-AB3)-Y3*AD3*Inputs!$B$13*(A3-AC3)</f>
        <v>1000</v>
      </c>
      <c r="AJ3" s="10" t="n">
        <v>0</v>
      </c>
      <c r="AK3" s="8" t="n">
        <f aca="false">IF(AND(B3&lt;=U3,NOT(Q3)),B3,U3)*(1-Inputs!$B$12)</f>
        <v>0</v>
      </c>
    </row>
    <row r="4" customFormat="false" ht="15" hidden="false" customHeight="false" outlineLevel="0" collapsed="false">
      <c r="A4" s="6" t="n">
        <v>44788</v>
      </c>
      <c r="B4" s="7" t="n">
        <v>0.830851967611484</v>
      </c>
      <c r="C4" s="7" t="n">
        <v>0.83543103232699</v>
      </c>
      <c r="D4" s="7" t="n">
        <v>0.82857926593802</v>
      </c>
      <c r="E4" s="7" t="n">
        <v>0.834456084892952</v>
      </c>
      <c r="F4" s="8" t="str">
        <f aca="true">IF(ROW()-2&gt;=Inputs!$B$4,AVERAGE(OFFSET(E4,1-Inputs!$B$4,0,Inputs!$B$4,1)),"")</f>
        <v/>
      </c>
      <c r="G4" s="8" t="str">
        <f aca="true">IF(ROW()-2&gt;=Inputs!$B$5,AVERAGE(OFFSET(E4,1-Inputs!$B$5,0,Inputs!$B$5,1)),"")</f>
        <v/>
      </c>
      <c r="H4" s="8" t="n">
        <f aca="false">MAX(C4-D4,ABS(C4-E3),ABS(D4-E3))</f>
        <v>0.00685176638896912</v>
      </c>
      <c r="I4" s="8" t="str">
        <f aca="true">IF(ROW()-2&lt;14,"",IF(ROW()-2=14,AVERAGE(OFFSET(H4,-13,0,14,1)),(I3*13+H4)/14))</f>
        <v/>
      </c>
      <c r="J4" s="9" t="b">
        <f aca="false">IF(AND(ISNUMBER(F4),ISNUMBER(G4),ISNUMBER(F3),ISNUMBER(G3)),AND(F4&gt;G4,F3&lt;=G3),FALSE())</f>
        <v>0</v>
      </c>
      <c r="K4" s="9" t="b">
        <f aca="false">IF(AND(ISNUMBER(F4),ISNUMBER(G4),ISNUMBER(F3),ISNUMBER(G3)),AND(F4&lt;G4,F3&gt;=G3),FALSE())</f>
        <v>0</v>
      </c>
      <c r="L4" s="8" t="str">
        <f aca="false">IF(ISNUMBER(I4),E4-Inputs!$B$6*I4,"")</f>
        <v/>
      </c>
      <c r="M4" s="9" t="b">
        <f aca="false">AND(Y3&gt;0,Z3)</f>
        <v>0</v>
      </c>
      <c r="N4" s="8" t="n">
        <f aca="false">B4*(1-Inputs!$B$12)</f>
        <v>0.830685797217961</v>
      </c>
      <c r="O4" s="10" t="n">
        <f aca="false">IF(M4,Y3*(N4-AB3)-Inputs!$B$9-Y3*AD3*Inputs!$B$13*(A4-AC3),0)</f>
        <v>0</v>
      </c>
      <c r="P4" s="10" t="n">
        <f aca="false">X3+O4</f>
        <v>1000</v>
      </c>
      <c r="Q4" s="9" t="b">
        <f aca="false">AND(IF(M4,0,Y3)=0,AA3,IF(ISNUMBER(AE3),B4&gt;AE3,FALSE()))</f>
        <v>0</v>
      </c>
      <c r="R4" s="8" t="n">
        <f aca="false">B4*(1+Inputs!$B$12)</f>
        <v>0.831018138005006</v>
      </c>
      <c r="S4" s="11" t="n">
        <f aca="false">IF(Q4,MIN(P4*Inputs!$B$3/(R4-AE3),P4*Inputs!$B$11/R4),0)</f>
        <v>0</v>
      </c>
      <c r="T4" s="11" t="n">
        <f aca="false">IF(Q4,S4,IF(M4,0,Y3))</f>
        <v>0</v>
      </c>
      <c r="U4" s="8" t="n">
        <f aca="false">IF(Q4,AE3,AF3)</f>
        <v>0</v>
      </c>
      <c r="V4" s="9" t="b">
        <f aca="false">AND(T4&gt;0,D4&lt;=U4)</f>
        <v>0</v>
      </c>
      <c r="W4" s="10" t="n">
        <f aca="false">IF(V4,T4*(AK4-AB4)-Inputs!$B$9-T4*AD4*Inputs!$B$13*(A4-AC4),0)</f>
        <v>0</v>
      </c>
      <c r="X4" s="10" t="n">
        <f aca="false">P4-IF(Q4,Inputs!$B$9,0)+W4</f>
        <v>1000</v>
      </c>
      <c r="Y4" s="11" t="n">
        <f aca="false">IF(V4,0,T4)</f>
        <v>0</v>
      </c>
      <c r="Z4" s="9" t="b">
        <f aca="false">AND(Y4&gt;0,K4)</f>
        <v>0</v>
      </c>
      <c r="AA4" s="9" t="b">
        <f aca="false">AND(Y4=0,J4,ISNUMBER(L4))</f>
        <v>0</v>
      </c>
      <c r="AB4" s="8" t="n">
        <f aca="false">IF(Q4,R4,AB3)</f>
        <v>0</v>
      </c>
      <c r="AC4" s="12" t="n">
        <f aca="false">IF(Q4,A4,AC3)</f>
        <v>0</v>
      </c>
      <c r="AD4" s="8" t="n">
        <f aca="false">IF(Q4,B4,AD3)</f>
        <v>0</v>
      </c>
      <c r="AE4" s="8" t="str">
        <f aca="false">IF(AA4,L4,"")</f>
        <v/>
      </c>
      <c r="AF4" s="8" t="n">
        <f aca="false">U4</f>
        <v>0</v>
      </c>
      <c r="AG4" s="2" t="n">
        <f aca="false">AG3+IF(Q4,1,0)</f>
        <v>0</v>
      </c>
      <c r="AH4" s="2" t="n">
        <f aca="false">AG3</f>
        <v>0</v>
      </c>
      <c r="AI4" s="10" t="n">
        <f aca="false">X4+Y4*(E4-AB4)-Y4*AD4*Inputs!$B$13*(A4-AC4)</f>
        <v>1000</v>
      </c>
      <c r="AJ4" s="10" t="n">
        <v>0</v>
      </c>
      <c r="AK4" s="8" t="n">
        <f aca="false">IF(AND(B4&lt;=U4,NOT(Q4)),B4,U4)*(1-Inputs!$B$12)</f>
        <v>0</v>
      </c>
    </row>
    <row r="5" customFormat="false" ht="15" hidden="false" customHeight="false" outlineLevel="0" collapsed="false">
      <c r="A5" s="6" t="n">
        <v>44789</v>
      </c>
      <c r="B5" s="7" t="n">
        <v>0.834456084892952</v>
      </c>
      <c r="C5" s="7" t="n">
        <v>0.844711663132977</v>
      </c>
      <c r="D5" s="7" t="n">
        <v>0.830064352767459</v>
      </c>
      <c r="E5" s="7" t="n">
        <v>0.843746099876387</v>
      </c>
      <c r="F5" s="8" t="str">
        <f aca="true">IF(ROW()-2&gt;=Inputs!$B$4,AVERAGE(OFFSET(E5,1-Inputs!$B$4,0,Inputs!$B$4,1)),"")</f>
        <v/>
      </c>
      <c r="G5" s="8" t="str">
        <f aca="true">IF(ROW()-2&gt;=Inputs!$B$5,AVERAGE(OFFSET(E5,1-Inputs!$B$5,0,Inputs!$B$5,1)),"")</f>
        <v/>
      </c>
      <c r="H5" s="8" t="n">
        <f aca="false">MAX(C5-D5,ABS(C5-E4),ABS(D5-E4))</f>
        <v>0.0146473103655175</v>
      </c>
      <c r="I5" s="8" t="str">
        <f aca="true">IF(ROW()-2&lt;14,"",IF(ROW()-2=14,AVERAGE(OFFSET(H5,-13,0,14,1)),(I4*13+H5)/14))</f>
        <v/>
      </c>
      <c r="J5" s="9" t="b">
        <f aca="false">IF(AND(ISNUMBER(F5),ISNUMBER(G5),ISNUMBER(F4),ISNUMBER(G4)),AND(F5&gt;G5,F4&lt;=G4),FALSE())</f>
        <v>0</v>
      </c>
      <c r="K5" s="9" t="b">
        <f aca="false">IF(AND(ISNUMBER(F5),ISNUMBER(G5),ISNUMBER(F4),ISNUMBER(G4)),AND(F5&lt;G5,F4&gt;=G4),FALSE())</f>
        <v>0</v>
      </c>
      <c r="L5" s="8" t="str">
        <f aca="false">IF(ISNUMBER(I5),E5-Inputs!$B$6*I5,"")</f>
        <v/>
      </c>
      <c r="M5" s="9" t="b">
        <f aca="false">AND(Y4&gt;0,Z4)</f>
        <v>0</v>
      </c>
      <c r="N5" s="8" t="n">
        <f aca="false">B5*(1-Inputs!$B$12)</f>
        <v>0.834289193675974</v>
      </c>
      <c r="O5" s="10" t="n">
        <f aca="false">IF(M5,Y4*(N5-AB4)-Inputs!$B$9-Y4*AD4*Inputs!$B$13*(A5-AC4),0)</f>
        <v>0</v>
      </c>
      <c r="P5" s="10" t="n">
        <f aca="false">X4+O5</f>
        <v>1000</v>
      </c>
      <c r="Q5" s="9" t="b">
        <f aca="false">AND(IF(M5,0,Y4)=0,AA4,IF(ISNUMBER(AE4),B5&gt;AE4,FALSE()))</f>
        <v>0</v>
      </c>
      <c r="R5" s="8" t="n">
        <f aca="false">B5*(1+Inputs!$B$12)</f>
        <v>0.834622976109931</v>
      </c>
      <c r="S5" s="11" t="n">
        <f aca="false">IF(Q5,MIN(P5*Inputs!$B$3/(R5-AE4),P5*Inputs!$B$11/R5),0)</f>
        <v>0</v>
      </c>
      <c r="T5" s="11" t="n">
        <f aca="false">IF(Q5,S5,IF(M5,0,Y4))</f>
        <v>0</v>
      </c>
      <c r="U5" s="8" t="n">
        <f aca="false">IF(Q5,AE4,AF4)</f>
        <v>0</v>
      </c>
      <c r="V5" s="9" t="b">
        <f aca="false">AND(T5&gt;0,D5&lt;=U5)</f>
        <v>0</v>
      </c>
      <c r="W5" s="10" t="n">
        <f aca="false">IF(V5,T5*(AK5-AB5)-Inputs!$B$9-T5*AD5*Inputs!$B$13*(A5-AC5),0)</f>
        <v>0</v>
      </c>
      <c r="X5" s="10" t="n">
        <f aca="false">P5-IF(Q5,Inputs!$B$9,0)+W5</f>
        <v>1000</v>
      </c>
      <c r="Y5" s="11" t="n">
        <f aca="false">IF(V5,0,T5)</f>
        <v>0</v>
      </c>
      <c r="Z5" s="9" t="b">
        <f aca="false">AND(Y5&gt;0,K5)</f>
        <v>0</v>
      </c>
      <c r="AA5" s="9" t="b">
        <f aca="false">AND(Y5=0,J5,ISNUMBER(L5))</f>
        <v>0</v>
      </c>
      <c r="AB5" s="8" t="n">
        <f aca="false">IF(Q5,R5,AB4)</f>
        <v>0</v>
      </c>
      <c r="AC5" s="12" t="n">
        <f aca="false">IF(Q5,A5,AC4)</f>
        <v>0</v>
      </c>
      <c r="AD5" s="8" t="n">
        <f aca="false">IF(Q5,B5,AD4)</f>
        <v>0</v>
      </c>
      <c r="AE5" s="8" t="str">
        <f aca="false">IF(AA5,L5,"")</f>
        <v/>
      </c>
      <c r="AF5" s="8" t="n">
        <f aca="false">U5</f>
        <v>0</v>
      </c>
      <c r="AG5" s="2" t="n">
        <f aca="false">AG4+IF(Q5,1,0)</f>
        <v>0</v>
      </c>
      <c r="AH5" s="2" t="n">
        <f aca="false">AG4</f>
        <v>0</v>
      </c>
      <c r="AI5" s="10" t="n">
        <f aca="false">X5+Y5*(E5-AB5)-Y5*AD5*Inputs!$B$13*(A5-AC5)</f>
        <v>1000</v>
      </c>
      <c r="AJ5" s="10" t="n">
        <v>0</v>
      </c>
      <c r="AK5" s="8" t="n">
        <f aca="false">IF(AND(B5&lt;=U5,NOT(Q5)),B5,U5)*(1-Inputs!$B$12)</f>
        <v>0</v>
      </c>
    </row>
    <row r="6" customFormat="false" ht="15" hidden="false" customHeight="false" outlineLevel="0" collapsed="false">
      <c r="A6" s="6" t="n">
        <v>44790</v>
      </c>
      <c r="B6" s="7" t="n">
        <v>0.843746099876387</v>
      </c>
      <c r="C6" s="7" t="n">
        <v>0.847183497302967</v>
      </c>
      <c r="D6" s="7" t="n">
        <v>0.832595344852129</v>
      </c>
      <c r="E6" s="7" t="n">
        <v>0.835201562918233</v>
      </c>
      <c r="F6" s="8" t="str">
        <f aca="true">IF(ROW()-2&gt;=Inputs!$B$4,AVERAGE(OFFSET(E6,1-Inputs!$B$4,0,Inputs!$B$4,1)),"")</f>
        <v/>
      </c>
      <c r="G6" s="8" t="str">
        <f aca="true">IF(ROW()-2&gt;=Inputs!$B$5,AVERAGE(OFFSET(E6,1-Inputs!$B$5,0,Inputs!$B$5,1)),"")</f>
        <v/>
      </c>
      <c r="H6" s="8" t="n">
        <f aca="false">MAX(C6-D6,ABS(C6-E5),ABS(D6-E5))</f>
        <v>0.014588152450838</v>
      </c>
      <c r="I6" s="8" t="str">
        <f aca="true">IF(ROW()-2&lt;14,"",IF(ROW()-2=14,AVERAGE(OFFSET(H6,-13,0,14,1)),(I5*13+H6)/14))</f>
        <v/>
      </c>
      <c r="J6" s="9" t="b">
        <f aca="false">IF(AND(ISNUMBER(F6),ISNUMBER(G6),ISNUMBER(F5),ISNUMBER(G5)),AND(F6&gt;G6,F5&lt;=G5),FALSE())</f>
        <v>0</v>
      </c>
      <c r="K6" s="9" t="b">
        <f aca="false">IF(AND(ISNUMBER(F6),ISNUMBER(G6),ISNUMBER(F5),ISNUMBER(G5)),AND(F6&lt;G6,F5&gt;=G5),FALSE())</f>
        <v>0</v>
      </c>
      <c r="L6" s="8" t="str">
        <f aca="false">IF(ISNUMBER(I6),E6-Inputs!$B$6*I6,"")</f>
        <v/>
      </c>
      <c r="M6" s="9" t="b">
        <f aca="false">AND(Y5&gt;0,Z5)</f>
        <v>0</v>
      </c>
      <c r="N6" s="8" t="n">
        <f aca="false">B6*(1-Inputs!$B$12)</f>
        <v>0.843577350656412</v>
      </c>
      <c r="O6" s="10" t="n">
        <f aca="false">IF(M6,Y5*(N6-AB5)-Inputs!$B$9-Y5*AD5*Inputs!$B$13*(A6-AC5),0)</f>
        <v>0</v>
      </c>
      <c r="P6" s="10" t="n">
        <f aca="false">X5+O6</f>
        <v>1000</v>
      </c>
      <c r="Q6" s="9" t="b">
        <f aca="false">AND(IF(M6,0,Y5)=0,AA5,IF(ISNUMBER(AE5),B6&gt;AE5,FALSE()))</f>
        <v>0</v>
      </c>
      <c r="R6" s="8" t="n">
        <f aca="false">B6*(1+Inputs!$B$12)</f>
        <v>0.843914849096363</v>
      </c>
      <c r="S6" s="11" t="n">
        <f aca="false">IF(Q6,MIN(P6*Inputs!$B$3/(R6-AE5),P6*Inputs!$B$11/R6),0)</f>
        <v>0</v>
      </c>
      <c r="T6" s="11" t="n">
        <f aca="false">IF(Q6,S6,IF(M6,0,Y5))</f>
        <v>0</v>
      </c>
      <c r="U6" s="8" t="n">
        <f aca="false">IF(Q6,AE5,AF5)</f>
        <v>0</v>
      </c>
      <c r="V6" s="9" t="b">
        <f aca="false">AND(T6&gt;0,D6&lt;=U6)</f>
        <v>0</v>
      </c>
      <c r="W6" s="10" t="n">
        <f aca="false">IF(V6,T6*(AK6-AB6)-Inputs!$B$9-T6*AD6*Inputs!$B$13*(A6-AC6),0)</f>
        <v>0</v>
      </c>
      <c r="X6" s="10" t="n">
        <f aca="false">P6-IF(Q6,Inputs!$B$9,0)+W6</f>
        <v>1000</v>
      </c>
      <c r="Y6" s="11" t="n">
        <f aca="false">IF(V6,0,T6)</f>
        <v>0</v>
      </c>
      <c r="Z6" s="9" t="b">
        <f aca="false">AND(Y6&gt;0,K6)</f>
        <v>0</v>
      </c>
      <c r="AA6" s="9" t="b">
        <f aca="false">AND(Y6=0,J6,ISNUMBER(L6))</f>
        <v>0</v>
      </c>
      <c r="AB6" s="8" t="n">
        <f aca="false">IF(Q6,R6,AB5)</f>
        <v>0</v>
      </c>
      <c r="AC6" s="12" t="n">
        <f aca="false">IF(Q6,A6,AC5)</f>
        <v>0</v>
      </c>
      <c r="AD6" s="8" t="n">
        <f aca="false">IF(Q6,B6,AD5)</f>
        <v>0</v>
      </c>
      <c r="AE6" s="8" t="str">
        <f aca="false">IF(AA6,L6,"")</f>
        <v/>
      </c>
      <c r="AF6" s="8" t="n">
        <f aca="false">U6</f>
        <v>0</v>
      </c>
      <c r="AG6" s="2" t="n">
        <f aca="false">AG5+IF(Q6,1,0)</f>
        <v>0</v>
      </c>
      <c r="AH6" s="2" t="n">
        <f aca="false">AG5</f>
        <v>0</v>
      </c>
      <c r="AI6" s="10" t="n">
        <f aca="false">X6+Y6*(E6-AB6)-Y6*AD6*Inputs!$B$13*(A6-AC6)</f>
        <v>1000</v>
      </c>
      <c r="AJ6" s="10" t="n">
        <v>0</v>
      </c>
      <c r="AK6" s="8" t="n">
        <f aca="false">IF(AND(B6&lt;=U6,NOT(Q6)),B6,U6)*(1-Inputs!$B$12)</f>
        <v>0</v>
      </c>
    </row>
    <row r="7" customFormat="false" ht="15" hidden="false" customHeight="false" outlineLevel="0" collapsed="false">
      <c r="A7" s="6" t="n">
        <v>44791</v>
      </c>
      <c r="B7" s="7" t="n">
        <v>0.835201562918233</v>
      </c>
      <c r="C7" s="7" t="n">
        <v>0.842066705161962</v>
      </c>
      <c r="D7" s="7" t="n">
        <v>0.828170298909625</v>
      </c>
      <c r="E7" s="7" t="n">
        <v>0.830586702480481</v>
      </c>
      <c r="F7" s="8" t="str">
        <f aca="true">IF(ROW()-2&gt;=Inputs!$B$4,AVERAGE(OFFSET(E7,1-Inputs!$B$4,0,Inputs!$B$4,1)),"")</f>
        <v/>
      </c>
      <c r="G7" s="8" t="str">
        <f aca="true">IF(ROW()-2&gt;=Inputs!$B$5,AVERAGE(OFFSET(E7,1-Inputs!$B$5,0,Inputs!$B$5,1)),"")</f>
        <v/>
      </c>
      <c r="H7" s="8" t="n">
        <f aca="false">MAX(C7-D7,ABS(C7-E6),ABS(D7-E6))</f>
        <v>0.0138964062523372</v>
      </c>
      <c r="I7" s="8" t="str">
        <f aca="true">IF(ROW()-2&lt;14,"",IF(ROW()-2=14,AVERAGE(OFFSET(H7,-13,0,14,1)),(I6*13+H7)/14))</f>
        <v/>
      </c>
      <c r="J7" s="9" t="b">
        <f aca="false">IF(AND(ISNUMBER(F7),ISNUMBER(G7),ISNUMBER(F6),ISNUMBER(G6)),AND(F7&gt;G7,F6&lt;=G6),FALSE())</f>
        <v>0</v>
      </c>
      <c r="K7" s="9" t="b">
        <f aca="false">IF(AND(ISNUMBER(F7),ISNUMBER(G7),ISNUMBER(F6),ISNUMBER(G6)),AND(F7&lt;G7,F6&gt;=G6),FALSE())</f>
        <v>0</v>
      </c>
      <c r="L7" s="8" t="str">
        <f aca="false">IF(ISNUMBER(I7),E7-Inputs!$B$6*I7,"")</f>
        <v/>
      </c>
      <c r="M7" s="9" t="b">
        <f aca="false">AND(Y6&gt;0,Z6)</f>
        <v>0</v>
      </c>
      <c r="N7" s="8" t="n">
        <f aca="false">B7*(1-Inputs!$B$12)</f>
        <v>0.835034522605649</v>
      </c>
      <c r="O7" s="10" t="n">
        <f aca="false">IF(M7,Y6*(N7-AB6)-Inputs!$B$9-Y6*AD6*Inputs!$B$13*(A7-AC6),0)</f>
        <v>0</v>
      </c>
      <c r="P7" s="10" t="n">
        <f aca="false">X6+O7</f>
        <v>1000</v>
      </c>
      <c r="Q7" s="9" t="b">
        <f aca="false">AND(IF(M7,0,Y6)=0,AA6,IF(ISNUMBER(AE6),B7&gt;AE6,FALSE()))</f>
        <v>0</v>
      </c>
      <c r="R7" s="8" t="n">
        <f aca="false">B7*(1+Inputs!$B$12)</f>
        <v>0.835368603230817</v>
      </c>
      <c r="S7" s="11" t="n">
        <f aca="false">IF(Q7,MIN(P7*Inputs!$B$3/(R7-AE6),P7*Inputs!$B$11/R7),0)</f>
        <v>0</v>
      </c>
      <c r="T7" s="11" t="n">
        <f aca="false">IF(Q7,S7,IF(M7,0,Y6))</f>
        <v>0</v>
      </c>
      <c r="U7" s="8" t="n">
        <f aca="false">IF(Q7,AE6,AF6)</f>
        <v>0</v>
      </c>
      <c r="V7" s="9" t="b">
        <f aca="false">AND(T7&gt;0,D7&lt;=U7)</f>
        <v>0</v>
      </c>
      <c r="W7" s="10" t="n">
        <f aca="false">IF(V7,T7*(AK7-AB7)-Inputs!$B$9-T7*AD7*Inputs!$B$13*(A7-AC7),0)</f>
        <v>0</v>
      </c>
      <c r="X7" s="10" t="n">
        <f aca="false">P7-IF(Q7,Inputs!$B$9,0)+W7</f>
        <v>1000</v>
      </c>
      <c r="Y7" s="11" t="n">
        <f aca="false">IF(V7,0,T7)</f>
        <v>0</v>
      </c>
      <c r="Z7" s="9" t="b">
        <f aca="false">AND(Y7&gt;0,K7)</f>
        <v>0</v>
      </c>
      <c r="AA7" s="9" t="b">
        <f aca="false">AND(Y7=0,J7,ISNUMBER(L7))</f>
        <v>0</v>
      </c>
      <c r="AB7" s="8" t="n">
        <f aca="false">IF(Q7,R7,AB6)</f>
        <v>0</v>
      </c>
      <c r="AC7" s="12" t="n">
        <f aca="false">IF(Q7,A7,AC6)</f>
        <v>0</v>
      </c>
      <c r="AD7" s="8" t="n">
        <f aca="false">IF(Q7,B7,AD6)</f>
        <v>0</v>
      </c>
      <c r="AE7" s="8" t="str">
        <f aca="false">IF(AA7,L7,"")</f>
        <v/>
      </c>
      <c r="AF7" s="8" t="n">
        <f aca="false">U7</f>
        <v>0</v>
      </c>
      <c r="AG7" s="2" t="n">
        <f aca="false">AG6+IF(Q7,1,0)</f>
        <v>0</v>
      </c>
      <c r="AH7" s="2" t="n">
        <f aca="false">AG6</f>
        <v>0</v>
      </c>
      <c r="AI7" s="10" t="n">
        <f aca="false">X7+Y7*(E7-AB7)-Y7*AD7*Inputs!$B$13*(A7-AC7)</f>
        <v>1000</v>
      </c>
      <c r="AJ7" s="10" t="n">
        <v>0</v>
      </c>
      <c r="AK7" s="8" t="n">
        <f aca="false">IF(AND(B7&lt;=U7,NOT(Q7)),B7,U7)*(1-Inputs!$B$12)</f>
        <v>0</v>
      </c>
    </row>
    <row r="8" customFormat="false" ht="15" hidden="false" customHeight="false" outlineLevel="0" collapsed="false">
      <c r="A8" s="6" t="n">
        <v>44792</v>
      </c>
      <c r="B8" s="7" t="n">
        <v>0.830586702480481</v>
      </c>
      <c r="C8" s="7" t="n">
        <v>0.835381282054781</v>
      </c>
      <c r="D8" s="7" t="n">
        <v>0.827781203143261</v>
      </c>
      <c r="E8" s="7" t="n">
        <v>0.831937783624899</v>
      </c>
      <c r="F8" s="8" t="str">
        <f aca="true">IF(ROW()-2&gt;=Inputs!$B$4,AVERAGE(OFFSET(E8,1-Inputs!$B$4,0,Inputs!$B$4,1)),"")</f>
        <v/>
      </c>
      <c r="G8" s="8" t="str">
        <f aca="true">IF(ROW()-2&gt;=Inputs!$B$5,AVERAGE(OFFSET(E8,1-Inputs!$B$5,0,Inputs!$B$5,1)),"")</f>
        <v/>
      </c>
      <c r="H8" s="8" t="n">
        <f aca="false">MAX(C8-D8,ABS(C8-E7),ABS(D8-E7))</f>
        <v>0.00760007891151926</v>
      </c>
      <c r="I8" s="8" t="str">
        <f aca="true">IF(ROW()-2&lt;14,"",IF(ROW()-2=14,AVERAGE(OFFSET(H8,-13,0,14,1)),(I7*13+H8)/14))</f>
        <v/>
      </c>
      <c r="J8" s="9" t="b">
        <f aca="false">IF(AND(ISNUMBER(F8),ISNUMBER(G8),ISNUMBER(F7),ISNUMBER(G7)),AND(F8&gt;G8,F7&lt;=G7),FALSE())</f>
        <v>0</v>
      </c>
      <c r="K8" s="9" t="b">
        <f aca="false">IF(AND(ISNUMBER(F8),ISNUMBER(G8),ISNUMBER(F7),ISNUMBER(G7)),AND(F8&lt;G8,F7&gt;=G7),FALSE())</f>
        <v>0</v>
      </c>
      <c r="L8" s="8" t="str">
        <f aca="false">IF(ISNUMBER(I8),E8-Inputs!$B$6*I8,"")</f>
        <v/>
      </c>
      <c r="M8" s="9" t="b">
        <f aca="false">AND(Y7&gt;0,Z7)</f>
        <v>0</v>
      </c>
      <c r="N8" s="8" t="n">
        <f aca="false">B8*(1-Inputs!$B$12)</f>
        <v>0.830420585139985</v>
      </c>
      <c r="O8" s="10" t="n">
        <f aca="false">IF(M8,Y7*(N8-AB7)-Inputs!$B$9-Y7*AD7*Inputs!$B$13*(A8-AC7),0)</f>
        <v>0</v>
      </c>
      <c r="P8" s="10" t="n">
        <f aca="false">X7+O8</f>
        <v>1000</v>
      </c>
      <c r="Q8" s="9" t="b">
        <f aca="false">AND(IF(M8,0,Y7)=0,AA7,IF(ISNUMBER(AE7),B8&gt;AE7,FALSE()))</f>
        <v>0</v>
      </c>
      <c r="R8" s="8" t="n">
        <f aca="false">B8*(1+Inputs!$B$12)</f>
        <v>0.830752819820977</v>
      </c>
      <c r="S8" s="11" t="n">
        <f aca="false">IF(Q8,MIN(P8*Inputs!$B$3/(R8-AE7),P8*Inputs!$B$11/R8),0)</f>
        <v>0</v>
      </c>
      <c r="T8" s="11" t="n">
        <f aca="false">IF(Q8,S8,IF(M8,0,Y7))</f>
        <v>0</v>
      </c>
      <c r="U8" s="8" t="n">
        <f aca="false">IF(Q8,AE7,AF7)</f>
        <v>0</v>
      </c>
      <c r="V8" s="9" t="b">
        <f aca="false">AND(T8&gt;0,D8&lt;=U8)</f>
        <v>0</v>
      </c>
      <c r="W8" s="10" t="n">
        <f aca="false">IF(V8,T8*(AK8-AB8)-Inputs!$B$9-T8*AD8*Inputs!$B$13*(A8-AC8),0)</f>
        <v>0</v>
      </c>
      <c r="X8" s="10" t="n">
        <f aca="false">P8-IF(Q8,Inputs!$B$9,0)+W8</f>
        <v>1000</v>
      </c>
      <c r="Y8" s="11" t="n">
        <f aca="false">IF(V8,0,T8)</f>
        <v>0</v>
      </c>
      <c r="Z8" s="9" t="b">
        <f aca="false">AND(Y8&gt;0,K8)</f>
        <v>0</v>
      </c>
      <c r="AA8" s="9" t="b">
        <f aca="false">AND(Y8=0,J8,ISNUMBER(L8))</f>
        <v>0</v>
      </c>
      <c r="AB8" s="8" t="n">
        <f aca="false">IF(Q8,R8,AB7)</f>
        <v>0</v>
      </c>
      <c r="AC8" s="12" t="n">
        <f aca="false">IF(Q8,A8,AC7)</f>
        <v>0</v>
      </c>
      <c r="AD8" s="8" t="n">
        <f aca="false">IF(Q8,B8,AD7)</f>
        <v>0</v>
      </c>
      <c r="AE8" s="8" t="str">
        <f aca="false">IF(AA8,L8,"")</f>
        <v/>
      </c>
      <c r="AF8" s="8" t="n">
        <f aca="false">U8</f>
        <v>0</v>
      </c>
      <c r="AG8" s="2" t="n">
        <f aca="false">AG7+IF(Q8,1,0)</f>
        <v>0</v>
      </c>
      <c r="AH8" s="2" t="n">
        <f aca="false">AG7</f>
        <v>0</v>
      </c>
      <c r="AI8" s="10" t="n">
        <f aca="false">X8+Y8*(E8-AB8)-Y8*AD8*Inputs!$B$13*(A8-AC8)</f>
        <v>1000</v>
      </c>
      <c r="AJ8" s="10" t="n">
        <v>0</v>
      </c>
      <c r="AK8" s="8" t="n">
        <f aca="false">IF(AND(B8&lt;=U8,NOT(Q8)),B8,U8)*(1-Inputs!$B$12)</f>
        <v>0</v>
      </c>
    </row>
    <row r="9" customFormat="false" ht="15" hidden="false" customHeight="false" outlineLevel="0" collapsed="false">
      <c r="A9" s="6" t="n">
        <v>44793</v>
      </c>
      <c r="B9" s="7" t="n">
        <v>0.831937783624899</v>
      </c>
      <c r="C9" s="7" t="n">
        <v>0.840482182510973</v>
      </c>
      <c r="D9" s="7" t="n">
        <v>0.831804338870993</v>
      </c>
      <c r="E9" s="7" t="n">
        <v>0.836491608518901</v>
      </c>
      <c r="F9" s="8" t="str">
        <f aca="true">IF(ROW()-2&gt;=Inputs!$B$4,AVERAGE(OFFSET(E9,1-Inputs!$B$4,0,Inputs!$B$4,1)),"")</f>
        <v/>
      </c>
      <c r="G9" s="8" t="str">
        <f aca="true">IF(ROW()-2&gt;=Inputs!$B$5,AVERAGE(OFFSET(E9,1-Inputs!$B$5,0,Inputs!$B$5,1)),"")</f>
        <v/>
      </c>
      <c r="H9" s="8" t="n">
        <f aca="false">MAX(C9-D9,ABS(C9-E8),ABS(D9-E8))</f>
        <v>0.00867784363997959</v>
      </c>
      <c r="I9" s="8" t="str">
        <f aca="true">IF(ROW()-2&lt;14,"",IF(ROW()-2=14,AVERAGE(OFFSET(H9,-13,0,14,1)),(I8*13+H9)/14))</f>
        <v/>
      </c>
      <c r="J9" s="9" t="b">
        <f aca="false">IF(AND(ISNUMBER(F9),ISNUMBER(G9),ISNUMBER(F8),ISNUMBER(G8)),AND(F9&gt;G9,F8&lt;=G8),FALSE())</f>
        <v>0</v>
      </c>
      <c r="K9" s="9" t="b">
        <f aca="false">IF(AND(ISNUMBER(F9),ISNUMBER(G9),ISNUMBER(F8),ISNUMBER(G8)),AND(F9&lt;G9,F8&gt;=G8),FALSE())</f>
        <v>0</v>
      </c>
      <c r="L9" s="8" t="str">
        <f aca="false">IF(ISNUMBER(I9),E9-Inputs!$B$6*I9,"")</f>
        <v/>
      </c>
      <c r="M9" s="9" t="b">
        <f aca="false">AND(Y8&gt;0,Z8)</f>
        <v>0</v>
      </c>
      <c r="N9" s="8" t="n">
        <f aca="false">B9*(1-Inputs!$B$12)</f>
        <v>0.831771396068174</v>
      </c>
      <c r="O9" s="10" t="n">
        <f aca="false">IF(M9,Y8*(N9-AB8)-Inputs!$B$9-Y8*AD8*Inputs!$B$13*(A9-AC8),0)</f>
        <v>0</v>
      </c>
      <c r="P9" s="10" t="n">
        <f aca="false">X8+O9</f>
        <v>1000</v>
      </c>
      <c r="Q9" s="9" t="b">
        <f aca="false">AND(IF(M9,0,Y8)=0,AA8,IF(ISNUMBER(AE8),B9&gt;AE8,FALSE()))</f>
        <v>0</v>
      </c>
      <c r="R9" s="8" t="n">
        <f aca="false">B9*(1+Inputs!$B$12)</f>
        <v>0.832104171181624</v>
      </c>
      <c r="S9" s="11" t="n">
        <f aca="false">IF(Q9,MIN(P9*Inputs!$B$3/(R9-AE8),P9*Inputs!$B$11/R9),0)</f>
        <v>0</v>
      </c>
      <c r="T9" s="11" t="n">
        <f aca="false">IF(Q9,S9,IF(M9,0,Y8))</f>
        <v>0</v>
      </c>
      <c r="U9" s="8" t="n">
        <f aca="false">IF(Q9,AE8,AF8)</f>
        <v>0</v>
      </c>
      <c r="V9" s="9" t="b">
        <f aca="false">AND(T9&gt;0,D9&lt;=U9)</f>
        <v>0</v>
      </c>
      <c r="W9" s="10" t="n">
        <f aca="false">IF(V9,T9*(AK9-AB9)-Inputs!$B$9-T9*AD9*Inputs!$B$13*(A9-AC9),0)</f>
        <v>0</v>
      </c>
      <c r="X9" s="10" t="n">
        <f aca="false">P9-IF(Q9,Inputs!$B$9,0)+W9</f>
        <v>1000</v>
      </c>
      <c r="Y9" s="11" t="n">
        <f aca="false">IF(V9,0,T9)</f>
        <v>0</v>
      </c>
      <c r="Z9" s="9" t="b">
        <f aca="false">AND(Y9&gt;0,K9)</f>
        <v>0</v>
      </c>
      <c r="AA9" s="9" t="b">
        <f aca="false">AND(Y9=0,J9,ISNUMBER(L9))</f>
        <v>0</v>
      </c>
      <c r="AB9" s="8" t="n">
        <f aca="false">IF(Q9,R9,AB8)</f>
        <v>0</v>
      </c>
      <c r="AC9" s="12" t="n">
        <f aca="false">IF(Q9,A9,AC8)</f>
        <v>0</v>
      </c>
      <c r="AD9" s="8" t="n">
        <f aca="false">IF(Q9,B9,AD8)</f>
        <v>0</v>
      </c>
      <c r="AE9" s="8" t="str">
        <f aca="false">IF(AA9,L9,"")</f>
        <v/>
      </c>
      <c r="AF9" s="8" t="n">
        <f aca="false">U9</f>
        <v>0</v>
      </c>
      <c r="AG9" s="2" t="n">
        <f aca="false">AG8+IF(Q9,1,0)</f>
        <v>0</v>
      </c>
      <c r="AH9" s="2" t="n">
        <f aca="false">AG8</f>
        <v>0</v>
      </c>
      <c r="AI9" s="10" t="n">
        <f aca="false">X9+Y9*(E9-AB9)-Y9*AD9*Inputs!$B$13*(A9-AC9)</f>
        <v>1000</v>
      </c>
      <c r="AJ9" s="10" t="n">
        <v>0</v>
      </c>
      <c r="AK9" s="8" t="n">
        <f aca="false">IF(AND(B9&lt;=U9,NOT(Q9)),B9,U9)*(1-Inputs!$B$12)</f>
        <v>0</v>
      </c>
    </row>
    <row r="10" customFormat="false" ht="15" hidden="false" customHeight="false" outlineLevel="0" collapsed="false">
      <c r="A10" s="6" t="n">
        <v>44794</v>
      </c>
      <c r="B10" s="7" t="n">
        <v>0.836491608518901</v>
      </c>
      <c r="C10" s="7" t="n">
        <v>0.839195426315629</v>
      </c>
      <c r="D10" s="7" t="n">
        <v>0.824550483771547</v>
      </c>
      <c r="E10" s="7" t="n">
        <v>0.832153791871047</v>
      </c>
      <c r="F10" s="8" t="str">
        <f aca="true">IF(ROW()-2&gt;=Inputs!$B$4,AVERAGE(OFFSET(E10,1-Inputs!$B$4,0,Inputs!$B$4,1)),"")</f>
        <v/>
      </c>
      <c r="G10" s="8" t="str">
        <f aca="true">IF(ROW()-2&gt;=Inputs!$B$5,AVERAGE(OFFSET(E10,1-Inputs!$B$5,0,Inputs!$B$5,1)),"")</f>
        <v/>
      </c>
      <c r="H10" s="8" t="n">
        <f aca="false">MAX(C10-D10,ABS(C10-E9),ABS(D10-E9))</f>
        <v>0.0146449425440824</v>
      </c>
      <c r="I10" s="8" t="str">
        <f aca="true">IF(ROW()-2&lt;14,"",IF(ROW()-2=14,AVERAGE(OFFSET(H10,-13,0,14,1)),(I9*13+H10)/14))</f>
        <v/>
      </c>
      <c r="J10" s="9" t="b">
        <f aca="false">IF(AND(ISNUMBER(F10),ISNUMBER(G10),ISNUMBER(F9),ISNUMBER(G9)),AND(F10&gt;G10,F9&lt;=G9),FALSE())</f>
        <v>0</v>
      </c>
      <c r="K10" s="9" t="b">
        <f aca="false">IF(AND(ISNUMBER(F10),ISNUMBER(G10),ISNUMBER(F9),ISNUMBER(G9)),AND(F10&lt;G10,F9&gt;=G9),FALSE())</f>
        <v>0</v>
      </c>
      <c r="L10" s="8" t="str">
        <f aca="false">IF(ISNUMBER(I10),E10-Inputs!$B$6*I10,"")</f>
        <v/>
      </c>
      <c r="M10" s="9" t="b">
        <f aca="false">AND(Y9&gt;0,Z9)</f>
        <v>0</v>
      </c>
      <c r="N10" s="8" t="n">
        <f aca="false">B10*(1-Inputs!$B$12)</f>
        <v>0.836324310197197</v>
      </c>
      <c r="O10" s="10" t="n">
        <f aca="false">IF(M10,Y9*(N10-AB9)-Inputs!$B$9-Y9*AD9*Inputs!$B$13*(A10-AC9),0)</f>
        <v>0</v>
      </c>
      <c r="P10" s="10" t="n">
        <f aca="false">X9+O10</f>
        <v>1000</v>
      </c>
      <c r="Q10" s="9" t="b">
        <f aca="false">AND(IF(M10,0,Y9)=0,AA9,IF(ISNUMBER(AE9),B10&gt;AE9,FALSE()))</f>
        <v>0</v>
      </c>
      <c r="R10" s="8" t="n">
        <f aca="false">B10*(1+Inputs!$B$12)</f>
        <v>0.836658906840604</v>
      </c>
      <c r="S10" s="11" t="n">
        <f aca="false">IF(Q10,MIN(P10*Inputs!$B$3/(R10-AE9),P10*Inputs!$B$11/R10),0)</f>
        <v>0</v>
      </c>
      <c r="T10" s="11" t="n">
        <f aca="false">IF(Q10,S10,IF(M10,0,Y9))</f>
        <v>0</v>
      </c>
      <c r="U10" s="8" t="n">
        <f aca="false">IF(Q10,AE9,AF9)</f>
        <v>0</v>
      </c>
      <c r="V10" s="9" t="b">
        <f aca="false">AND(T10&gt;0,D10&lt;=U10)</f>
        <v>0</v>
      </c>
      <c r="W10" s="10" t="n">
        <f aca="false">IF(V10,T10*(AK10-AB10)-Inputs!$B$9-T10*AD10*Inputs!$B$13*(A10-AC10),0)</f>
        <v>0</v>
      </c>
      <c r="X10" s="10" t="n">
        <f aca="false">P10-IF(Q10,Inputs!$B$9,0)+W10</f>
        <v>1000</v>
      </c>
      <c r="Y10" s="11" t="n">
        <f aca="false">IF(V10,0,T10)</f>
        <v>0</v>
      </c>
      <c r="Z10" s="9" t="b">
        <f aca="false">AND(Y10&gt;0,K10)</f>
        <v>0</v>
      </c>
      <c r="AA10" s="9" t="b">
        <f aca="false">AND(Y10=0,J10,ISNUMBER(L10))</f>
        <v>0</v>
      </c>
      <c r="AB10" s="8" t="n">
        <f aca="false">IF(Q10,R10,AB9)</f>
        <v>0</v>
      </c>
      <c r="AC10" s="12" t="n">
        <f aca="false">IF(Q10,A10,AC9)</f>
        <v>0</v>
      </c>
      <c r="AD10" s="8" t="n">
        <f aca="false">IF(Q10,B10,AD9)</f>
        <v>0</v>
      </c>
      <c r="AE10" s="8" t="str">
        <f aca="false">IF(AA10,L10,"")</f>
        <v/>
      </c>
      <c r="AF10" s="8" t="n">
        <f aca="false">U10</f>
        <v>0</v>
      </c>
      <c r="AG10" s="2" t="n">
        <f aca="false">AG9+IF(Q10,1,0)</f>
        <v>0</v>
      </c>
      <c r="AH10" s="2" t="n">
        <f aca="false">AG9</f>
        <v>0</v>
      </c>
      <c r="AI10" s="10" t="n">
        <f aca="false">X10+Y10*(E10-AB10)-Y10*AD10*Inputs!$B$13*(A10-AC10)</f>
        <v>1000</v>
      </c>
      <c r="AJ10" s="10" t="n">
        <v>0</v>
      </c>
      <c r="AK10" s="8" t="n">
        <f aca="false">IF(AND(B10&lt;=U10,NOT(Q10)),B10,U10)*(1-Inputs!$B$12)</f>
        <v>0</v>
      </c>
    </row>
    <row r="11" customFormat="false" ht="15" hidden="false" customHeight="false" outlineLevel="0" collapsed="false">
      <c r="A11" s="6" t="n">
        <v>44795</v>
      </c>
      <c r="B11" s="7" t="n">
        <v>0.832153791871047</v>
      </c>
      <c r="C11" s="7" t="n">
        <v>0.839596565855891</v>
      </c>
      <c r="D11" s="7" t="n">
        <v>0.830364069531095</v>
      </c>
      <c r="E11" s="7" t="n">
        <v>0.839302686621334</v>
      </c>
      <c r="F11" s="8" t="str">
        <f aca="true">IF(ROW()-2&gt;=Inputs!$B$4,AVERAGE(OFFSET(E11,1-Inputs!$B$4,0,Inputs!$B$4,1)),"")</f>
        <v/>
      </c>
      <c r="G11" s="8" t="str">
        <f aca="true">IF(ROW()-2&gt;=Inputs!$B$5,AVERAGE(OFFSET(E11,1-Inputs!$B$5,0,Inputs!$B$5,1)),"")</f>
        <v/>
      </c>
      <c r="H11" s="8" t="n">
        <f aca="false">MAX(C11-D11,ABS(C11-E10),ABS(D11-E10))</f>
        <v>0.00923249632479573</v>
      </c>
      <c r="I11" s="8" t="str">
        <f aca="true">IF(ROW()-2&lt;14,"",IF(ROW()-2=14,AVERAGE(OFFSET(H11,-13,0,14,1)),(I10*13+H11)/14))</f>
        <v/>
      </c>
      <c r="J11" s="9" t="b">
        <f aca="false">IF(AND(ISNUMBER(F11),ISNUMBER(G11),ISNUMBER(F10),ISNUMBER(G10)),AND(F11&gt;G11,F10&lt;=G10),FALSE())</f>
        <v>0</v>
      </c>
      <c r="K11" s="9" t="b">
        <f aca="false">IF(AND(ISNUMBER(F11),ISNUMBER(G11),ISNUMBER(F10),ISNUMBER(G10)),AND(F11&lt;G11,F10&gt;=G10),FALSE())</f>
        <v>0</v>
      </c>
      <c r="L11" s="8" t="str">
        <f aca="false">IF(ISNUMBER(I11),E11-Inputs!$B$6*I11,"")</f>
        <v/>
      </c>
      <c r="M11" s="9" t="b">
        <f aca="false">AND(Y10&gt;0,Z10)</f>
        <v>0</v>
      </c>
      <c r="N11" s="8" t="n">
        <f aca="false">B11*(1-Inputs!$B$12)</f>
        <v>0.831987361112673</v>
      </c>
      <c r="O11" s="10" t="n">
        <f aca="false">IF(M11,Y10*(N11-AB10)-Inputs!$B$9-Y10*AD10*Inputs!$B$13*(A11-AC10),0)</f>
        <v>0</v>
      </c>
      <c r="P11" s="10" t="n">
        <f aca="false">X10+O11</f>
        <v>1000</v>
      </c>
      <c r="Q11" s="9" t="b">
        <f aca="false">AND(IF(M11,0,Y10)=0,AA10,IF(ISNUMBER(AE10),B11&gt;AE10,FALSE()))</f>
        <v>0</v>
      </c>
      <c r="R11" s="8" t="n">
        <f aca="false">B11*(1+Inputs!$B$12)</f>
        <v>0.832320222629422</v>
      </c>
      <c r="S11" s="11" t="n">
        <f aca="false">IF(Q11,MIN(P11*Inputs!$B$3/(R11-AE10),P11*Inputs!$B$11/R11),0)</f>
        <v>0</v>
      </c>
      <c r="T11" s="11" t="n">
        <f aca="false">IF(Q11,S11,IF(M11,0,Y10))</f>
        <v>0</v>
      </c>
      <c r="U11" s="8" t="n">
        <f aca="false">IF(Q11,AE10,AF10)</f>
        <v>0</v>
      </c>
      <c r="V11" s="9" t="b">
        <f aca="false">AND(T11&gt;0,D11&lt;=U11)</f>
        <v>0</v>
      </c>
      <c r="W11" s="10" t="n">
        <f aca="false">IF(V11,T11*(AK11-AB11)-Inputs!$B$9-T11*AD11*Inputs!$B$13*(A11-AC11),0)</f>
        <v>0</v>
      </c>
      <c r="X11" s="10" t="n">
        <f aca="false">P11-IF(Q11,Inputs!$B$9,0)+W11</f>
        <v>1000</v>
      </c>
      <c r="Y11" s="11" t="n">
        <f aca="false">IF(V11,0,T11)</f>
        <v>0</v>
      </c>
      <c r="Z11" s="9" t="b">
        <f aca="false">AND(Y11&gt;0,K11)</f>
        <v>0</v>
      </c>
      <c r="AA11" s="9" t="b">
        <f aca="false">AND(Y11=0,J11,ISNUMBER(L11))</f>
        <v>0</v>
      </c>
      <c r="AB11" s="8" t="n">
        <f aca="false">IF(Q11,R11,AB10)</f>
        <v>0</v>
      </c>
      <c r="AC11" s="12" t="n">
        <f aca="false">IF(Q11,A11,AC10)</f>
        <v>0</v>
      </c>
      <c r="AD11" s="8" t="n">
        <f aca="false">IF(Q11,B11,AD10)</f>
        <v>0</v>
      </c>
      <c r="AE11" s="8" t="str">
        <f aca="false">IF(AA11,L11,"")</f>
        <v/>
      </c>
      <c r="AF11" s="8" t="n">
        <f aca="false">U11</f>
        <v>0</v>
      </c>
      <c r="AG11" s="2" t="n">
        <f aca="false">AG10+IF(Q11,1,0)</f>
        <v>0</v>
      </c>
      <c r="AH11" s="2" t="n">
        <f aca="false">AG10</f>
        <v>0</v>
      </c>
      <c r="AI11" s="10" t="n">
        <f aca="false">X11+Y11*(E11-AB11)-Y11*AD11*Inputs!$B$13*(A11-AC11)</f>
        <v>1000</v>
      </c>
      <c r="AJ11" s="10" t="n">
        <v>0</v>
      </c>
      <c r="AK11" s="8" t="n">
        <f aca="false">IF(AND(B11&lt;=U11,NOT(Q11)),B11,U11)*(1-Inputs!$B$12)</f>
        <v>0</v>
      </c>
    </row>
    <row r="12" customFormat="false" ht="15" hidden="false" customHeight="false" outlineLevel="0" collapsed="false">
      <c r="A12" s="6" t="n">
        <v>44796</v>
      </c>
      <c r="B12" s="7" t="n">
        <v>0.839302686621334</v>
      </c>
      <c r="C12" s="7" t="n">
        <v>0.84436174176484</v>
      </c>
      <c r="D12" s="7" t="n">
        <v>0.836314029713142</v>
      </c>
      <c r="E12" s="7" t="n">
        <v>0.837108193140688</v>
      </c>
      <c r="F12" s="8" t="str">
        <f aca="true">IF(ROW()-2&gt;=Inputs!$B$4,AVERAGE(OFFSET(E12,1-Inputs!$B$4,0,Inputs!$B$4,1)),"")</f>
        <v/>
      </c>
      <c r="G12" s="8" t="str">
        <f aca="true">IF(ROW()-2&gt;=Inputs!$B$5,AVERAGE(OFFSET(E12,1-Inputs!$B$5,0,Inputs!$B$5,1)),"")</f>
        <v/>
      </c>
      <c r="H12" s="8" t="n">
        <f aca="false">MAX(C12-D12,ABS(C12-E11),ABS(D12-E11))</f>
        <v>0.00804771205169785</v>
      </c>
      <c r="I12" s="8" t="str">
        <f aca="true">IF(ROW()-2&lt;14,"",IF(ROW()-2=14,AVERAGE(OFFSET(H12,-13,0,14,1)),(I11*13+H12)/14))</f>
        <v/>
      </c>
      <c r="J12" s="9" t="b">
        <f aca="false">IF(AND(ISNUMBER(F12),ISNUMBER(G12),ISNUMBER(F11),ISNUMBER(G11)),AND(F12&gt;G12,F11&lt;=G11),FALSE())</f>
        <v>0</v>
      </c>
      <c r="K12" s="9" t="b">
        <f aca="false">IF(AND(ISNUMBER(F12),ISNUMBER(G12),ISNUMBER(F11),ISNUMBER(G11)),AND(F12&lt;G12,F11&gt;=G11),FALSE())</f>
        <v>0</v>
      </c>
      <c r="L12" s="8" t="str">
        <f aca="false">IF(ISNUMBER(I12),E12-Inputs!$B$6*I12,"")</f>
        <v/>
      </c>
      <c r="M12" s="9" t="b">
        <f aca="false">AND(Y11&gt;0,Z11)</f>
        <v>0</v>
      </c>
      <c r="N12" s="8" t="n">
        <f aca="false">B12*(1-Inputs!$B$12)</f>
        <v>0.83913482608401</v>
      </c>
      <c r="O12" s="10" t="n">
        <f aca="false">IF(M12,Y11*(N12-AB11)-Inputs!$B$9-Y11*AD11*Inputs!$B$13*(A12-AC11),0)</f>
        <v>0</v>
      </c>
      <c r="P12" s="10" t="n">
        <f aca="false">X11+O12</f>
        <v>1000</v>
      </c>
      <c r="Q12" s="9" t="b">
        <f aca="false">AND(IF(M12,0,Y11)=0,AA11,IF(ISNUMBER(AE11),B12&gt;AE11,FALSE()))</f>
        <v>0</v>
      </c>
      <c r="R12" s="8" t="n">
        <f aca="false">B12*(1+Inputs!$B$12)</f>
        <v>0.839470547158658</v>
      </c>
      <c r="S12" s="11" t="n">
        <f aca="false">IF(Q12,MIN(P12*Inputs!$B$3/(R12-AE11),P12*Inputs!$B$11/R12),0)</f>
        <v>0</v>
      </c>
      <c r="T12" s="11" t="n">
        <f aca="false">IF(Q12,S12,IF(M12,0,Y11))</f>
        <v>0</v>
      </c>
      <c r="U12" s="8" t="n">
        <f aca="false">IF(Q12,AE11,AF11)</f>
        <v>0</v>
      </c>
      <c r="V12" s="9" t="b">
        <f aca="false">AND(T12&gt;0,D12&lt;=U12)</f>
        <v>0</v>
      </c>
      <c r="W12" s="10" t="n">
        <f aca="false">IF(V12,T12*(AK12-AB12)-Inputs!$B$9-T12*AD12*Inputs!$B$13*(A12-AC12),0)</f>
        <v>0</v>
      </c>
      <c r="X12" s="10" t="n">
        <f aca="false">P12-IF(Q12,Inputs!$B$9,0)+W12</f>
        <v>1000</v>
      </c>
      <c r="Y12" s="11" t="n">
        <f aca="false">IF(V12,0,T12)</f>
        <v>0</v>
      </c>
      <c r="Z12" s="9" t="b">
        <f aca="false">AND(Y12&gt;0,K12)</f>
        <v>0</v>
      </c>
      <c r="AA12" s="9" t="b">
        <f aca="false">AND(Y12=0,J12,ISNUMBER(L12))</f>
        <v>0</v>
      </c>
      <c r="AB12" s="8" t="n">
        <f aca="false">IF(Q12,R12,AB11)</f>
        <v>0</v>
      </c>
      <c r="AC12" s="12" t="n">
        <f aca="false">IF(Q12,A12,AC11)</f>
        <v>0</v>
      </c>
      <c r="AD12" s="8" t="n">
        <f aca="false">IF(Q12,B12,AD11)</f>
        <v>0</v>
      </c>
      <c r="AE12" s="8" t="str">
        <f aca="false">IF(AA12,L12,"")</f>
        <v/>
      </c>
      <c r="AF12" s="8" t="n">
        <f aca="false">U12</f>
        <v>0</v>
      </c>
      <c r="AG12" s="2" t="n">
        <f aca="false">AG11+IF(Q12,1,0)</f>
        <v>0</v>
      </c>
      <c r="AH12" s="2" t="n">
        <f aca="false">AG11</f>
        <v>0</v>
      </c>
      <c r="AI12" s="10" t="n">
        <f aca="false">X12+Y12*(E12-AB12)-Y12*AD12*Inputs!$B$13*(A12-AC12)</f>
        <v>1000</v>
      </c>
      <c r="AJ12" s="10" t="n">
        <v>0</v>
      </c>
      <c r="AK12" s="8" t="n">
        <f aca="false">IF(AND(B12&lt;=U12,NOT(Q12)),B12,U12)*(1-Inputs!$B$12)</f>
        <v>0</v>
      </c>
    </row>
    <row r="13" customFormat="false" ht="15" hidden="false" customHeight="false" outlineLevel="0" collapsed="false">
      <c r="A13" s="6" t="n">
        <v>44797</v>
      </c>
      <c r="B13" s="7" t="n">
        <v>0.837108193140688</v>
      </c>
      <c r="C13" s="7" t="n">
        <v>0.848244594424723</v>
      </c>
      <c r="D13" s="7" t="n">
        <v>0.831973831565717</v>
      </c>
      <c r="E13" s="7" t="n">
        <v>0.843991401349211</v>
      </c>
      <c r="F13" s="8" t="str">
        <f aca="true">IF(ROW()-2&gt;=Inputs!$B$4,AVERAGE(OFFSET(E13,1-Inputs!$B$4,0,Inputs!$B$4,1)),"")</f>
        <v/>
      </c>
      <c r="G13" s="8" t="str">
        <f aca="true">IF(ROW()-2&gt;=Inputs!$B$5,AVERAGE(OFFSET(E13,1-Inputs!$B$5,0,Inputs!$B$5,1)),"")</f>
        <v/>
      </c>
      <c r="H13" s="8" t="n">
        <f aca="false">MAX(C13-D13,ABS(C13-E12),ABS(D13-E12))</f>
        <v>0.0162707628590059</v>
      </c>
      <c r="I13" s="8" t="str">
        <f aca="true">IF(ROW()-2&lt;14,"",IF(ROW()-2=14,AVERAGE(OFFSET(H13,-13,0,14,1)),(I12*13+H13)/14))</f>
        <v/>
      </c>
      <c r="J13" s="9" t="b">
        <f aca="false">IF(AND(ISNUMBER(F13),ISNUMBER(G13),ISNUMBER(F12),ISNUMBER(G12)),AND(F13&gt;G13,F12&lt;=G12),FALSE())</f>
        <v>0</v>
      </c>
      <c r="K13" s="9" t="b">
        <f aca="false">IF(AND(ISNUMBER(F13),ISNUMBER(G13),ISNUMBER(F12),ISNUMBER(G12)),AND(F13&lt;G13,F12&gt;=G12),FALSE())</f>
        <v>0</v>
      </c>
      <c r="L13" s="8" t="str">
        <f aca="false">IF(ISNUMBER(I13),E13-Inputs!$B$6*I13,"")</f>
        <v/>
      </c>
      <c r="M13" s="9" t="b">
        <f aca="false">AND(Y12&gt;0,Z12)</f>
        <v>0</v>
      </c>
      <c r="N13" s="8" t="n">
        <f aca="false">B13*(1-Inputs!$B$12)</f>
        <v>0.83694077150206</v>
      </c>
      <c r="O13" s="10" t="n">
        <f aca="false">IF(M13,Y12*(N13-AB12)-Inputs!$B$9-Y12*AD12*Inputs!$B$13*(A13-AC12),0)</f>
        <v>0</v>
      </c>
      <c r="P13" s="10" t="n">
        <f aca="false">X12+O13</f>
        <v>1000</v>
      </c>
      <c r="Q13" s="9" t="b">
        <f aca="false">AND(IF(M13,0,Y12)=0,AA12,IF(ISNUMBER(AE12),B13&gt;AE12,FALSE()))</f>
        <v>0</v>
      </c>
      <c r="R13" s="8" t="n">
        <f aca="false">B13*(1+Inputs!$B$12)</f>
        <v>0.837275614779317</v>
      </c>
      <c r="S13" s="11" t="n">
        <f aca="false">IF(Q13,MIN(P13*Inputs!$B$3/(R13-AE12),P13*Inputs!$B$11/R13),0)</f>
        <v>0</v>
      </c>
      <c r="T13" s="11" t="n">
        <f aca="false">IF(Q13,S13,IF(M13,0,Y12))</f>
        <v>0</v>
      </c>
      <c r="U13" s="8" t="n">
        <f aca="false">IF(Q13,AE12,AF12)</f>
        <v>0</v>
      </c>
      <c r="V13" s="9" t="b">
        <f aca="false">AND(T13&gt;0,D13&lt;=U13)</f>
        <v>0</v>
      </c>
      <c r="W13" s="10" t="n">
        <f aca="false">IF(V13,T13*(AK13-AB13)-Inputs!$B$9-T13*AD13*Inputs!$B$13*(A13-AC13),0)</f>
        <v>0</v>
      </c>
      <c r="X13" s="10" t="n">
        <f aca="false">P13-IF(Q13,Inputs!$B$9,0)+W13</f>
        <v>1000</v>
      </c>
      <c r="Y13" s="11" t="n">
        <f aca="false">IF(V13,0,T13)</f>
        <v>0</v>
      </c>
      <c r="Z13" s="9" t="b">
        <f aca="false">AND(Y13&gt;0,K13)</f>
        <v>0</v>
      </c>
      <c r="AA13" s="9" t="b">
        <f aca="false">AND(Y13=0,J13,ISNUMBER(L13))</f>
        <v>0</v>
      </c>
      <c r="AB13" s="8" t="n">
        <f aca="false">IF(Q13,R13,AB12)</f>
        <v>0</v>
      </c>
      <c r="AC13" s="12" t="n">
        <f aca="false">IF(Q13,A13,AC12)</f>
        <v>0</v>
      </c>
      <c r="AD13" s="8" t="n">
        <f aca="false">IF(Q13,B13,AD12)</f>
        <v>0</v>
      </c>
      <c r="AE13" s="8" t="str">
        <f aca="false">IF(AA13,L13,"")</f>
        <v/>
      </c>
      <c r="AF13" s="8" t="n">
        <f aca="false">U13</f>
        <v>0</v>
      </c>
      <c r="AG13" s="2" t="n">
        <f aca="false">AG12+IF(Q13,1,0)</f>
        <v>0</v>
      </c>
      <c r="AH13" s="2" t="n">
        <f aca="false">AG12</f>
        <v>0</v>
      </c>
      <c r="AI13" s="10" t="n">
        <f aca="false">X13+Y13*(E13-AB13)-Y13*AD13*Inputs!$B$13*(A13-AC13)</f>
        <v>1000</v>
      </c>
      <c r="AJ13" s="10" t="n">
        <v>0</v>
      </c>
      <c r="AK13" s="8" t="n">
        <f aca="false">IF(AND(B13&lt;=U13,NOT(Q13)),B13,U13)*(1-Inputs!$B$12)</f>
        <v>0</v>
      </c>
    </row>
    <row r="14" customFormat="false" ht="15" hidden="false" customHeight="false" outlineLevel="0" collapsed="false">
      <c r="A14" s="6" t="n">
        <v>44798</v>
      </c>
      <c r="B14" s="7" t="n">
        <v>0.843991401349211</v>
      </c>
      <c r="C14" s="7" t="n">
        <v>0.847972138053504</v>
      </c>
      <c r="D14" s="7" t="n">
        <v>0.843740774370448</v>
      </c>
      <c r="E14" s="7" t="n">
        <v>0.846249982330533</v>
      </c>
      <c r="F14" s="8" t="str">
        <f aca="true">IF(ROW()-2&gt;=Inputs!$B$4,AVERAGE(OFFSET(E14,1-Inputs!$B$4,0,Inputs!$B$4,1)),"")</f>
        <v/>
      </c>
      <c r="G14" s="8" t="str">
        <f aca="true">IF(ROW()-2&gt;=Inputs!$B$5,AVERAGE(OFFSET(E14,1-Inputs!$B$5,0,Inputs!$B$5,1)),"")</f>
        <v/>
      </c>
      <c r="H14" s="8" t="n">
        <f aca="false">MAX(C14-D14,ABS(C14-E13),ABS(D14-E13))</f>
        <v>0.00423136368305566</v>
      </c>
      <c r="I14" s="8" t="str">
        <f aca="true">IF(ROW()-2&lt;14,"",IF(ROW()-2=14,AVERAGE(OFFSET(H14,-13,0,14,1)),(I13*13+H14)/14))</f>
        <v/>
      </c>
      <c r="J14" s="9" t="b">
        <f aca="false">IF(AND(ISNUMBER(F14),ISNUMBER(G14),ISNUMBER(F13),ISNUMBER(G13)),AND(F14&gt;G14,F13&lt;=G13),FALSE())</f>
        <v>0</v>
      </c>
      <c r="K14" s="9" t="b">
        <f aca="false">IF(AND(ISNUMBER(F14),ISNUMBER(G14),ISNUMBER(F13),ISNUMBER(G13)),AND(F14&lt;G14,F13&gt;=G13),FALSE())</f>
        <v>0</v>
      </c>
      <c r="L14" s="8" t="str">
        <f aca="false">IF(ISNUMBER(I14),E14-Inputs!$B$6*I14,"")</f>
        <v/>
      </c>
      <c r="M14" s="9" t="b">
        <f aca="false">AND(Y13&gt;0,Z13)</f>
        <v>0</v>
      </c>
      <c r="N14" s="8" t="n">
        <f aca="false">B14*(1-Inputs!$B$12)</f>
        <v>0.843822603068941</v>
      </c>
      <c r="O14" s="10" t="n">
        <f aca="false">IF(M14,Y13*(N14-AB13)-Inputs!$B$9-Y13*AD13*Inputs!$B$13*(A14-AC13),0)</f>
        <v>0</v>
      </c>
      <c r="P14" s="10" t="n">
        <f aca="false">X13+O14</f>
        <v>1000</v>
      </c>
      <c r="Q14" s="9" t="b">
        <f aca="false">AND(IF(M14,0,Y13)=0,AA13,IF(ISNUMBER(AE13),B14&gt;AE13,FALSE()))</f>
        <v>0</v>
      </c>
      <c r="R14" s="8" t="n">
        <f aca="false">B14*(1+Inputs!$B$12)</f>
        <v>0.844160199629481</v>
      </c>
      <c r="S14" s="11" t="n">
        <f aca="false">IF(Q14,MIN(P14*Inputs!$B$3/(R14-AE13),P14*Inputs!$B$11/R14),0)</f>
        <v>0</v>
      </c>
      <c r="T14" s="11" t="n">
        <f aca="false">IF(Q14,S14,IF(M14,0,Y13))</f>
        <v>0</v>
      </c>
      <c r="U14" s="8" t="n">
        <f aca="false">IF(Q14,AE13,AF13)</f>
        <v>0</v>
      </c>
      <c r="V14" s="9" t="b">
        <f aca="false">AND(T14&gt;0,D14&lt;=U14)</f>
        <v>0</v>
      </c>
      <c r="W14" s="10" t="n">
        <f aca="false">IF(V14,T14*(AK14-AB14)-Inputs!$B$9-T14*AD14*Inputs!$B$13*(A14-AC14),0)</f>
        <v>0</v>
      </c>
      <c r="X14" s="10" t="n">
        <f aca="false">P14-IF(Q14,Inputs!$B$9,0)+W14</f>
        <v>1000</v>
      </c>
      <c r="Y14" s="11" t="n">
        <f aca="false">IF(V14,0,T14)</f>
        <v>0</v>
      </c>
      <c r="Z14" s="9" t="b">
        <f aca="false">AND(Y14&gt;0,K14)</f>
        <v>0</v>
      </c>
      <c r="AA14" s="9" t="b">
        <f aca="false">AND(Y14=0,J14,ISNUMBER(L14))</f>
        <v>0</v>
      </c>
      <c r="AB14" s="8" t="n">
        <f aca="false">IF(Q14,R14,AB13)</f>
        <v>0</v>
      </c>
      <c r="AC14" s="12" t="n">
        <f aca="false">IF(Q14,A14,AC13)</f>
        <v>0</v>
      </c>
      <c r="AD14" s="8" t="n">
        <f aca="false">IF(Q14,B14,AD13)</f>
        <v>0</v>
      </c>
      <c r="AE14" s="8" t="str">
        <f aca="false">IF(AA14,L14,"")</f>
        <v/>
      </c>
      <c r="AF14" s="8" t="n">
        <f aca="false">U14</f>
        <v>0</v>
      </c>
      <c r="AG14" s="2" t="n">
        <f aca="false">AG13+IF(Q14,1,0)</f>
        <v>0</v>
      </c>
      <c r="AH14" s="2" t="n">
        <f aca="false">AG13</f>
        <v>0</v>
      </c>
      <c r="AI14" s="10" t="n">
        <f aca="false">X14+Y14*(E14-AB14)-Y14*AD14*Inputs!$B$13*(A14-AC14)</f>
        <v>1000</v>
      </c>
      <c r="AJ14" s="10" t="n">
        <v>0</v>
      </c>
      <c r="AK14" s="8" t="n">
        <f aca="false">IF(AND(B14&lt;=U14,NOT(Q14)),B14,U14)*(1-Inputs!$B$12)</f>
        <v>0</v>
      </c>
    </row>
    <row r="15" customFormat="false" ht="15" hidden="false" customHeight="false" outlineLevel="0" collapsed="false">
      <c r="A15" s="6" t="n">
        <v>44799</v>
      </c>
      <c r="B15" s="7" t="n">
        <v>0.846249982330533</v>
      </c>
      <c r="C15" s="7" t="n">
        <v>0.853729872513488</v>
      </c>
      <c r="D15" s="7" t="n">
        <v>0.840935481592746</v>
      </c>
      <c r="E15" s="7" t="n">
        <v>0.847792128052997</v>
      </c>
      <c r="F15" s="8" t="str">
        <f aca="true">IF(ROW()-2&gt;=Inputs!$B$4,AVERAGE(OFFSET(E15,1-Inputs!$B$4,0,Inputs!$B$4,1)),"")</f>
        <v/>
      </c>
      <c r="G15" s="8" t="str">
        <f aca="true">IF(ROW()-2&gt;=Inputs!$B$5,AVERAGE(OFFSET(E15,1-Inputs!$B$5,0,Inputs!$B$5,1)),"")</f>
        <v/>
      </c>
      <c r="H15" s="8" t="n">
        <f aca="false">MAX(C15-D15,ABS(C15-E14),ABS(D15-E14))</f>
        <v>0.012794390920742</v>
      </c>
      <c r="I15" s="8" t="str">
        <f aca="true">IF(ROW()-2&lt;14,"",IF(ROW()-2=14,AVERAGE(OFFSET(H15,-13,0,14,1)),(I14*13+H15)/14))</f>
        <v/>
      </c>
      <c r="J15" s="9" t="b">
        <f aca="false">IF(AND(ISNUMBER(F15),ISNUMBER(G15),ISNUMBER(F14),ISNUMBER(G14)),AND(F15&gt;G15,F14&lt;=G14),FALSE())</f>
        <v>0</v>
      </c>
      <c r="K15" s="9" t="b">
        <f aca="false">IF(AND(ISNUMBER(F15),ISNUMBER(G15),ISNUMBER(F14),ISNUMBER(G14)),AND(F15&lt;G15,F14&gt;=G14),FALSE())</f>
        <v>0</v>
      </c>
      <c r="L15" s="8" t="str">
        <f aca="false">IF(ISNUMBER(I15),E15-Inputs!$B$6*I15,"")</f>
        <v/>
      </c>
      <c r="M15" s="9" t="b">
        <f aca="false">AND(Y14&gt;0,Z14)</f>
        <v>0</v>
      </c>
      <c r="N15" s="8" t="n">
        <f aca="false">B15*(1-Inputs!$B$12)</f>
        <v>0.846080732334067</v>
      </c>
      <c r="O15" s="10" t="n">
        <f aca="false">IF(M15,Y14*(N15-AB14)-Inputs!$B$9-Y14*AD14*Inputs!$B$13*(A15-AC14),0)</f>
        <v>0</v>
      </c>
      <c r="P15" s="10" t="n">
        <f aca="false">X14+O15</f>
        <v>1000</v>
      </c>
      <c r="Q15" s="9" t="b">
        <f aca="false">AND(IF(M15,0,Y14)=0,AA14,IF(ISNUMBER(AE14),B15&gt;AE14,FALSE()))</f>
        <v>0</v>
      </c>
      <c r="R15" s="8" t="n">
        <f aca="false">B15*(1+Inputs!$B$12)</f>
        <v>0.846419232326999</v>
      </c>
      <c r="S15" s="11" t="n">
        <f aca="false">IF(Q15,MIN(P15*Inputs!$B$3/(R15-AE14),P15*Inputs!$B$11/R15),0)</f>
        <v>0</v>
      </c>
      <c r="T15" s="11" t="n">
        <f aca="false">IF(Q15,S15,IF(M15,0,Y14))</f>
        <v>0</v>
      </c>
      <c r="U15" s="8" t="n">
        <f aca="false">IF(Q15,AE14,AF14)</f>
        <v>0</v>
      </c>
      <c r="V15" s="9" t="b">
        <f aca="false">AND(T15&gt;0,D15&lt;=U15)</f>
        <v>0</v>
      </c>
      <c r="W15" s="10" t="n">
        <f aca="false">IF(V15,T15*(AK15-AB15)-Inputs!$B$9-T15*AD15*Inputs!$B$13*(A15-AC15),0)</f>
        <v>0</v>
      </c>
      <c r="X15" s="10" t="n">
        <f aca="false">P15-IF(Q15,Inputs!$B$9,0)+W15</f>
        <v>1000</v>
      </c>
      <c r="Y15" s="11" t="n">
        <f aca="false">IF(V15,0,T15)</f>
        <v>0</v>
      </c>
      <c r="Z15" s="9" t="b">
        <f aca="false">AND(Y15&gt;0,K15)</f>
        <v>0</v>
      </c>
      <c r="AA15" s="9" t="b">
        <f aca="false">AND(Y15=0,J15,ISNUMBER(L15))</f>
        <v>0</v>
      </c>
      <c r="AB15" s="8" t="n">
        <f aca="false">IF(Q15,R15,AB14)</f>
        <v>0</v>
      </c>
      <c r="AC15" s="12" t="n">
        <f aca="false">IF(Q15,A15,AC14)</f>
        <v>0</v>
      </c>
      <c r="AD15" s="8" t="n">
        <f aca="false">IF(Q15,B15,AD14)</f>
        <v>0</v>
      </c>
      <c r="AE15" s="8" t="str">
        <f aca="false">IF(AA15,L15,"")</f>
        <v/>
      </c>
      <c r="AF15" s="8" t="n">
        <f aca="false">U15</f>
        <v>0</v>
      </c>
      <c r="AG15" s="2" t="n">
        <f aca="false">AG14+IF(Q15,1,0)</f>
        <v>0</v>
      </c>
      <c r="AH15" s="2" t="n">
        <f aca="false">AG14</f>
        <v>0</v>
      </c>
      <c r="AI15" s="10" t="n">
        <f aca="false">X15+Y15*(E15-AB15)-Y15*AD15*Inputs!$B$13*(A15-AC15)</f>
        <v>1000</v>
      </c>
      <c r="AJ15" s="10" t="n">
        <v>0</v>
      </c>
      <c r="AK15" s="8" t="n">
        <f aca="false">IF(AND(B15&lt;=U15,NOT(Q15)),B15,U15)*(1-Inputs!$B$12)</f>
        <v>0</v>
      </c>
    </row>
    <row r="16" customFormat="false" ht="15" hidden="false" customHeight="false" outlineLevel="0" collapsed="false">
      <c r="A16" s="6" t="n">
        <v>44800</v>
      </c>
      <c r="B16" s="7" t="n">
        <v>0.847792128052997</v>
      </c>
      <c r="C16" s="7" t="n">
        <v>0.851367226482132</v>
      </c>
      <c r="D16" s="7" t="n">
        <v>0.841649744161168</v>
      </c>
      <c r="E16" s="7" t="n">
        <v>0.84663295814959</v>
      </c>
      <c r="F16" s="8" t="str">
        <f aca="true">IF(ROW()-2&gt;=Inputs!$B$4,AVERAGE(OFFSET(E16,1-Inputs!$B$4,0,Inputs!$B$4,1)),"")</f>
        <v/>
      </c>
      <c r="G16" s="8" t="str">
        <f aca="true">IF(ROW()-2&gt;=Inputs!$B$5,AVERAGE(OFFSET(E16,1-Inputs!$B$5,0,Inputs!$B$5,1)),"")</f>
        <v/>
      </c>
      <c r="H16" s="8" t="n">
        <f aca="false">MAX(C16-D16,ABS(C16-E15),ABS(D16-E15))</f>
        <v>0.00971748232096437</v>
      </c>
      <c r="I16" s="8" t="n">
        <f aca="true">IF(ROW()-2&lt;14,"",IF(ROW()-2=14,AVERAGE(OFFSET(H16,-13,0,14,1)),(I15*13+H16)/14))</f>
        <v>0.0107768777882243</v>
      </c>
      <c r="J16" s="9" t="b">
        <f aca="false">IF(AND(ISNUMBER(F16),ISNUMBER(G16),ISNUMBER(F15),ISNUMBER(G15)),AND(F16&gt;G16,F15&lt;=G15),FALSE())</f>
        <v>0</v>
      </c>
      <c r="K16" s="9" t="b">
        <f aca="false">IF(AND(ISNUMBER(F16),ISNUMBER(G16),ISNUMBER(F15),ISNUMBER(G15)),AND(F16&lt;G16,F15&gt;=G15),FALSE())</f>
        <v>0</v>
      </c>
      <c r="L16" s="8" t="n">
        <f aca="false">IF(ISNUMBER(I16),E16-Inputs!$B$6*I16,"")</f>
        <v>0.825079202573142</v>
      </c>
      <c r="M16" s="9" t="b">
        <f aca="false">AND(Y15&gt;0,Z15)</f>
        <v>0</v>
      </c>
      <c r="N16" s="8" t="n">
        <f aca="false">B16*(1-Inputs!$B$12)</f>
        <v>0.847622569627387</v>
      </c>
      <c r="O16" s="10" t="n">
        <f aca="false">IF(M16,Y15*(N16-AB15)-Inputs!$B$9-Y15*AD15*Inputs!$B$13*(A16-AC15),0)</f>
        <v>0</v>
      </c>
      <c r="P16" s="10" t="n">
        <f aca="false">X15+O16</f>
        <v>1000</v>
      </c>
      <c r="Q16" s="9" t="b">
        <f aca="false">AND(IF(M16,0,Y15)=0,AA15,IF(ISNUMBER(AE15),B16&gt;AE15,FALSE()))</f>
        <v>0</v>
      </c>
      <c r="R16" s="8" t="n">
        <f aca="false">B16*(1+Inputs!$B$12)</f>
        <v>0.847961686478608</v>
      </c>
      <c r="S16" s="11" t="n">
        <f aca="false">IF(Q16,MIN(P16*Inputs!$B$3/(R16-AE15),P16*Inputs!$B$11/R16),0)</f>
        <v>0</v>
      </c>
      <c r="T16" s="11" t="n">
        <f aca="false">IF(Q16,S16,IF(M16,0,Y15))</f>
        <v>0</v>
      </c>
      <c r="U16" s="8" t="n">
        <f aca="false">IF(Q16,AE15,AF15)</f>
        <v>0</v>
      </c>
      <c r="V16" s="9" t="b">
        <f aca="false">AND(T16&gt;0,D16&lt;=U16)</f>
        <v>0</v>
      </c>
      <c r="W16" s="10" t="n">
        <f aca="false">IF(V16,T16*(AK16-AB16)-Inputs!$B$9-T16*AD16*Inputs!$B$13*(A16-AC16),0)</f>
        <v>0</v>
      </c>
      <c r="X16" s="10" t="n">
        <f aca="false">P16-IF(Q16,Inputs!$B$9,0)+W16</f>
        <v>1000</v>
      </c>
      <c r="Y16" s="11" t="n">
        <f aca="false">IF(V16,0,T16)</f>
        <v>0</v>
      </c>
      <c r="Z16" s="9" t="b">
        <f aca="false">AND(Y16&gt;0,K16)</f>
        <v>0</v>
      </c>
      <c r="AA16" s="9" t="b">
        <f aca="false">AND(Y16=0,J16,ISNUMBER(L16))</f>
        <v>0</v>
      </c>
      <c r="AB16" s="8" t="n">
        <f aca="false">IF(Q16,R16,AB15)</f>
        <v>0</v>
      </c>
      <c r="AC16" s="12" t="n">
        <f aca="false">IF(Q16,A16,AC15)</f>
        <v>0</v>
      </c>
      <c r="AD16" s="8" t="n">
        <f aca="false">IF(Q16,B16,AD15)</f>
        <v>0</v>
      </c>
      <c r="AE16" s="8" t="str">
        <f aca="false">IF(AA16,L16,"")</f>
        <v/>
      </c>
      <c r="AF16" s="8" t="n">
        <f aca="false">U16</f>
        <v>0</v>
      </c>
      <c r="AG16" s="2" t="n">
        <f aca="false">AG15+IF(Q16,1,0)</f>
        <v>0</v>
      </c>
      <c r="AH16" s="2" t="n">
        <f aca="false">AG15</f>
        <v>0</v>
      </c>
      <c r="AI16" s="10" t="n">
        <f aca="false">X16+Y16*(E16-AB16)-Y16*AD16*Inputs!$B$13*(A16-AC16)</f>
        <v>1000</v>
      </c>
      <c r="AJ16" s="10" t="n">
        <v>0</v>
      </c>
      <c r="AK16" s="8" t="n">
        <f aca="false">IF(AND(B16&lt;=U16,NOT(Q16)),B16,U16)*(1-Inputs!$B$12)</f>
        <v>0</v>
      </c>
    </row>
    <row r="17" customFormat="false" ht="15" hidden="false" customHeight="false" outlineLevel="0" collapsed="false">
      <c r="A17" s="6" t="n">
        <v>44801</v>
      </c>
      <c r="B17" s="7" t="n">
        <v>0.84663295814959</v>
      </c>
      <c r="C17" s="7" t="n">
        <v>0.853607436565472</v>
      </c>
      <c r="D17" s="7" t="n">
        <v>0.844891995702969</v>
      </c>
      <c r="E17" s="7" t="n">
        <v>0.852315941664826</v>
      </c>
      <c r="F17" s="8" t="str">
        <f aca="true">IF(ROW()-2&gt;=Inputs!$B$4,AVERAGE(OFFSET(E17,1-Inputs!$B$4,0,Inputs!$B$4,1)),"")</f>
        <v/>
      </c>
      <c r="G17" s="8" t="str">
        <f aca="true">IF(ROW()-2&gt;=Inputs!$B$5,AVERAGE(OFFSET(E17,1-Inputs!$B$5,0,Inputs!$B$5,1)),"")</f>
        <v/>
      </c>
      <c r="H17" s="8" t="n">
        <f aca="false">MAX(C17-D17,ABS(C17-E16),ABS(D17-E16))</f>
        <v>0.00871544086250364</v>
      </c>
      <c r="I17" s="8" t="n">
        <f aca="true">IF(ROW()-2&lt;14,"",IF(ROW()-2=14,AVERAGE(OFFSET(H17,-13,0,14,1)),(I16*13+H17)/14))</f>
        <v>0.01062963229353</v>
      </c>
      <c r="J17" s="9" t="b">
        <f aca="false">IF(AND(ISNUMBER(F17),ISNUMBER(G17),ISNUMBER(F16),ISNUMBER(G16)),AND(F17&gt;G17,F16&lt;=G16),FALSE())</f>
        <v>0</v>
      </c>
      <c r="K17" s="9" t="b">
        <f aca="false">IF(AND(ISNUMBER(F17),ISNUMBER(G17),ISNUMBER(F16),ISNUMBER(G16)),AND(F17&lt;G17,F16&gt;=G16),FALSE())</f>
        <v>0</v>
      </c>
      <c r="L17" s="8" t="n">
        <f aca="false">IF(ISNUMBER(I17),E17-Inputs!$B$6*I17,"")</f>
        <v>0.831056677077766</v>
      </c>
      <c r="M17" s="9" t="b">
        <f aca="false">AND(Y16&gt;0,Z16)</f>
        <v>0</v>
      </c>
      <c r="N17" s="8" t="n">
        <f aca="false">B17*(1-Inputs!$B$12)</f>
        <v>0.84646363155796</v>
      </c>
      <c r="O17" s="10" t="n">
        <f aca="false">IF(M17,Y16*(N17-AB16)-Inputs!$B$9-Y16*AD16*Inputs!$B$13*(A17-AC16),0)</f>
        <v>0</v>
      </c>
      <c r="P17" s="10" t="n">
        <f aca="false">X16+O17</f>
        <v>1000</v>
      </c>
      <c r="Q17" s="9" t="b">
        <f aca="false">AND(IF(M17,0,Y16)=0,AA16,IF(ISNUMBER(AE16),B17&gt;AE16,FALSE()))</f>
        <v>0</v>
      </c>
      <c r="R17" s="8" t="n">
        <f aca="false">B17*(1+Inputs!$B$12)</f>
        <v>0.84680228474122</v>
      </c>
      <c r="S17" s="11" t="n">
        <f aca="false">IF(Q17,MIN(P17*Inputs!$B$3/(R17-AE16),P17*Inputs!$B$11/R17),0)</f>
        <v>0</v>
      </c>
      <c r="T17" s="11" t="n">
        <f aca="false">IF(Q17,S17,IF(M17,0,Y16))</f>
        <v>0</v>
      </c>
      <c r="U17" s="8" t="n">
        <f aca="false">IF(Q17,AE16,AF16)</f>
        <v>0</v>
      </c>
      <c r="V17" s="9" t="b">
        <f aca="false">AND(T17&gt;0,D17&lt;=U17)</f>
        <v>0</v>
      </c>
      <c r="W17" s="10" t="n">
        <f aca="false">IF(V17,T17*(AK17-AB17)-Inputs!$B$9-T17*AD17*Inputs!$B$13*(A17-AC17),0)</f>
        <v>0</v>
      </c>
      <c r="X17" s="10" t="n">
        <f aca="false">P17-IF(Q17,Inputs!$B$9,0)+W17</f>
        <v>1000</v>
      </c>
      <c r="Y17" s="11" t="n">
        <f aca="false">IF(V17,0,T17)</f>
        <v>0</v>
      </c>
      <c r="Z17" s="9" t="b">
        <f aca="false">AND(Y17&gt;0,K17)</f>
        <v>0</v>
      </c>
      <c r="AA17" s="9" t="b">
        <f aca="false">AND(Y17=0,J17,ISNUMBER(L17))</f>
        <v>0</v>
      </c>
      <c r="AB17" s="8" t="n">
        <f aca="false">IF(Q17,R17,AB16)</f>
        <v>0</v>
      </c>
      <c r="AC17" s="12" t="n">
        <f aca="false">IF(Q17,A17,AC16)</f>
        <v>0</v>
      </c>
      <c r="AD17" s="8" t="n">
        <f aca="false">IF(Q17,B17,AD16)</f>
        <v>0</v>
      </c>
      <c r="AE17" s="8" t="str">
        <f aca="false">IF(AA17,L17,"")</f>
        <v/>
      </c>
      <c r="AF17" s="8" t="n">
        <f aca="false">U17</f>
        <v>0</v>
      </c>
      <c r="AG17" s="2" t="n">
        <f aca="false">AG16+IF(Q17,1,0)</f>
        <v>0</v>
      </c>
      <c r="AH17" s="2" t="n">
        <f aca="false">AG16</f>
        <v>0</v>
      </c>
      <c r="AI17" s="10" t="n">
        <f aca="false">X17+Y17*(E17-AB17)-Y17*AD17*Inputs!$B$13*(A17-AC17)</f>
        <v>1000</v>
      </c>
      <c r="AJ17" s="10" t="n">
        <v>0</v>
      </c>
      <c r="AK17" s="8" t="n">
        <f aca="false">IF(AND(B17&lt;=U17,NOT(Q17)),B17,U17)*(1-Inputs!$B$12)</f>
        <v>0</v>
      </c>
    </row>
    <row r="18" customFormat="false" ht="15" hidden="false" customHeight="false" outlineLevel="0" collapsed="false">
      <c r="A18" s="6" t="n">
        <v>44802</v>
      </c>
      <c r="B18" s="7" t="n">
        <v>0.852315941664826</v>
      </c>
      <c r="C18" s="7" t="n">
        <v>0.853104427129524</v>
      </c>
      <c r="D18" s="7" t="n">
        <v>0.845976752879366</v>
      </c>
      <c r="E18" s="7" t="n">
        <v>0.847470806229719</v>
      </c>
      <c r="F18" s="8" t="str">
        <f aca="true">IF(ROW()-2&gt;=Inputs!$B$4,AVERAGE(OFFSET(E18,1-Inputs!$B$4,0,Inputs!$B$4,1)),"")</f>
        <v/>
      </c>
      <c r="G18" s="8" t="str">
        <f aca="true">IF(ROW()-2&gt;=Inputs!$B$5,AVERAGE(OFFSET(E18,1-Inputs!$B$5,0,Inputs!$B$5,1)),"")</f>
        <v/>
      </c>
      <c r="H18" s="8" t="n">
        <f aca="false">MAX(C18-D18,ABS(C18-E17),ABS(D18-E17))</f>
        <v>0.00712767425015781</v>
      </c>
      <c r="I18" s="8" t="n">
        <f aca="true">IF(ROW()-2&lt;14,"",IF(ROW()-2=14,AVERAGE(OFFSET(H18,-13,0,14,1)),(I17*13+H18)/14))</f>
        <v>0.0103794924332891</v>
      </c>
      <c r="J18" s="9" t="b">
        <f aca="false">IF(AND(ISNUMBER(F18),ISNUMBER(G18),ISNUMBER(F17),ISNUMBER(G17)),AND(F18&gt;G18,F17&lt;=G17),FALSE())</f>
        <v>0</v>
      </c>
      <c r="K18" s="9" t="b">
        <f aca="false">IF(AND(ISNUMBER(F18),ISNUMBER(G18),ISNUMBER(F17),ISNUMBER(G17)),AND(F18&lt;G18,F17&gt;=G17),FALSE())</f>
        <v>0</v>
      </c>
      <c r="L18" s="8" t="n">
        <f aca="false">IF(ISNUMBER(I18),E18-Inputs!$B$6*I18,"")</f>
        <v>0.826711821363141</v>
      </c>
      <c r="M18" s="9" t="b">
        <f aca="false">AND(Y17&gt;0,Z17)</f>
        <v>0</v>
      </c>
      <c r="N18" s="8" t="n">
        <f aca="false">B18*(1-Inputs!$B$12)</f>
        <v>0.852145478476493</v>
      </c>
      <c r="O18" s="10" t="n">
        <f aca="false">IF(M18,Y17*(N18-AB17)-Inputs!$B$9-Y17*AD17*Inputs!$B$13*(A18-AC17),0)</f>
        <v>0</v>
      </c>
      <c r="P18" s="10" t="n">
        <f aca="false">X17+O18</f>
        <v>1000</v>
      </c>
      <c r="Q18" s="9" t="b">
        <f aca="false">AND(IF(M18,0,Y17)=0,AA17,IF(ISNUMBER(AE17),B18&gt;AE17,FALSE()))</f>
        <v>0</v>
      </c>
      <c r="R18" s="8" t="n">
        <f aca="false">B18*(1+Inputs!$B$12)</f>
        <v>0.852486404853159</v>
      </c>
      <c r="S18" s="11" t="n">
        <f aca="false">IF(Q18,MIN(P18*Inputs!$B$3/(R18-AE17),P18*Inputs!$B$11/R18),0)</f>
        <v>0</v>
      </c>
      <c r="T18" s="11" t="n">
        <f aca="false">IF(Q18,S18,IF(M18,0,Y17))</f>
        <v>0</v>
      </c>
      <c r="U18" s="8" t="n">
        <f aca="false">IF(Q18,AE17,AF17)</f>
        <v>0</v>
      </c>
      <c r="V18" s="9" t="b">
        <f aca="false">AND(T18&gt;0,D18&lt;=U18)</f>
        <v>0</v>
      </c>
      <c r="W18" s="10" t="n">
        <f aca="false">IF(V18,T18*(AK18-AB18)-Inputs!$B$9-T18*AD18*Inputs!$B$13*(A18-AC18),0)</f>
        <v>0</v>
      </c>
      <c r="X18" s="10" t="n">
        <f aca="false">P18-IF(Q18,Inputs!$B$9,0)+W18</f>
        <v>1000</v>
      </c>
      <c r="Y18" s="11" t="n">
        <f aca="false">IF(V18,0,T18)</f>
        <v>0</v>
      </c>
      <c r="Z18" s="9" t="b">
        <f aca="false">AND(Y18&gt;0,K18)</f>
        <v>0</v>
      </c>
      <c r="AA18" s="9" t="b">
        <f aca="false">AND(Y18=0,J18,ISNUMBER(L18))</f>
        <v>0</v>
      </c>
      <c r="AB18" s="8" t="n">
        <f aca="false">IF(Q18,R18,AB17)</f>
        <v>0</v>
      </c>
      <c r="AC18" s="12" t="n">
        <f aca="false">IF(Q18,A18,AC17)</f>
        <v>0</v>
      </c>
      <c r="AD18" s="8" t="n">
        <f aca="false">IF(Q18,B18,AD17)</f>
        <v>0</v>
      </c>
      <c r="AE18" s="8" t="str">
        <f aca="false">IF(AA18,L18,"")</f>
        <v/>
      </c>
      <c r="AF18" s="8" t="n">
        <f aca="false">U18</f>
        <v>0</v>
      </c>
      <c r="AG18" s="2" t="n">
        <f aca="false">AG17+IF(Q18,1,0)</f>
        <v>0</v>
      </c>
      <c r="AH18" s="2" t="n">
        <f aca="false">AG17</f>
        <v>0</v>
      </c>
      <c r="AI18" s="10" t="n">
        <f aca="false">X18+Y18*(E18-AB18)-Y18*AD18*Inputs!$B$13*(A18-AC18)</f>
        <v>1000</v>
      </c>
      <c r="AJ18" s="10" t="n">
        <v>0</v>
      </c>
      <c r="AK18" s="8" t="n">
        <f aca="false">IF(AND(B18&lt;=U18,NOT(Q18)),B18,U18)*(1-Inputs!$B$12)</f>
        <v>0</v>
      </c>
    </row>
    <row r="19" customFormat="false" ht="15" hidden="false" customHeight="false" outlineLevel="0" collapsed="false">
      <c r="A19" s="6" t="n">
        <v>44803</v>
      </c>
      <c r="B19" s="7" t="n">
        <v>0.847470806229719</v>
      </c>
      <c r="C19" s="7" t="n">
        <v>0.850521546234348</v>
      </c>
      <c r="D19" s="7" t="n">
        <v>0.839368716940636</v>
      </c>
      <c r="E19" s="7" t="n">
        <v>0.839440060325946</v>
      </c>
      <c r="F19" s="8" t="str">
        <f aca="true">IF(ROW()-2&gt;=Inputs!$B$4,AVERAGE(OFFSET(E19,1-Inputs!$B$4,0,Inputs!$B$4,1)),"")</f>
        <v/>
      </c>
      <c r="G19" s="8" t="str">
        <f aca="true">IF(ROW()-2&gt;=Inputs!$B$5,AVERAGE(OFFSET(E19,1-Inputs!$B$5,0,Inputs!$B$5,1)),"")</f>
        <v/>
      </c>
      <c r="H19" s="8" t="n">
        <f aca="false">MAX(C19-D19,ABS(C19-E18),ABS(D19-E18))</f>
        <v>0.0111528292937114</v>
      </c>
      <c r="I19" s="8" t="n">
        <f aca="true">IF(ROW()-2&lt;14,"",IF(ROW()-2=14,AVERAGE(OFFSET(H19,-13,0,14,1)),(I18*13+H19)/14))</f>
        <v>0.0104347307804621</v>
      </c>
      <c r="J19" s="9" t="b">
        <f aca="false">IF(AND(ISNUMBER(F19),ISNUMBER(G19),ISNUMBER(F18),ISNUMBER(G18)),AND(F19&gt;G19,F18&lt;=G18),FALSE())</f>
        <v>0</v>
      </c>
      <c r="K19" s="9" t="b">
        <f aca="false">IF(AND(ISNUMBER(F19),ISNUMBER(G19),ISNUMBER(F18),ISNUMBER(G18)),AND(F19&lt;G19,F18&gt;=G18),FALSE())</f>
        <v>0</v>
      </c>
      <c r="L19" s="8" t="n">
        <f aca="false">IF(ISNUMBER(I19),E19-Inputs!$B$6*I19,"")</f>
        <v>0.818570598765022</v>
      </c>
      <c r="M19" s="9" t="b">
        <f aca="false">AND(Y18&gt;0,Z18)</f>
        <v>0</v>
      </c>
      <c r="N19" s="8" t="n">
        <f aca="false">B19*(1-Inputs!$B$12)</f>
        <v>0.847301312068473</v>
      </c>
      <c r="O19" s="10" t="n">
        <f aca="false">IF(M19,Y18*(N19-AB18)-Inputs!$B$9-Y18*AD18*Inputs!$B$13*(A19-AC18),0)</f>
        <v>0</v>
      </c>
      <c r="P19" s="10" t="n">
        <f aca="false">X18+O19</f>
        <v>1000</v>
      </c>
      <c r="Q19" s="9" t="b">
        <f aca="false">AND(IF(M19,0,Y18)=0,AA18,IF(ISNUMBER(AE18),B19&gt;AE18,FALSE()))</f>
        <v>0</v>
      </c>
      <c r="R19" s="8" t="n">
        <f aca="false">B19*(1+Inputs!$B$12)</f>
        <v>0.847640300390965</v>
      </c>
      <c r="S19" s="11" t="n">
        <f aca="false">IF(Q19,MIN(P19*Inputs!$B$3/(R19-AE18),P19*Inputs!$B$11/R19),0)</f>
        <v>0</v>
      </c>
      <c r="T19" s="11" t="n">
        <f aca="false">IF(Q19,S19,IF(M19,0,Y18))</f>
        <v>0</v>
      </c>
      <c r="U19" s="8" t="n">
        <f aca="false">IF(Q19,AE18,AF18)</f>
        <v>0</v>
      </c>
      <c r="V19" s="9" t="b">
        <f aca="false">AND(T19&gt;0,D19&lt;=U19)</f>
        <v>0</v>
      </c>
      <c r="W19" s="10" t="n">
        <f aca="false">IF(V19,T19*(AK19-AB19)-Inputs!$B$9-T19*AD19*Inputs!$B$13*(A19-AC19),0)</f>
        <v>0</v>
      </c>
      <c r="X19" s="10" t="n">
        <f aca="false">P19-IF(Q19,Inputs!$B$9,0)+W19</f>
        <v>1000</v>
      </c>
      <c r="Y19" s="11" t="n">
        <f aca="false">IF(V19,0,T19)</f>
        <v>0</v>
      </c>
      <c r="Z19" s="9" t="b">
        <f aca="false">AND(Y19&gt;0,K19)</f>
        <v>0</v>
      </c>
      <c r="AA19" s="9" t="b">
        <f aca="false">AND(Y19=0,J19,ISNUMBER(L19))</f>
        <v>0</v>
      </c>
      <c r="AB19" s="8" t="n">
        <f aca="false">IF(Q19,R19,AB18)</f>
        <v>0</v>
      </c>
      <c r="AC19" s="12" t="n">
        <f aca="false">IF(Q19,A19,AC18)</f>
        <v>0</v>
      </c>
      <c r="AD19" s="8" t="n">
        <f aca="false">IF(Q19,B19,AD18)</f>
        <v>0</v>
      </c>
      <c r="AE19" s="8" t="str">
        <f aca="false">IF(AA19,L19,"")</f>
        <v/>
      </c>
      <c r="AF19" s="8" t="n">
        <f aca="false">U19</f>
        <v>0</v>
      </c>
      <c r="AG19" s="2" t="n">
        <f aca="false">AG18+IF(Q19,1,0)</f>
        <v>0</v>
      </c>
      <c r="AH19" s="2" t="n">
        <f aca="false">AG18</f>
        <v>0</v>
      </c>
      <c r="AI19" s="10" t="n">
        <f aca="false">X19+Y19*(E19-AB19)-Y19*AD19*Inputs!$B$13*(A19-AC19)</f>
        <v>1000</v>
      </c>
      <c r="AJ19" s="10" t="n">
        <v>0</v>
      </c>
      <c r="AK19" s="8" t="n">
        <f aca="false">IF(AND(B19&lt;=U19,NOT(Q19)),B19,U19)*(1-Inputs!$B$12)</f>
        <v>0</v>
      </c>
    </row>
    <row r="20" customFormat="false" ht="15" hidden="false" customHeight="false" outlineLevel="0" collapsed="false">
      <c r="A20" s="6" t="n">
        <v>44804</v>
      </c>
      <c r="B20" s="7" t="n">
        <v>0.839440060325946</v>
      </c>
      <c r="C20" s="7" t="n">
        <v>0.840935862979657</v>
      </c>
      <c r="D20" s="7" t="n">
        <v>0.830954485129119</v>
      </c>
      <c r="E20" s="7" t="n">
        <v>0.835539381279649</v>
      </c>
      <c r="F20" s="8" t="str">
        <f aca="true">IF(ROW()-2&gt;=Inputs!$B$4,AVERAGE(OFFSET(E20,1-Inputs!$B$4,0,Inputs!$B$4,1)),"")</f>
        <v/>
      </c>
      <c r="G20" s="8" t="str">
        <f aca="true">IF(ROW()-2&gt;=Inputs!$B$5,AVERAGE(OFFSET(E20,1-Inputs!$B$5,0,Inputs!$B$5,1)),"")</f>
        <v/>
      </c>
      <c r="H20" s="8" t="n">
        <f aca="false">MAX(C20-D20,ABS(C20-E19),ABS(D20-E19))</f>
        <v>0.00998137785053854</v>
      </c>
      <c r="I20" s="8" t="n">
        <f aca="true">IF(ROW()-2&lt;14,"",IF(ROW()-2=14,AVERAGE(OFFSET(H20,-13,0,14,1)),(I19*13+H20)/14))</f>
        <v>0.0104023484283247</v>
      </c>
      <c r="J20" s="9" t="b">
        <f aca="false">IF(AND(ISNUMBER(F20),ISNUMBER(G20),ISNUMBER(F19),ISNUMBER(G19)),AND(F20&gt;G20,F19&lt;=G19),FALSE())</f>
        <v>0</v>
      </c>
      <c r="K20" s="9" t="b">
        <f aca="false">IF(AND(ISNUMBER(F20),ISNUMBER(G20),ISNUMBER(F19),ISNUMBER(G19)),AND(F20&lt;G20,F19&gt;=G19),FALSE())</f>
        <v>0</v>
      </c>
      <c r="L20" s="8" t="n">
        <f aca="false">IF(ISNUMBER(I20),E20-Inputs!$B$6*I20,"")</f>
        <v>0.814734684423</v>
      </c>
      <c r="M20" s="9" t="b">
        <f aca="false">AND(Y19&gt;0,Z19)</f>
        <v>0</v>
      </c>
      <c r="N20" s="8" t="n">
        <f aca="false">B20*(1-Inputs!$B$12)</f>
        <v>0.839272172313881</v>
      </c>
      <c r="O20" s="10" t="n">
        <f aca="false">IF(M20,Y19*(N20-AB19)-Inputs!$B$9-Y19*AD19*Inputs!$B$13*(A20-AC19),0)</f>
        <v>0</v>
      </c>
      <c r="P20" s="10" t="n">
        <f aca="false">X19+O20</f>
        <v>1000</v>
      </c>
      <c r="Q20" s="9" t="b">
        <f aca="false">AND(IF(M20,0,Y19)=0,AA19,IF(ISNUMBER(AE19),B20&gt;AE19,FALSE()))</f>
        <v>0</v>
      </c>
      <c r="R20" s="8" t="n">
        <f aca="false">B20*(1+Inputs!$B$12)</f>
        <v>0.839607948338011</v>
      </c>
      <c r="S20" s="11" t="n">
        <f aca="false">IF(Q20,MIN(P20*Inputs!$B$3/(R20-AE19),P20*Inputs!$B$11/R20),0)</f>
        <v>0</v>
      </c>
      <c r="T20" s="11" t="n">
        <f aca="false">IF(Q20,S20,IF(M20,0,Y19))</f>
        <v>0</v>
      </c>
      <c r="U20" s="8" t="n">
        <f aca="false">IF(Q20,AE19,AF19)</f>
        <v>0</v>
      </c>
      <c r="V20" s="9" t="b">
        <f aca="false">AND(T20&gt;0,D20&lt;=U20)</f>
        <v>0</v>
      </c>
      <c r="W20" s="10" t="n">
        <f aca="false">IF(V20,T20*(AK20-AB20)-Inputs!$B$9-T20*AD20*Inputs!$B$13*(A20-AC20),0)</f>
        <v>0</v>
      </c>
      <c r="X20" s="10" t="n">
        <f aca="false">P20-IF(Q20,Inputs!$B$9,0)+W20</f>
        <v>1000</v>
      </c>
      <c r="Y20" s="11" t="n">
        <f aca="false">IF(V20,0,T20)</f>
        <v>0</v>
      </c>
      <c r="Z20" s="9" t="b">
        <f aca="false">AND(Y20&gt;0,K20)</f>
        <v>0</v>
      </c>
      <c r="AA20" s="9" t="b">
        <f aca="false">AND(Y20=0,J20,ISNUMBER(L20))</f>
        <v>0</v>
      </c>
      <c r="AB20" s="8" t="n">
        <f aca="false">IF(Q20,R20,AB19)</f>
        <v>0</v>
      </c>
      <c r="AC20" s="12" t="n">
        <f aca="false">IF(Q20,A20,AC19)</f>
        <v>0</v>
      </c>
      <c r="AD20" s="8" t="n">
        <f aca="false">IF(Q20,B20,AD19)</f>
        <v>0</v>
      </c>
      <c r="AE20" s="8" t="str">
        <f aca="false">IF(AA20,L20,"")</f>
        <v/>
      </c>
      <c r="AF20" s="8" t="n">
        <f aca="false">U20</f>
        <v>0</v>
      </c>
      <c r="AG20" s="2" t="n">
        <f aca="false">AG19+IF(Q20,1,0)</f>
        <v>0</v>
      </c>
      <c r="AH20" s="2" t="n">
        <f aca="false">AG19</f>
        <v>0</v>
      </c>
      <c r="AI20" s="10" t="n">
        <f aca="false">X20+Y20*(E20-AB20)-Y20*AD20*Inputs!$B$13*(A20-AC20)</f>
        <v>1000</v>
      </c>
      <c r="AJ20" s="10" t="n">
        <v>0</v>
      </c>
      <c r="AK20" s="8" t="n">
        <f aca="false">IF(AND(B20&lt;=U20,NOT(Q20)),B20,U20)*(1-Inputs!$B$12)</f>
        <v>0</v>
      </c>
    </row>
    <row r="21" customFormat="false" ht="15" hidden="false" customHeight="false" outlineLevel="0" collapsed="false">
      <c r="A21" s="6" t="n">
        <v>44805</v>
      </c>
      <c r="B21" s="7" t="n">
        <v>0.835539381279649</v>
      </c>
      <c r="C21" s="7" t="n">
        <v>0.837336478651281</v>
      </c>
      <c r="D21" s="7" t="n">
        <v>0.829840457359808</v>
      </c>
      <c r="E21" s="7" t="n">
        <v>0.832109180389156</v>
      </c>
      <c r="F21" s="8" t="str">
        <f aca="true">IF(ROW()-2&gt;=Inputs!$B$4,AVERAGE(OFFSET(E21,1-Inputs!$B$4,0,Inputs!$B$4,1)),"")</f>
        <v/>
      </c>
      <c r="G21" s="8" t="str">
        <f aca="true">IF(ROW()-2&gt;=Inputs!$B$5,AVERAGE(OFFSET(E21,1-Inputs!$B$5,0,Inputs!$B$5,1)),"")</f>
        <v/>
      </c>
      <c r="H21" s="8" t="n">
        <f aca="false">MAX(C21-D21,ABS(C21-E20),ABS(D21-E20))</f>
        <v>0.00749602129147309</v>
      </c>
      <c r="I21" s="8" t="n">
        <f aca="true">IF(ROW()-2&lt;14,"",IF(ROW()-2=14,AVERAGE(OFFSET(H21,-13,0,14,1)),(I20*13+H21)/14))</f>
        <v>0.0101947536328353</v>
      </c>
      <c r="J21" s="9" t="b">
        <f aca="false">IF(AND(ISNUMBER(F21),ISNUMBER(G21),ISNUMBER(F20),ISNUMBER(G20)),AND(F21&gt;G21,F20&lt;=G20),FALSE())</f>
        <v>0</v>
      </c>
      <c r="K21" s="9" t="b">
        <f aca="false">IF(AND(ISNUMBER(F21),ISNUMBER(G21),ISNUMBER(F20),ISNUMBER(G20)),AND(F21&lt;G21,F20&gt;=G20),FALSE())</f>
        <v>0</v>
      </c>
      <c r="L21" s="8" t="n">
        <f aca="false">IF(ISNUMBER(I21),E21-Inputs!$B$6*I21,"")</f>
        <v>0.811719673123486</v>
      </c>
      <c r="M21" s="9" t="b">
        <f aca="false">AND(Y20&gt;0,Z20)</f>
        <v>0</v>
      </c>
      <c r="N21" s="8" t="n">
        <f aca="false">B21*(1-Inputs!$B$12)</f>
        <v>0.835372273403393</v>
      </c>
      <c r="O21" s="10" t="n">
        <f aca="false">IF(M21,Y20*(N21-AB20)-Inputs!$B$9-Y20*AD20*Inputs!$B$13*(A21-AC20),0)</f>
        <v>0</v>
      </c>
      <c r="P21" s="10" t="n">
        <f aca="false">X20+O21</f>
        <v>1000</v>
      </c>
      <c r="Q21" s="9" t="b">
        <f aca="false">AND(IF(M21,0,Y20)=0,AA20,IF(ISNUMBER(AE20),B21&gt;AE20,FALSE()))</f>
        <v>0</v>
      </c>
      <c r="R21" s="8" t="n">
        <f aca="false">B21*(1+Inputs!$B$12)</f>
        <v>0.835706489155905</v>
      </c>
      <c r="S21" s="11" t="n">
        <f aca="false">IF(Q21,MIN(P21*Inputs!$B$3/(R21-AE20),P21*Inputs!$B$11/R21),0)</f>
        <v>0</v>
      </c>
      <c r="T21" s="11" t="n">
        <f aca="false">IF(Q21,S21,IF(M21,0,Y20))</f>
        <v>0</v>
      </c>
      <c r="U21" s="8" t="n">
        <f aca="false">IF(Q21,AE20,AF20)</f>
        <v>0</v>
      </c>
      <c r="V21" s="9" t="b">
        <f aca="false">AND(T21&gt;0,D21&lt;=U21)</f>
        <v>0</v>
      </c>
      <c r="W21" s="10" t="n">
        <f aca="false">IF(V21,T21*(AK21-AB21)-Inputs!$B$9-T21*AD21*Inputs!$B$13*(A21-AC21),0)</f>
        <v>0</v>
      </c>
      <c r="X21" s="10" t="n">
        <f aca="false">P21-IF(Q21,Inputs!$B$9,0)+W21</f>
        <v>1000</v>
      </c>
      <c r="Y21" s="11" t="n">
        <f aca="false">IF(V21,0,T21)</f>
        <v>0</v>
      </c>
      <c r="Z21" s="9" t="b">
        <f aca="false">AND(Y21&gt;0,K21)</f>
        <v>0</v>
      </c>
      <c r="AA21" s="9" t="b">
        <f aca="false">AND(Y21=0,J21,ISNUMBER(L21))</f>
        <v>0</v>
      </c>
      <c r="AB21" s="8" t="n">
        <f aca="false">IF(Q21,R21,AB20)</f>
        <v>0</v>
      </c>
      <c r="AC21" s="12" t="n">
        <f aca="false">IF(Q21,A21,AC20)</f>
        <v>0</v>
      </c>
      <c r="AD21" s="8" t="n">
        <f aca="false">IF(Q21,B21,AD20)</f>
        <v>0</v>
      </c>
      <c r="AE21" s="8" t="str">
        <f aca="false">IF(AA21,L21,"")</f>
        <v/>
      </c>
      <c r="AF21" s="8" t="n">
        <f aca="false">U21</f>
        <v>0</v>
      </c>
      <c r="AG21" s="2" t="n">
        <f aca="false">AG20+IF(Q21,1,0)</f>
        <v>0</v>
      </c>
      <c r="AH21" s="2" t="n">
        <f aca="false">AG20</f>
        <v>0</v>
      </c>
      <c r="AI21" s="10" t="n">
        <f aca="false">X21+Y21*(E21-AB21)-Y21*AD21*Inputs!$B$13*(A21-AC21)</f>
        <v>1000</v>
      </c>
      <c r="AJ21" s="10" t="n">
        <v>0</v>
      </c>
      <c r="AK21" s="8" t="n">
        <f aca="false">IF(AND(B21&lt;=U21,NOT(Q21)),B21,U21)*(1-Inputs!$B$12)</f>
        <v>0</v>
      </c>
    </row>
    <row r="22" customFormat="false" ht="15" hidden="false" customHeight="false" outlineLevel="0" collapsed="false">
      <c r="A22" s="6" t="n">
        <v>44806</v>
      </c>
      <c r="B22" s="7" t="n">
        <v>0.832109180389156</v>
      </c>
      <c r="C22" s="7" t="n">
        <v>0.83880169330314</v>
      </c>
      <c r="D22" s="7" t="n">
        <v>0.825385916542415</v>
      </c>
      <c r="E22" s="7" t="n">
        <v>0.837162080294258</v>
      </c>
      <c r="F22" s="8" t="n">
        <f aca="true">IF(ROW()-2&gt;=Inputs!$B$4,AVERAGE(OFFSET(E22,1-Inputs!$B$4,0,Inputs!$B$4,1)),"")</f>
        <v>0.839027020081115</v>
      </c>
      <c r="G22" s="8" t="str">
        <f aca="true">IF(ROW()-2&gt;=Inputs!$B$5,AVERAGE(OFFSET(E22,1-Inputs!$B$5,0,Inputs!$B$5,1)),"")</f>
        <v/>
      </c>
      <c r="H22" s="8" t="n">
        <f aca="false">MAX(C22-D22,ABS(C22-E21),ABS(D22-E21))</f>
        <v>0.0134157767607241</v>
      </c>
      <c r="I22" s="8" t="n">
        <f aca="true">IF(ROW()-2&lt;14,"",IF(ROW()-2=14,AVERAGE(OFFSET(H22,-13,0,14,1)),(I21*13+H22)/14))</f>
        <v>0.0104248267133988</v>
      </c>
      <c r="J22" s="9" t="b">
        <f aca="false">IF(AND(ISNUMBER(F22),ISNUMBER(G22),ISNUMBER(F21),ISNUMBER(G21)),AND(F22&gt;G22,F21&lt;=G21),FALSE())</f>
        <v>0</v>
      </c>
      <c r="K22" s="9" t="b">
        <f aca="false">IF(AND(ISNUMBER(F22),ISNUMBER(G22),ISNUMBER(F21),ISNUMBER(G21)),AND(F22&lt;G22,F21&gt;=G21),FALSE())</f>
        <v>0</v>
      </c>
      <c r="L22" s="8" t="n">
        <f aca="false">IF(ISNUMBER(I22),E22-Inputs!$B$6*I22,"")</f>
        <v>0.81631242686746</v>
      </c>
      <c r="M22" s="9" t="b">
        <f aca="false">AND(Y21&gt;0,Z21)</f>
        <v>0</v>
      </c>
      <c r="N22" s="8" t="n">
        <f aca="false">B22*(1-Inputs!$B$12)</f>
        <v>0.831942758553079</v>
      </c>
      <c r="O22" s="10" t="n">
        <f aca="false">IF(M22,Y21*(N22-AB21)-Inputs!$B$9-Y21*AD21*Inputs!$B$13*(A22-AC21),0)</f>
        <v>0</v>
      </c>
      <c r="P22" s="10" t="n">
        <f aca="false">X21+O22</f>
        <v>1000</v>
      </c>
      <c r="Q22" s="9" t="b">
        <f aca="false">AND(IF(M22,0,Y21)=0,AA21,IF(ISNUMBER(AE21),B22&gt;AE21,FALSE()))</f>
        <v>0</v>
      </c>
      <c r="R22" s="8" t="n">
        <f aca="false">B22*(1+Inputs!$B$12)</f>
        <v>0.832275602225234</v>
      </c>
      <c r="S22" s="11" t="n">
        <f aca="false">IF(Q22,MIN(P22*Inputs!$B$3/(R22-AE21),P22*Inputs!$B$11/R22),0)</f>
        <v>0</v>
      </c>
      <c r="T22" s="11" t="n">
        <f aca="false">IF(Q22,S22,IF(M22,0,Y21))</f>
        <v>0</v>
      </c>
      <c r="U22" s="8" t="n">
        <f aca="false">IF(Q22,AE21,AF21)</f>
        <v>0</v>
      </c>
      <c r="V22" s="9" t="b">
        <f aca="false">AND(T22&gt;0,D22&lt;=U22)</f>
        <v>0</v>
      </c>
      <c r="W22" s="10" t="n">
        <f aca="false">IF(V22,T22*(AK22-AB22)-Inputs!$B$9-T22*AD22*Inputs!$B$13*(A22-AC22),0)</f>
        <v>0</v>
      </c>
      <c r="X22" s="10" t="n">
        <f aca="false">P22-IF(Q22,Inputs!$B$9,0)+W22</f>
        <v>1000</v>
      </c>
      <c r="Y22" s="11" t="n">
        <f aca="false">IF(V22,0,T22)</f>
        <v>0</v>
      </c>
      <c r="Z22" s="9" t="b">
        <f aca="false">AND(Y22&gt;0,K22)</f>
        <v>0</v>
      </c>
      <c r="AA22" s="9" t="b">
        <f aca="false">AND(Y22=0,J22,ISNUMBER(L22))</f>
        <v>0</v>
      </c>
      <c r="AB22" s="8" t="n">
        <f aca="false">IF(Q22,R22,AB21)</f>
        <v>0</v>
      </c>
      <c r="AC22" s="12" t="n">
        <f aca="false">IF(Q22,A22,AC21)</f>
        <v>0</v>
      </c>
      <c r="AD22" s="8" t="n">
        <f aca="false">IF(Q22,B22,AD21)</f>
        <v>0</v>
      </c>
      <c r="AE22" s="8" t="str">
        <f aca="false">IF(AA22,L22,"")</f>
        <v/>
      </c>
      <c r="AF22" s="8" t="n">
        <f aca="false">U22</f>
        <v>0</v>
      </c>
      <c r="AG22" s="2" t="n">
        <f aca="false">AG21+IF(Q22,1,0)</f>
        <v>0</v>
      </c>
      <c r="AH22" s="2" t="n">
        <f aca="false">AG21</f>
        <v>0</v>
      </c>
      <c r="AI22" s="10" t="n">
        <f aca="false">X22+Y22*(E22-AB22)-Y22*AD22*Inputs!$B$13*(A22-AC22)</f>
        <v>1000</v>
      </c>
      <c r="AJ22" s="10" t="n">
        <v>0</v>
      </c>
      <c r="AK22" s="8" t="n">
        <f aca="false">IF(AND(B22&lt;=U22,NOT(Q22)),B22,U22)*(1-Inputs!$B$12)</f>
        <v>0</v>
      </c>
    </row>
    <row r="23" customFormat="false" ht="15" hidden="false" customHeight="false" outlineLevel="0" collapsed="false">
      <c r="A23" s="6" t="n">
        <v>44807</v>
      </c>
      <c r="B23" s="7" t="n">
        <v>0.837162080294258</v>
      </c>
      <c r="C23" s="7" t="n">
        <v>0.839576138608946</v>
      </c>
      <c r="D23" s="7" t="n">
        <v>0.826345600592828</v>
      </c>
      <c r="E23" s="7" t="n">
        <v>0.827972991726957</v>
      </c>
      <c r="F23" s="8" t="n">
        <f aca="true">IF(ROW()-2&gt;=Inputs!$B$4,AVERAGE(OFFSET(E23,1-Inputs!$B$4,0,Inputs!$B$4,1)),"")</f>
        <v>0.838883071286888</v>
      </c>
      <c r="G23" s="8" t="str">
        <f aca="true">IF(ROW()-2&gt;=Inputs!$B$5,AVERAGE(OFFSET(E23,1-Inputs!$B$5,0,Inputs!$B$5,1)),"")</f>
        <v/>
      </c>
      <c r="H23" s="8" t="n">
        <f aca="false">MAX(C23-D23,ABS(C23-E22),ABS(D23-E22))</f>
        <v>0.0132305380161182</v>
      </c>
      <c r="I23" s="8" t="n">
        <f aca="true">IF(ROW()-2&lt;14,"",IF(ROW()-2=14,AVERAGE(OFFSET(H23,-13,0,14,1)),(I22*13+H23)/14))</f>
        <v>0.0106252346635931</v>
      </c>
      <c r="J23" s="9" t="b">
        <f aca="false">IF(AND(ISNUMBER(F23),ISNUMBER(G23),ISNUMBER(F22),ISNUMBER(G22)),AND(F23&gt;G23,F22&lt;=G22),FALSE())</f>
        <v>0</v>
      </c>
      <c r="K23" s="9" t="b">
        <f aca="false">IF(AND(ISNUMBER(F23),ISNUMBER(G23),ISNUMBER(F22),ISNUMBER(G22)),AND(F23&lt;G23,F22&gt;=G22),FALSE())</f>
        <v>0</v>
      </c>
      <c r="L23" s="8" t="n">
        <f aca="false">IF(ISNUMBER(I23),E23-Inputs!$B$6*I23,"")</f>
        <v>0.806722522399771</v>
      </c>
      <c r="M23" s="9" t="b">
        <f aca="false">AND(Y22&gt;0,Z22)</f>
        <v>0</v>
      </c>
      <c r="N23" s="8" t="n">
        <f aca="false">B23*(1-Inputs!$B$12)</f>
        <v>0.836994647878199</v>
      </c>
      <c r="O23" s="10" t="n">
        <f aca="false">IF(M23,Y22*(N23-AB22)-Inputs!$B$9-Y22*AD22*Inputs!$B$13*(A23-AC22),0)</f>
        <v>0</v>
      </c>
      <c r="P23" s="10" t="n">
        <f aca="false">X22+O23</f>
        <v>1000</v>
      </c>
      <c r="Q23" s="9" t="b">
        <f aca="false">AND(IF(M23,0,Y22)=0,AA22,IF(ISNUMBER(AE22),B23&gt;AE22,FALSE()))</f>
        <v>0</v>
      </c>
      <c r="R23" s="8" t="n">
        <f aca="false">B23*(1+Inputs!$B$12)</f>
        <v>0.837329512710317</v>
      </c>
      <c r="S23" s="11" t="n">
        <f aca="false">IF(Q23,MIN(P23*Inputs!$B$3/(R23-AE22),P23*Inputs!$B$11/R23),0)</f>
        <v>0</v>
      </c>
      <c r="T23" s="11" t="n">
        <f aca="false">IF(Q23,S23,IF(M23,0,Y22))</f>
        <v>0</v>
      </c>
      <c r="U23" s="8" t="n">
        <f aca="false">IF(Q23,AE22,AF22)</f>
        <v>0</v>
      </c>
      <c r="V23" s="9" t="b">
        <f aca="false">AND(T23&gt;0,D23&lt;=U23)</f>
        <v>0</v>
      </c>
      <c r="W23" s="10" t="n">
        <f aca="false">IF(V23,T23*(AK23-AB23)-Inputs!$B$9-T23*AD23*Inputs!$B$13*(A23-AC23),0)</f>
        <v>0</v>
      </c>
      <c r="X23" s="10" t="n">
        <f aca="false">P23-IF(Q23,Inputs!$B$9,0)+W23</f>
        <v>1000</v>
      </c>
      <c r="Y23" s="11" t="n">
        <f aca="false">IF(V23,0,T23)</f>
        <v>0</v>
      </c>
      <c r="Z23" s="9" t="b">
        <f aca="false">AND(Y23&gt;0,K23)</f>
        <v>0</v>
      </c>
      <c r="AA23" s="9" t="b">
        <f aca="false">AND(Y23=0,J23,ISNUMBER(L23))</f>
        <v>0</v>
      </c>
      <c r="AB23" s="8" t="n">
        <f aca="false">IF(Q23,R23,AB22)</f>
        <v>0</v>
      </c>
      <c r="AC23" s="12" t="n">
        <f aca="false">IF(Q23,A23,AC22)</f>
        <v>0</v>
      </c>
      <c r="AD23" s="8" t="n">
        <f aca="false">IF(Q23,B23,AD22)</f>
        <v>0</v>
      </c>
      <c r="AE23" s="8" t="str">
        <f aca="false">IF(AA23,L23,"")</f>
        <v/>
      </c>
      <c r="AF23" s="8" t="n">
        <f aca="false">U23</f>
        <v>0</v>
      </c>
      <c r="AG23" s="2" t="n">
        <f aca="false">AG22+IF(Q23,1,0)</f>
        <v>0</v>
      </c>
      <c r="AH23" s="2" t="n">
        <f aca="false">AG22</f>
        <v>0</v>
      </c>
      <c r="AI23" s="10" t="n">
        <f aca="false">X23+Y23*(E23-AB23)-Y23*AD23*Inputs!$B$13*(A23-AC23)</f>
        <v>1000</v>
      </c>
      <c r="AJ23" s="10" t="n">
        <v>0</v>
      </c>
      <c r="AK23" s="8" t="n">
        <f aca="false">IF(AND(B23&lt;=U23,NOT(Q23)),B23,U23)*(1-Inputs!$B$12)</f>
        <v>0</v>
      </c>
    </row>
    <row r="24" customFormat="false" ht="15" hidden="false" customHeight="false" outlineLevel="0" collapsed="false">
      <c r="A24" s="6" t="n">
        <v>44808</v>
      </c>
      <c r="B24" s="7" t="n">
        <v>0.827972991726957</v>
      </c>
      <c r="C24" s="7" t="n">
        <v>0.835280900161756</v>
      </c>
      <c r="D24" s="7" t="n">
        <v>0.8227263247797</v>
      </c>
      <c r="E24" s="7" t="n">
        <v>0.829090760025641</v>
      </c>
      <c r="F24" s="8" t="n">
        <f aca="true">IF(ROW()-2&gt;=Inputs!$B$4,AVERAGE(OFFSET(E24,1-Inputs!$B$4,0,Inputs!$B$4,1)),"")</f>
        <v>0.838614805043523</v>
      </c>
      <c r="G24" s="8" t="str">
        <f aca="true">IF(ROW()-2&gt;=Inputs!$B$5,AVERAGE(OFFSET(E24,1-Inputs!$B$5,0,Inputs!$B$5,1)),"")</f>
        <v/>
      </c>
      <c r="H24" s="8" t="n">
        <f aca="false">MAX(C24-D24,ABS(C24-E23),ABS(D24-E23))</f>
        <v>0.0125545753820565</v>
      </c>
      <c r="I24" s="8" t="n">
        <f aca="true">IF(ROW()-2&lt;14,"",IF(ROW()-2=14,AVERAGE(OFFSET(H24,-13,0,14,1)),(I23*13+H24)/14))</f>
        <v>0.0107630447149119</v>
      </c>
      <c r="J24" s="9" t="b">
        <f aca="false">IF(AND(ISNUMBER(F24),ISNUMBER(G24),ISNUMBER(F23),ISNUMBER(G23)),AND(F24&gt;G24,F23&lt;=G23),FALSE())</f>
        <v>0</v>
      </c>
      <c r="K24" s="9" t="b">
        <f aca="false">IF(AND(ISNUMBER(F24),ISNUMBER(G24),ISNUMBER(F23),ISNUMBER(G23)),AND(F24&lt;G24,F23&gt;=G23),FALSE())</f>
        <v>0</v>
      </c>
      <c r="L24" s="8" t="n">
        <f aca="false">IF(ISNUMBER(I24),E24-Inputs!$B$6*I24,"")</f>
        <v>0.807564670595817</v>
      </c>
      <c r="M24" s="9" t="b">
        <f aca="false">AND(Y23&gt;0,Z23)</f>
        <v>0</v>
      </c>
      <c r="N24" s="8" t="n">
        <f aca="false">B24*(1-Inputs!$B$12)</f>
        <v>0.827807397128611</v>
      </c>
      <c r="O24" s="10" t="n">
        <f aca="false">IF(M24,Y23*(N24-AB23)-Inputs!$B$9-Y23*AD23*Inputs!$B$13*(A24-AC23),0)</f>
        <v>0</v>
      </c>
      <c r="P24" s="10" t="n">
        <f aca="false">X23+O24</f>
        <v>1000</v>
      </c>
      <c r="Q24" s="9" t="b">
        <f aca="false">AND(IF(M24,0,Y23)=0,AA23,IF(ISNUMBER(AE23),B24&gt;AE23,FALSE()))</f>
        <v>0</v>
      </c>
      <c r="R24" s="8" t="n">
        <f aca="false">B24*(1+Inputs!$B$12)</f>
        <v>0.828138586325302</v>
      </c>
      <c r="S24" s="11" t="n">
        <f aca="false">IF(Q24,MIN(P24*Inputs!$B$3/(R24-AE23),P24*Inputs!$B$11/R24),0)</f>
        <v>0</v>
      </c>
      <c r="T24" s="11" t="n">
        <f aca="false">IF(Q24,S24,IF(M24,0,Y23))</f>
        <v>0</v>
      </c>
      <c r="U24" s="8" t="n">
        <f aca="false">IF(Q24,AE23,AF23)</f>
        <v>0</v>
      </c>
      <c r="V24" s="9" t="b">
        <f aca="false">AND(T24&gt;0,D24&lt;=U24)</f>
        <v>0</v>
      </c>
      <c r="W24" s="10" t="n">
        <f aca="false">IF(V24,T24*(AK24-AB24)-Inputs!$B$9-T24*AD24*Inputs!$B$13*(A24-AC24),0)</f>
        <v>0</v>
      </c>
      <c r="X24" s="10" t="n">
        <f aca="false">P24-IF(Q24,Inputs!$B$9,0)+W24</f>
        <v>1000</v>
      </c>
      <c r="Y24" s="11" t="n">
        <f aca="false">IF(V24,0,T24)</f>
        <v>0</v>
      </c>
      <c r="Z24" s="9" t="b">
        <f aca="false">AND(Y24&gt;0,K24)</f>
        <v>0</v>
      </c>
      <c r="AA24" s="9" t="b">
        <f aca="false">AND(Y24=0,J24,ISNUMBER(L24))</f>
        <v>0</v>
      </c>
      <c r="AB24" s="8" t="n">
        <f aca="false">IF(Q24,R24,AB23)</f>
        <v>0</v>
      </c>
      <c r="AC24" s="12" t="n">
        <f aca="false">IF(Q24,A24,AC23)</f>
        <v>0</v>
      </c>
      <c r="AD24" s="8" t="n">
        <f aca="false">IF(Q24,B24,AD23)</f>
        <v>0</v>
      </c>
      <c r="AE24" s="8" t="str">
        <f aca="false">IF(AA24,L24,"")</f>
        <v/>
      </c>
      <c r="AF24" s="8" t="n">
        <f aca="false">U24</f>
        <v>0</v>
      </c>
      <c r="AG24" s="2" t="n">
        <f aca="false">AG23+IF(Q24,1,0)</f>
        <v>0</v>
      </c>
      <c r="AH24" s="2" t="n">
        <f aca="false">AG23</f>
        <v>0</v>
      </c>
      <c r="AI24" s="10" t="n">
        <f aca="false">X24+Y24*(E24-AB24)-Y24*AD24*Inputs!$B$13*(A24-AC24)</f>
        <v>1000</v>
      </c>
      <c r="AJ24" s="10" t="n">
        <v>0</v>
      </c>
      <c r="AK24" s="8" t="n">
        <f aca="false">IF(AND(B24&lt;=U24,NOT(Q24)),B24,U24)*(1-Inputs!$B$12)</f>
        <v>0</v>
      </c>
    </row>
    <row r="25" customFormat="false" ht="15" hidden="false" customHeight="false" outlineLevel="0" collapsed="false">
      <c r="A25" s="6" t="n">
        <v>44809</v>
      </c>
      <c r="B25" s="7" t="n">
        <v>0.829090760025641</v>
      </c>
      <c r="C25" s="7" t="n">
        <v>0.831106093098186</v>
      </c>
      <c r="D25" s="7" t="n">
        <v>0.825498989786991</v>
      </c>
      <c r="E25" s="7" t="n">
        <v>0.83074648329925</v>
      </c>
      <c r="F25" s="8" t="n">
        <f aca="true">IF(ROW()-2&gt;=Inputs!$B$4,AVERAGE(OFFSET(E25,1-Inputs!$B$4,0,Inputs!$B$4,1)),"")</f>
        <v>0.837964824214666</v>
      </c>
      <c r="G25" s="8" t="str">
        <f aca="true">IF(ROW()-2&gt;=Inputs!$B$5,AVERAGE(OFFSET(E25,1-Inputs!$B$5,0,Inputs!$B$5,1)),"")</f>
        <v/>
      </c>
      <c r="H25" s="8" t="n">
        <f aca="false">MAX(C25-D25,ABS(C25-E24),ABS(D25-E24))</f>
        <v>0.00560710331119452</v>
      </c>
      <c r="I25" s="8" t="n">
        <f aca="true">IF(ROW()-2&lt;14,"",IF(ROW()-2=14,AVERAGE(OFFSET(H25,-13,0,14,1)),(I24*13+H25)/14))</f>
        <v>0.0103947631860749</v>
      </c>
      <c r="J25" s="9" t="b">
        <f aca="false">IF(AND(ISNUMBER(F25),ISNUMBER(G25),ISNUMBER(F24),ISNUMBER(G24)),AND(F25&gt;G25,F24&lt;=G24),FALSE())</f>
        <v>0</v>
      </c>
      <c r="K25" s="9" t="b">
        <f aca="false">IF(AND(ISNUMBER(F25),ISNUMBER(G25),ISNUMBER(F24),ISNUMBER(G24)),AND(F25&lt;G25,F24&gt;=G24),FALSE())</f>
        <v>0</v>
      </c>
      <c r="L25" s="8" t="n">
        <f aca="false">IF(ISNUMBER(I25),E25-Inputs!$B$6*I25,"")</f>
        <v>0.8099569569271</v>
      </c>
      <c r="M25" s="9" t="b">
        <f aca="false">AND(Y24&gt;0,Z24)</f>
        <v>0</v>
      </c>
      <c r="N25" s="8" t="n">
        <f aca="false">B25*(1-Inputs!$B$12)</f>
        <v>0.828924941873635</v>
      </c>
      <c r="O25" s="10" t="n">
        <f aca="false">IF(M25,Y24*(N25-AB24)-Inputs!$B$9-Y24*AD24*Inputs!$B$13*(A25-AC24),0)</f>
        <v>0</v>
      </c>
      <c r="P25" s="10" t="n">
        <f aca="false">X24+O25</f>
        <v>1000</v>
      </c>
      <c r="Q25" s="9" t="b">
        <f aca="false">AND(IF(M25,0,Y24)=0,AA24,IF(ISNUMBER(AE24),B25&gt;AE24,FALSE()))</f>
        <v>0</v>
      </c>
      <c r="R25" s="8" t="n">
        <f aca="false">B25*(1+Inputs!$B$12)</f>
        <v>0.829256578177646</v>
      </c>
      <c r="S25" s="11" t="n">
        <f aca="false">IF(Q25,MIN(P25*Inputs!$B$3/(R25-AE24),P25*Inputs!$B$11/R25),0)</f>
        <v>0</v>
      </c>
      <c r="T25" s="11" t="n">
        <f aca="false">IF(Q25,S25,IF(M25,0,Y24))</f>
        <v>0</v>
      </c>
      <c r="U25" s="8" t="n">
        <f aca="false">IF(Q25,AE24,AF24)</f>
        <v>0</v>
      </c>
      <c r="V25" s="9" t="b">
        <f aca="false">AND(T25&gt;0,D25&lt;=U25)</f>
        <v>0</v>
      </c>
      <c r="W25" s="10" t="n">
        <f aca="false">IF(V25,T25*(AK25-AB25)-Inputs!$B$9-T25*AD25*Inputs!$B$13*(A25-AC25),0)</f>
        <v>0</v>
      </c>
      <c r="X25" s="10" t="n">
        <f aca="false">P25-IF(Q25,Inputs!$B$9,0)+W25</f>
        <v>1000</v>
      </c>
      <c r="Y25" s="11" t="n">
        <f aca="false">IF(V25,0,T25)</f>
        <v>0</v>
      </c>
      <c r="Z25" s="9" t="b">
        <f aca="false">AND(Y25&gt;0,K25)</f>
        <v>0</v>
      </c>
      <c r="AA25" s="9" t="b">
        <f aca="false">AND(Y25=0,J25,ISNUMBER(L25))</f>
        <v>0</v>
      </c>
      <c r="AB25" s="8" t="n">
        <f aca="false">IF(Q25,R25,AB24)</f>
        <v>0</v>
      </c>
      <c r="AC25" s="12" t="n">
        <f aca="false">IF(Q25,A25,AC24)</f>
        <v>0</v>
      </c>
      <c r="AD25" s="8" t="n">
        <f aca="false">IF(Q25,B25,AD24)</f>
        <v>0</v>
      </c>
      <c r="AE25" s="8" t="str">
        <f aca="false">IF(AA25,L25,"")</f>
        <v/>
      </c>
      <c r="AF25" s="8" t="n">
        <f aca="false">U25</f>
        <v>0</v>
      </c>
      <c r="AG25" s="2" t="n">
        <f aca="false">AG24+IF(Q25,1,0)</f>
        <v>0</v>
      </c>
      <c r="AH25" s="2" t="n">
        <f aca="false">AG24</f>
        <v>0</v>
      </c>
      <c r="AI25" s="10" t="n">
        <f aca="false">X25+Y25*(E25-AB25)-Y25*AD25*Inputs!$B$13*(A25-AC25)</f>
        <v>1000</v>
      </c>
      <c r="AJ25" s="10" t="n">
        <v>0</v>
      </c>
      <c r="AK25" s="8" t="n">
        <f aca="false">IF(AND(B25&lt;=U25,NOT(Q25)),B25,U25)*(1-Inputs!$B$12)</f>
        <v>0</v>
      </c>
    </row>
    <row r="26" customFormat="false" ht="15" hidden="false" customHeight="false" outlineLevel="0" collapsed="false">
      <c r="A26" s="6" t="n">
        <v>44810</v>
      </c>
      <c r="B26" s="7" t="n">
        <v>0.83074648329925</v>
      </c>
      <c r="C26" s="7" t="n">
        <v>0.836750950558499</v>
      </c>
      <c r="D26" s="7" t="n">
        <v>0.829155329202466</v>
      </c>
      <c r="E26" s="7" t="n">
        <v>0.83261216416078</v>
      </c>
      <c r="F26" s="8" t="n">
        <f aca="true">IF(ROW()-2&gt;=Inputs!$B$4,AVERAGE(OFFSET(E26,1-Inputs!$B$4,0,Inputs!$B$4,1)),"")</f>
        <v>0.837835354276793</v>
      </c>
      <c r="G26" s="8" t="str">
        <f aca="true">IF(ROW()-2&gt;=Inputs!$B$5,AVERAGE(OFFSET(E26,1-Inputs!$B$5,0,Inputs!$B$5,1)),"")</f>
        <v/>
      </c>
      <c r="H26" s="8" t="n">
        <f aca="false">MAX(C26-D26,ABS(C26-E25),ABS(D26-E25))</f>
        <v>0.00759562135603242</v>
      </c>
      <c r="I26" s="8" t="n">
        <f aca="true">IF(ROW()-2&lt;14,"",IF(ROW()-2=14,AVERAGE(OFFSET(H26,-13,0,14,1)),(I25*13+H26)/14))</f>
        <v>0.010194824483929</v>
      </c>
      <c r="J26" s="9" t="b">
        <f aca="false">IF(AND(ISNUMBER(F26),ISNUMBER(G26),ISNUMBER(F25),ISNUMBER(G25)),AND(F26&gt;G26,F25&lt;=G25),FALSE())</f>
        <v>0</v>
      </c>
      <c r="K26" s="9" t="b">
        <f aca="false">IF(AND(ISNUMBER(F26),ISNUMBER(G26),ISNUMBER(F25),ISNUMBER(G25)),AND(F26&lt;G26,F25&gt;=G25),FALSE())</f>
        <v>0</v>
      </c>
      <c r="L26" s="8" t="n">
        <f aca="false">IF(ISNUMBER(I26),E26-Inputs!$B$6*I26,"")</f>
        <v>0.812222515192922</v>
      </c>
      <c r="M26" s="9" t="b">
        <f aca="false">AND(Y25&gt;0,Z25)</f>
        <v>0</v>
      </c>
      <c r="N26" s="8" t="n">
        <f aca="false">B26*(1-Inputs!$B$12)</f>
        <v>0.83058033400259</v>
      </c>
      <c r="O26" s="10" t="n">
        <f aca="false">IF(M26,Y25*(N26-AB25)-Inputs!$B$9-Y25*AD25*Inputs!$B$13*(A26-AC25),0)</f>
        <v>0</v>
      </c>
      <c r="P26" s="10" t="n">
        <f aca="false">X25+O26</f>
        <v>1000</v>
      </c>
      <c r="Q26" s="9" t="b">
        <f aca="false">AND(IF(M26,0,Y25)=0,AA25,IF(ISNUMBER(AE25),B26&gt;AE25,FALSE()))</f>
        <v>0</v>
      </c>
      <c r="R26" s="8" t="n">
        <f aca="false">B26*(1+Inputs!$B$12)</f>
        <v>0.830912632595909</v>
      </c>
      <c r="S26" s="11" t="n">
        <f aca="false">IF(Q26,MIN(P26*Inputs!$B$3/(R26-AE25),P26*Inputs!$B$11/R26),0)</f>
        <v>0</v>
      </c>
      <c r="T26" s="11" t="n">
        <f aca="false">IF(Q26,S26,IF(M26,0,Y25))</f>
        <v>0</v>
      </c>
      <c r="U26" s="8" t="n">
        <f aca="false">IF(Q26,AE25,AF25)</f>
        <v>0</v>
      </c>
      <c r="V26" s="9" t="b">
        <f aca="false">AND(T26&gt;0,D26&lt;=U26)</f>
        <v>0</v>
      </c>
      <c r="W26" s="10" t="n">
        <f aca="false">IF(V26,T26*(AK26-AB26)-Inputs!$B$9-T26*AD26*Inputs!$B$13*(A26-AC26),0)</f>
        <v>0</v>
      </c>
      <c r="X26" s="10" t="n">
        <f aca="false">P26-IF(Q26,Inputs!$B$9,0)+W26</f>
        <v>1000</v>
      </c>
      <c r="Y26" s="11" t="n">
        <f aca="false">IF(V26,0,T26)</f>
        <v>0</v>
      </c>
      <c r="Z26" s="9" t="b">
        <f aca="false">AND(Y26&gt;0,K26)</f>
        <v>0</v>
      </c>
      <c r="AA26" s="9" t="b">
        <f aca="false">AND(Y26=0,J26,ISNUMBER(L26))</f>
        <v>0</v>
      </c>
      <c r="AB26" s="8" t="n">
        <f aca="false">IF(Q26,R26,AB25)</f>
        <v>0</v>
      </c>
      <c r="AC26" s="12" t="n">
        <f aca="false">IF(Q26,A26,AC25)</f>
        <v>0</v>
      </c>
      <c r="AD26" s="8" t="n">
        <f aca="false">IF(Q26,B26,AD25)</f>
        <v>0</v>
      </c>
      <c r="AE26" s="8" t="str">
        <f aca="false">IF(AA26,L26,"")</f>
        <v/>
      </c>
      <c r="AF26" s="8" t="n">
        <f aca="false">U26</f>
        <v>0</v>
      </c>
      <c r="AG26" s="2" t="n">
        <f aca="false">AG25+IF(Q26,1,0)</f>
        <v>0</v>
      </c>
      <c r="AH26" s="2" t="n">
        <f aca="false">AG25</f>
        <v>0</v>
      </c>
      <c r="AI26" s="10" t="n">
        <f aca="false">X26+Y26*(E26-AB26)-Y26*AD26*Inputs!$B$13*(A26-AC26)</f>
        <v>1000</v>
      </c>
      <c r="AJ26" s="10" t="n">
        <v>0</v>
      </c>
      <c r="AK26" s="8" t="n">
        <f aca="false">IF(AND(B26&lt;=U26,NOT(Q26)),B26,U26)*(1-Inputs!$B$12)</f>
        <v>0</v>
      </c>
    </row>
    <row r="27" customFormat="false" ht="15" hidden="false" customHeight="false" outlineLevel="0" collapsed="false">
      <c r="A27" s="6" t="n">
        <v>44811</v>
      </c>
      <c r="B27" s="7" t="n">
        <v>0.83261216416078</v>
      </c>
      <c r="C27" s="7" t="n">
        <v>0.839258744387793</v>
      </c>
      <c r="D27" s="7" t="n">
        <v>0.831324544523661</v>
      </c>
      <c r="E27" s="7" t="n">
        <v>0.836761781560031</v>
      </c>
      <c r="F27" s="8" t="n">
        <f aca="true">IF(ROW()-2&gt;=Inputs!$B$4,AVERAGE(OFFSET(E27,1-Inputs!$B$4,0,Inputs!$B$4,1)),"")</f>
        <v>0.838144108230771</v>
      </c>
      <c r="G27" s="8" t="str">
        <f aca="true">IF(ROW()-2&gt;=Inputs!$B$5,AVERAGE(OFFSET(E27,1-Inputs!$B$5,0,Inputs!$B$5,1)),"")</f>
        <v/>
      </c>
      <c r="H27" s="8" t="n">
        <f aca="false">MAX(C27-D27,ABS(C27-E26),ABS(D27-E26))</f>
        <v>0.00793419986413191</v>
      </c>
      <c r="I27" s="8" t="n">
        <f aca="true">IF(ROW()-2&lt;14,"",IF(ROW()-2=14,AVERAGE(OFFSET(H27,-13,0,14,1)),(I26*13+H27)/14))</f>
        <v>0.0100333512968007</v>
      </c>
      <c r="J27" s="9" t="b">
        <f aca="false">IF(AND(ISNUMBER(F27),ISNUMBER(G27),ISNUMBER(F26),ISNUMBER(G26)),AND(F27&gt;G27,F26&lt;=G26),FALSE())</f>
        <v>0</v>
      </c>
      <c r="K27" s="9" t="b">
        <f aca="false">IF(AND(ISNUMBER(F27),ISNUMBER(G27),ISNUMBER(F26),ISNUMBER(G26)),AND(F27&lt;G27,F26&gt;=G26),FALSE())</f>
        <v>0</v>
      </c>
      <c r="L27" s="8" t="n">
        <f aca="false">IF(ISNUMBER(I27),E27-Inputs!$B$6*I27,"")</f>
        <v>0.81669507896643</v>
      </c>
      <c r="M27" s="9" t="b">
        <f aca="false">AND(Y26&gt;0,Z26)</f>
        <v>0</v>
      </c>
      <c r="N27" s="8" t="n">
        <f aca="false">B27*(1-Inputs!$B$12)</f>
        <v>0.832445641727948</v>
      </c>
      <c r="O27" s="10" t="n">
        <f aca="false">IF(M27,Y26*(N27-AB26)-Inputs!$B$9-Y26*AD26*Inputs!$B$13*(A27-AC26),0)</f>
        <v>0</v>
      </c>
      <c r="P27" s="10" t="n">
        <f aca="false">X26+O27</f>
        <v>1000</v>
      </c>
      <c r="Q27" s="9" t="b">
        <f aca="false">AND(IF(M27,0,Y26)=0,AA26,IF(ISNUMBER(AE26),B27&gt;AE26,FALSE()))</f>
        <v>0</v>
      </c>
      <c r="R27" s="8" t="n">
        <f aca="false">B27*(1+Inputs!$B$12)</f>
        <v>0.832778686593612</v>
      </c>
      <c r="S27" s="11" t="n">
        <f aca="false">IF(Q27,MIN(P27*Inputs!$B$3/(R27-AE26),P27*Inputs!$B$11/R27),0)</f>
        <v>0</v>
      </c>
      <c r="T27" s="11" t="n">
        <f aca="false">IF(Q27,S27,IF(M27,0,Y26))</f>
        <v>0</v>
      </c>
      <c r="U27" s="8" t="n">
        <f aca="false">IF(Q27,AE26,AF26)</f>
        <v>0</v>
      </c>
      <c r="V27" s="9" t="b">
        <f aca="false">AND(T27&gt;0,D27&lt;=U27)</f>
        <v>0</v>
      </c>
      <c r="W27" s="10" t="n">
        <f aca="false">IF(V27,T27*(AK27-AB27)-Inputs!$B$9-T27*AD27*Inputs!$B$13*(A27-AC27),0)</f>
        <v>0</v>
      </c>
      <c r="X27" s="10" t="n">
        <f aca="false">P27-IF(Q27,Inputs!$B$9,0)+W27</f>
        <v>1000</v>
      </c>
      <c r="Y27" s="11" t="n">
        <f aca="false">IF(V27,0,T27)</f>
        <v>0</v>
      </c>
      <c r="Z27" s="9" t="b">
        <f aca="false">AND(Y27&gt;0,K27)</f>
        <v>0</v>
      </c>
      <c r="AA27" s="9" t="b">
        <f aca="false">AND(Y27=0,J27,ISNUMBER(L27))</f>
        <v>0</v>
      </c>
      <c r="AB27" s="8" t="n">
        <f aca="false">IF(Q27,R27,AB26)</f>
        <v>0</v>
      </c>
      <c r="AC27" s="12" t="n">
        <f aca="false">IF(Q27,A27,AC26)</f>
        <v>0</v>
      </c>
      <c r="AD27" s="8" t="n">
        <f aca="false">IF(Q27,B27,AD26)</f>
        <v>0</v>
      </c>
      <c r="AE27" s="8" t="str">
        <f aca="false">IF(AA27,L27,"")</f>
        <v/>
      </c>
      <c r="AF27" s="8" t="n">
        <f aca="false">U27</f>
        <v>0</v>
      </c>
      <c r="AG27" s="2" t="n">
        <f aca="false">AG26+IF(Q27,1,0)</f>
        <v>0</v>
      </c>
      <c r="AH27" s="2" t="n">
        <f aca="false">AG26</f>
        <v>0</v>
      </c>
      <c r="AI27" s="10" t="n">
        <f aca="false">X27+Y27*(E27-AB27)-Y27*AD27*Inputs!$B$13*(A27-AC27)</f>
        <v>1000</v>
      </c>
      <c r="AJ27" s="10" t="n">
        <v>0</v>
      </c>
      <c r="AK27" s="8" t="n">
        <f aca="false">IF(AND(B27&lt;=U27,NOT(Q27)),B27,U27)*(1-Inputs!$B$12)</f>
        <v>0</v>
      </c>
    </row>
    <row r="28" customFormat="false" ht="15" hidden="false" customHeight="false" outlineLevel="0" collapsed="false">
      <c r="A28" s="6" t="n">
        <v>44812</v>
      </c>
      <c r="B28" s="7" t="n">
        <v>0.836761781560031</v>
      </c>
      <c r="C28" s="7" t="n">
        <v>0.842462781009047</v>
      </c>
      <c r="D28" s="7" t="n">
        <v>0.82922057889679</v>
      </c>
      <c r="E28" s="7" t="n">
        <v>0.831732904709736</v>
      </c>
      <c r="F28" s="8" t="n">
        <f aca="true">IF(ROW()-2&gt;=Inputs!$B$4,AVERAGE(OFFSET(E28,1-Inputs!$B$4,0,Inputs!$B$4,1)),"")</f>
        <v>0.838133864285013</v>
      </c>
      <c r="G28" s="8" t="str">
        <f aca="true">IF(ROW()-2&gt;=Inputs!$B$5,AVERAGE(OFFSET(E28,1-Inputs!$B$5,0,Inputs!$B$5,1)),"")</f>
        <v/>
      </c>
      <c r="H28" s="8" t="n">
        <f aca="false">MAX(C28-D28,ABS(C28-E27),ABS(D28-E27))</f>
        <v>0.0132422021122566</v>
      </c>
      <c r="I28" s="8" t="n">
        <f aca="true">IF(ROW()-2&lt;14,"",IF(ROW()-2=14,AVERAGE(OFFSET(H28,-13,0,14,1)),(I27*13+H28)/14))</f>
        <v>0.0102625549264761</v>
      </c>
      <c r="J28" s="9" t="b">
        <f aca="false">IF(AND(ISNUMBER(F28),ISNUMBER(G28),ISNUMBER(F27),ISNUMBER(G27)),AND(F28&gt;G28,F27&lt;=G27),FALSE())</f>
        <v>0</v>
      </c>
      <c r="K28" s="9" t="b">
        <f aca="false">IF(AND(ISNUMBER(F28),ISNUMBER(G28),ISNUMBER(F27),ISNUMBER(G27)),AND(F28&lt;G28,F27&gt;=G27),FALSE())</f>
        <v>0</v>
      </c>
      <c r="L28" s="8" t="n">
        <f aca="false">IF(ISNUMBER(I28),E28-Inputs!$B$6*I28,"")</f>
        <v>0.811207794856784</v>
      </c>
      <c r="M28" s="9" t="b">
        <f aca="false">AND(Y27&gt;0,Z27)</f>
        <v>0</v>
      </c>
      <c r="N28" s="8" t="n">
        <f aca="false">B28*(1-Inputs!$B$12)</f>
        <v>0.836594429203719</v>
      </c>
      <c r="O28" s="10" t="n">
        <f aca="false">IF(M28,Y27*(N28-AB27)-Inputs!$B$9-Y27*AD27*Inputs!$B$13*(A28-AC27),0)</f>
        <v>0</v>
      </c>
      <c r="P28" s="10" t="n">
        <f aca="false">X27+O28</f>
        <v>1000</v>
      </c>
      <c r="Q28" s="9" t="b">
        <f aca="false">AND(IF(M28,0,Y27)=0,AA27,IF(ISNUMBER(AE27),B28&gt;AE27,FALSE()))</f>
        <v>0</v>
      </c>
      <c r="R28" s="8" t="n">
        <f aca="false">B28*(1+Inputs!$B$12)</f>
        <v>0.836929133916343</v>
      </c>
      <c r="S28" s="11" t="n">
        <f aca="false">IF(Q28,MIN(P28*Inputs!$B$3/(R28-AE27),P28*Inputs!$B$11/R28),0)</f>
        <v>0</v>
      </c>
      <c r="T28" s="11" t="n">
        <f aca="false">IF(Q28,S28,IF(M28,0,Y27))</f>
        <v>0</v>
      </c>
      <c r="U28" s="8" t="n">
        <f aca="false">IF(Q28,AE27,AF27)</f>
        <v>0</v>
      </c>
      <c r="V28" s="9" t="b">
        <f aca="false">AND(T28&gt;0,D28&lt;=U28)</f>
        <v>0</v>
      </c>
      <c r="W28" s="10" t="n">
        <f aca="false">IF(V28,T28*(AK28-AB28)-Inputs!$B$9-T28*AD28*Inputs!$B$13*(A28-AC28),0)</f>
        <v>0</v>
      </c>
      <c r="X28" s="10" t="n">
        <f aca="false">P28-IF(Q28,Inputs!$B$9,0)+W28</f>
        <v>1000</v>
      </c>
      <c r="Y28" s="11" t="n">
        <f aca="false">IF(V28,0,T28)</f>
        <v>0</v>
      </c>
      <c r="Z28" s="9" t="b">
        <f aca="false">AND(Y28&gt;0,K28)</f>
        <v>0</v>
      </c>
      <c r="AA28" s="9" t="b">
        <f aca="false">AND(Y28=0,J28,ISNUMBER(L28))</f>
        <v>0</v>
      </c>
      <c r="AB28" s="8" t="n">
        <f aca="false">IF(Q28,R28,AB27)</f>
        <v>0</v>
      </c>
      <c r="AC28" s="12" t="n">
        <f aca="false">IF(Q28,A28,AC27)</f>
        <v>0</v>
      </c>
      <c r="AD28" s="8" t="n">
        <f aca="false">IF(Q28,B28,AD27)</f>
        <v>0</v>
      </c>
      <c r="AE28" s="8" t="str">
        <f aca="false">IF(AA28,L28,"")</f>
        <v/>
      </c>
      <c r="AF28" s="8" t="n">
        <f aca="false">U28</f>
        <v>0</v>
      </c>
      <c r="AG28" s="2" t="n">
        <f aca="false">AG27+IF(Q28,1,0)</f>
        <v>0</v>
      </c>
      <c r="AH28" s="2" t="n">
        <f aca="false">AG27</f>
        <v>0</v>
      </c>
      <c r="AI28" s="10" t="n">
        <f aca="false">X28+Y28*(E28-AB28)-Y28*AD28*Inputs!$B$13*(A28-AC28)</f>
        <v>1000</v>
      </c>
      <c r="AJ28" s="10" t="n">
        <v>0</v>
      </c>
      <c r="AK28" s="8" t="n">
        <f aca="false">IF(AND(B28&lt;=U28,NOT(Q28)),B28,U28)*(1-Inputs!$B$12)</f>
        <v>0</v>
      </c>
    </row>
    <row r="29" customFormat="false" ht="15" hidden="false" customHeight="false" outlineLevel="0" collapsed="false">
      <c r="A29" s="6" t="n">
        <v>44813</v>
      </c>
      <c r="B29" s="7" t="n">
        <v>0.831732904709736</v>
      </c>
      <c r="C29" s="7" t="n">
        <v>0.836426376765814</v>
      </c>
      <c r="D29" s="7" t="n">
        <v>0.82352722772728</v>
      </c>
      <c r="E29" s="7" t="n">
        <v>0.826804258508719</v>
      </c>
      <c r="F29" s="8" t="n">
        <f aca="true">IF(ROW()-2&gt;=Inputs!$B$4,AVERAGE(OFFSET(E29,1-Inputs!$B$4,0,Inputs!$B$4,1)),"")</f>
        <v>0.837649496784504</v>
      </c>
      <c r="G29" s="8" t="str">
        <f aca="true">IF(ROW()-2&gt;=Inputs!$B$5,AVERAGE(OFFSET(E29,1-Inputs!$B$5,0,Inputs!$B$5,1)),"")</f>
        <v/>
      </c>
      <c r="H29" s="8" t="n">
        <f aca="false">MAX(C29-D29,ABS(C29-E28),ABS(D29-E28))</f>
        <v>0.0128991490385341</v>
      </c>
      <c r="I29" s="8" t="n">
        <f aca="true">IF(ROW()-2&lt;14,"",IF(ROW()-2=14,AVERAGE(OFFSET(H29,-13,0,14,1)),(I28*13+H29)/14))</f>
        <v>0.0104508830773374</v>
      </c>
      <c r="J29" s="9" t="b">
        <f aca="false">IF(AND(ISNUMBER(F29),ISNUMBER(G29),ISNUMBER(F28),ISNUMBER(G28)),AND(F29&gt;G29,F28&lt;=G28),FALSE())</f>
        <v>0</v>
      </c>
      <c r="K29" s="9" t="b">
        <f aca="false">IF(AND(ISNUMBER(F29),ISNUMBER(G29),ISNUMBER(F28),ISNUMBER(G28)),AND(F29&lt;G29,F28&gt;=G28),FALSE())</f>
        <v>0</v>
      </c>
      <c r="L29" s="8" t="n">
        <f aca="false">IF(ISNUMBER(I29),E29-Inputs!$B$6*I29,"")</f>
        <v>0.805902492354045</v>
      </c>
      <c r="M29" s="9" t="b">
        <f aca="false">AND(Y28&gt;0,Z28)</f>
        <v>0</v>
      </c>
      <c r="N29" s="8" t="n">
        <f aca="false">B29*(1-Inputs!$B$12)</f>
        <v>0.831566558128794</v>
      </c>
      <c r="O29" s="10" t="n">
        <f aca="false">IF(M29,Y28*(N29-AB28)-Inputs!$B$9-Y28*AD28*Inputs!$B$13*(A29-AC28),0)</f>
        <v>0</v>
      </c>
      <c r="P29" s="10" t="n">
        <f aca="false">X28+O29</f>
        <v>1000</v>
      </c>
      <c r="Q29" s="9" t="b">
        <f aca="false">AND(IF(M29,0,Y28)=0,AA28,IF(ISNUMBER(AE28),B29&gt;AE28,FALSE()))</f>
        <v>0</v>
      </c>
      <c r="R29" s="8" t="n">
        <f aca="false">B29*(1+Inputs!$B$12)</f>
        <v>0.831899251290678</v>
      </c>
      <c r="S29" s="11" t="n">
        <f aca="false">IF(Q29,MIN(P29*Inputs!$B$3/(R29-AE28),P29*Inputs!$B$11/R29),0)</f>
        <v>0</v>
      </c>
      <c r="T29" s="11" t="n">
        <f aca="false">IF(Q29,S29,IF(M29,0,Y28))</f>
        <v>0</v>
      </c>
      <c r="U29" s="8" t="n">
        <f aca="false">IF(Q29,AE28,AF28)</f>
        <v>0</v>
      </c>
      <c r="V29" s="9" t="b">
        <f aca="false">AND(T29&gt;0,D29&lt;=U29)</f>
        <v>0</v>
      </c>
      <c r="W29" s="10" t="n">
        <f aca="false">IF(V29,T29*(AK29-AB29)-Inputs!$B$9-T29*AD29*Inputs!$B$13*(A29-AC29),0)</f>
        <v>0</v>
      </c>
      <c r="X29" s="10" t="n">
        <f aca="false">P29-IF(Q29,Inputs!$B$9,0)+W29</f>
        <v>1000</v>
      </c>
      <c r="Y29" s="11" t="n">
        <f aca="false">IF(V29,0,T29)</f>
        <v>0</v>
      </c>
      <c r="Z29" s="9" t="b">
        <f aca="false">AND(Y29&gt;0,K29)</f>
        <v>0</v>
      </c>
      <c r="AA29" s="9" t="b">
        <f aca="false">AND(Y29=0,J29,ISNUMBER(L29))</f>
        <v>0</v>
      </c>
      <c r="AB29" s="8" t="n">
        <f aca="false">IF(Q29,R29,AB28)</f>
        <v>0</v>
      </c>
      <c r="AC29" s="12" t="n">
        <f aca="false">IF(Q29,A29,AC28)</f>
        <v>0</v>
      </c>
      <c r="AD29" s="8" t="n">
        <f aca="false">IF(Q29,B29,AD28)</f>
        <v>0</v>
      </c>
      <c r="AE29" s="8" t="str">
        <f aca="false">IF(AA29,L29,"")</f>
        <v/>
      </c>
      <c r="AF29" s="8" t="n">
        <f aca="false">U29</f>
        <v>0</v>
      </c>
      <c r="AG29" s="2" t="n">
        <f aca="false">AG28+IF(Q29,1,0)</f>
        <v>0</v>
      </c>
      <c r="AH29" s="2" t="n">
        <f aca="false">AG28</f>
        <v>0</v>
      </c>
      <c r="AI29" s="10" t="n">
        <f aca="false">X29+Y29*(E29-AB29)-Y29*AD29*Inputs!$B$13*(A29-AC29)</f>
        <v>1000</v>
      </c>
      <c r="AJ29" s="10" t="n">
        <v>0</v>
      </c>
      <c r="AK29" s="8" t="n">
        <f aca="false">IF(AND(B29&lt;=U29,NOT(Q29)),B29,U29)*(1-Inputs!$B$12)</f>
        <v>0</v>
      </c>
    </row>
    <row r="30" customFormat="false" ht="15" hidden="false" customHeight="false" outlineLevel="0" collapsed="false">
      <c r="A30" s="6" t="n">
        <v>44814</v>
      </c>
      <c r="B30" s="7" t="n">
        <v>0.826804258508719</v>
      </c>
      <c r="C30" s="7" t="n">
        <v>0.830785376165942</v>
      </c>
      <c r="D30" s="7" t="n">
        <v>0.825516311955189</v>
      </c>
      <c r="E30" s="7" t="n">
        <v>0.830296132233694</v>
      </c>
      <c r="F30" s="8" t="n">
        <f aca="true">IF(ROW()-2&gt;=Inputs!$B$4,AVERAGE(OFFSET(E30,1-Inputs!$B$4,0,Inputs!$B$4,1)),"")</f>
        <v>0.837556613802636</v>
      </c>
      <c r="G30" s="8" t="str">
        <f aca="true">IF(ROW()-2&gt;=Inputs!$B$5,AVERAGE(OFFSET(E30,1-Inputs!$B$5,0,Inputs!$B$5,1)),"")</f>
        <v/>
      </c>
      <c r="H30" s="8" t="n">
        <f aca="false">MAX(C30-D30,ABS(C30-E29),ABS(D30-E29))</f>
        <v>0.00526906421075335</v>
      </c>
      <c r="I30" s="8" t="n">
        <f aca="true">IF(ROW()-2&lt;14,"",IF(ROW()-2=14,AVERAGE(OFFSET(H30,-13,0,14,1)),(I29*13+H30)/14))</f>
        <v>0.0100807531582957</v>
      </c>
      <c r="J30" s="9" t="b">
        <f aca="false">IF(AND(ISNUMBER(F30),ISNUMBER(G30),ISNUMBER(F29),ISNUMBER(G29)),AND(F30&gt;G30,F29&lt;=G29),FALSE())</f>
        <v>0</v>
      </c>
      <c r="K30" s="9" t="b">
        <f aca="false">IF(AND(ISNUMBER(F30),ISNUMBER(G30),ISNUMBER(F29),ISNUMBER(G29)),AND(F30&lt;G30,F29&gt;=G29),FALSE())</f>
        <v>0</v>
      </c>
      <c r="L30" s="8" t="n">
        <f aca="false">IF(ISNUMBER(I30),E30-Inputs!$B$6*I30,"")</f>
        <v>0.810134625917103</v>
      </c>
      <c r="M30" s="9" t="b">
        <f aca="false">AND(Y29&gt;0,Z29)</f>
        <v>0</v>
      </c>
      <c r="N30" s="8" t="n">
        <f aca="false">B30*(1-Inputs!$B$12)</f>
        <v>0.826638897657018</v>
      </c>
      <c r="O30" s="10" t="n">
        <f aca="false">IF(M30,Y29*(N30-AB29)-Inputs!$B$9-Y29*AD29*Inputs!$B$13*(A30-AC29),0)</f>
        <v>0</v>
      </c>
      <c r="P30" s="10" t="n">
        <f aca="false">X29+O30</f>
        <v>1000</v>
      </c>
      <c r="Q30" s="9" t="b">
        <f aca="false">AND(IF(M30,0,Y29)=0,AA29,IF(ISNUMBER(AE29),B30&gt;AE29,FALSE()))</f>
        <v>0</v>
      </c>
      <c r="R30" s="8" t="n">
        <f aca="false">B30*(1+Inputs!$B$12)</f>
        <v>0.826969619360421</v>
      </c>
      <c r="S30" s="11" t="n">
        <f aca="false">IF(Q30,MIN(P30*Inputs!$B$3/(R30-AE29),P30*Inputs!$B$11/R30),0)</f>
        <v>0</v>
      </c>
      <c r="T30" s="11" t="n">
        <f aca="false">IF(Q30,S30,IF(M30,0,Y29))</f>
        <v>0</v>
      </c>
      <c r="U30" s="8" t="n">
        <f aca="false">IF(Q30,AE29,AF29)</f>
        <v>0</v>
      </c>
      <c r="V30" s="9" t="b">
        <f aca="false">AND(T30&gt;0,D30&lt;=U30)</f>
        <v>0</v>
      </c>
      <c r="W30" s="10" t="n">
        <f aca="false">IF(V30,T30*(AK30-AB30)-Inputs!$B$9-T30*AD30*Inputs!$B$13*(A30-AC30),0)</f>
        <v>0</v>
      </c>
      <c r="X30" s="10" t="n">
        <f aca="false">P30-IF(Q30,Inputs!$B$9,0)+W30</f>
        <v>1000</v>
      </c>
      <c r="Y30" s="11" t="n">
        <f aca="false">IF(V30,0,T30)</f>
        <v>0</v>
      </c>
      <c r="Z30" s="9" t="b">
        <f aca="false">AND(Y30&gt;0,K30)</f>
        <v>0</v>
      </c>
      <c r="AA30" s="9" t="b">
        <f aca="false">AND(Y30=0,J30,ISNUMBER(L30))</f>
        <v>0</v>
      </c>
      <c r="AB30" s="8" t="n">
        <f aca="false">IF(Q30,R30,AB29)</f>
        <v>0</v>
      </c>
      <c r="AC30" s="12" t="n">
        <f aca="false">IF(Q30,A30,AC29)</f>
        <v>0</v>
      </c>
      <c r="AD30" s="8" t="n">
        <f aca="false">IF(Q30,B30,AD29)</f>
        <v>0</v>
      </c>
      <c r="AE30" s="8" t="str">
        <f aca="false">IF(AA30,L30,"")</f>
        <v/>
      </c>
      <c r="AF30" s="8" t="n">
        <f aca="false">U30</f>
        <v>0</v>
      </c>
      <c r="AG30" s="2" t="n">
        <f aca="false">AG29+IF(Q30,1,0)</f>
        <v>0</v>
      </c>
      <c r="AH30" s="2" t="n">
        <f aca="false">AG29</f>
        <v>0</v>
      </c>
      <c r="AI30" s="10" t="n">
        <f aca="false">X30+Y30*(E30-AB30)-Y30*AD30*Inputs!$B$13*(A30-AC30)</f>
        <v>1000</v>
      </c>
      <c r="AJ30" s="10" t="n">
        <v>0</v>
      </c>
      <c r="AK30" s="8" t="n">
        <f aca="false">IF(AND(B30&lt;=U30,NOT(Q30)),B30,U30)*(1-Inputs!$B$12)</f>
        <v>0</v>
      </c>
    </row>
    <row r="31" customFormat="false" ht="15" hidden="false" customHeight="false" outlineLevel="0" collapsed="false">
      <c r="A31" s="6" t="n">
        <v>44815</v>
      </c>
      <c r="B31" s="7" t="n">
        <v>0.830296132233694</v>
      </c>
      <c r="C31" s="7" t="n">
        <v>0.832797410196278</v>
      </c>
      <c r="D31" s="7" t="n">
        <v>0.829072481545999</v>
      </c>
      <c r="E31" s="7" t="n">
        <v>0.832039834596511</v>
      </c>
      <c r="F31" s="8" t="n">
        <f aca="true">IF(ROW()-2&gt;=Inputs!$B$4,AVERAGE(OFFSET(E31,1-Inputs!$B$4,0,Inputs!$B$4,1)),"")</f>
        <v>0.837193471201395</v>
      </c>
      <c r="G31" s="8" t="str">
        <f aca="true">IF(ROW()-2&gt;=Inputs!$B$5,AVERAGE(OFFSET(E31,1-Inputs!$B$5,0,Inputs!$B$5,1)),"")</f>
        <v/>
      </c>
      <c r="H31" s="8" t="n">
        <f aca="false">MAX(C31-D31,ABS(C31-E30),ABS(D31-E30))</f>
        <v>0.00372492865027885</v>
      </c>
      <c r="I31" s="8" t="n">
        <f aca="true">IF(ROW()-2&lt;14,"",IF(ROW()-2=14,AVERAGE(OFFSET(H31,-13,0,14,1)),(I30*13+H31)/14))</f>
        <v>0.00962676569343732</v>
      </c>
      <c r="J31" s="9" t="b">
        <f aca="false">IF(AND(ISNUMBER(F31),ISNUMBER(G31),ISNUMBER(F30),ISNUMBER(G30)),AND(F31&gt;G31,F30&lt;=G30),FALSE())</f>
        <v>0</v>
      </c>
      <c r="K31" s="9" t="b">
        <f aca="false">IF(AND(ISNUMBER(F31),ISNUMBER(G31),ISNUMBER(F30),ISNUMBER(G30)),AND(F31&lt;G31,F30&gt;=G30),FALSE())</f>
        <v>0</v>
      </c>
      <c r="L31" s="8" t="n">
        <f aca="false">IF(ISNUMBER(I31),E31-Inputs!$B$6*I31,"")</f>
        <v>0.812786303209636</v>
      </c>
      <c r="M31" s="9" t="b">
        <f aca="false">AND(Y30&gt;0,Z30)</f>
        <v>0</v>
      </c>
      <c r="N31" s="8" t="n">
        <f aca="false">B31*(1-Inputs!$B$12)</f>
        <v>0.830130073007248</v>
      </c>
      <c r="O31" s="10" t="n">
        <f aca="false">IF(M31,Y30*(N31-AB30)-Inputs!$B$9-Y30*AD30*Inputs!$B$13*(A31-AC30),0)</f>
        <v>0</v>
      </c>
      <c r="P31" s="10" t="n">
        <f aca="false">X30+O31</f>
        <v>1000</v>
      </c>
      <c r="Q31" s="9" t="b">
        <f aca="false">AND(IF(M31,0,Y30)=0,AA30,IF(ISNUMBER(AE30),B31&gt;AE30,FALSE()))</f>
        <v>0</v>
      </c>
      <c r="R31" s="8" t="n">
        <f aca="false">B31*(1+Inputs!$B$12)</f>
        <v>0.830462191460141</v>
      </c>
      <c r="S31" s="11" t="n">
        <f aca="false">IF(Q31,MIN(P31*Inputs!$B$3/(R31-AE30),P31*Inputs!$B$11/R31),0)</f>
        <v>0</v>
      </c>
      <c r="T31" s="11" t="n">
        <f aca="false">IF(Q31,S31,IF(M31,0,Y30))</f>
        <v>0</v>
      </c>
      <c r="U31" s="8" t="n">
        <f aca="false">IF(Q31,AE30,AF30)</f>
        <v>0</v>
      </c>
      <c r="V31" s="9" t="b">
        <f aca="false">AND(T31&gt;0,D31&lt;=U31)</f>
        <v>0</v>
      </c>
      <c r="W31" s="10" t="n">
        <f aca="false">IF(V31,T31*(AK31-AB31)-Inputs!$B$9-T31*AD31*Inputs!$B$13*(A31-AC31),0)</f>
        <v>0</v>
      </c>
      <c r="X31" s="10" t="n">
        <f aca="false">P31-IF(Q31,Inputs!$B$9,0)+W31</f>
        <v>1000</v>
      </c>
      <c r="Y31" s="11" t="n">
        <f aca="false">IF(V31,0,T31)</f>
        <v>0</v>
      </c>
      <c r="Z31" s="9" t="b">
        <f aca="false">AND(Y31&gt;0,K31)</f>
        <v>0</v>
      </c>
      <c r="AA31" s="9" t="b">
        <f aca="false">AND(Y31=0,J31,ISNUMBER(L31))</f>
        <v>0</v>
      </c>
      <c r="AB31" s="8" t="n">
        <f aca="false">IF(Q31,R31,AB30)</f>
        <v>0</v>
      </c>
      <c r="AC31" s="12" t="n">
        <f aca="false">IF(Q31,A31,AC30)</f>
        <v>0</v>
      </c>
      <c r="AD31" s="8" t="n">
        <f aca="false">IF(Q31,B31,AD30)</f>
        <v>0</v>
      </c>
      <c r="AE31" s="8" t="str">
        <f aca="false">IF(AA31,L31,"")</f>
        <v/>
      </c>
      <c r="AF31" s="8" t="n">
        <f aca="false">U31</f>
        <v>0</v>
      </c>
      <c r="AG31" s="2" t="n">
        <f aca="false">AG30+IF(Q31,1,0)</f>
        <v>0</v>
      </c>
      <c r="AH31" s="2" t="n">
        <f aca="false">AG30</f>
        <v>0</v>
      </c>
      <c r="AI31" s="10" t="n">
        <f aca="false">X31+Y31*(E31-AB31)-Y31*AD31*Inputs!$B$13*(A31-AC31)</f>
        <v>1000</v>
      </c>
      <c r="AJ31" s="10" t="n">
        <v>0</v>
      </c>
      <c r="AK31" s="8" t="n">
        <f aca="false">IF(AND(B31&lt;=U31,NOT(Q31)),B31,U31)*(1-Inputs!$B$12)</f>
        <v>0</v>
      </c>
    </row>
    <row r="32" customFormat="false" ht="15" hidden="false" customHeight="false" outlineLevel="0" collapsed="false">
      <c r="A32" s="6" t="n">
        <v>44816</v>
      </c>
      <c r="B32" s="7" t="n">
        <v>0.832039834596511</v>
      </c>
      <c r="C32" s="7" t="n">
        <v>0.832125918185436</v>
      </c>
      <c r="D32" s="7" t="n">
        <v>0.818761484240595</v>
      </c>
      <c r="E32" s="7" t="n">
        <v>0.826826796946113</v>
      </c>
      <c r="F32" s="8" t="n">
        <f aca="true">IF(ROW()-2&gt;=Inputs!$B$4,AVERAGE(OFFSET(E32,1-Inputs!$B$4,0,Inputs!$B$4,1)),"")</f>
        <v>0.836679401391666</v>
      </c>
      <c r="G32" s="8" t="str">
        <f aca="true">IF(ROW()-2&gt;=Inputs!$B$5,AVERAGE(OFFSET(E32,1-Inputs!$B$5,0,Inputs!$B$5,1)),"")</f>
        <v/>
      </c>
      <c r="H32" s="8" t="n">
        <f aca="false">MAX(C32-D32,ABS(C32-E31),ABS(D32-E31))</f>
        <v>0.0133644339448403</v>
      </c>
      <c r="I32" s="8" t="n">
        <f aca="true">IF(ROW()-2&lt;14,"",IF(ROW()-2=14,AVERAGE(OFFSET(H32,-13,0,14,1)),(I31*13+H32)/14))</f>
        <v>0.00989374199710896</v>
      </c>
      <c r="J32" s="9" t="b">
        <f aca="false">IF(AND(ISNUMBER(F32),ISNUMBER(G32),ISNUMBER(F31),ISNUMBER(G31)),AND(F32&gt;G32,F31&lt;=G31),FALSE())</f>
        <v>0</v>
      </c>
      <c r="K32" s="9" t="b">
        <f aca="false">IF(AND(ISNUMBER(F32),ISNUMBER(G32),ISNUMBER(F31),ISNUMBER(G31)),AND(F32&lt;G32,F31&gt;=G31),FALSE())</f>
        <v>0</v>
      </c>
      <c r="L32" s="8" t="n">
        <f aca="false">IF(ISNUMBER(I32),E32-Inputs!$B$6*I32,"")</f>
        <v>0.807039312951896</v>
      </c>
      <c r="M32" s="9" t="b">
        <f aca="false">AND(Y31&gt;0,Z31)</f>
        <v>0</v>
      </c>
      <c r="N32" s="8" t="n">
        <f aca="false">B32*(1-Inputs!$B$12)</f>
        <v>0.831873426629592</v>
      </c>
      <c r="O32" s="10" t="n">
        <f aca="false">IF(M32,Y31*(N32-AB31)-Inputs!$B$9-Y31*AD31*Inputs!$B$13*(A32-AC31),0)</f>
        <v>0</v>
      </c>
      <c r="P32" s="10" t="n">
        <f aca="false">X31+O32</f>
        <v>1000</v>
      </c>
      <c r="Q32" s="9" t="b">
        <f aca="false">AND(IF(M32,0,Y31)=0,AA31,IF(ISNUMBER(AE31),B32&gt;AE31,FALSE()))</f>
        <v>0</v>
      </c>
      <c r="R32" s="8" t="n">
        <f aca="false">B32*(1+Inputs!$B$12)</f>
        <v>0.83220624256343</v>
      </c>
      <c r="S32" s="11" t="n">
        <f aca="false">IF(Q32,MIN(P32*Inputs!$B$3/(R32-AE31),P32*Inputs!$B$11/R32),0)</f>
        <v>0</v>
      </c>
      <c r="T32" s="11" t="n">
        <f aca="false">IF(Q32,S32,IF(M32,0,Y31))</f>
        <v>0</v>
      </c>
      <c r="U32" s="8" t="n">
        <f aca="false">IF(Q32,AE31,AF31)</f>
        <v>0</v>
      </c>
      <c r="V32" s="9" t="b">
        <f aca="false">AND(T32&gt;0,D32&lt;=U32)</f>
        <v>0</v>
      </c>
      <c r="W32" s="10" t="n">
        <f aca="false">IF(V32,T32*(AK32-AB32)-Inputs!$B$9-T32*AD32*Inputs!$B$13*(A32-AC32),0)</f>
        <v>0</v>
      </c>
      <c r="X32" s="10" t="n">
        <f aca="false">P32-IF(Q32,Inputs!$B$9,0)+W32</f>
        <v>1000</v>
      </c>
      <c r="Y32" s="11" t="n">
        <f aca="false">IF(V32,0,T32)</f>
        <v>0</v>
      </c>
      <c r="Z32" s="9" t="b">
        <f aca="false">AND(Y32&gt;0,K32)</f>
        <v>0</v>
      </c>
      <c r="AA32" s="9" t="b">
        <f aca="false">AND(Y32=0,J32,ISNUMBER(L32))</f>
        <v>0</v>
      </c>
      <c r="AB32" s="8" t="n">
        <f aca="false">IF(Q32,R32,AB31)</f>
        <v>0</v>
      </c>
      <c r="AC32" s="12" t="n">
        <f aca="false">IF(Q32,A32,AC31)</f>
        <v>0</v>
      </c>
      <c r="AD32" s="8" t="n">
        <f aca="false">IF(Q32,B32,AD31)</f>
        <v>0</v>
      </c>
      <c r="AE32" s="8" t="str">
        <f aca="false">IF(AA32,L32,"")</f>
        <v/>
      </c>
      <c r="AF32" s="8" t="n">
        <f aca="false">U32</f>
        <v>0</v>
      </c>
      <c r="AG32" s="2" t="n">
        <f aca="false">AG31+IF(Q32,1,0)</f>
        <v>0</v>
      </c>
      <c r="AH32" s="2" t="n">
        <f aca="false">AG31</f>
        <v>0</v>
      </c>
      <c r="AI32" s="10" t="n">
        <f aca="false">X32+Y32*(E32-AB32)-Y32*AD32*Inputs!$B$13*(A32-AC32)</f>
        <v>1000</v>
      </c>
      <c r="AJ32" s="10" t="n">
        <v>0</v>
      </c>
      <c r="AK32" s="8" t="n">
        <f aca="false">IF(AND(B32&lt;=U32,NOT(Q32)),B32,U32)*(1-Inputs!$B$12)</f>
        <v>0</v>
      </c>
    </row>
    <row r="33" customFormat="false" ht="15" hidden="false" customHeight="false" outlineLevel="0" collapsed="false">
      <c r="A33" s="6" t="n">
        <v>44817</v>
      </c>
      <c r="B33" s="7" t="n">
        <v>0.826826796946113</v>
      </c>
      <c r="C33" s="7" t="n">
        <v>0.828045202067974</v>
      </c>
      <c r="D33" s="7" t="n">
        <v>0.822034784642812</v>
      </c>
      <c r="E33" s="7" t="n">
        <v>0.823213624616086</v>
      </c>
      <c r="F33" s="8" t="n">
        <f aca="true">IF(ROW()-2&gt;=Inputs!$B$4,AVERAGE(OFFSET(E33,1-Inputs!$B$4,0,Inputs!$B$4,1)),"")</f>
        <v>0.83564051255501</v>
      </c>
      <c r="G33" s="8" t="str">
        <f aca="true">IF(ROW()-2&gt;=Inputs!$B$5,AVERAGE(OFFSET(E33,1-Inputs!$B$5,0,Inputs!$B$5,1)),"")</f>
        <v/>
      </c>
      <c r="H33" s="8" t="n">
        <f aca="false">MAX(C33-D33,ABS(C33-E32),ABS(D33-E32))</f>
        <v>0.00601041742516195</v>
      </c>
      <c r="I33" s="8" t="n">
        <f aca="true">IF(ROW()-2&lt;14,"",IF(ROW()-2=14,AVERAGE(OFFSET(H33,-13,0,14,1)),(I32*13+H33)/14))</f>
        <v>0.00961636167054132</v>
      </c>
      <c r="J33" s="9" t="b">
        <f aca="false">IF(AND(ISNUMBER(F33),ISNUMBER(G33),ISNUMBER(F32),ISNUMBER(G32)),AND(F33&gt;G33,F32&lt;=G32),FALSE())</f>
        <v>0</v>
      </c>
      <c r="K33" s="9" t="b">
        <f aca="false">IF(AND(ISNUMBER(F33),ISNUMBER(G33),ISNUMBER(F32),ISNUMBER(G32)),AND(F33&lt;G33,F32&gt;=G32),FALSE())</f>
        <v>0</v>
      </c>
      <c r="L33" s="8" t="n">
        <f aca="false">IF(ISNUMBER(I33),E33-Inputs!$B$6*I33,"")</f>
        <v>0.803980901275003</v>
      </c>
      <c r="M33" s="9" t="b">
        <f aca="false">AND(Y32&gt;0,Z32)</f>
        <v>0</v>
      </c>
      <c r="N33" s="8" t="n">
        <f aca="false">B33*(1-Inputs!$B$12)</f>
        <v>0.826661431586724</v>
      </c>
      <c r="O33" s="10" t="n">
        <f aca="false">IF(M33,Y32*(N33-AB32)-Inputs!$B$9-Y32*AD32*Inputs!$B$13*(A33-AC32),0)</f>
        <v>0</v>
      </c>
      <c r="P33" s="10" t="n">
        <f aca="false">X32+O33</f>
        <v>1000</v>
      </c>
      <c r="Q33" s="9" t="b">
        <f aca="false">AND(IF(M33,0,Y32)=0,AA32,IF(ISNUMBER(AE32),B33&gt;AE32,FALSE()))</f>
        <v>0</v>
      </c>
      <c r="R33" s="8" t="n">
        <f aca="false">B33*(1+Inputs!$B$12)</f>
        <v>0.826992162305503</v>
      </c>
      <c r="S33" s="11" t="n">
        <f aca="false">IF(Q33,MIN(P33*Inputs!$B$3/(R33-AE32),P33*Inputs!$B$11/R33),0)</f>
        <v>0</v>
      </c>
      <c r="T33" s="11" t="n">
        <f aca="false">IF(Q33,S33,IF(M33,0,Y32))</f>
        <v>0</v>
      </c>
      <c r="U33" s="8" t="n">
        <f aca="false">IF(Q33,AE32,AF32)</f>
        <v>0</v>
      </c>
      <c r="V33" s="9" t="b">
        <f aca="false">AND(T33&gt;0,D33&lt;=U33)</f>
        <v>0</v>
      </c>
      <c r="W33" s="10" t="n">
        <f aca="false">IF(V33,T33*(AK33-AB33)-Inputs!$B$9-T33*AD33*Inputs!$B$13*(A33-AC33),0)</f>
        <v>0</v>
      </c>
      <c r="X33" s="10" t="n">
        <f aca="false">P33-IF(Q33,Inputs!$B$9,0)+W33</f>
        <v>1000</v>
      </c>
      <c r="Y33" s="11" t="n">
        <f aca="false">IF(V33,0,T33)</f>
        <v>0</v>
      </c>
      <c r="Z33" s="9" t="b">
        <f aca="false">AND(Y33&gt;0,K33)</f>
        <v>0</v>
      </c>
      <c r="AA33" s="9" t="b">
        <f aca="false">AND(Y33=0,J33,ISNUMBER(L33))</f>
        <v>0</v>
      </c>
      <c r="AB33" s="8" t="n">
        <f aca="false">IF(Q33,R33,AB32)</f>
        <v>0</v>
      </c>
      <c r="AC33" s="12" t="n">
        <f aca="false">IF(Q33,A33,AC32)</f>
        <v>0</v>
      </c>
      <c r="AD33" s="8" t="n">
        <f aca="false">IF(Q33,B33,AD32)</f>
        <v>0</v>
      </c>
      <c r="AE33" s="8" t="str">
        <f aca="false">IF(AA33,L33,"")</f>
        <v/>
      </c>
      <c r="AF33" s="8" t="n">
        <f aca="false">U33</f>
        <v>0</v>
      </c>
      <c r="AG33" s="2" t="n">
        <f aca="false">AG32+IF(Q33,1,0)</f>
        <v>0</v>
      </c>
      <c r="AH33" s="2" t="n">
        <f aca="false">AG32</f>
        <v>0</v>
      </c>
      <c r="AI33" s="10" t="n">
        <f aca="false">X33+Y33*(E33-AB33)-Y33*AD33*Inputs!$B$13*(A33-AC33)</f>
        <v>1000</v>
      </c>
      <c r="AJ33" s="10" t="n">
        <v>0</v>
      </c>
      <c r="AK33" s="8" t="n">
        <f aca="false">IF(AND(B33&lt;=U33,NOT(Q33)),B33,U33)*(1-Inputs!$B$12)</f>
        <v>0</v>
      </c>
    </row>
    <row r="34" customFormat="false" ht="15" hidden="false" customHeight="false" outlineLevel="0" collapsed="false">
      <c r="A34" s="6" t="n">
        <v>44818</v>
      </c>
      <c r="B34" s="7" t="n">
        <v>0.823213624616086</v>
      </c>
      <c r="C34" s="7" t="n">
        <v>0.823277045903753</v>
      </c>
      <c r="D34" s="7" t="n">
        <v>0.814370635861344</v>
      </c>
      <c r="E34" s="7" t="n">
        <v>0.820169466020004</v>
      </c>
      <c r="F34" s="8" t="n">
        <f aca="true">IF(ROW()-2&gt;=Inputs!$B$4,AVERAGE(OFFSET(E34,1-Inputs!$B$4,0,Inputs!$B$4,1)),"")</f>
        <v>0.834336486739483</v>
      </c>
      <c r="G34" s="8" t="str">
        <f aca="true">IF(ROW()-2&gt;=Inputs!$B$5,AVERAGE(OFFSET(E34,1-Inputs!$B$5,0,Inputs!$B$5,1)),"")</f>
        <v/>
      </c>
      <c r="H34" s="8" t="n">
        <f aca="false">MAX(C34-D34,ABS(C34-E33),ABS(D34-E33))</f>
        <v>0.00890641004240911</v>
      </c>
      <c r="I34" s="8" t="n">
        <f aca="true">IF(ROW()-2&lt;14,"",IF(ROW()-2=14,AVERAGE(OFFSET(H34,-13,0,14,1)),(I33*13+H34)/14))</f>
        <v>0.00956565083996045</v>
      </c>
      <c r="J34" s="9" t="b">
        <f aca="false">IF(AND(ISNUMBER(F34),ISNUMBER(G34),ISNUMBER(F33),ISNUMBER(G33)),AND(F34&gt;G34,F33&lt;=G33),FALSE())</f>
        <v>0</v>
      </c>
      <c r="K34" s="9" t="b">
        <f aca="false">IF(AND(ISNUMBER(F34),ISNUMBER(G34),ISNUMBER(F33),ISNUMBER(G33)),AND(F34&lt;G34,F33&gt;=G33),FALSE())</f>
        <v>0</v>
      </c>
      <c r="L34" s="8" t="n">
        <f aca="false">IF(ISNUMBER(I34),E34-Inputs!$B$6*I34,"")</f>
        <v>0.801038164340083</v>
      </c>
      <c r="M34" s="9" t="b">
        <f aca="false">AND(Y33&gt;0,Z33)</f>
        <v>0</v>
      </c>
      <c r="N34" s="8" t="n">
        <f aca="false">B34*(1-Inputs!$B$12)</f>
        <v>0.823048981891163</v>
      </c>
      <c r="O34" s="10" t="n">
        <f aca="false">IF(M34,Y33*(N34-AB33)-Inputs!$B$9-Y33*AD33*Inputs!$B$13*(A34-AC33),0)</f>
        <v>0</v>
      </c>
      <c r="P34" s="10" t="n">
        <f aca="false">X33+O34</f>
        <v>1000</v>
      </c>
      <c r="Q34" s="9" t="b">
        <f aca="false">AND(IF(M34,0,Y33)=0,AA33,IF(ISNUMBER(AE33),B34&gt;AE33,FALSE()))</f>
        <v>0</v>
      </c>
      <c r="R34" s="8" t="n">
        <f aca="false">B34*(1+Inputs!$B$12)</f>
        <v>0.823378267341009</v>
      </c>
      <c r="S34" s="11" t="n">
        <f aca="false">IF(Q34,MIN(P34*Inputs!$B$3/(R34-AE33),P34*Inputs!$B$11/R34),0)</f>
        <v>0</v>
      </c>
      <c r="T34" s="11" t="n">
        <f aca="false">IF(Q34,S34,IF(M34,0,Y33))</f>
        <v>0</v>
      </c>
      <c r="U34" s="8" t="n">
        <f aca="false">IF(Q34,AE33,AF33)</f>
        <v>0</v>
      </c>
      <c r="V34" s="9" t="b">
        <f aca="false">AND(T34&gt;0,D34&lt;=U34)</f>
        <v>0</v>
      </c>
      <c r="W34" s="10" t="n">
        <f aca="false">IF(V34,T34*(AK34-AB34)-Inputs!$B$9-T34*AD34*Inputs!$B$13*(A34-AC34),0)</f>
        <v>0</v>
      </c>
      <c r="X34" s="10" t="n">
        <f aca="false">P34-IF(Q34,Inputs!$B$9,0)+W34</f>
        <v>1000</v>
      </c>
      <c r="Y34" s="11" t="n">
        <f aca="false">IF(V34,0,T34)</f>
        <v>0</v>
      </c>
      <c r="Z34" s="9" t="b">
        <f aca="false">AND(Y34&gt;0,K34)</f>
        <v>0</v>
      </c>
      <c r="AA34" s="9" t="b">
        <f aca="false">AND(Y34=0,J34,ISNUMBER(L34))</f>
        <v>0</v>
      </c>
      <c r="AB34" s="8" t="n">
        <f aca="false">IF(Q34,R34,AB33)</f>
        <v>0</v>
      </c>
      <c r="AC34" s="12" t="n">
        <f aca="false">IF(Q34,A34,AC33)</f>
        <v>0</v>
      </c>
      <c r="AD34" s="8" t="n">
        <f aca="false">IF(Q34,B34,AD33)</f>
        <v>0</v>
      </c>
      <c r="AE34" s="8" t="str">
        <f aca="false">IF(AA34,L34,"")</f>
        <v/>
      </c>
      <c r="AF34" s="8" t="n">
        <f aca="false">U34</f>
        <v>0</v>
      </c>
      <c r="AG34" s="2" t="n">
        <f aca="false">AG33+IF(Q34,1,0)</f>
        <v>0</v>
      </c>
      <c r="AH34" s="2" t="n">
        <f aca="false">AG33</f>
        <v>0</v>
      </c>
      <c r="AI34" s="10" t="n">
        <f aca="false">X34+Y34*(E34-AB34)-Y34*AD34*Inputs!$B$13*(A34-AC34)</f>
        <v>1000</v>
      </c>
      <c r="AJ34" s="10" t="n">
        <v>0</v>
      </c>
      <c r="AK34" s="8" t="n">
        <f aca="false">IF(AND(B34&lt;=U34,NOT(Q34)),B34,U34)*(1-Inputs!$B$12)</f>
        <v>0</v>
      </c>
    </row>
    <row r="35" customFormat="false" ht="15" hidden="false" customHeight="false" outlineLevel="0" collapsed="false">
      <c r="A35" s="6" t="n">
        <v>44819</v>
      </c>
      <c r="B35" s="7" t="n">
        <v>0.820169466020004</v>
      </c>
      <c r="C35" s="7" t="n">
        <v>0.83024254683608</v>
      </c>
      <c r="D35" s="7" t="n">
        <v>0.81930672446501</v>
      </c>
      <c r="E35" s="7" t="n">
        <v>0.82674653123329</v>
      </c>
      <c r="F35" s="8" t="n">
        <f aca="true">IF(ROW()-2&gt;=Inputs!$B$4,AVERAGE(OFFSET(E35,1-Inputs!$B$4,0,Inputs!$B$4,1)),"")</f>
        <v>0.833284206898498</v>
      </c>
      <c r="G35" s="8" t="str">
        <f aca="true">IF(ROW()-2&gt;=Inputs!$B$5,AVERAGE(OFFSET(E35,1-Inputs!$B$5,0,Inputs!$B$5,1)),"")</f>
        <v/>
      </c>
      <c r="H35" s="8" t="n">
        <f aca="false">MAX(C35-D35,ABS(C35-E34),ABS(D35-E34))</f>
        <v>0.01093582237107</v>
      </c>
      <c r="I35" s="8" t="n">
        <f aca="true">IF(ROW()-2&lt;14,"",IF(ROW()-2=14,AVERAGE(OFFSET(H35,-13,0,14,1)),(I34*13+H35)/14))</f>
        <v>0.0096635202350397</v>
      </c>
      <c r="J35" s="9" t="b">
        <f aca="false">IF(AND(ISNUMBER(F35),ISNUMBER(G35),ISNUMBER(F34),ISNUMBER(G34)),AND(F35&gt;G35,F34&lt;=G34),FALSE())</f>
        <v>0</v>
      </c>
      <c r="K35" s="9" t="b">
        <f aca="false">IF(AND(ISNUMBER(F35),ISNUMBER(G35),ISNUMBER(F34),ISNUMBER(G34)),AND(F35&lt;G35,F34&gt;=G34),FALSE())</f>
        <v>0</v>
      </c>
      <c r="L35" s="8" t="n">
        <f aca="false">IF(ISNUMBER(I35),E35-Inputs!$B$6*I35,"")</f>
        <v>0.80741949076321</v>
      </c>
      <c r="M35" s="9" t="b">
        <f aca="false">AND(Y34&gt;0,Z34)</f>
        <v>0</v>
      </c>
      <c r="N35" s="8" t="n">
        <f aca="false">B35*(1-Inputs!$B$12)</f>
        <v>0.8200054321268</v>
      </c>
      <c r="O35" s="10" t="n">
        <f aca="false">IF(M35,Y34*(N35-AB34)-Inputs!$B$9-Y34*AD34*Inputs!$B$13*(A35-AC34),0)</f>
        <v>0</v>
      </c>
      <c r="P35" s="10" t="n">
        <f aca="false">X34+O35</f>
        <v>1000</v>
      </c>
      <c r="Q35" s="9" t="b">
        <f aca="false">AND(IF(M35,0,Y34)=0,AA34,IF(ISNUMBER(AE34),B35&gt;AE34,FALSE()))</f>
        <v>0</v>
      </c>
      <c r="R35" s="8" t="n">
        <f aca="false">B35*(1+Inputs!$B$12)</f>
        <v>0.820333499913208</v>
      </c>
      <c r="S35" s="11" t="n">
        <f aca="false">IF(Q35,MIN(P35*Inputs!$B$3/(R35-AE34),P35*Inputs!$B$11/R35),0)</f>
        <v>0</v>
      </c>
      <c r="T35" s="11" t="n">
        <f aca="false">IF(Q35,S35,IF(M35,0,Y34))</f>
        <v>0</v>
      </c>
      <c r="U35" s="8" t="n">
        <f aca="false">IF(Q35,AE34,AF34)</f>
        <v>0</v>
      </c>
      <c r="V35" s="9" t="b">
        <f aca="false">AND(T35&gt;0,D35&lt;=U35)</f>
        <v>0</v>
      </c>
      <c r="W35" s="10" t="n">
        <f aca="false">IF(V35,T35*(AK35-AB35)-Inputs!$B$9-T35*AD35*Inputs!$B$13*(A35-AC35),0)</f>
        <v>0</v>
      </c>
      <c r="X35" s="10" t="n">
        <f aca="false">P35-IF(Q35,Inputs!$B$9,0)+W35</f>
        <v>1000</v>
      </c>
      <c r="Y35" s="11" t="n">
        <f aca="false">IF(V35,0,T35)</f>
        <v>0</v>
      </c>
      <c r="Z35" s="9" t="b">
        <f aca="false">AND(Y35&gt;0,K35)</f>
        <v>0</v>
      </c>
      <c r="AA35" s="9" t="b">
        <f aca="false">AND(Y35=0,J35,ISNUMBER(L35))</f>
        <v>0</v>
      </c>
      <c r="AB35" s="8" t="n">
        <f aca="false">IF(Q35,R35,AB34)</f>
        <v>0</v>
      </c>
      <c r="AC35" s="12" t="n">
        <f aca="false">IF(Q35,A35,AC34)</f>
        <v>0</v>
      </c>
      <c r="AD35" s="8" t="n">
        <f aca="false">IF(Q35,B35,AD34)</f>
        <v>0</v>
      </c>
      <c r="AE35" s="8" t="str">
        <f aca="false">IF(AA35,L35,"")</f>
        <v/>
      </c>
      <c r="AF35" s="8" t="n">
        <f aca="false">U35</f>
        <v>0</v>
      </c>
      <c r="AG35" s="2" t="n">
        <f aca="false">AG34+IF(Q35,1,0)</f>
        <v>0</v>
      </c>
      <c r="AH35" s="2" t="n">
        <f aca="false">AG34</f>
        <v>0</v>
      </c>
      <c r="AI35" s="10" t="n">
        <f aca="false">X35+Y35*(E35-AB35)-Y35*AD35*Inputs!$B$13*(A35-AC35)</f>
        <v>1000</v>
      </c>
      <c r="AJ35" s="10" t="n">
        <v>0</v>
      </c>
      <c r="AK35" s="8" t="n">
        <f aca="false">IF(AND(B35&lt;=U35,NOT(Q35)),B35,U35)*(1-Inputs!$B$12)</f>
        <v>0</v>
      </c>
    </row>
    <row r="36" customFormat="false" ht="15" hidden="false" customHeight="false" outlineLevel="0" collapsed="false">
      <c r="A36" s="6" t="n">
        <v>44820</v>
      </c>
      <c r="B36" s="7" t="n">
        <v>0.82674653123329</v>
      </c>
      <c r="C36" s="7" t="n">
        <v>0.839139274153868</v>
      </c>
      <c r="D36" s="7" t="n">
        <v>0.825987558344739</v>
      </c>
      <c r="E36" s="7" t="n">
        <v>0.834091810267867</v>
      </c>
      <c r="F36" s="8" t="n">
        <f aca="true">IF(ROW()-2&gt;=Inputs!$B$4,AVERAGE(OFFSET(E36,1-Inputs!$B$4,0,Inputs!$B$4,1)),"")</f>
        <v>0.832657149504412</v>
      </c>
      <c r="G36" s="8" t="str">
        <f aca="true">IF(ROW()-2&gt;=Inputs!$B$5,AVERAGE(OFFSET(E36,1-Inputs!$B$5,0,Inputs!$B$5,1)),"")</f>
        <v/>
      </c>
      <c r="H36" s="8" t="n">
        <f aca="false">MAX(C36-D36,ABS(C36-E35),ABS(D36-E35))</f>
        <v>0.0131517158091283</v>
      </c>
      <c r="I36" s="8" t="n">
        <f aca="true">IF(ROW()-2&lt;14,"",IF(ROW()-2=14,AVERAGE(OFFSET(H36,-13,0,14,1)),(I35*13+H36)/14))</f>
        <v>0.00991267706176032</v>
      </c>
      <c r="J36" s="9" t="b">
        <f aca="false">IF(AND(ISNUMBER(F36),ISNUMBER(G36),ISNUMBER(F35),ISNUMBER(G35)),AND(F36&gt;G36,F35&lt;=G35),FALSE())</f>
        <v>0</v>
      </c>
      <c r="K36" s="9" t="b">
        <f aca="false">IF(AND(ISNUMBER(F36),ISNUMBER(G36),ISNUMBER(F35),ISNUMBER(G35)),AND(F36&lt;G36,F35&gt;=G35),FALSE())</f>
        <v>0</v>
      </c>
      <c r="L36" s="8" t="n">
        <f aca="false">IF(ISNUMBER(I36),E36-Inputs!$B$6*I36,"")</f>
        <v>0.814266456144347</v>
      </c>
      <c r="M36" s="9" t="b">
        <f aca="false">AND(Y35&gt;0,Z35)</f>
        <v>0</v>
      </c>
      <c r="N36" s="8" t="n">
        <f aca="false">B36*(1-Inputs!$B$12)</f>
        <v>0.826581181927043</v>
      </c>
      <c r="O36" s="10" t="n">
        <f aca="false">IF(M36,Y35*(N36-AB35)-Inputs!$B$9-Y35*AD35*Inputs!$B$13*(A36-AC35),0)</f>
        <v>0</v>
      </c>
      <c r="P36" s="10" t="n">
        <f aca="false">X35+O36</f>
        <v>1000</v>
      </c>
      <c r="Q36" s="9" t="b">
        <f aca="false">AND(IF(M36,0,Y35)=0,AA35,IF(ISNUMBER(AE35),B36&gt;AE35,FALSE()))</f>
        <v>0</v>
      </c>
      <c r="R36" s="8" t="n">
        <f aca="false">B36*(1+Inputs!$B$12)</f>
        <v>0.826911880539536</v>
      </c>
      <c r="S36" s="11" t="n">
        <f aca="false">IF(Q36,MIN(P36*Inputs!$B$3/(R36-AE35),P36*Inputs!$B$11/R36),0)</f>
        <v>0</v>
      </c>
      <c r="T36" s="11" t="n">
        <f aca="false">IF(Q36,S36,IF(M36,0,Y35))</f>
        <v>0</v>
      </c>
      <c r="U36" s="8" t="n">
        <f aca="false">IF(Q36,AE35,AF35)</f>
        <v>0</v>
      </c>
      <c r="V36" s="9" t="b">
        <f aca="false">AND(T36&gt;0,D36&lt;=U36)</f>
        <v>0</v>
      </c>
      <c r="W36" s="10" t="n">
        <f aca="false">IF(V36,T36*(AK36-AB36)-Inputs!$B$9-T36*AD36*Inputs!$B$13*(A36-AC36),0)</f>
        <v>0</v>
      </c>
      <c r="X36" s="10" t="n">
        <f aca="false">P36-IF(Q36,Inputs!$B$9,0)+W36</f>
        <v>1000</v>
      </c>
      <c r="Y36" s="11" t="n">
        <f aca="false">IF(V36,0,T36)</f>
        <v>0</v>
      </c>
      <c r="Z36" s="9" t="b">
        <f aca="false">AND(Y36&gt;0,K36)</f>
        <v>0</v>
      </c>
      <c r="AA36" s="9" t="b">
        <f aca="false">AND(Y36=0,J36,ISNUMBER(L36))</f>
        <v>0</v>
      </c>
      <c r="AB36" s="8" t="n">
        <f aca="false">IF(Q36,R36,AB35)</f>
        <v>0</v>
      </c>
      <c r="AC36" s="12" t="n">
        <f aca="false">IF(Q36,A36,AC35)</f>
        <v>0</v>
      </c>
      <c r="AD36" s="8" t="n">
        <f aca="false">IF(Q36,B36,AD35)</f>
        <v>0</v>
      </c>
      <c r="AE36" s="8" t="str">
        <f aca="false">IF(AA36,L36,"")</f>
        <v/>
      </c>
      <c r="AF36" s="8" t="n">
        <f aca="false">U36</f>
        <v>0</v>
      </c>
      <c r="AG36" s="2" t="n">
        <f aca="false">AG35+IF(Q36,1,0)</f>
        <v>0</v>
      </c>
      <c r="AH36" s="2" t="n">
        <f aca="false">AG35</f>
        <v>0</v>
      </c>
      <c r="AI36" s="10" t="n">
        <f aca="false">X36+Y36*(E36-AB36)-Y36*AD36*Inputs!$B$13*(A36-AC36)</f>
        <v>1000</v>
      </c>
      <c r="AJ36" s="10" t="n">
        <v>0</v>
      </c>
      <c r="AK36" s="8" t="n">
        <f aca="false">IF(AND(B36&lt;=U36,NOT(Q36)),B36,U36)*(1-Inputs!$B$12)</f>
        <v>0</v>
      </c>
    </row>
    <row r="37" customFormat="false" ht="15" hidden="false" customHeight="false" outlineLevel="0" collapsed="false">
      <c r="A37" s="6" t="n">
        <v>44821</v>
      </c>
      <c r="B37" s="7" t="n">
        <v>0.834091810267867</v>
      </c>
      <c r="C37" s="7" t="n">
        <v>0.843802931113707</v>
      </c>
      <c r="D37" s="7" t="n">
        <v>0.833205624604537</v>
      </c>
      <c r="E37" s="7" t="n">
        <v>0.838231731858749</v>
      </c>
      <c r="F37" s="8" t="n">
        <f aca="true">IF(ROW()-2&gt;=Inputs!$B$4,AVERAGE(OFFSET(E37,1-Inputs!$B$4,0,Inputs!$B$4,1)),"")</f>
        <v>0.831952939014108</v>
      </c>
      <c r="G37" s="8" t="str">
        <f aca="true">IF(ROW()-2&gt;=Inputs!$B$5,AVERAGE(OFFSET(E37,1-Inputs!$B$5,0,Inputs!$B$5,1)),"")</f>
        <v/>
      </c>
      <c r="H37" s="8" t="n">
        <f aca="false">MAX(C37-D37,ABS(C37-E36),ABS(D37-E36))</f>
        <v>0.0105973065091698</v>
      </c>
      <c r="I37" s="8" t="n">
        <f aca="true">IF(ROW()-2&lt;14,"",IF(ROW()-2=14,AVERAGE(OFFSET(H37,-13,0,14,1)),(I36*13+H37)/14))</f>
        <v>0.00996157916514671</v>
      </c>
      <c r="J37" s="9" t="b">
        <f aca="false">IF(AND(ISNUMBER(F37),ISNUMBER(G37),ISNUMBER(F36),ISNUMBER(G36)),AND(F37&gt;G37,F36&lt;=G36),FALSE())</f>
        <v>0</v>
      </c>
      <c r="K37" s="9" t="b">
        <f aca="false">IF(AND(ISNUMBER(F37),ISNUMBER(G37),ISNUMBER(F36),ISNUMBER(G36)),AND(F37&lt;G37,F36&gt;=G36),FALSE())</f>
        <v>0</v>
      </c>
      <c r="L37" s="8" t="n">
        <f aca="false">IF(ISNUMBER(I37),E37-Inputs!$B$6*I37,"")</f>
        <v>0.818308573528455</v>
      </c>
      <c r="M37" s="9" t="b">
        <f aca="false">AND(Y36&gt;0,Z36)</f>
        <v>0</v>
      </c>
      <c r="N37" s="8" t="n">
        <f aca="false">B37*(1-Inputs!$B$12)</f>
        <v>0.833924991905814</v>
      </c>
      <c r="O37" s="10" t="n">
        <f aca="false">IF(M37,Y36*(N37-AB36)-Inputs!$B$9-Y36*AD36*Inputs!$B$13*(A37-AC36),0)</f>
        <v>0</v>
      </c>
      <c r="P37" s="10" t="n">
        <f aca="false">X36+O37</f>
        <v>1000</v>
      </c>
      <c r="Q37" s="9" t="b">
        <f aca="false">AND(IF(M37,0,Y36)=0,AA36,IF(ISNUMBER(AE36),B37&gt;AE36,FALSE()))</f>
        <v>0</v>
      </c>
      <c r="R37" s="8" t="n">
        <f aca="false">B37*(1+Inputs!$B$12)</f>
        <v>0.834258628629921</v>
      </c>
      <c r="S37" s="11" t="n">
        <f aca="false">IF(Q37,MIN(P37*Inputs!$B$3/(R37-AE36),P37*Inputs!$B$11/R37),0)</f>
        <v>0</v>
      </c>
      <c r="T37" s="11" t="n">
        <f aca="false">IF(Q37,S37,IF(M37,0,Y36))</f>
        <v>0</v>
      </c>
      <c r="U37" s="8" t="n">
        <f aca="false">IF(Q37,AE36,AF36)</f>
        <v>0</v>
      </c>
      <c r="V37" s="9" t="b">
        <f aca="false">AND(T37&gt;0,D37&lt;=U37)</f>
        <v>0</v>
      </c>
      <c r="W37" s="10" t="n">
        <f aca="false">IF(V37,T37*(AK37-AB37)-Inputs!$B$9-T37*AD37*Inputs!$B$13*(A37-AC37),0)</f>
        <v>0</v>
      </c>
      <c r="X37" s="10" t="n">
        <f aca="false">P37-IF(Q37,Inputs!$B$9,0)+W37</f>
        <v>1000</v>
      </c>
      <c r="Y37" s="11" t="n">
        <f aca="false">IF(V37,0,T37)</f>
        <v>0</v>
      </c>
      <c r="Z37" s="9" t="b">
        <f aca="false">AND(Y37&gt;0,K37)</f>
        <v>0</v>
      </c>
      <c r="AA37" s="9" t="b">
        <f aca="false">AND(Y37=0,J37,ISNUMBER(L37))</f>
        <v>0</v>
      </c>
      <c r="AB37" s="8" t="n">
        <f aca="false">IF(Q37,R37,AB36)</f>
        <v>0</v>
      </c>
      <c r="AC37" s="12" t="n">
        <f aca="false">IF(Q37,A37,AC36)</f>
        <v>0</v>
      </c>
      <c r="AD37" s="8" t="n">
        <f aca="false">IF(Q37,B37,AD36)</f>
        <v>0</v>
      </c>
      <c r="AE37" s="8" t="str">
        <f aca="false">IF(AA37,L37,"")</f>
        <v/>
      </c>
      <c r="AF37" s="8" t="n">
        <f aca="false">U37</f>
        <v>0</v>
      </c>
      <c r="AG37" s="2" t="n">
        <f aca="false">AG36+IF(Q37,1,0)</f>
        <v>0</v>
      </c>
      <c r="AH37" s="2" t="n">
        <f aca="false">AG36</f>
        <v>0</v>
      </c>
      <c r="AI37" s="10" t="n">
        <f aca="false">X37+Y37*(E37-AB37)-Y37*AD37*Inputs!$B$13*(A37-AC37)</f>
        <v>1000</v>
      </c>
      <c r="AJ37" s="10" t="n">
        <v>0</v>
      </c>
      <c r="AK37" s="8" t="n">
        <f aca="false">IF(AND(B37&lt;=U37,NOT(Q37)),B37,U37)*(1-Inputs!$B$12)</f>
        <v>0</v>
      </c>
    </row>
    <row r="38" customFormat="false" ht="15" hidden="false" customHeight="false" outlineLevel="0" collapsed="false">
      <c r="A38" s="6" t="n">
        <v>44822</v>
      </c>
      <c r="B38" s="7" t="n">
        <v>0.838231731858749</v>
      </c>
      <c r="C38" s="7" t="n">
        <v>0.845993889122811</v>
      </c>
      <c r="D38" s="7" t="n">
        <v>0.836435678972356</v>
      </c>
      <c r="E38" s="7" t="n">
        <v>0.839435031029918</v>
      </c>
      <c r="F38" s="8" t="n">
        <f aca="true">IF(ROW()-2&gt;=Inputs!$B$4,AVERAGE(OFFSET(E38,1-Inputs!$B$4,0,Inputs!$B$4,1)),"")</f>
        <v>0.831551150254118</v>
      </c>
      <c r="G38" s="8" t="str">
        <f aca="true">IF(ROW()-2&gt;=Inputs!$B$5,AVERAGE(OFFSET(E38,1-Inputs!$B$5,0,Inputs!$B$5,1)),"")</f>
        <v/>
      </c>
      <c r="H38" s="8" t="n">
        <f aca="false">MAX(C38-D38,ABS(C38-E37),ABS(D38-E37))</f>
        <v>0.00955821015045466</v>
      </c>
      <c r="I38" s="8" t="n">
        <f aca="true">IF(ROW()-2&lt;14,"",IF(ROW()-2=14,AVERAGE(OFFSET(H38,-13,0,14,1)),(I37*13+H38)/14))</f>
        <v>0.00993276709266871</v>
      </c>
      <c r="J38" s="9" t="b">
        <f aca="false">IF(AND(ISNUMBER(F38),ISNUMBER(G38),ISNUMBER(F37),ISNUMBER(G37)),AND(F38&gt;G38,F37&lt;=G37),FALSE())</f>
        <v>0</v>
      </c>
      <c r="K38" s="9" t="b">
        <f aca="false">IF(AND(ISNUMBER(F38),ISNUMBER(G38),ISNUMBER(F37),ISNUMBER(G37)),AND(F38&lt;G38,F37&gt;=G37),FALSE())</f>
        <v>0</v>
      </c>
      <c r="L38" s="8" t="n">
        <f aca="false">IF(ISNUMBER(I38),E38-Inputs!$B$6*I38,"")</f>
        <v>0.81956949684458</v>
      </c>
      <c r="M38" s="9" t="b">
        <f aca="false">AND(Y37&gt;0,Z37)</f>
        <v>0</v>
      </c>
      <c r="N38" s="8" t="n">
        <f aca="false">B38*(1-Inputs!$B$12)</f>
        <v>0.838064085512377</v>
      </c>
      <c r="O38" s="10" t="n">
        <f aca="false">IF(M38,Y37*(N38-AB37)-Inputs!$B$9-Y37*AD37*Inputs!$B$13*(A38-AC37),0)</f>
        <v>0</v>
      </c>
      <c r="P38" s="10" t="n">
        <f aca="false">X37+O38</f>
        <v>1000</v>
      </c>
      <c r="Q38" s="9" t="b">
        <f aca="false">AND(IF(M38,0,Y37)=0,AA37,IF(ISNUMBER(AE37),B38&gt;AE37,FALSE()))</f>
        <v>0</v>
      </c>
      <c r="R38" s="8" t="n">
        <f aca="false">B38*(1+Inputs!$B$12)</f>
        <v>0.838399378205121</v>
      </c>
      <c r="S38" s="11" t="n">
        <f aca="false">IF(Q38,MIN(P38*Inputs!$B$3/(R38-AE37),P38*Inputs!$B$11/R38),0)</f>
        <v>0</v>
      </c>
      <c r="T38" s="11" t="n">
        <f aca="false">IF(Q38,S38,IF(M38,0,Y37))</f>
        <v>0</v>
      </c>
      <c r="U38" s="8" t="n">
        <f aca="false">IF(Q38,AE37,AF37)</f>
        <v>0</v>
      </c>
      <c r="V38" s="9" t="b">
        <f aca="false">AND(T38&gt;0,D38&lt;=U38)</f>
        <v>0</v>
      </c>
      <c r="W38" s="10" t="n">
        <f aca="false">IF(V38,T38*(AK38-AB38)-Inputs!$B$9-T38*AD38*Inputs!$B$13*(A38-AC38),0)</f>
        <v>0</v>
      </c>
      <c r="X38" s="10" t="n">
        <f aca="false">P38-IF(Q38,Inputs!$B$9,0)+W38</f>
        <v>1000</v>
      </c>
      <c r="Y38" s="11" t="n">
        <f aca="false">IF(V38,0,T38)</f>
        <v>0</v>
      </c>
      <c r="Z38" s="9" t="b">
        <f aca="false">AND(Y38&gt;0,K38)</f>
        <v>0</v>
      </c>
      <c r="AA38" s="9" t="b">
        <f aca="false">AND(Y38=0,J38,ISNUMBER(L38))</f>
        <v>0</v>
      </c>
      <c r="AB38" s="8" t="n">
        <f aca="false">IF(Q38,R38,AB37)</f>
        <v>0</v>
      </c>
      <c r="AC38" s="12" t="n">
        <f aca="false">IF(Q38,A38,AC37)</f>
        <v>0</v>
      </c>
      <c r="AD38" s="8" t="n">
        <f aca="false">IF(Q38,B38,AD37)</f>
        <v>0</v>
      </c>
      <c r="AE38" s="8" t="str">
        <f aca="false">IF(AA38,L38,"")</f>
        <v/>
      </c>
      <c r="AF38" s="8" t="n">
        <f aca="false">U38</f>
        <v>0</v>
      </c>
      <c r="AG38" s="2" t="n">
        <f aca="false">AG37+IF(Q38,1,0)</f>
        <v>0</v>
      </c>
      <c r="AH38" s="2" t="n">
        <f aca="false">AG37</f>
        <v>0</v>
      </c>
      <c r="AI38" s="10" t="n">
        <f aca="false">X38+Y38*(E38-AB38)-Y38*AD38*Inputs!$B$13*(A38-AC38)</f>
        <v>1000</v>
      </c>
      <c r="AJ38" s="10" t="n">
        <v>0</v>
      </c>
      <c r="AK38" s="8" t="n">
        <f aca="false">IF(AND(B38&lt;=U38,NOT(Q38)),B38,U38)*(1-Inputs!$B$12)</f>
        <v>0</v>
      </c>
    </row>
    <row r="39" customFormat="false" ht="15" hidden="false" customHeight="false" outlineLevel="0" collapsed="false">
      <c r="A39" s="6" t="n">
        <v>44823</v>
      </c>
      <c r="B39" s="7" t="n">
        <v>0.839435031029918</v>
      </c>
      <c r="C39" s="7" t="n">
        <v>0.839552775576252</v>
      </c>
      <c r="D39" s="7" t="n">
        <v>0.833884259326569</v>
      </c>
      <c r="E39" s="7" t="n">
        <v>0.838071281581283</v>
      </c>
      <c r="F39" s="8" t="n">
        <f aca="true">IF(ROW()-2&gt;=Inputs!$B$4,AVERAGE(OFFSET(E39,1-Inputs!$B$4,0,Inputs!$B$4,1)),"")</f>
        <v>0.831482711316885</v>
      </c>
      <c r="G39" s="8" t="str">
        <f aca="true">IF(ROW()-2&gt;=Inputs!$B$5,AVERAGE(OFFSET(E39,1-Inputs!$B$5,0,Inputs!$B$5,1)),"")</f>
        <v/>
      </c>
      <c r="H39" s="8" t="n">
        <f aca="false">MAX(C39-D39,ABS(C39-E38),ABS(D39-E38))</f>
        <v>0.00566851624968312</v>
      </c>
      <c r="I39" s="8" t="n">
        <f aca="true">IF(ROW()-2&lt;14,"",IF(ROW()-2=14,AVERAGE(OFFSET(H39,-13,0,14,1)),(I38*13+H39)/14))</f>
        <v>0.00962817774674117</v>
      </c>
      <c r="J39" s="9" t="b">
        <f aca="false">IF(AND(ISNUMBER(F39),ISNUMBER(G39),ISNUMBER(F38),ISNUMBER(G38)),AND(F39&gt;G39,F38&lt;=G38),FALSE())</f>
        <v>0</v>
      </c>
      <c r="K39" s="9" t="b">
        <f aca="false">IF(AND(ISNUMBER(F39),ISNUMBER(G39),ISNUMBER(F38),ISNUMBER(G38)),AND(F39&lt;G39,F38&gt;=G38),FALSE())</f>
        <v>0</v>
      </c>
      <c r="L39" s="8" t="n">
        <f aca="false">IF(ISNUMBER(I39),E39-Inputs!$B$6*I39,"")</f>
        <v>0.818814926087801</v>
      </c>
      <c r="M39" s="9" t="b">
        <f aca="false">AND(Y38&gt;0,Z38)</f>
        <v>0</v>
      </c>
      <c r="N39" s="8" t="n">
        <f aca="false">B39*(1-Inputs!$B$12)</f>
        <v>0.839267144023712</v>
      </c>
      <c r="O39" s="10" t="n">
        <f aca="false">IF(M39,Y38*(N39-AB38)-Inputs!$B$9-Y38*AD38*Inputs!$B$13*(A39-AC38),0)</f>
        <v>0</v>
      </c>
      <c r="P39" s="10" t="n">
        <f aca="false">X38+O39</f>
        <v>1000</v>
      </c>
      <c r="Q39" s="9" t="b">
        <f aca="false">AND(IF(M39,0,Y38)=0,AA38,IF(ISNUMBER(AE38),B39&gt;AE38,FALSE()))</f>
        <v>0</v>
      </c>
      <c r="R39" s="8" t="n">
        <f aca="false">B39*(1+Inputs!$B$12)</f>
        <v>0.839602918036124</v>
      </c>
      <c r="S39" s="11" t="n">
        <f aca="false">IF(Q39,MIN(P39*Inputs!$B$3/(R39-AE38),P39*Inputs!$B$11/R39),0)</f>
        <v>0</v>
      </c>
      <c r="T39" s="11" t="n">
        <f aca="false">IF(Q39,S39,IF(M39,0,Y38))</f>
        <v>0</v>
      </c>
      <c r="U39" s="8" t="n">
        <f aca="false">IF(Q39,AE38,AF38)</f>
        <v>0</v>
      </c>
      <c r="V39" s="9" t="b">
        <f aca="false">AND(T39&gt;0,D39&lt;=U39)</f>
        <v>0</v>
      </c>
      <c r="W39" s="10" t="n">
        <f aca="false">IF(V39,T39*(AK39-AB39)-Inputs!$B$9-T39*AD39*Inputs!$B$13*(A39-AC39),0)</f>
        <v>0</v>
      </c>
      <c r="X39" s="10" t="n">
        <f aca="false">P39-IF(Q39,Inputs!$B$9,0)+W39</f>
        <v>1000</v>
      </c>
      <c r="Y39" s="11" t="n">
        <f aca="false">IF(V39,0,T39)</f>
        <v>0</v>
      </c>
      <c r="Z39" s="9" t="b">
        <f aca="false">AND(Y39&gt;0,K39)</f>
        <v>0</v>
      </c>
      <c r="AA39" s="9" t="b">
        <f aca="false">AND(Y39=0,J39,ISNUMBER(L39))</f>
        <v>0</v>
      </c>
      <c r="AB39" s="8" t="n">
        <f aca="false">IF(Q39,R39,AB38)</f>
        <v>0</v>
      </c>
      <c r="AC39" s="12" t="n">
        <f aca="false">IF(Q39,A39,AC38)</f>
        <v>0</v>
      </c>
      <c r="AD39" s="8" t="n">
        <f aca="false">IF(Q39,B39,AD38)</f>
        <v>0</v>
      </c>
      <c r="AE39" s="8" t="str">
        <f aca="false">IF(AA39,L39,"")</f>
        <v/>
      </c>
      <c r="AF39" s="8" t="n">
        <f aca="false">U39</f>
        <v>0</v>
      </c>
      <c r="AG39" s="2" t="n">
        <f aca="false">AG38+IF(Q39,1,0)</f>
        <v>0</v>
      </c>
      <c r="AH39" s="2" t="n">
        <f aca="false">AG38</f>
        <v>0</v>
      </c>
      <c r="AI39" s="10" t="n">
        <f aca="false">X39+Y39*(E39-AB39)-Y39*AD39*Inputs!$B$13*(A39-AC39)</f>
        <v>1000</v>
      </c>
      <c r="AJ39" s="10" t="n">
        <v>0</v>
      </c>
      <c r="AK39" s="8" t="n">
        <f aca="false">IF(AND(B39&lt;=U39,NOT(Q39)),B39,U39)*(1-Inputs!$B$12)</f>
        <v>0</v>
      </c>
    </row>
    <row r="40" customFormat="false" ht="15" hidden="false" customHeight="false" outlineLevel="0" collapsed="false">
      <c r="A40" s="6" t="n">
        <v>44824</v>
      </c>
      <c r="B40" s="7" t="n">
        <v>0.838071281581283</v>
      </c>
      <c r="C40" s="7" t="n">
        <v>0.844191406829689</v>
      </c>
      <c r="D40" s="7" t="n">
        <v>0.833293839365219</v>
      </c>
      <c r="E40" s="7" t="n">
        <v>0.840912072241868</v>
      </c>
      <c r="F40" s="8" t="n">
        <f aca="true">IF(ROW()-2&gt;=Inputs!$B$4,AVERAGE(OFFSET(E40,1-Inputs!$B$4,0,Inputs!$B$4,1)),"")</f>
        <v>0.831751345864996</v>
      </c>
      <c r="G40" s="8" t="str">
        <f aca="true">IF(ROW()-2&gt;=Inputs!$B$5,AVERAGE(OFFSET(E40,1-Inputs!$B$5,0,Inputs!$B$5,1)),"")</f>
        <v/>
      </c>
      <c r="H40" s="8" t="n">
        <f aca="false">MAX(C40-D40,ABS(C40-E39),ABS(D40-E39))</f>
        <v>0.0108975674644703</v>
      </c>
      <c r="I40" s="8" t="n">
        <f aca="true">IF(ROW()-2&lt;14,"",IF(ROW()-2=14,AVERAGE(OFFSET(H40,-13,0,14,1)),(I39*13+H40)/14))</f>
        <v>0.00971884844086468</v>
      </c>
      <c r="J40" s="9" t="b">
        <f aca="false">IF(AND(ISNUMBER(F40),ISNUMBER(G40),ISNUMBER(F39),ISNUMBER(G39)),AND(F40&gt;G40,F39&lt;=G39),FALSE())</f>
        <v>0</v>
      </c>
      <c r="K40" s="9" t="b">
        <f aca="false">IF(AND(ISNUMBER(F40),ISNUMBER(G40),ISNUMBER(F39),ISNUMBER(G39)),AND(F40&lt;G40,F39&gt;=G39),FALSE())</f>
        <v>0</v>
      </c>
      <c r="L40" s="8" t="n">
        <f aca="false">IF(ISNUMBER(I40),E40-Inputs!$B$6*I40,"")</f>
        <v>0.821474375360139</v>
      </c>
      <c r="M40" s="9" t="b">
        <f aca="false">AND(Y39&gt;0,Z39)</f>
        <v>0</v>
      </c>
      <c r="N40" s="8" t="n">
        <f aca="false">B40*(1-Inputs!$B$12)</f>
        <v>0.837903667324967</v>
      </c>
      <c r="O40" s="10" t="n">
        <f aca="false">IF(M40,Y39*(N40-AB39)-Inputs!$B$9-Y39*AD39*Inputs!$B$13*(A40-AC39),0)</f>
        <v>0</v>
      </c>
      <c r="P40" s="10" t="n">
        <f aca="false">X39+O40</f>
        <v>1000</v>
      </c>
      <c r="Q40" s="9" t="b">
        <f aca="false">AND(IF(M40,0,Y39)=0,AA39,IF(ISNUMBER(AE39),B40&gt;AE39,FALSE()))</f>
        <v>0</v>
      </c>
      <c r="R40" s="8" t="n">
        <f aca="false">B40*(1+Inputs!$B$12)</f>
        <v>0.838238895837599</v>
      </c>
      <c r="S40" s="11" t="n">
        <f aca="false">IF(Q40,MIN(P40*Inputs!$B$3/(R40-AE39),P40*Inputs!$B$11/R40),0)</f>
        <v>0</v>
      </c>
      <c r="T40" s="11" t="n">
        <f aca="false">IF(Q40,S40,IF(M40,0,Y39))</f>
        <v>0</v>
      </c>
      <c r="U40" s="8" t="n">
        <f aca="false">IF(Q40,AE39,AF39)</f>
        <v>0</v>
      </c>
      <c r="V40" s="9" t="b">
        <f aca="false">AND(T40&gt;0,D40&lt;=U40)</f>
        <v>0</v>
      </c>
      <c r="W40" s="10" t="n">
        <f aca="false">IF(V40,T40*(AK40-AB40)-Inputs!$B$9-T40*AD40*Inputs!$B$13*(A40-AC40),0)</f>
        <v>0</v>
      </c>
      <c r="X40" s="10" t="n">
        <f aca="false">P40-IF(Q40,Inputs!$B$9,0)+W40</f>
        <v>1000</v>
      </c>
      <c r="Y40" s="11" t="n">
        <f aca="false">IF(V40,0,T40)</f>
        <v>0</v>
      </c>
      <c r="Z40" s="9" t="b">
        <f aca="false">AND(Y40&gt;0,K40)</f>
        <v>0</v>
      </c>
      <c r="AA40" s="9" t="b">
        <f aca="false">AND(Y40=0,J40,ISNUMBER(L40))</f>
        <v>0</v>
      </c>
      <c r="AB40" s="8" t="n">
        <f aca="false">IF(Q40,R40,AB39)</f>
        <v>0</v>
      </c>
      <c r="AC40" s="12" t="n">
        <f aca="false">IF(Q40,A40,AC39)</f>
        <v>0</v>
      </c>
      <c r="AD40" s="8" t="n">
        <f aca="false">IF(Q40,B40,AD39)</f>
        <v>0</v>
      </c>
      <c r="AE40" s="8" t="str">
        <f aca="false">IF(AA40,L40,"")</f>
        <v/>
      </c>
      <c r="AF40" s="8" t="n">
        <f aca="false">U40</f>
        <v>0</v>
      </c>
      <c r="AG40" s="2" t="n">
        <f aca="false">AG39+IF(Q40,1,0)</f>
        <v>0</v>
      </c>
      <c r="AH40" s="2" t="n">
        <f aca="false">AG39</f>
        <v>0</v>
      </c>
      <c r="AI40" s="10" t="n">
        <f aca="false">X40+Y40*(E40-AB40)-Y40*AD40*Inputs!$B$13*(A40-AC40)</f>
        <v>1000</v>
      </c>
      <c r="AJ40" s="10" t="n">
        <v>0</v>
      </c>
      <c r="AK40" s="8" t="n">
        <f aca="false">IF(AND(B40&lt;=U40,NOT(Q40)),B40,U40)*(1-Inputs!$B$12)</f>
        <v>0</v>
      </c>
    </row>
    <row r="41" customFormat="false" ht="15" hidden="false" customHeight="false" outlineLevel="0" collapsed="false">
      <c r="A41" s="6" t="n">
        <v>44825</v>
      </c>
      <c r="B41" s="7" t="n">
        <v>0.840912072241868</v>
      </c>
      <c r="C41" s="7" t="n">
        <v>0.85118264276917</v>
      </c>
      <c r="D41" s="7" t="n">
        <v>0.839390535277146</v>
      </c>
      <c r="E41" s="7" t="n">
        <v>0.847917071414655</v>
      </c>
      <c r="F41" s="8" t="n">
        <f aca="true">IF(ROW()-2&gt;=Inputs!$B$4,AVERAGE(OFFSET(E41,1-Inputs!$B$4,0,Inputs!$B$4,1)),"")</f>
        <v>0.832541740416271</v>
      </c>
      <c r="G41" s="8" t="str">
        <f aca="true">IF(ROW()-2&gt;=Inputs!$B$5,AVERAGE(OFFSET(E41,1-Inputs!$B$5,0,Inputs!$B$5,1)),"")</f>
        <v/>
      </c>
      <c r="H41" s="8" t="n">
        <f aca="false">MAX(C41-D41,ABS(C41-E40),ABS(D41-E40))</f>
        <v>0.0117921074920243</v>
      </c>
      <c r="I41" s="8" t="n">
        <f aca="true">IF(ROW()-2&lt;14,"",IF(ROW()-2=14,AVERAGE(OFFSET(H41,-13,0,14,1)),(I40*13+H41)/14))</f>
        <v>0.00986693837309037</v>
      </c>
      <c r="J41" s="9" t="b">
        <f aca="false">IF(AND(ISNUMBER(F41),ISNUMBER(G41),ISNUMBER(F40),ISNUMBER(G40)),AND(F41&gt;G41,F40&lt;=G40),FALSE())</f>
        <v>0</v>
      </c>
      <c r="K41" s="9" t="b">
        <f aca="false">IF(AND(ISNUMBER(F41),ISNUMBER(G41),ISNUMBER(F40),ISNUMBER(G40)),AND(F41&lt;G41,F40&gt;=G40),FALSE())</f>
        <v>0</v>
      </c>
      <c r="L41" s="8" t="n">
        <f aca="false">IF(ISNUMBER(I41),E41-Inputs!$B$6*I41,"")</f>
        <v>0.828183194668474</v>
      </c>
      <c r="M41" s="9" t="b">
        <f aca="false">AND(Y40&gt;0,Z40)</f>
        <v>0</v>
      </c>
      <c r="N41" s="8" t="n">
        <f aca="false">B41*(1-Inputs!$B$12)</f>
        <v>0.84074388982742</v>
      </c>
      <c r="O41" s="10" t="n">
        <f aca="false">IF(M41,Y40*(N41-AB40)-Inputs!$B$9-Y40*AD40*Inputs!$B$13*(A41-AC40),0)</f>
        <v>0</v>
      </c>
      <c r="P41" s="10" t="n">
        <f aca="false">X40+O41</f>
        <v>1000</v>
      </c>
      <c r="Q41" s="9" t="b">
        <f aca="false">AND(IF(M41,0,Y40)=0,AA40,IF(ISNUMBER(AE40),B41&gt;AE40,FALSE()))</f>
        <v>0</v>
      </c>
      <c r="R41" s="8" t="n">
        <f aca="false">B41*(1+Inputs!$B$12)</f>
        <v>0.841080254656317</v>
      </c>
      <c r="S41" s="11" t="n">
        <f aca="false">IF(Q41,MIN(P41*Inputs!$B$3/(R41-AE40),P41*Inputs!$B$11/R41),0)</f>
        <v>0</v>
      </c>
      <c r="T41" s="11" t="n">
        <f aca="false">IF(Q41,S41,IF(M41,0,Y40))</f>
        <v>0</v>
      </c>
      <c r="U41" s="8" t="n">
        <f aca="false">IF(Q41,AE40,AF40)</f>
        <v>0</v>
      </c>
      <c r="V41" s="9" t="b">
        <f aca="false">AND(T41&gt;0,D41&lt;=U41)</f>
        <v>0</v>
      </c>
      <c r="W41" s="10" t="n">
        <f aca="false">IF(V41,T41*(AK41-AB41)-Inputs!$B$9-T41*AD41*Inputs!$B$13*(A41-AC41),0)</f>
        <v>0</v>
      </c>
      <c r="X41" s="10" t="n">
        <f aca="false">P41-IF(Q41,Inputs!$B$9,0)+W41</f>
        <v>1000</v>
      </c>
      <c r="Y41" s="11" t="n">
        <f aca="false">IF(V41,0,T41)</f>
        <v>0</v>
      </c>
      <c r="Z41" s="9" t="b">
        <f aca="false">AND(Y41&gt;0,K41)</f>
        <v>0</v>
      </c>
      <c r="AA41" s="9" t="b">
        <f aca="false">AND(Y41=0,J41,ISNUMBER(L41))</f>
        <v>0</v>
      </c>
      <c r="AB41" s="8" t="n">
        <f aca="false">IF(Q41,R41,AB40)</f>
        <v>0</v>
      </c>
      <c r="AC41" s="12" t="n">
        <f aca="false">IF(Q41,A41,AC40)</f>
        <v>0</v>
      </c>
      <c r="AD41" s="8" t="n">
        <f aca="false">IF(Q41,B41,AD40)</f>
        <v>0</v>
      </c>
      <c r="AE41" s="8" t="str">
        <f aca="false">IF(AA41,L41,"")</f>
        <v/>
      </c>
      <c r="AF41" s="8" t="n">
        <f aca="false">U41</f>
        <v>0</v>
      </c>
      <c r="AG41" s="2" t="n">
        <f aca="false">AG40+IF(Q41,1,0)</f>
        <v>0</v>
      </c>
      <c r="AH41" s="2" t="n">
        <f aca="false">AG40</f>
        <v>0</v>
      </c>
      <c r="AI41" s="10" t="n">
        <f aca="false">X41+Y41*(E41-AB41)-Y41*AD41*Inputs!$B$13*(A41-AC41)</f>
        <v>1000</v>
      </c>
      <c r="AJ41" s="10" t="n">
        <v>0</v>
      </c>
      <c r="AK41" s="8" t="n">
        <f aca="false">IF(AND(B41&lt;=U41,NOT(Q41)),B41,U41)*(1-Inputs!$B$12)</f>
        <v>0</v>
      </c>
    </row>
    <row r="42" customFormat="false" ht="15" hidden="false" customHeight="false" outlineLevel="0" collapsed="false">
      <c r="A42" s="6" t="n">
        <v>44826</v>
      </c>
      <c r="B42" s="7" t="n">
        <v>0.847917071414655</v>
      </c>
      <c r="C42" s="7" t="n">
        <v>0.848409261278166</v>
      </c>
      <c r="D42" s="7" t="n">
        <v>0.843522740686736</v>
      </c>
      <c r="E42" s="7" t="n">
        <v>0.847645421788473</v>
      </c>
      <c r="F42" s="8" t="n">
        <f aca="true">IF(ROW()-2&gt;=Inputs!$B$4,AVERAGE(OFFSET(E42,1-Inputs!$B$4,0,Inputs!$B$4,1)),"")</f>
        <v>0.833065907490981</v>
      </c>
      <c r="G42" s="8" t="str">
        <f aca="true">IF(ROW()-2&gt;=Inputs!$B$5,AVERAGE(OFFSET(E42,1-Inputs!$B$5,0,Inputs!$B$5,1)),"")</f>
        <v/>
      </c>
      <c r="H42" s="8" t="n">
        <f aca="false">MAX(C42-D42,ABS(C42-E41),ABS(D42-E41))</f>
        <v>0.00488652059143047</v>
      </c>
      <c r="I42" s="8" t="n">
        <f aca="true">IF(ROW()-2&lt;14,"",IF(ROW()-2=14,AVERAGE(OFFSET(H42,-13,0,14,1)),(I41*13+H42)/14))</f>
        <v>0.00951119424582895</v>
      </c>
      <c r="J42" s="9" t="b">
        <f aca="false">IF(AND(ISNUMBER(F42),ISNUMBER(G42),ISNUMBER(F41),ISNUMBER(G41)),AND(F42&gt;G42,F41&lt;=G41),FALSE())</f>
        <v>0</v>
      </c>
      <c r="K42" s="9" t="b">
        <f aca="false">IF(AND(ISNUMBER(F42),ISNUMBER(G42),ISNUMBER(F41),ISNUMBER(G41)),AND(F42&lt;G42,F41&gt;=G41),FALSE())</f>
        <v>0</v>
      </c>
      <c r="L42" s="8" t="n">
        <f aca="false">IF(ISNUMBER(I42),E42-Inputs!$B$6*I42,"")</f>
        <v>0.828623033296815</v>
      </c>
      <c r="M42" s="9" t="b">
        <f aca="false">AND(Y41&gt;0,Z41)</f>
        <v>0</v>
      </c>
      <c r="N42" s="8" t="n">
        <f aca="false">B42*(1-Inputs!$B$12)</f>
        <v>0.847747488000372</v>
      </c>
      <c r="O42" s="10" t="n">
        <f aca="false">IF(M42,Y41*(N42-AB41)-Inputs!$B$9-Y41*AD41*Inputs!$B$13*(A42-AC41),0)</f>
        <v>0</v>
      </c>
      <c r="P42" s="10" t="n">
        <f aca="false">X41+O42</f>
        <v>1000</v>
      </c>
      <c r="Q42" s="9" t="b">
        <f aca="false">AND(IF(M42,0,Y41)=0,AA41,IF(ISNUMBER(AE41),B42&gt;AE41,FALSE()))</f>
        <v>0</v>
      </c>
      <c r="R42" s="8" t="n">
        <f aca="false">B42*(1+Inputs!$B$12)</f>
        <v>0.848086654828937</v>
      </c>
      <c r="S42" s="11" t="n">
        <f aca="false">IF(Q42,MIN(P42*Inputs!$B$3/(R42-AE41),P42*Inputs!$B$11/R42),0)</f>
        <v>0</v>
      </c>
      <c r="T42" s="11" t="n">
        <f aca="false">IF(Q42,S42,IF(M42,0,Y41))</f>
        <v>0</v>
      </c>
      <c r="U42" s="8" t="n">
        <f aca="false">IF(Q42,AE41,AF41)</f>
        <v>0</v>
      </c>
      <c r="V42" s="9" t="b">
        <f aca="false">AND(T42&gt;0,D42&lt;=U42)</f>
        <v>0</v>
      </c>
      <c r="W42" s="10" t="n">
        <f aca="false">IF(V42,T42*(AK42-AB42)-Inputs!$B$9-T42*AD42*Inputs!$B$13*(A42-AC42),0)</f>
        <v>0</v>
      </c>
      <c r="X42" s="10" t="n">
        <f aca="false">P42-IF(Q42,Inputs!$B$9,0)+W42</f>
        <v>1000</v>
      </c>
      <c r="Y42" s="11" t="n">
        <f aca="false">IF(V42,0,T42)</f>
        <v>0</v>
      </c>
      <c r="Z42" s="9" t="b">
        <f aca="false">AND(Y42&gt;0,K42)</f>
        <v>0</v>
      </c>
      <c r="AA42" s="9" t="b">
        <f aca="false">AND(Y42=0,J42,ISNUMBER(L42))</f>
        <v>0</v>
      </c>
      <c r="AB42" s="8" t="n">
        <f aca="false">IF(Q42,R42,AB41)</f>
        <v>0</v>
      </c>
      <c r="AC42" s="12" t="n">
        <f aca="false">IF(Q42,A42,AC41)</f>
        <v>0</v>
      </c>
      <c r="AD42" s="8" t="n">
        <f aca="false">IF(Q42,B42,AD41)</f>
        <v>0</v>
      </c>
      <c r="AE42" s="8" t="str">
        <f aca="false">IF(AA42,L42,"")</f>
        <v/>
      </c>
      <c r="AF42" s="8" t="n">
        <f aca="false">U42</f>
        <v>0</v>
      </c>
      <c r="AG42" s="2" t="n">
        <f aca="false">AG41+IF(Q42,1,0)</f>
        <v>0</v>
      </c>
      <c r="AH42" s="2" t="n">
        <f aca="false">AG41</f>
        <v>0</v>
      </c>
      <c r="AI42" s="10" t="n">
        <f aca="false">X42+Y42*(E42-AB42)-Y42*AD42*Inputs!$B$13*(A42-AC42)</f>
        <v>1000</v>
      </c>
      <c r="AJ42" s="10" t="n">
        <v>0</v>
      </c>
      <c r="AK42" s="8" t="n">
        <f aca="false">IF(AND(B42&lt;=U42,NOT(Q42)),B42,U42)*(1-Inputs!$B$12)</f>
        <v>0</v>
      </c>
    </row>
    <row r="43" customFormat="false" ht="15" hidden="false" customHeight="false" outlineLevel="0" collapsed="false">
      <c r="A43" s="6" t="n">
        <v>44827</v>
      </c>
      <c r="B43" s="7" t="n">
        <v>0.847645421788473</v>
      </c>
      <c r="C43" s="7" t="n">
        <v>0.848876965874989</v>
      </c>
      <c r="D43" s="7" t="n">
        <v>0.845474235786862</v>
      </c>
      <c r="E43" s="7" t="n">
        <v>0.848535847589632</v>
      </c>
      <c r="F43" s="8" t="n">
        <f aca="true">IF(ROW()-2&gt;=Inputs!$B$4,AVERAGE(OFFSET(E43,1-Inputs!$B$4,0,Inputs!$B$4,1)),"")</f>
        <v>0.834094050284115</v>
      </c>
      <c r="G43" s="8" t="str">
        <f aca="true">IF(ROW()-2&gt;=Inputs!$B$5,AVERAGE(OFFSET(E43,1-Inputs!$B$5,0,Inputs!$B$5,1)),"")</f>
        <v/>
      </c>
      <c r="H43" s="8" t="n">
        <f aca="false">MAX(C43-D43,ABS(C43-E42),ABS(D43-E42))</f>
        <v>0.00340273008812741</v>
      </c>
      <c r="I43" s="8" t="n">
        <f aca="true">IF(ROW()-2&lt;14,"",IF(ROW()-2=14,AVERAGE(OFFSET(H43,-13,0,14,1)),(I42*13+H43)/14))</f>
        <v>0.00907487537742169</v>
      </c>
      <c r="J43" s="9" t="b">
        <f aca="false">IF(AND(ISNUMBER(F43),ISNUMBER(G43),ISNUMBER(F42),ISNUMBER(G42)),AND(F43&gt;G43,F42&lt;=G42),FALSE())</f>
        <v>0</v>
      </c>
      <c r="K43" s="9" t="b">
        <f aca="false">IF(AND(ISNUMBER(F43),ISNUMBER(G43),ISNUMBER(F42),ISNUMBER(G42)),AND(F43&lt;G43,F42&gt;=G42),FALSE())</f>
        <v>0</v>
      </c>
      <c r="L43" s="8" t="n">
        <f aca="false">IF(ISNUMBER(I43),E43-Inputs!$B$6*I43,"")</f>
        <v>0.830386096834788</v>
      </c>
      <c r="M43" s="9" t="b">
        <f aca="false">AND(Y42&gt;0,Z42)</f>
        <v>0</v>
      </c>
      <c r="N43" s="8" t="n">
        <f aca="false">B43*(1-Inputs!$B$12)</f>
        <v>0.847475892704116</v>
      </c>
      <c r="O43" s="10" t="n">
        <f aca="false">IF(M43,Y42*(N43-AB42)-Inputs!$B$9-Y42*AD42*Inputs!$B$13*(A43-AC42),0)</f>
        <v>0</v>
      </c>
      <c r="P43" s="10" t="n">
        <f aca="false">X42+O43</f>
        <v>1000</v>
      </c>
      <c r="Q43" s="9" t="b">
        <f aca="false">AND(IF(M43,0,Y42)=0,AA42,IF(ISNUMBER(AE42),B43&gt;AE42,FALSE()))</f>
        <v>0</v>
      </c>
      <c r="R43" s="8" t="n">
        <f aca="false">B43*(1+Inputs!$B$12)</f>
        <v>0.847814950872831</v>
      </c>
      <c r="S43" s="11" t="n">
        <f aca="false">IF(Q43,MIN(P43*Inputs!$B$3/(R43-AE42),P43*Inputs!$B$11/R43),0)</f>
        <v>0</v>
      </c>
      <c r="T43" s="11" t="n">
        <f aca="false">IF(Q43,S43,IF(M43,0,Y42))</f>
        <v>0</v>
      </c>
      <c r="U43" s="8" t="n">
        <f aca="false">IF(Q43,AE42,AF42)</f>
        <v>0</v>
      </c>
      <c r="V43" s="9" t="b">
        <f aca="false">AND(T43&gt;0,D43&lt;=U43)</f>
        <v>0</v>
      </c>
      <c r="W43" s="10" t="n">
        <f aca="false">IF(V43,T43*(AK43-AB43)-Inputs!$B$9-T43*AD43*Inputs!$B$13*(A43-AC43),0)</f>
        <v>0</v>
      </c>
      <c r="X43" s="10" t="n">
        <f aca="false">P43-IF(Q43,Inputs!$B$9,0)+W43</f>
        <v>1000</v>
      </c>
      <c r="Y43" s="11" t="n">
        <f aca="false">IF(V43,0,T43)</f>
        <v>0</v>
      </c>
      <c r="Z43" s="9" t="b">
        <f aca="false">AND(Y43&gt;0,K43)</f>
        <v>0</v>
      </c>
      <c r="AA43" s="9" t="b">
        <f aca="false">AND(Y43=0,J43,ISNUMBER(L43))</f>
        <v>0</v>
      </c>
      <c r="AB43" s="8" t="n">
        <f aca="false">IF(Q43,R43,AB42)</f>
        <v>0</v>
      </c>
      <c r="AC43" s="12" t="n">
        <f aca="false">IF(Q43,A43,AC42)</f>
        <v>0</v>
      </c>
      <c r="AD43" s="8" t="n">
        <f aca="false">IF(Q43,B43,AD42)</f>
        <v>0</v>
      </c>
      <c r="AE43" s="8" t="str">
        <f aca="false">IF(AA43,L43,"")</f>
        <v/>
      </c>
      <c r="AF43" s="8" t="n">
        <f aca="false">U43</f>
        <v>0</v>
      </c>
      <c r="AG43" s="2" t="n">
        <f aca="false">AG42+IF(Q43,1,0)</f>
        <v>0</v>
      </c>
      <c r="AH43" s="2" t="n">
        <f aca="false">AG42</f>
        <v>0</v>
      </c>
      <c r="AI43" s="10" t="n">
        <f aca="false">X43+Y43*(E43-AB43)-Y43*AD43*Inputs!$B$13*(A43-AC43)</f>
        <v>1000</v>
      </c>
      <c r="AJ43" s="10" t="n">
        <v>0</v>
      </c>
      <c r="AK43" s="8" t="n">
        <f aca="false">IF(AND(B43&lt;=U43,NOT(Q43)),B43,U43)*(1-Inputs!$B$12)</f>
        <v>0</v>
      </c>
    </row>
    <row r="44" customFormat="false" ht="15" hidden="false" customHeight="false" outlineLevel="0" collapsed="false">
      <c r="A44" s="6" t="n">
        <v>44828</v>
      </c>
      <c r="B44" s="7" t="n">
        <v>0.848535847589632</v>
      </c>
      <c r="C44" s="7" t="n">
        <v>0.854666025094247</v>
      </c>
      <c r="D44" s="7" t="n">
        <v>0.844361842855645</v>
      </c>
      <c r="E44" s="7" t="n">
        <v>0.852055213985962</v>
      </c>
      <c r="F44" s="8" t="n">
        <f aca="true">IF(ROW()-2&gt;=Inputs!$B$4,AVERAGE(OFFSET(E44,1-Inputs!$B$4,0,Inputs!$B$4,1)),"")</f>
        <v>0.835242272982131</v>
      </c>
      <c r="G44" s="8" t="str">
        <f aca="true">IF(ROW()-2&gt;=Inputs!$B$5,AVERAGE(OFFSET(E44,1-Inputs!$B$5,0,Inputs!$B$5,1)),"")</f>
        <v/>
      </c>
      <c r="H44" s="8" t="n">
        <f aca="false">MAX(C44-D44,ABS(C44-E43),ABS(D44-E43))</f>
        <v>0.0103041822386019</v>
      </c>
      <c r="I44" s="8" t="n">
        <f aca="true">IF(ROW()-2&lt;14,"",IF(ROW()-2=14,AVERAGE(OFFSET(H44,-13,0,14,1)),(I43*13+H44)/14))</f>
        <v>0.00916268301036313</v>
      </c>
      <c r="J44" s="9" t="b">
        <f aca="false">IF(AND(ISNUMBER(F44),ISNUMBER(G44),ISNUMBER(F43),ISNUMBER(G43)),AND(F44&gt;G44,F43&lt;=G43),FALSE())</f>
        <v>0</v>
      </c>
      <c r="K44" s="9" t="b">
        <f aca="false">IF(AND(ISNUMBER(F44),ISNUMBER(G44),ISNUMBER(F43),ISNUMBER(G43)),AND(F44&lt;G44,F43&gt;=G43),FALSE())</f>
        <v>0</v>
      </c>
      <c r="L44" s="8" t="n">
        <f aca="false">IF(ISNUMBER(I44),E44-Inputs!$B$6*I44,"")</f>
        <v>0.833729847965235</v>
      </c>
      <c r="M44" s="9" t="b">
        <f aca="false">AND(Y43&gt;0,Z43)</f>
        <v>0</v>
      </c>
      <c r="N44" s="8" t="n">
        <f aca="false">B44*(1-Inputs!$B$12)</f>
        <v>0.848366140420114</v>
      </c>
      <c r="O44" s="10" t="n">
        <f aca="false">IF(M44,Y43*(N44-AB43)-Inputs!$B$9-Y43*AD43*Inputs!$B$13*(A44-AC43),0)</f>
        <v>0</v>
      </c>
      <c r="P44" s="10" t="n">
        <f aca="false">X43+O44</f>
        <v>1000</v>
      </c>
      <c r="Q44" s="9" t="b">
        <f aca="false">AND(IF(M44,0,Y43)=0,AA43,IF(ISNUMBER(AE43),B44&gt;AE43,FALSE()))</f>
        <v>0</v>
      </c>
      <c r="R44" s="8" t="n">
        <f aca="false">B44*(1+Inputs!$B$12)</f>
        <v>0.84870555475915</v>
      </c>
      <c r="S44" s="11" t="n">
        <f aca="false">IF(Q44,MIN(P44*Inputs!$B$3/(R44-AE43),P44*Inputs!$B$11/R44),0)</f>
        <v>0</v>
      </c>
      <c r="T44" s="11" t="n">
        <f aca="false">IF(Q44,S44,IF(M44,0,Y43))</f>
        <v>0</v>
      </c>
      <c r="U44" s="8" t="n">
        <f aca="false">IF(Q44,AE43,AF43)</f>
        <v>0</v>
      </c>
      <c r="V44" s="9" t="b">
        <f aca="false">AND(T44&gt;0,D44&lt;=U44)</f>
        <v>0</v>
      </c>
      <c r="W44" s="10" t="n">
        <f aca="false">IF(V44,T44*(AK44-AB44)-Inputs!$B$9-T44*AD44*Inputs!$B$13*(A44-AC44),0)</f>
        <v>0</v>
      </c>
      <c r="X44" s="10" t="n">
        <f aca="false">P44-IF(Q44,Inputs!$B$9,0)+W44</f>
        <v>1000</v>
      </c>
      <c r="Y44" s="11" t="n">
        <f aca="false">IF(V44,0,T44)</f>
        <v>0</v>
      </c>
      <c r="Z44" s="9" t="b">
        <f aca="false">AND(Y44&gt;0,K44)</f>
        <v>0</v>
      </c>
      <c r="AA44" s="9" t="b">
        <f aca="false">AND(Y44=0,J44,ISNUMBER(L44))</f>
        <v>0</v>
      </c>
      <c r="AB44" s="8" t="n">
        <f aca="false">IF(Q44,R44,AB43)</f>
        <v>0</v>
      </c>
      <c r="AC44" s="12" t="n">
        <f aca="false">IF(Q44,A44,AC43)</f>
        <v>0</v>
      </c>
      <c r="AD44" s="8" t="n">
        <f aca="false">IF(Q44,B44,AD43)</f>
        <v>0</v>
      </c>
      <c r="AE44" s="8" t="str">
        <f aca="false">IF(AA44,L44,"")</f>
        <v/>
      </c>
      <c r="AF44" s="8" t="n">
        <f aca="false">U44</f>
        <v>0</v>
      </c>
      <c r="AG44" s="2" t="n">
        <f aca="false">AG43+IF(Q44,1,0)</f>
        <v>0</v>
      </c>
      <c r="AH44" s="2" t="n">
        <f aca="false">AG43</f>
        <v>0</v>
      </c>
      <c r="AI44" s="10" t="n">
        <f aca="false">X44+Y44*(E44-AB44)-Y44*AD44*Inputs!$B$13*(A44-AC44)</f>
        <v>1000</v>
      </c>
      <c r="AJ44" s="10" t="n">
        <v>0</v>
      </c>
      <c r="AK44" s="8" t="n">
        <f aca="false">IF(AND(B44&lt;=U44,NOT(Q44)),B44,U44)*(1-Inputs!$B$12)</f>
        <v>0</v>
      </c>
    </row>
    <row r="45" customFormat="false" ht="15" hidden="false" customHeight="false" outlineLevel="0" collapsed="false">
      <c r="A45" s="6" t="n">
        <v>44829</v>
      </c>
      <c r="B45" s="7" t="n">
        <v>0.852055213985962</v>
      </c>
      <c r="C45" s="7" t="n">
        <v>0.857625535733955</v>
      </c>
      <c r="D45" s="7" t="n">
        <v>0.849633077067879</v>
      </c>
      <c r="E45" s="7" t="n">
        <v>0.85733777912924</v>
      </c>
      <c r="F45" s="8" t="n">
        <f aca="true">IF(ROW()-2&gt;=Inputs!$B$4,AVERAGE(OFFSET(E45,1-Inputs!$B$4,0,Inputs!$B$4,1)),"")</f>
        <v>0.836571837773631</v>
      </c>
      <c r="G45" s="8" t="str">
        <f aca="true">IF(ROW()-2&gt;=Inputs!$B$5,AVERAGE(OFFSET(E45,1-Inputs!$B$5,0,Inputs!$B$5,1)),"")</f>
        <v/>
      </c>
      <c r="H45" s="8" t="n">
        <f aca="false">MAX(C45-D45,ABS(C45-E44),ABS(D45-E44))</f>
        <v>0.00799245866607623</v>
      </c>
      <c r="I45" s="8" t="n">
        <f aca="true">IF(ROW()-2&lt;14,"",IF(ROW()-2=14,AVERAGE(OFFSET(H45,-13,0,14,1)),(I44*13+H45)/14))</f>
        <v>0.00907909555719978</v>
      </c>
      <c r="J45" s="9" t="b">
        <f aca="false">IF(AND(ISNUMBER(F45),ISNUMBER(G45),ISNUMBER(F44),ISNUMBER(G44)),AND(F45&gt;G45,F44&lt;=G44),FALSE())</f>
        <v>0</v>
      </c>
      <c r="K45" s="9" t="b">
        <f aca="false">IF(AND(ISNUMBER(F45),ISNUMBER(G45),ISNUMBER(F44),ISNUMBER(G44)),AND(F45&lt;G45,F44&gt;=G44),FALSE())</f>
        <v>0</v>
      </c>
      <c r="L45" s="8" t="n">
        <f aca="false">IF(ISNUMBER(I45),E45-Inputs!$B$6*I45,"")</f>
        <v>0.83917958801484</v>
      </c>
      <c r="M45" s="9" t="b">
        <f aca="false">AND(Y44&gt;0,Z44)</f>
        <v>0</v>
      </c>
      <c r="N45" s="8" t="n">
        <f aca="false">B45*(1-Inputs!$B$12)</f>
        <v>0.851884802943165</v>
      </c>
      <c r="O45" s="10" t="n">
        <f aca="false">IF(M45,Y44*(N45-AB44)-Inputs!$B$9-Y44*AD44*Inputs!$B$13*(A45-AC44),0)</f>
        <v>0</v>
      </c>
      <c r="P45" s="10" t="n">
        <f aca="false">X44+O45</f>
        <v>1000</v>
      </c>
      <c r="Q45" s="9" t="b">
        <f aca="false">AND(IF(M45,0,Y44)=0,AA44,IF(ISNUMBER(AE44),B45&gt;AE44,FALSE()))</f>
        <v>0</v>
      </c>
      <c r="R45" s="8" t="n">
        <f aca="false">B45*(1+Inputs!$B$12)</f>
        <v>0.852225625028759</v>
      </c>
      <c r="S45" s="11" t="n">
        <f aca="false">IF(Q45,MIN(P45*Inputs!$B$3/(R45-AE44),P45*Inputs!$B$11/R45),0)</f>
        <v>0</v>
      </c>
      <c r="T45" s="11" t="n">
        <f aca="false">IF(Q45,S45,IF(M45,0,Y44))</f>
        <v>0</v>
      </c>
      <c r="U45" s="8" t="n">
        <f aca="false">IF(Q45,AE44,AF44)</f>
        <v>0</v>
      </c>
      <c r="V45" s="9" t="b">
        <f aca="false">AND(T45&gt;0,D45&lt;=U45)</f>
        <v>0</v>
      </c>
      <c r="W45" s="10" t="n">
        <f aca="false">IF(V45,T45*(AK45-AB45)-Inputs!$B$9-T45*AD45*Inputs!$B$13*(A45-AC45),0)</f>
        <v>0</v>
      </c>
      <c r="X45" s="10" t="n">
        <f aca="false">P45-IF(Q45,Inputs!$B$9,0)+W45</f>
        <v>1000</v>
      </c>
      <c r="Y45" s="11" t="n">
        <f aca="false">IF(V45,0,T45)</f>
        <v>0</v>
      </c>
      <c r="Z45" s="9" t="b">
        <f aca="false">AND(Y45&gt;0,K45)</f>
        <v>0</v>
      </c>
      <c r="AA45" s="9" t="b">
        <f aca="false">AND(Y45=0,J45,ISNUMBER(L45))</f>
        <v>0</v>
      </c>
      <c r="AB45" s="8" t="n">
        <f aca="false">IF(Q45,R45,AB44)</f>
        <v>0</v>
      </c>
      <c r="AC45" s="12" t="n">
        <f aca="false">IF(Q45,A45,AC44)</f>
        <v>0</v>
      </c>
      <c r="AD45" s="8" t="n">
        <f aca="false">IF(Q45,B45,AD44)</f>
        <v>0</v>
      </c>
      <c r="AE45" s="8" t="str">
        <f aca="false">IF(AA45,L45,"")</f>
        <v/>
      </c>
      <c r="AF45" s="8" t="n">
        <f aca="false">U45</f>
        <v>0</v>
      </c>
      <c r="AG45" s="2" t="n">
        <f aca="false">AG44+IF(Q45,1,0)</f>
        <v>0</v>
      </c>
      <c r="AH45" s="2" t="n">
        <f aca="false">AG44</f>
        <v>0</v>
      </c>
      <c r="AI45" s="10" t="n">
        <f aca="false">X45+Y45*(E45-AB45)-Y45*AD45*Inputs!$B$13*(A45-AC45)</f>
        <v>1000</v>
      </c>
      <c r="AJ45" s="10" t="n">
        <v>0</v>
      </c>
      <c r="AK45" s="8" t="n">
        <f aca="false">IF(AND(B45&lt;=U45,NOT(Q45)),B45,U45)*(1-Inputs!$B$12)</f>
        <v>0</v>
      </c>
    </row>
    <row r="46" customFormat="false" ht="15" hidden="false" customHeight="false" outlineLevel="0" collapsed="false">
      <c r="A46" s="6" t="n">
        <v>44830</v>
      </c>
      <c r="B46" s="7" t="n">
        <v>0.85733777912924</v>
      </c>
      <c r="C46" s="7" t="n">
        <v>0.859376864921257</v>
      </c>
      <c r="D46" s="7" t="n">
        <v>0.856112990701267</v>
      </c>
      <c r="E46" s="7" t="n">
        <v>0.858637091691449</v>
      </c>
      <c r="F46" s="8" t="n">
        <f aca="true">IF(ROW()-2&gt;=Inputs!$B$4,AVERAGE(OFFSET(E46,1-Inputs!$B$4,0,Inputs!$B$4,1)),"")</f>
        <v>0.837873084150164</v>
      </c>
      <c r="G46" s="8" t="str">
        <f aca="true">IF(ROW()-2&gt;=Inputs!$B$5,AVERAGE(OFFSET(E46,1-Inputs!$B$5,0,Inputs!$B$5,1)),"")</f>
        <v/>
      </c>
      <c r="H46" s="8" t="n">
        <f aca="false">MAX(C46-D46,ABS(C46-E45),ABS(D46-E45))</f>
        <v>0.00326387421999097</v>
      </c>
      <c r="I46" s="8" t="n">
        <f aca="true">IF(ROW()-2&lt;14,"",IF(ROW()-2=14,AVERAGE(OFFSET(H46,-13,0,14,1)),(I45*13+H46)/14))</f>
        <v>0.00866372260454201</v>
      </c>
      <c r="J46" s="9" t="b">
        <f aca="false">IF(AND(ISNUMBER(F46),ISNUMBER(G46),ISNUMBER(F45),ISNUMBER(G45)),AND(F46&gt;G46,F45&lt;=G45),FALSE())</f>
        <v>0</v>
      </c>
      <c r="K46" s="9" t="b">
        <f aca="false">IF(AND(ISNUMBER(F46),ISNUMBER(G46),ISNUMBER(F45),ISNUMBER(G45)),AND(F46&lt;G46,F45&gt;=G45),FALSE())</f>
        <v>0</v>
      </c>
      <c r="L46" s="8" t="n">
        <f aca="false">IF(ISNUMBER(I46),E46-Inputs!$B$6*I46,"")</f>
        <v>0.841309646482365</v>
      </c>
      <c r="M46" s="9" t="b">
        <f aca="false">AND(Y45&gt;0,Z45)</f>
        <v>0</v>
      </c>
      <c r="N46" s="8" t="n">
        <f aca="false">B46*(1-Inputs!$B$12)</f>
        <v>0.857166311573414</v>
      </c>
      <c r="O46" s="10" t="n">
        <f aca="false">IF(M46,Y45*(N46-AB45)-Inputs!$B$9-Y45*AD45*Inputs!$B$13*(A46-AC45),0)</f>
        <v>0</v>
      </c>
      <c r="P46" s="10" t="n">
        <f aca="false">X45+O46</f>
        <v>1000</v>
      </c>
      <c r="Q46" s="9" t="b">
        <f aca="false">AND(IF(M46,0,Y45)=0,AA45,IF(ISNUMBER(AE45),B46&gt;AE45,FALSE()))</f>
        <v>0</v>
      </c>
      <c r="R46" s="8" t="n">
        <f aca="false">B46*(1+Inputs!$B$12)</f>
        <v>0.857509246685065</v>
      </c>
      <c r="S46" s="11" t="n">
        <f aca="false">IF(Q46,MIN(P46*Inputs!$B$3/(R46-AE45),P46*Inputs!$B$11/R46),0)</f>
        <v>0</v>
      </c>
      <c r="T46" s="11" t="n">
        <f aca="false">IF(Q46,S46,IF(M46,0,Y45))</f>
        <v>0</v>
      </c>
      <c r="U46" s="8" t="n">
        <f aca="false">IF(Q46,AE45,AF45)</f>
        <v>0</v>
      </c>
      <c r="V46" s="9" t="b">
        <f aca="false">AND(T46&gt;0,D46&lt;=U46)</f>
        <v>0</v>
      </c>
      <c r="W46" s="10" t="n">
        <f aca="false">IF(V46,T46*(AK46-AB46)-Inputs!$B$9-T46*AD46*Inputs!$B$13*(A46-AC46),0)</f>
        <v>0</v>
      </c>
      <c r="X46" s="10" t="n">
        <f aca="false">P46-IF(Q46,Inputs!$B$9,0)+W46</f>
        <v>1000</v>
      </c>
      <c r="Y46" s="11" t="n">
        <f aca="false">IF(V46,0,T46)</f>
        <v>0</v>
      </c>
      <c r="Z46" s="9" t="b">
        <f aca="false">AND(Y46&gt;0,K46)</f>
        <v>0</v>
      </c>
      <c r="AA46" s="9" t="b">
        <f aca="false">AND(Y46=0,J46,ISNUMBER(L46))</f>
        <v>0</v>
      </c>
      <c r="AB46" s="8" t="n">
        <f aca="false">IF(Q46,R46,AB45)</f>
        <v>0</v>
      </c>
      <c r="AC46" s="12" t="n">
        <f aca="false">IF(Q46,A46,AC45)</f>
        <v>0</v>
      </c>
      <c r="AD46" s="8" t="n">
        <f aca="false">IF(Q46,B46,AD45)</f>
        <v>0</v>
      </c>
      <c r="AE46" s="8" t="str">
        <f aca="false">IF(AA46,L46,"")</f>
        <v/>
      </c>
      <c r="AF46" s="8" t="n">
        <f aca="false">U46</f>
        <v>0</v>
      </c>
      <c r="AG46" s="2" t="n">
        <f aca="false">AG45+IF(Q46,1,0)</f>
        <v>0</v>
      </c>
      <c r="AH46" s="2" t="n">
        <f aca="false">AG45</f>
        <v>0</v>
      </c>
      <c r="AI46" s="10" t="n">
        <f aca="false">X46+Y46*(E46-AB46)-Y46*AD46*Inputs!$B$13*(A46-AC46)</f>
        <v>1000</v>
      </c>
      <c r="AJ46" s="10" t="n">
        <v>0</v>
      </c>
      <c r="AK46" s="8" t="n">
        <f aca="false">IF(AND(B46&lt;=U46,NOT(Q46)),B46,U46)*(1-Inputs!$B$12)</f>
        <v>0</v>
      </c>
    </row>
    <row r="47" customFormat="false" ht="15" hidden="false" customHeight="false" outlineLevel="0" collapsed="false">
      <c r="A47" s="6" t="n">
        <v>44831</v>
      </c>
      <c r="B47" s="7" t="n">
        <v>0.858637091691449</v>
      </c>
      <c r="C47" s="7" t="n">
        <v>0.862164043281062</v>
      </c>
      <c r="D47" s="7" t="n">
        <v>0.855746156599628</v>
      </c>
      <c r="E47" s="7" t="n">
        <v>0.861382986853508</v>
      </c>
      <c r="F47" s="8" t="n">
        <f aca="true">IF(ROW()-2&gt;=Inputs!$B$4,AVERAGE(OFFSET(E47,1-Inputs!$B$4,0,Inputs!$B$4,1)),"")</f>
        <v>0.839104144414838</v>
      </c>
      <c r="G47" s="8" t="str">
        <f aca="true">IF(ROW()-2&gt;=Inputs!$B$5,AVERAGE(OFFSET(E47,1-Inputs!$B$5,0,Inputs!$B$5,1)),"")</f>
        <v/>
      </c>
      <c r="H47" s="8" t="n">
        <f aca="false">MAX(C47-D47,ABS(C47-E46),ABS(D47-E46))</f>
        <v>0.00641788668143362</v>
      </c>
      <c r="I47" s="8" t="n">
        <f aca="true">IF(ROW()-2&lt;14,"",IF(ROW()-2=14,AVERAGE(OFFSET(H47,-13,0,14,1)),(I46*13+H47)/14))</f>
        <v>0.00850330575289141</v>
      </c>
      <c r="J47" s="9" t="b">
        <f aca="false">IF(AND(ISNUMBER(F47),ISNUMBER(G47),ISNUMBER(F46),ISNUMBER(G46)),AND(F47&gt;G47,F46&lt;=G46),FALSE())</f>
        <v>0</v>
      </c>
      <c r="K47" s="9" t="b">
        <f aca="false">IF(AND(ISNUMBER(F47),ISNUMBER(G47),ISNUMBER(F46),ISNUMBER(G46)),AND(F47&lt;G47,F46&gt;=G46),FALSE())</f>
        <v>0</v>
      </c>
      <c r="L47" s="8" t="n">
        <f aca="false">IF(ISNUMBER(I47),E47-Inputs!$B$6*I47,"")</f>
        <v>0.844376375347726</v>
      </c>
      <c r="M47" s="9" t="b">
        <f aca="false">AND(Y46&gt;0,Z46)</f>
        <v>0</v>
      </c>
      <c r="N47" s="8" t="n">
        <f aca="false">B47*(1-Inputs!$B$12)</f>
        <v>0.85846536427311</v>
      </c>
      <c r="O47" s="10" t="n">
        <f aca="false">IF(M47,Y46*(N47-AB46)-Inputs!$B$9-Y46*AD46*Inputs!$B$13*(A47-AC46),0)</f>
        <v>0</v>
      </c>
      <c r="P47" s="10" t="n">
        <f aca="false">X46+O47</f>
        <v>1000</v>
      </c>
      <c r="Q47" s="9" t="b">
        <f aca="false">AND(IF(M47,0,Y46)=0,AA46,IF(ISNUMBER(AE46),B47&gt;AE46,FALSE()))</f>
        <v>0</v>
      </c>
      <c r="R47" s="8" t="n">
        <f aca="false">B47*(1+Inputs!$B$12)</f>
        <v>0.858808819109787</v>
      </c>
      <c r="S47" s="11" t="n">
        <f aca="false">IF(Q47,MIN(P47*Inputs!$B$3/(R47-AE46),P47*Inputs!$B$11/R47),0)</f>
        <v>0</v>
      </c>
      <c r="T47" s="11" t="n">
        <f aca="false">IF(Q47,S47,IF(M47,0,Y46))</f>
        <v>0</v>
      </c>
      <c r="U47" s="8" t="n">
        <f aca="false">IF(Q47,AE46,AF46)</f>
        <v>0</v>
      </c>
      <c r="V47" s="9" t="b">
        <f aca="false">AND(T47&gt;0,D47&lt;=U47)</f>
        <v>0</v>
      </c>
      <c r="W47" s="10" t="n">
        <f aca="false">IF(V47,T47*(AK47-AB47)-Inputs!$B$9-T47*AD47*Inputs!$B$13*(A47-AC47),0)</f>
        <v>0</v>
      </c>
      <c r="X47" s="10" t="n">
        <f aca="false">P47-IF(Q47,Inputs!$B$9,0)+W47</f>
        <v>1000</v>
      </c>
      <c r="Y47" s="11" t="n">
        <f aca="false">IF(V47,0,T47)</f>
        <v>0</v>
      </c>
      <c r="Z47" s="9" t="b">
        <f aca="false">AND(Y47&gt;0,K47)</f>
        <v>0</v>
      </c>
      <c r="AA47" s="9" t="b">
        <f aca="false">AND(Y47=0,J47,ISNUMBER(L47))</f>
        <v>0</v>
      </c>
      <c r="AB47" s="8" t="n">
        <f aca="false">IF(Q47,R47,AB46)</f>
        <v>0</v>
      </c>
      <c r="AC47" s="12" t="n">
        <f aca="false">IF(Q47,A47,AC46)</f>
        <v>0</v>
      </c>
      <c r="AD47" s="8" t="n">
        <f aca="false">IF(Q47,B47,AD46)</f>
        <v>0</v>
      </c>
      <c r="AE47" s="8" t="str">
        <f aca="false">IF(AA47,L47,"")</f>
        <v/>
      </c>
      <c r="AF47" s="8" t="n">
        <f aca="false">U47</f>
        <v>0</v>
      </c>
      <c r="AG47" s="2" t="n">
        <f aca="false">AG46+IF(Q47,1,0)</f>
        <v>0</v>
      </c>
      <c r="AH47" s="2" t="n">
        <f aca="false">AG46</f>
        <v>0</v>
      </c>
      <c r="AI47" s="10" t="n">
        <f aca="false">X47+Y47*(E47-AB47)-Y47*AD47*Inputs!$B$13*(A47-AC47)</f>
        <v>1000</v>
      </c>
      <c r="AJ47" s="10" t="n">
        <v>0</v>
      </c>
      <c r="AK47" s="8" t="n">
        <f aca="false">IF(AND(B47&lt;=U47,NOT(Q47)),B47,U47)*(1-Inputs!$B$12)</f>
        <v>0</v>
      </c>
    </row>
    <row r="48" customFormat="false" ht="15" hidden="false" customHeight="false" outlineLevel="0" collapsed="false">
      <c r="A48" s="6" t="n">
        <v>44832</v>
      </c>
      <c r="B48" s="7" t="n">
        <v>0.861382986853508</v>
      </c>
      <c r="C48" s="7" t="n">
        <v>0.864282181700411</v>
      </c>
      <c r="D48" s="7" t="n">
        <v>0.859816664651261</v>
      </c>
      <c r="E48" s="7" t="n">
        <v>0.860528803519105</v>
      </c>
      <c r="F48" s="8" t="n">
        <f aca="true">IF(ROW()-2&gt;=Inputs!$B$4,AVERAGE(OFFSET(E48,1-Inputs!$B$4,0,Inputs!$B$4,1)),"")</f>
        <v>0.840543939355306</v>
      </c>
      <c r="G48" s="8" t="str">
        <f aca="true">IF(ROW()-2&gt;=Inputs!$B$5,AVERAGE(OFFSET(E48,1-Inputs!$B$5,0,Inputs!$B$5,1)),"")</f>
        <v/>
      </c>
      <c r="H48" s="8" t="n">
        <f aca="false">MAX(C48-D48,ABS(C48-E47),ABS(D48-E47))</f>
        <v>0.0044655170491501</v>
      </c>
      <c r="I48" s="8" t="n">
        <f aca="true">IF(ROW()-2&lt;14,"",IF(ROW()-2=14,AVERAGE(OFFSET(H48,-13,0,14,1)),(I47*13+H48)/14))</f>
        <v>0.00821489227405275</v>
      </c>
      <c r="J48" s="9" t="b">
        <f aca="false">IF(AND(ISNUMBER(F48),ISNUMBER(G48),ISNUMBER(F47),ISNUMBER(G47)),AND(F48&gt;G48,F47&lt;=G47),FALSE())</f>
        <v>0</v>
      </c>
      <c r="K48" s="9" t="b">
        <f aca="false">IF(AND(ISNUMBER(F48),ISNUMBER(G48),ISNUMBER(F47),ISNUMBER(G47)),AND(F48&lt;G48,F47&gt;=G47),FALSE())</f>
        <v>0</v>
      </c>
      <c r="L48" s="8" t="n">
        <f aca="false">IF(ISNUMBER(I48),E48-Inputs!$B$6*I48,"")</f>
        <v>0.844099018971</v>
      </c>
      <c r="M48" s="9" t="b">
        <f aca="false">AND(Y47&gt;0,Z47)</f>
        <v>0</v>
      </c>
      <c r="N48" s="8" t="n">
        <f aca="false">B48*(1-Inputs!$B$12)</f>
        <v>0.861210710256138</v>
      </c>
      <c r="O48" s="10" t="n">
        <f aca="false">IF(M48,Y47*(N48-AB47)-Inputs!$B$9-Y47*AD47*Inputs!$B$13*(A48-AC47),0)</f>
        <v>0</v>
      </c>
      <c r="P48" s="10" t="n">
        <f aca="false">X47+O48</f>
        <v>1000</v>
      </c>
      <c r="Q48" s="9" t="b">
        <f aca="false">AND(IF(M48,0,Y47)=0,AA47,IF(ISNUMBER(AE47),B48&gt;AE47,FALSE()))</f>
        <v>0</v>
      </c>
      <c r="R48" s="8" t="n">
        <f aca="false">B48*(1+Inputs!$B$12)</f>
        <v>0.861555263450879</v>
      </c>
      <c r="S48" s="11" t="n">
        <f aca="false">IF(Q48,MIN(P48*Inputs!$B$3/(R48-AE47),P48*Inputs!$B$11/R48),0)</f>
        <v>0</v>
      </c>
      <c r="T48" s="11" t="n">
        <f aca="false">IF(Q48,S48,IF(M48,0,Y47))</f>
        <v>0</v>
      </c>
      <c r="U48" s="8" t="n">
        <f aca="false">IF(Q48,AE47,AF47)</f>
        <v>0</v>
      </c>
      <c r="V48" s="9" t="b">
        <f aca="false">AND(T48&gt;0,D48&lt;=U48)</f>
        <v>0</v>
      </c>
      <c r="W48" s="10" t="n">
        <f aca="false">IF(V48,T48*(AK48-AB48)-Inputs!$B$9-T48*AD48*Inputs!$B$13*(A48-AC48),0)</f>
        <v>0</v>
      </c>
      <c r="X48" s="10" t="n">
        <f aca="false">P48-IF(Q48,Inputs!$B$9,0)+W48</f>
        <v>1000</v>
      </c>
      <c r="Y48" s="11" t="n">
        <f aca="false">IF(V48,0,T48)</f>
        <v>0</v>
      </c>
      <c r="Z48" s="9" t="b">
        <f aca="false">AND(Y48&gt;0,K48)</f>
        <v>0</v>
      </c>
      <c r="AA48" s="9" t="b">
        <f aca="false">AND(Y48=0,J48,ISNUMBER(L48))</f>
        <v>0</v>
      </c>
      <c r="AB48" s="8" t="n">
        <f aca="false">IF(Q48,R48,AB47)</f>
        <v>0</v>
      </c>
      <c r="AC48" s="12" t="n">
        <f aca="false">IF(Q48,A48,AC47)</f>
        <v>0</v>
      </c>
      <c r="AD48" s="8" t="n">
        <f aca="false">IF(Q48,B48,AD47)</f>
        <v>0</v>
      </c>
      <c r="AE48" s="8" t="str">
        <f aca="false">IF(AA48,L48,"")</f>
        <v/>
      </c>
      <c r="AF48" s="8" t="n">
        <f aca="false">U48</f>
        <v>0</v>
      </c>
      <c r="AG48" s="2" t="n">
        <f aca="false">AG47+IF(Q48,1,0)</f>
        <v>0</v>
      </c>
      <c r="AH48" s="2" t="n">
        <f aca="false">AG47</f>
        <v>0</v>
      </c>
      <c r="AI48" s="10" t="n">
        <f aca="false">X48+Y48*(E48-AB48)-Y48*AD48*Inputs!$B$13*(A48-AC48)</f>
        <v>1000</v>
      </c>
      <c r="AJ48" s="10" t="n">
        <v>0</v>
      </c>
      <c r="AK48" s="8" t="n">
        <f aca="false">IF(AND(B48&lt;=U48,NOT(Q48)),B48,U48)*(1-Inputs!$B$12)</f>
        <v>0</v>
      </c>
    </row>
    <row r="49" customFormat="false" ht="15" hidden="false" customHeight="false" outlineLevel="0" collapsed="false">
      <c r="A49" s="6" t="n">
        <v>44833</v>
      </c>
      <c r="B49" s="7" t="n">
        <v>0.860528803519105</v>
      </c>
      <c r="C49" s="7" t="n">
        <v>0.863224579753191</v>
      </c>
      <c r="D49" s="7" t="n">
        <v>0.859767933851712</v>
      </c>
      <c r="E49" s="7" t="n">
        <v>0.860867910473424</v>
      </c>
      <c r="F49" s="8" t="n">
        <f aca="true">IF(ROW()-2&gt;=Inputs!$B$4,AVERAGE(OFFSET(E49,1-Inputs!$B$4,0,Inputs!$B$4,1)),"")</f>
        <v>0.842247121953542</v>
      </c>
      <c r="G49" s="8" t="str">
        <f aca="true">IF(ROW()-2&gt;=Inputs!$B$5,AVERAGE(OFFSET(E49,1-Inputs!$B$5,0,Inputs!$B$5,1)),"")</f>
        <v/>
      </c>
      <c r="H49" s="8" t="n">
        <f aca="false">MAX(C49-D49,ABS(C49-E48),ABS(D49-E48))</f>
        <v>0.00345664590147865</v>
      </c>
      <c r="I49" s="8" t="n">
        <f aca="true">IF(ROW()-2&lt;14,"",IF(ROW()-2=14,AVERAGE(OFFSET(H49,-13,0,14,1)),(I48*13+H49)/14))</f>
        <v>0.0078750175331546</v>
      </c>
      <c r="J49" s="9" t="b">
        <f aca="false">IF(AND(ISNUMBER(F49),ISNUMBER(G49),ISNUMBER(F48),ISNUMBER(G48)),AND(F49&gt;G49,F48&lt;=G48),FALSE())</f>
        <v>0</v>
      </c>
      <c r="K49" s="9" t="b">
        <f aca="false">IF(AND(ISNUMBER(F49),ISNUMBER(G49),ISNUMBER(F48),ISNUMBER(G48)),AND(F49&lt;G49,F48&gt;=G48),FALSE())</f>
        <v>0</v>
      </c>
      <c r="L49" s="8" t="n">
        <f aca="false">IF(ISNUMBER(I49),E49-Inputs!$B$6*I49,"")</f>
        <v>0.845117875407115</v>
      </c>
      <c r="M49" s="9" t="b">
        <f aca="false">AND(Y48&gt;0,Z48)</f>
        <v>0</v>
      </c>
      <c r="N49" s="8" t="n">
        <f aca="false">B49*(1-Inputs!$B$12)</f>
        <v>0.860356697758402</v>
      </c>
      <c r="O49" s="10" t="n">
        <f aca="false">IF(M49,Y48*(N49-AB48)-Inputs!$B$9-Y48*AD48*Inputs!$B$13*(A49-AC48),0)</f>
        <v>0</v>
      </c>
      <c r="P49" s="10" t="n">
        <f aca="false">X48+O49</f>
        <v>1000</v>
      </c>
      <c r="Q49" s="9" t="b">
        <f aca="false">AND(IF(M49,0,Y48)=0,AA48,IF(ISNUMBER(AE48),B49&gt;AE48,FALSE()))</f>
        <v>0</v>
      </c>
      <c r="R49" s="8" t="n">
        <f aca="false">B49*(1+Inputs!$B$12)</f>
        <v>0.860700909279809</v>
      </c>
      <c r="S49" s="11" t="n">
        <f aca="false">IF(Q49,MIN(P49*Inputs!$B$3/(R49-AE48),P49*Inputs!$B$11/R49),0)</f>
        <v>0</v>
      </c>
      <c r="T49" s="11" t="n">
        <f aca="false">IF(Q49,S49,IF(M49,0,Y48))</f>
        <v>0</v>
      </c>
      <c r="U49" s="8" t="n">
        <f aca="false">IF(Q49,AE48,AF48)</f>
        <v>0</v>
      </c>
      <c r="V49" s="9" t="b">
        <f aca="false">AND(T49&gt;0,D49&lt;=U49)</f>
        <v>0</v>
      </c>
      <c r="W49" s="10" t="n">
        <f aca="false">IF(V49,T49*(AK49-AB49)-Inputs!$B$9-T49*AD49*Inputs!$B$13*(A49-AC49),0)</f>
        <v>0</v>
      </c>
      <c r="X49" s="10" t="n">
        <f aca="false">P49-IF(Q49,Inputs!$B$9,0)+W49</f>
        <v>1000</v>
      </c>
      <c r="Y49" s="11" t="n">
        <f aca="false">IF(V49,0,T49)</f>
        <v>0</v>
      </c>
      <c r="Z49" s="9" t="b">
        <f aca="false">AND(Y49&gt;0,K49)</f>
        <v>0</v>
      </c>
      <c r="AA49" s="9" t="b">
        <f aca="false">AND(Y49=0,J49,ISNUMBER(L49))</f>
        <v>0</v>
      </c>
      <c r="AB49" s="8" t="n">
        <f aca="false">IF(Q49,R49,AB48)</f>
        <v>0</v>
      </c>
      <c r="AC49" s="12" t="n">
        <f aca="false">IF(Q49,A49,AC48)</f>
        <v>0</v>
      </c>
      <c r="AD49" s="8" t="n">
        <f aca="false">IF(Q49,B49,AD48)</f>
        <v>0</v>
      </c>
      <c r="AE49" s="8" t="str">
        <f aca="false">IF(AA49,L49,"")</f>
        <v/>
      </c>
      <c r="AF49" s="8" t="n">
        <f aca="false">U49</f>
        <v>0</v>
      </c>
      <c r="AG49" s="2" t="n">
        <f aca="false">AG48+IF(Q49,1,0)</f>
        <v>0</v>
      </c>
      <c r="AH49" s="2" t="n">
        <f aca="false">AG48</f>
        <v>0</v>
      </c>
      <c r="AI49" s="10" t="n">
        <f aca="false">X49+Y49*(E49-AB49)-Y49*AD49*Inputs!$B$13*(A49-AC49)</f>
        <v>1000</v>
      </c>
      <c r="AJ49" s="10" t="n">
        <v>0</v>
      </c>
      <c r="AK49" s="8" t="n">
        <f aca="false">IF(AND(B49&lt;=U49,NOT(Q49)),B49,U49)*(1-Inputs!$B$12)</f>
        <v>0</v>
      </c>
    </row>
    <row r="50" customFormat="false" ht="15" hidden="false" customHeight="false" outlineLevel="0" collapsed="false">
      <c r="A50" s="6" t="n">
        <v>44834</v>
      </c>
      <c r="B50" s="7" t="n">
        <v>0.860867910473424</v>
      </c>
      <c r="C50" s="7" t="n">
        <v>0.8615006055126</v>
      </c>
      <c r="D50" s="7" t="n">
        <v>0.856802058307143</v>
      </c>
      <c r="E50" s="7" t="n">
        <v>0.857807507990967</v>
      </c>
      <c r="F50" s="8" t="n">
        <f aca="true">IF(ROW()-2&gt;=Inputs!$B$4,AVERAGE(OFFSET(E50,1-Inputs!$B$4,0,Inputs!$B$4,1)),"")</f>
        <v>0.843622690741405</v>
      </c>
      <c r="G50" s="8" t="str">
        <f aca="true">IF(ROW()-2&gt;=Inputs!$B$5,AVERAGE(OFFSET(E50,1-Inputs!$B$5,0,Inputs!$B$5,1)),"")</f>
        <v/>
      </c>
      <c r="H50" s="8" t="n">
        <f aca="false">MAX(C50-D50,ABS(C50-E49),ABS(D50-E49))</f>
        <v>0.0046985472054577</v>
      </c>
      <c r="I50" s="8" t="n">
        <f aca="true">IF(ROW()-2&lt;14,"",IF(ROW()-2=14,AVERAGE(OFFSET(H50,-13,0,14,1)),(I49*13+H50)/14))</f>
        <v>0.00764812679546196</v>
      </c>
      <c r="J50" s="9" t="b">
        <f aca="false">IF(AND(ISNUMBER(F50),ISNUMBER(G50),ISNUMBER(F49),ISNUMBER(G49)),AND(F50&gt;G50,F49&lt;=G49),FALSE())</f>
        <v>0</v>
      </c>
      <c r="K50" s="9" t="b">
        <f aca="false">IF(AND(ISNUMBER(F50),ISNUMBER(G50),ISNUMBER(F49),ISNUMBER(G49)),AND(F50&lt;G50,F49&gt;=G49),FALSE())</f>
        <v>0</v>
      </c>
      <c r="L50" s="8" t="n">
        <f aca="false">IF(ISNUMBER(I50),E50-Inputs!$B$6*I50,"")</f>
        <v>0.842511254400043</v>
      </c>
      <c r="M50" s="9" t="b">
        <f aca="false">AND(Y49&gt;0,Z49)</f>
        <v>0</v>
      </c>
      <c r="N50" s="8" t="n">
        <f aca="false">B50*(1-Inputs!$B$12)</f>
        <v>0.860695736891329</v>
      </c>
      <c r="O50" s="10" t="n">
        <f aca="false">IF(M50,Y49*(N50-AB49)-Inputs!$B$9-Y49*AD49*Inputs!$B$13*(A50-AC49),0)</f>
        <v>0</v>
      </c>
      <c r="P50" s="10" t="n">
        <f aca="false">X49+O50</f>
        <v>1000</v>
      </c>
      <c r="Q50" s="9" t="b">
        <f aca="false">AND(IF(M50,0,Y49)=0,AA49,IF(ISNUMBER(AE49),B50&gt;AE49,FALSE()))</f>
        <v>0</v>
      </c>
      <c r="R50" s="8" t="n">
        <f aca="false">B50*(1+Inputs!$B$12)</f>
        <v>0.861040084055519</v>
      </c>
      <c r="S50" s="11" t="n">
        <f aca="false">IF(Q50,MIN(P50*Inputs!$B$3/(R50-AE49),P50*Inputs!$B$11/R50),0)</f>
        <v>0</v>
      </c>
      <c r="T50" s="11" t="n">
        <f aca="false">IF(Q50,S50,IF(M50,0,Y49))</f>
        <v>0</v>
      </c>
      <c r="U50" s="8" t="n">
        <f aca="false">IF(Q50,AE49,AF49)</f>
        <v>0</v>
      </c>
      <c r="V50" s="9" t="b">
        <f aca="false">AND(T50&gt;0,D50&lt;=U50)</f>
        <v>0</v>
      </c>
      <c r="W50" s="10" t="n">
        <f aca="false">IF(V50,T50*(AK50-AB50)-Inputs!$B$9-T50*AD50*Inputs!$B$13*(A50-AC50),0)</f>
        <v>0</v>
      </c>
      <c r="X50" s="10" t="n">
        <f aca="false">P50-IF(Q50,Inputs!$B$9,0)+W50</f>
        <v>1000</v>
      </c>
      <c r="Y50" s="11" t="n">
        <f aca="false">IF(V50,0,T50)</f>
        <v>0</v>
      </c>
      <c r="Z50" s="9" t="b">
        <f aca="false">AND(Y50&gt;0,K50)</f>
        <v>0</v>
      </c>
      <c r="AA50" s="9" t="b">
        <f aca="false">AND(Y50=0,J50,ISNUMBER(L50))</f>
        <v>0</v>
      </c>
      <c r="AB50" s="8" t="n">
        <f aca="false">IF(Q50,R50,AB49)</f>
        <v>0</v>
      </c>
      <c r="AC50" s="12" t="n">
        <f aca="false">IF(Q50,A50,AC49)</f>
        <v>0</v>
      </c>
      <c r="AD50" s="8" t="n">
        <f aca="false">IF(Q50,B50,AD49)</f>
        <v>0</v>
      </c>
      <c r="AE50" s="8" t="str">
        <f aca="false">IF(AA50,L50,"")</f>
        <v/>
      </c>
      <c r="AF50" s="8" t="n">
        <f aca="false">U50</f>
        <v>0</v>
      </c>
      <c r="AG50" s="2" t="n">
        <f aca="false">AG49+IF(Q50,1,0)</f>
        <v>0</v>
      </c>
      <c r="AH50" s="2" t="n">
        <f aca="false">AG49</f>
        <v>0</v>
      </c>
      <c r="AI50" s="10" t="n">
        <f aca="false">X50+Y50*(E50-AB50)-Y50*AD50*Inputs!$B$13*(A50-AC50)</f>
        <v>1000</v>
      </c>
      <c r="AJ50" s="10" t="n">
        <v>0</v>
      </c>
      <c r="AK50" s="8" t="n">
        <f aca="false">IF(AND(B50&lt;=U50,NOT(Q50)),B50,U50)*(1-Inputs!$B$12)</f>
        <v>0</v>
      </c>
    </row>
    <row r="51" customFormat="false" ht="15" hidden="false" customHeight="false" outlineLevel="0" collapsed="false">
      <c r="A51" s="6" t="n">
        <v>44835</v>
      </c>
      <c r="B51" s="7" t="n">
        <v>0.857807507990967</v>
      </c>
      <c r="C51" s="7" t="n">
        <v>0.858884154122668</v>
      </c>
      <c r="D51" s="7" t="n">
        <v>0.855140155272084</v>
      </c>
      <c r="E51" s="7" t="n">
        <v>0.856206890161738</v>
      </c>
      <c r="F51" s="8" t="n">
        <f aca="true">IF(ROW()-2&gt;=Inputs!$B$4,AVERAGE(OFFSET(E51,1-Inputs!$B$4,0,Inputs!$B$4,1)),"")</f>
        <v>0.844831043519667</v>
      </c>
      <c r="G51" s="8" t="str">
        <f aca="true">IF(ROW()-2&gt;=Inputs!$B$5,AVERAGE(OFFSET(E51,1-Inputs!$B$5,0,Inputs!$B$5,1)),"")</f>
        <v/>
      </c>
      <c r="H51" s="8" t="n">
        <f aca="false">MAX(C51-D51,ABS(C51-E50),ABS(D51-E50))</f>
        <v>0.0037439988505843</v>
      </c>
      <c r="I51" s="8" t="n">
        <f aca="true">IF(ROW()-2&lt;14,"",IF(ROW()-2=14,AVERAGE(OFFSET(H51,-13,0,14,1)),(I50*13+H51)/14))</f>
        <v>0.00736926051368499</v>
      </c>
      <c r="J51" s="9" t="b">
        <f aca="false">IF(AND(ISNUMBER(F51),ISNUMBER(G51),ISNUMBER(F50),ISNUMBER(G50)),AND(F51&gt;G51,F50&lt;=G50),FALSE())</f>
        <v>0</v>
      </c>
      <c r="K51" s="9" t="b">
        <f aca="false">IF(AND(ISNUMBER(F51),ISNUMBER(G51),ISNUMBER(F50),ISNUMBER(G50)),AND(F51&lt;G51,F50&gt;=G50),FALSE())</f>
        <v>0</v>
      </c>
      <c r="L51" s="8" t="n">
        <f aca="false">IF(ISNUMBER(I51),E51-Inputs!$B$6*I51,"")</f>
        <v>0.841468369134368</v>
      </c>
      <c r="M51" s="9" t="b">
        <f aca="false">AND(Y50&gt;0,Z50)</f>
        <v>0</v>
      </c>
      <c r="N51" s="8" t="n">
        <f aca="false">B51*(1-Inputs!$B$12)</f>
        <v>0.857635946489369</v>
      </c>
      <c r="O51" s="10" t="n">
        <f aca="false">IF(M51,Y50*(N51-AB50)-Inputs!$B$9-Y50*AD50*Inputs!$B$13*(A51-AC50),0)</f>
        <v>0</v>
      </c>
      <c r="P51" s="10" t="n">
        <f aca="false">X50+O51</f>
        <v>1000</v>
      </c>
      <c r="Q51" s="9" t="b">
        <f aca="false">AND(IF(M51,0,Y50)=0,AA50,IF(ISNUMBER(AE50),B51&gt;AE50,FALSE()))</f>
        <v>0</v>
      </c>
      <c r="R51" s="8" t="n">
        <f aca="false">B51*(1+Inputs!$B$12)</f>
        <v>0.857979069492565</v>
      </c>
      <c r="S51" s="11" t="n">
        <f aca="false">IF(Q51,MIN(P51*Inputs!$B$3/(R51-AE50),P51*Inputs!$B$11/R51),0)</f>
        <v>0</v>
      </c>
      <c r="T51" s="11" t="n">
        <f aca="false">IF(Q51,S51,IF(M51,0,Y50))</f>
        <v>0</v>
      </c>
      <c r="U51" s="8" t="n">
        <f aca="false">IF(Q51,AE50,AF50)</f>
        <v>0</v>
      </c>
      <c r="V51" s="9" t="b">
        <f aca="false">AND(T51&gt;0,D51&lt;=U51)</f>
        <v>0</v>
      </c>
      <c r="W51" s="10" t="n">
        <f aca="false">IF(V51,T51*(AK51-AB51)-Inputs!$B$9-T51*AD51*Inputs!$B$13*(A51-AC51),0)</f>
        <v>0</v>
      </c>
      <c r="X51" s="10" t="n">
        <f aca="false">P51-IF(Q51,Inputs!$B$9,0)+W51</f>
        <v>1000</v>
      </c>
      <c r="Y51" s="11" t="n">
        <f aca="false">IF(V51,0,T51)</f>
        <v>0</v>
      </c>
      <c r="Z51" s="9" t="b">
        <f aca="false">AND(Y51&gt;0,K51)</f>
        <v>0</v>
      </c>
      <c r="AA51" s="9" t="b">
        <f aca="false">AND(Y51=0,J51,ISNUMBER(L51))</f>
        <v>0</v>
      </c>
      <c r="AB51" s="8" t="n">
        <f aca="false">IF(Q51,R51,AB50)</f>
        <v>0</v>
      </c>
      <c r="AC51" s="12" t="n">
        <f aca="false">IF(Q51,A51,AC50)</f>
        <v>0</v>
      </c>
      <c r="AD51" s="8" t="n">
        <f aca="false">IF(Q51,B51,AD50)</f>
        <v>0</v>
      </c>
      <c r="AE51" s="8" t="str">
        <f aca="false">IF(AA51,L51,"")</f>
        <v/>
      </c>
      <c r="AF51" s="8" t="n">
        <f aca="false">U51</f>
        <v>0</v>
      </c>
      <c r="AG51" s="2" t="n">
        <f aca="false">AG50+IF(Q51,1,0)</f>
        <v>0</v>
      </c>
      <c r="AH51" s="2" t="n">
        <f aca="false">AG50</f>
        <v>0</v>
      </c>
      <c r="AI51" s="10" t="n">
        <f aca="false">X51+Y51*(E51-AB51)-Y51*AD51*Inputs!$B$13*(A51-AC51)</f>
        <v>1000</v>
      </c>
      <c r="AJ51" s="10" t="n">
        <v>0</v>
      </c>
      <c r="AK51" s="8" t="n">
        <f aca="false">IF(AND(B51&lt;=U51,NOT(Q51)),B51,U51)*(1-Inputs!$B$12)</f>
        <v>0</v>
      </c>
    </row>
    <row r="52" customFormat="false" ht="15" hidden="false" customHeight="false" outlineLevel="0" collapsed="false">
      <c r="A52" s="6" t="n">
        <v>44836</v>
      </c>
      <c r="B52" s="7" t="n">
        <v>0.856206890161738</v>
      </c>
      <c r="C52" s="7" t="n">
        <v>0.862336919645678</v>
      </c>
      <c r="D52" s="7" t="n">
        <v>0.855987780498144</v>
      </c>
      <c r="E52" s="7" t="n">
        <v>0.862141860891753</v>
      </c>
      <c r="F52" s="8" t="n">
        <f aca="true">IF(ROW()-2&gt;=Inputs!$B$4,AVERAGE(OFFSET(E52,1-Inputs!$B$4,0,Inputs!$B$4,1)),"")</f>
        <v>0.846596796716949</v>
      </c>
      <c r="G52" s="8" t="n">
        <f aca="true">IF(ROW()-2&gt;=Inputs!$B$5,AVERAGE(OFFSET(E52,1-Inputs!$B$5,0,Inputs!$B$5,1)),"")</f>
        <v>0.840347208874574</v>
      </c>
      <c r="H52" s="8" t="n">
        <f aca="false">MAX(C52-D52,ABS(C52-E51),ABS(D52-E51))</f>
        <v>0.00634913914753321</v>
      </c>
      <c r="I52" s="8" t="n">
        <f aca="true">IF(ROW()-2&lt;14,"",IF(ROW()-2=14,AVERAGE(OFFSET(H52,-13,0,14,1)),(I51*13+H52)/14))</f>
        <v>0.007296394701817</v>
      </c>
      <c r="J52" s="9" t="b">
        <f aca="false">IF(AND(ISNUMBER(F52),ISNUMBER(G52),ISNUMBER(F51),ISNUMBER(G51)),AND(F52&gt;G52,F51&lt;=G51),FALSE())</f>
        <v>0</v>
      </c>
      <c r="K52" s="9" t="b">
        <f aca="false">IF(AND(ISNUMBER(F52),ISNUMBER(G52),ISNUMBER(F51),ISNUMBER(G51)),AND(F52&lt;G52,F51&gt;=G51),FALSE())</f>
        <v>0</v>
      </c>
      <c r="L52" s="8" t="n">
        <f aca="false">IF(ISNUMBER(I52),E52-Inputs!$B$6*I52,"")</f>
        <v>0.847549071488119</v>
      </c>
      <c r="M52" s="9" t="b">
        <f aca="false">AND(Y51&gt;0,Z51)</f>
        <v>0</v>
      </c>
      <c r="N52" s="8" t="n">
        <f aca="false">B52*(1-Inputs!$B$12)</f>
        <v>0.856035648783706</v>
      </c>
      <c r="O52" s="10" t="n">
        <f aca="false">IF(M52,Y51*(N52-AB51)-Inputs!$B$9-Y51*AD51*Inputs!$B$13*(A52-AC51),0)</f>
        <v>0</v>
      </c>
      <c r="P52" s="10" t="n">
        <f aca="false">X51+O52</f>
        <v>1000</v>
      </c>
      <c r="Q52" s="9" t="b">
        <f aca="false">AND(IF(M52,0,Y51)=0,AA51,IF(ISNUMBER(AE51),B52&gt;AE51,FALSE()))</f>
        <v>0</v>
      </c>
      <c r="R52" s="8" t="n">
        <f aca="false">B52*(1+Inputs!$B$12)</f>
        <v>0.85637813153977</v>
      </c>
      <c r="S52" s="11" t="n">
        <f aca="false">IF(Q52,MIN(P52*Inputs!$B$3/(R52-AE51),P52*Inputs!$B$11/R52),0)</f>
        <v>0</v>
      </c>
      <c r="T52" s="11" t="n">
        <f aca="false">IF(Q52,S52,IF(M52,0,Y51))</f>
        <v>0</v>
      </c>
      <c r="U52" s="8" t="n">
        <f aca="false">IF(Q52,AE51,AF51)</f>
        <v>0</v>
      </c>
      <c r="V52" s="9" t="b">
        <f aca="false">AND(T52&gt;0,D52&lt;=U52)</f>
        <v>0</v>
      </c>
      <c r="W52" s="10" t="n">
        <f aca="false">IF(V52,T52*(AK52-AB52)-Inputs!$B$9-T52*AD52*Inputs!$B$13*(A52-AC52),0)</f>
        <v>0</v>
      </c>
      <c r="X52" s="10" t="n">
        <f aca="false">P52-IF(Q52,Inputs!$B$9,0)+W52</f>
        <v>1000</v>
      </c>
      <c r="Y52" s="11" t="n">
        <f aca="false">IF(V52,0,T52)</f>
        <v>0</v>
      </c>
      <c r="Z52" s="9" t="b">
        <f aca="false">AND(Y52&gt;0,K52)</f>
        <v>0</v>
      </c>
      <c r="AA52" s="9" t="b">
        <f aca="false">AND(Y52=0,J52,ISNUMBER(L52))</f>
        <v>0</v>
      </c>
      <c r="AB52" s="8" t="n">
        <f aca="false">IF(Q52,R52,AB51)</f>
        <v>0</v>
      </c>
      <c r="AC52" s="12" t="n">
        <f aca="false">IF(Q52,A52,AC51)</f>
        <v>0</v>
      </c>
      <c r="AD52" s="8" t="n">
        <f aca="false">IF(Q52,B52,AD51)</f>
        <v>0</v>
      </c>
      <c r="AE52" s="8" t="str">
        <f aca="false">IF(AA52,L52,"")</f>
        <v/>
      </c>
      <c r="AF52" s="8" t="n">
        <f aca="false">U52</f>
        <v>0</v>
      </c>
      <c r="AG52" s="2" t="n">
        <f aca="false">AG51+IF(Q52,1,0)</f>
        <v>0</v>
      </c>
      <c r="AH52" s="2" t="n">
        <f aca="false">AG51</f>
        <v>0</v>
      </c>
      <c r="AI52" s="10" t="n">
        <f aca="false">X52+Y52*(E52-AB52)-Y52*AD52*Inputs!$B$13*(A52-AC52)</f>
        <v>1000</v>
      </c>
      <c r="AJ52" s="10" t="n">
        <v>0</v>
      </c>
      <c r="AK52" s="8" t="n">
        <f aca="false">IF(AND(B52&lt;=U52,NOT(Q52)),B52,U52)*(1-Inputs!$B$12)</f>
        <v>0</v>
      </c>
    </row>
    <row r="53" customFormat="false" ht="15" hidden="false" customHeight="false" outlineLevel="0" collapsed="false">
      <c r="A53" s="6" t="n">
        <v>44837</v>
      </c>
      <c r="B53" s="7" t="n">
        <v>0.862141860891753</v>
      </c>
      <c r="C53" s="7" t="n">
        <v>0.865394214035925</v>
      </c>
      <c r="D53" s="7" t="n">
        <v>0.853302594732229</v>
      </c>
      <c r="E53" s="7" t="n">
        <v>0.858031729362745</v>
      </c>
      <c r="F53" s="8" t="n">
        <f aca="true">IF(ROW()-2&gt;=Inputs!$B$4,AVERAGE(OFFSET(E53,1-Inputs!$B$4,0,Inputs!$B$4,1)),"")</f>
        <v>0.848337701954282</v>
      </c>
      <c r="G53" s="8" t="n">
        <f aca="true">IF(ROW()-2&gt;=Inputs!$B$5,AVERAGE(OFFSET(E53,1-Inputs!$B$5,0,Inputs!$B$5,1)),"")</f>
        <v>0.840890804109599</v>
      </c>
      <c r="H53" s="8" t="n">
        <f aca="false">MAX(C53-D53,ABS(C53-E52),ABS(D53-E52))</f>
        <v>0.0120916193036955</v>
      </c>
      <c r="I53" s="8" t="n">
        <f aca="true">IF(ROW()-2&lt;14,"",IF(ROW()-2=14,AVERAGE(OFFSET(H53,-13,0,14,1)),(I52*13+H53)/14))</f>
        <v>0.00763891074480832</v>
      </c>
      <c r="J53" s="9" t="b">
        <f aca="false">IF(AND(ISNUMBER(F53),ISNUMBER(G53),ISNUMBER(F52),ISNUMBER(G52)),AND(F53&gt;G53,F52&lt;=G52),FALSE())</f>
        <v>0</v>
      </c>
      <c r="K53" s="9" t="b">
        <f aca="false">IF(AND(ISNUMBER(F53),ISNUMBER(G53),ISNUMBER(F52),ISNUMBER(G52)),AND(F53&lt;G53,F52&gt;=G52),FALSE())</f>
        <v>0</v>
      </c>
      <c r="L53" s="8" t="n">
        <f aca="false">IF(ISNUMBER(I53),E53-Inputs!$B$6*I53,"")</f>
        <v>0.842753907873128</v>
      </c>
      <c r="M53" s="9" t="b">
        <f aca="false">AND(Y52&gt;0,Z52)</f>
        <v>0</v>
      </c>
      <c r="N53" s="8" t="n">
        <f aca="false">B53*(1-Inputs!$B$12)</f>
        <v>0.861969432519575</v>
      </c>
      <c r="O53" s="10" t="n">
        <f aca="false">IF(M53,Y52*(N53-AB52)-Inputs!$B$9-Y52*AD52*Inputs!$B$13*(A53-AC52),0)</f>
        <v>0</v>
      </c>
      <c r="P53" s="10" t="n">
        <f aca="false">X52+O53</f>
        <v>1000</v>
      </c>
      <c r="Q53" s="9" t="b">
        <f aca="false">AND(IF(M53,0,Y52)=0,AA52,IF(ISNUMBER(AE52),B53&gt;AE52,FALSE()))</f>
        <v>0</v>
      </c>
      <c r="R53" s="8" t="n">
        <f aca="false">B53*(1+Inputs!$B$12)</f>
        <v>0.862314289263931</v>
      </c>
      <c r="S53" s="11" t="n">
        <f aca="false">IF(Q53,MIN(P53*Inputs!$B$3/(R53-AE52),P53*Inputs!$B$11/R53),0)</f>
        <v>0</v>
      </c>
      <c r="T53" s="11" t="n">
        <f aca="false">IF(Q53,S53,IF(M53,0,Y52))</f>
        <v>0</v>
      </c>
      <c r="U53" s="8" t="n">
        <f aca="false">IF(Q53,AE52,AF52)</f>
        <v>0</v>
      </c>
      <c r="V53" s="9" t="b">
        <f aca="false">AND(T53&gt;0,D53&lt;=U53)</f>
        <v>0</v>
      </c>
      <c r="W53" s="10" t="n">
        <f aca="false">IF(V53,T53*(AK53-AB53)-Inputs!$B$9-T53*AD53*Inputs!$B$13*(A53-AC53),0)</f>
        <v>0</v>
      </c>
      <c r="X53" s="10" t="n">
        <f aca="false">P53-IF(Q53,Inputs!$B$9,0)+W53</f>
        <v>1000</v>
      </c>
      <c r="Y53" s="11" t="n">
        <f aca="false">IF(V53,0,T53)</f>
        <v>0</v>
      </c>
      <c r="Z53" s="9" t="b">
        <f aca="false">AND(Y53&gt;0,K53)</f>
        <v>0</v>
      </c>
      <c r="AA53" s="9" t="b">
        <f aca="false">AND(Y53=0,J53,ISNUMBER(L53))</f>
        <v>0</v>
      </c>
      <c r="AB53" s="8" t="n">
        <f aca="false">IF(Q53,R53,AB52)</f>
        <v>0</v>
      </c>
      <c r="AC53" s="12" t="n">
        <f aca="false">IF(Q53,A53,AC52)</f>
        <v>0</v>
      </c>
      <c r="AD53" s="8" t="n">
        <f aca="false">IF(Q53,B53,AD52)</f>
        <v>0</v>
      </c>
      <c r="AE53" s="8" t="str">
        <f aca="false">IF(AA53,L53,"")</f>
        <v/>
      </c>
      <c r="AF53" s="8" t="n">
        <f aca="false">U53</f>
        <v>0</v>
      </c>
      <c r="AG53" s="2" t="n">
        <f aca="false">AG52+IF(Q53,1,0)</f>
        <v>0</v>
      </c>
      <c r="AH53" s="2" t="n">
        <f aca="false">AG52</f>
        <v>0</v>
      </c>
      <c r="AI53" s="10" t="n">
        <f aca="false">X53+Y53*(E53-AB53)-Y53*AD53*Inputs!$B$13*(A53-AC53)</f>
        <v>1000</v>
      </c>
      <c r="AJ53" s="10" t="n">
        <v>0</v>
      </c>
      <c r="AK53" s="8" t="n">
        <f aca="false">IF(AND(B53&lt;=U53,NOT(Q53)),B53,U53)*(1-Inputs!$B$12)</f>
        <v>0</v>
      </c>
    </row>
    <row r="54" customFormat="false" ht="15" hidden="false" customHeight="false" outlineLevel="0" collapsed="false">
      <c r="A54" s="6" t="n">
        <v>44838</v>
      </c>
      <c r="B54" s="7" t="n">
        <v>0.858031729362745</v>
      </c>
      <c r="C54" s="7" t="n">
        <v>0.860144496941546</v>
      </c>
      <c r="D54" s="7" t="n">
        <v>0.852773935589318</v>
      </c>
      <c r="E54" s="7" t="n">
        <v>0.855531273929856</v>
      </c>
      <c r="F54" s="8" t="n">
        <f aca="true">IF(ROW()-2&gt;=Inputs!$B$4,AVERAGE(OFFSET(E54,1-Inputs!$B$4,0,Inputs!$B$4,1)),"")</f>
        <v>0.850105792349774</v>
      </c>
      <c r="G54" s="8" t="n">
        <f aca="true">IF(ROW()-2&gt;=Inputs!$B$5,AVERAGE(OFFSET(E54,1-Inputs!$B$5,0,Inputs!$B$5,1)),"")</f>
        <v>0.841312307890337</v>
      </c>
      <c r="H54" s="8" t="n">
        <f aca="false">MAX(C54-D54,ABS(C54-E53),ABS(D54-E53))</f>
        <v>0.00737056135222813</v>
      </c>
      <c r="I54" s="8" t="n">
        <f aca="true">IF(ROW()-2&lt;14,"",IF(ROW()-2=14,AVERAGE(OFFSET(H54,-13,0,14,1)),(I53*13+H54)/14))</f>
        <v>0.0076197429310526</v>
      </c>
      <c r="J54" s="9" t="b">
        <f aca="false">IF(AND(ISNUMBER(F54),ISNUMBER(G54),ISNUMBER(F53),ISNUMBER(G53)),AND(F54&gt;G54,F53&lt;=G53),FALSE())</f>
        <v>0</v>
      </c>
      <c r="K54" s="9" t="b">
        <f aca="false">IF(AND(ISNUMBER(F54),ISNUMBER(G54),ISNUMBER(F53),ISNUMBER(G53)),AND(F54&lt;G54,F53&gt;=G53),FALSE())</f>
        <v>0</v>
      </c>
      <c r="L54" s="8" t="n">
        <f aca="false">IF(ISNUMBER(I54),E54-Inputs!$B$6*I54,"")</f>
        <v>0.840291788067751</v>
      </c>
      <c r="M54" s="9" t="b">
        <f aca="false">AND(Y53&gt;0,Z53)</f>
        <v>0</v>
      </c>
      <c r="N54" s="8" t="n">
        <f aca="false">B54*(1-Inputs!$B$12)</f>
        <v>0.857860123016872</v>
      </c>
      <c r="O54" s="10" t="n">
        <f aca="false">IF(M54,Y53*(N54-AB53)-Inputs!$B$9-Y53*AD53*Inputs!$B$13*(A54-AC53),0)</f>
        <v>0</v>
      </c>
      <c r="P54" s="10" t="n">
        <f aca="false">X53+O54</f>
        <v>1000</v>
      </c>
      <c r="Q54" s="9" t="b">
        <f aca="false">AND(IF(M54,0,Y53)=0,AA53,IF(ISNUMBER(AE53),B54&gt;AE53,FALSE()))</f>
        <v>0</v>
      </c>
      <c r="R54" s="8" t="n">
        <f aca="false">B54*(1+Inputs!$B$12)</f>
        <v>0.858203335708617</v>
      </c>
      <c r="S54" s="11" t="n">
        <f aca="false">IF(Q54,MIN(P54*Inputs!$B$3/(R54-AE53),P54*Inputs!$B$11/R54),0)</f>
        <v>0</v>
      </c>
      <c r="T54" s="11" t="n">
        <f aca="false">IF(Q54,S54,IF(M54,0,Y53))</f>
        <v>0</v>
      </c>
      <c r="U54" s="8" t="n">
        <f aca="false">IF(Q54,AE53,AF53)</f>
        <v>0</v>
      </c>
      <c r="V54" s="9" t="b">
        <f aca="false">AND(T54&gt;0,D54&lt;=U54)</f>
        <v>0</v>
      </c>
      <c r="W54" s="10" t="n">
        <f aca="false">IF(V54,T54*(AK54-AB54)-Inputs!$B$9-T54*AD54*Inputs!$B$13*(A54-AC54),0)</f>
        <v>0</v>
      </c>
      <c r="X54" s="10" t="n">
        <f aca="false">P54-IF(Q54,Inputs!$B$9,0)+W54</f>
        <v>1000</v>
      </c>
      <c r="Y54" s="11" t="n">
        <f aca="false">IF(V54,0,T54)</f>
        <v>0</v>
      </c>
      <c r="Z54" s="9" t="b">
        <f aca="false">AND(Y54&gt;0,K54)</f>
        <v>0</v>
      </c>
      <c r="AA54" s="9" t="b">
        <f aca="false">AND(Y54=0,J54,ISNUMBER(L54))</f>
        <v>0</v>
      </c>
      <c r="AB54" s="8" t="n">
        <f aca="false">IF(Q54,R54,AB53)</f>
        <v>0</v>
      </c>
      <c r="AC54" s="12" t="n">
        <f aca="false">IF(Q54,A54,AC53)</f>
        <v>0</v>
      </c>
      <c r="AD54" s="8" t="n">
        <f aca="false">IF(Q54,B54,AD53)</f>
        <v>0</v>
      </c>
      <c r="AE54" s="8" t="str">
        <f aca="false">IF(AA54,L54,"")</f>
        <v/>
      </c>
      <c r="AF54" s="8" t="n">
        <f aca="false">U54</f>
        <v>0</v>
      </c>
      <c r="AG54" s="2" t="n">
        <f aca="false">AG53+IF(Q54,1,0)</f>
        <v>0</v>
      </c>
      <c r="AH54" s="2" t="n">
        <f aca="false">AG53</f>
        <v>0</v>
      </c>
      <c r="AI54" s="10" t="n">
        <f aca="false">X54+Y54*(E54-AB54)-Y54*AD54*Inputs!$B$13*(A54-AC54)</f>
        <v>1000</v>
      </c>
      <c r="AJ54" s="10" t="n">
        <v>0</v>
      </c>
      <c r="AK54" s="8" t="n">
        <f aca="false">IF(AND(B54&lt;=U54,NOT(Q54)),B54,U54)*(1-Inputs!$B$12)</f>
        <v>0</v>
      </c>
    </row>
    <row r="55" customFormat="false" ht="15" hidden="false" customHeight="false" outlineLevel="0" collapsed="false">
      <c r="A55" s="6" t="n">
        <v>44839</v>
      </c>
      <c r="B55" s="7" t="n">
        <v>0.855531273929856</v>
      </c>
      <c r="C55" s="7" t="n">
        <v>0.858413686422871</v>
      </c>
      <c r="D55" s="7" t="n">
        <v>0.851482232229415</v>
      </c>
      <c r="E55" s="7" t="n">
        <v>0.85201274115604</v>
      </c>
      <c r="F55" s="8" t="n">
        <f aca="true">IF(ROW()-2&gt;=Inputs!$B$4,AVERAGE(OFFSET(E55,1-Inputs!$B$4,0,Inputs!$B$4,1)),"")</f>
        <v>0.851369102845912</v>
      </c>
      <c r="G55" s="8" t="n">
        <f aca="true">IF(ROW()-2&gt;=Inputs!$B$5,AVERAGE(OFFSET(E55,1-Inputs!$B$5,0,Inputs!$B$5,1)),"")</f>
        <v>0.84147764071593</v>
      </c>
      <c r="H55" s="8" t="n">
        <f aca="false">MAX(C55-D55,ABS(C55-E54),ABS(D55-E54))</f>
        <v>0.00693145419345631</v>
      </c>
      <c r="I55" s="8" t="n">
        <f aca="true">IF(ROW()-2&lt;14,"",IF(ROW()-2=14,AVERAGE(OFFSET(H55,-13,0,14,1)),(I54*13+H55)/14))</f>
        <v>0.00757057944979572</v>
      </c>
      <c r="J55" s="9" t="b">
        <f aca="false">IF(AND(ISNUMBER(F55),ISNUMBER(G55),ISNUMBER(F54),ISNUMBER(G54)),AND(F55&gt;G55,F54&lt;=G54),FALSE())</f>
        <v>0</v>
      </c>
      <c r="K55" s="9" t="b">
        <f aca="false">IF(AND(ISNUMBER(F55),ISNUMBER(G55),ISNUMBER(F54),ISNUMBER(G54)),AND(F55&lt;G55,F54&gt;=G54),FALSE())</f>
        <v>0</v>
      </c>
      <c r="L55" s="8" t="n">
        <f aca="false">IF(ISNUMBER(I55),E55-Inputs!$B$6*I55,"")</f>
        <v>0.836871582256449</v>
      </c>
      <c r="M55" s="9" t="b">
        <f aca="false">AND(Y54&gt;0,Z54)</f>
        <v>0</v>
      </c>
      <c r="N55" s="8" t="n">
        <f aca="false">B55*(1-Inputs!$B$12)</f>
        <v>0.85536016767507</v>
      </c>
      <c r="O55" s="10" t="n">
        <f aca="false">IF(M55,Y54*(N55-AB54)-Inputs!$B$9-Y54*AD54*Inputs!$B$13*(A55-AC54),0)</f>
        <v>0</v>
      </c>
      <c r="P55" s="10" t="n">
        <f aca="false">X54+O55</f>
        <v>1000</v>
      </c>
      <c r="Q55" s="9" t="b">
        <f aca="false">AND(IF(M55,0,Y54)=0,AA54,IF(ISNUMBER(AE54),B55&gt;AE54,FALSE()))</f>
        <v>0</v>
      </c>
      <c r="R55" s="8" t="n">
        <f aca="false">B55*(1+Inputs!$B$12)</f>
        <v>0.855702380184642</v>
      </c>
      <c r="S55" s="11" t="n">
        <f aca="false">IF(Q55,MIN(P55*Inputs!$B$3/(R55-AE54),P55*Inputs!$B$11/R55),0)</f>
        <v>0</v>
      </c>
      <c r="T55" s="11" t="n">
        <f aca="false">IF(Q55,S55,IF(M55,0,Y54))</f>
        <v>0</v>
      </c>
      <c r="U55" s="8" t="n">
        <f aca="false">IF(Q55,AE54,AF54)</f>
        <v>0</v>
      </c>
      <c r="V55" s="9" t="b">
        <f aca="false">AND(T55&gt;0,D55&lt;=U55)</f>
        <v>0</v>
      </c>
      <c r="W55" s="10" t="n">
        <f aca="false">IF(V55,T55*(AK55-AB55)-Inputs!$B$9-T55*AD55*Inputs!$B$13*(A55-AC55),0)</f>
        <v>0</v>
      </c>
      <c r="X55" s="10" t="n">
        <f aca="false">P55-IF(Q55,Inputs!$B$9,0)+W55</f>
        <v>1000</v>
      </c>
      <c r="Y55" s="11" t="n">
        <f aca="false">IF(V55,0,T55)</f>
        <v>0</v>
      </c>
      <c r="Z55" s="9" t="b">
        <f aca="false">AND(Y55&gt;0,K55)</f>
        <v>0</v>
      </c>
      <c r="AA55" s="9" t="b">
        <f aca="false">AND(Y55=0,J55,ISNUMBER(L55))</f>
        <v>0</v>
      </c>
      <c r="AB55" s="8" t="n">
        <f aca="false">IF(Q55,R55,AB54)</f>
        <v>0</v>
      </c>
      <c r="AC55" s="12" t="n">
        <f aca="false">IF(Q55,A55,AC54)</f>
        <v>0</v>
      </c>
      <c r="AD55" s="8" t="n">
        <f aca="false">IF(Q55,B55,AD54)</f>
        <v>0</v>
      </c>
      <c r="AE55" s="8" t="str">
        <f aca="false">IF(AA55,L55,"")</f>
        <v/>
      </c>
      <c r="AF55" s="8" t="n">
        <f aca="false">U55</f>
        <v>0</v>
      </c>
      <c r="AG55" s="2" t="n">
        <f aca="false">AG54+IF(Q55,1,0)</f>
        <v>0</v>
      </c>
      <c r="AH55" s="2" t="n">
        <f aca="false">AG54</f>
        <v>0</v>
      </c>
      <c r="AI55" s="10" t="n">
        <f aca="false">X55+Y55*(E55-AB55)-Y55*AD55*Inputs!$B$13*(A55-AC55)</f>
        <v>1000</v>
      </c>
      <c r="AJ55" s="10" t="n">
        <v>0</v>
      </c>
      <c r="AK55" s="8" t="n">
        <f aca="false">IF(AND(B55&lt;=U55,NOT(Q55)),B55,U55)*(1-Inputs!$B$12)</f>
        <v>0</v>
      </c>
    </row>
    <row r="56" customFormat="false" ht="15" hidden="false" customHeight="false" outlineLevel="0" collapsed="false">
      <c r="A56" s="6" t="n">
        <v>44840</v>
      </c>
      <c r="B56" s="7" t="n">
        <v>0.85201274115604</v>
      </c>
      <c r="C56" s="7" t="n">
        <v>0.857038244860164</v>
      </c>
      <c r="D56" s="7" t="n">
        <v>0.846633984092181</v>
      </c>
      <c r="E56" s="7" t="n">
        <v>0.849402862072912</v>
      </c>
      <c r="F56" s="8" t="n">
        <f aca="true">IF(ROW()-2&gt;=Inputs!$B$4,AVERAGE(OFFSET(E56,1-Inputs!$B$4,0,Inputs!$B$4,1)),"")</f>
        <v>0.852134655436164</v>
      </c>
      <c r="G56" s="8" t="n">
        <f aca="true">IF(ROW()-2&gt;=Inputs!$B$5,AVERAGE(OFFSET(E56,1-Inputs!$B$5,0,Inputs!$B$5,1)),"")</f>
        <v>0.841761666699024</v>
      </c>
      <c r="H56" s="8" t="n">
        <f aca="false">MAX(C56-D56,ABS(C56-E55),ABS(D56-E55))</f>
        <v>0.010404260767983</v>
      </c>
      <c r="I56" s="8" t="n">
        <f aca="true">IF(ROW()-2&lt;14,"",IF(ROW()-2=14,AVERAGE(OFFSET(H56,-13,0,14,1)),(I55*13+H56)/14))</f>
        <v>0.00777298525823766</v>
      </c>
      <c r="J56" s="9" t="b">
        <f aca="false">IF(AND(ISNUMBER(F56),ISNUMBER(G56),ISNUMBER(F55),ISNUMBER(G55)),AND(F56&gt;G56,F55&lt;=G55),FALSE())</f>
        <v>0</v>
      </c>
      <c r="K56" s="9" t="b">
        <f aca="false">IF(AND(ISNUMBER(F56),ISNUMBER(G56),ISNUMBER(F55),ISNUMBER(G55)),AND(F56&lt;G56,F55&gt;=G55),FALSE())</f>
        <v>0</v>
      </c>
      <c r="L56" s="8" t="n">
        <f aca="false">IF(ISNUMBER(I56),E56-Inputs!$B$6*I56,"")</f>
        <v>0.833856891556437</v>
      </c>
      <c r="M56" s="9" t="b">
        <f aca="false">AND(Y55&gt;0,Z55)</f>
        <v>0</v>
      </c>
      <c r="N56" s="8" t="n">
        <f aca="false">B56*(1-Inputs!$B$12)</f>
        <v>0.851842338607809</v>
      </c>
      <c r="O56" s="10" t="n">
        <f aca="false">IF(M56,Y55*(N56-AB55)-Inputs!$B$9-Y55*AD55*Inputs!$B$13*(A56-AC55),0)</f>
        <v>0</v>
      </c>
      <c r="P56" s="10" t="n">
        <f aca="false">X55+O56</f>
        <v>1000</v>
      </c>
      <c r="Q56" s="9" t="b">
        <f aca="false">AND(IF(M56,0,Y55)=0,AA55,IF(ISNUMBER(AE55),B56&gt;AE55,FALSE()))</f>
        <v>0</v>
      </c>
      <c r="R56" s="8" t="n">
        <f aca="false">B56*(1+Inputs!$B$12)</f>
        <v>0.852183143704271</v>
      </c>
      <c r="S56" s="11" t="n">
        <f aca="false">IF(Q56,MIN(P56*Inputs!$B$3/(R56-AE55),P56*Inputs!$B$11/R56),0)</f>
        <v>0</v>
      </c>
      <c r="T56" s="11" t="n">
        <f aca="false">IF(Q56,S56,IF(M56,0,Y55))</f>
        <v>0</v>
      </c>
      <c r="U56" s="8" t="n">
        <f aca="false">IF(Q56,AE55,AF55)</f>
        <v>0</v>
      </c>
      <c r="V56" s="9" t="b">
        <f aca="false">AND(T56&gt;0,D56&lt;=U56)</f>
        <v>0</v>
      </c>
      <c r="W56" s="10" t="n">
        <f aca="false">IF(V56,T56*(AK56-AB56)-Inputs!$B$9-T56*AD56*Inputs!$B$13*(A56-AC56),0)</f>
        <v>0</v>
      </c>
      <c r="X56" s="10" t="n">
        <f aca="false">P56-IF(Q56,Inputs!$B$9,0)+W56</f>
        <v>1000</v>
      </c>
      <c r="Y56" s="11" t="n">
        <f aca="false">IF(V56,0,T56)</f>
        <v>0</v>
      </c>
      <c r="Z56" s="9" t="b">
        <f aca="false">AND(Y56&gt;0,K56)</f>
        <v>0</v>
      </c>
      <c r="AA56" s="9" t="b">
        <f aca="false">AND(Y56=0,J56,ISNUMBER(L56))</f>
        <v>0</v>
      </c>
      <c r="AB56" s="8" t="n">
        <f aca="false">IF(Q56,R56,AB55)</f>
        <v>0</v>
      </c>
      <c r="AC56" s="12" t="n">
        <f aca="false">IF(Q56,A56,AC55)</f>
        <v>0</v>
      </c>
      <c r="AD56" s="8" t="n">
        <f aca="false">IF(Q56,B56,AD55)</f>
        <v>0</v>
      </c>
      <c r="AE56" s="8" t="str">
        <f aca="false">IF(AA56,L56,"")</f>
        <v/>
      </c>
      <c r="AF56" s="8" t="n">
        <f aca="false">U56</f>
        <v>0</v>
      </c>
      <c r="AG56" s="2" t="n">
        <f aca="false">AG55+IF(Q56,1,0)</f>
        <v>0</v>
      </c>
      <c r="AH56" s="2" t="n">
        <f aca="false">AG55</f>
        <v>0</v>
      </c>
      <c r="AI56" s="10" t="n">
        <f aca="false">X56+Y56*(E56-AB56)-Y56*AD56*Inputs!$B$13*(A56-AC56)</f>
        <v>1000</v>
      </c>
      <c r="AJ56" s="10" t="n">
        <v>0</v>
      </c>
      <c r="AK56" s="8" t="n">
        <f aca="false">IF(AND(B56&lt;=U56,NOT(Q56)),B56,U56)*(1-Inputs!$B$12)</f>
        <v>0</v>
      </c>
    </row>
    <row r="57" customFormat="false" ht="15" hidden="false" customHeight="false" outlineLevel="0" collapsed="false">
      <c r="A57" s="6" t="n">
        <v>44841</v>
      </c>
      <c r="B57" s="7" t="n">
        <v>0.849402862072912</v>
      </c>
      <c r="C57" s="7" t="n">
        <v>0.851041295500989</v>
      </c>
      <c r="D57" s="7" t="n">
        <v>0.845219795347541</v>
      </c>
      <c r="E57" s="7" t="n">
        <v>0.84829935276567</v>
      </c>
      <c r="F57" s="8" t="n">
        <f aca="true">IF(ROW()-2&gt;=Inputs!$B$4,AVERAGE(OFFSET(E57,1-Inputs!$B$4,0,Inputs!$B$4,1)),"")</f>
        <v>0.85263803648151</v>
      </c>
      <c r="G57" s="8" t="n">
        <f aca="true">IF(ROW()-2&gt;=Inputs!$B$5,AVERAGE(OFFSET(E57,1-Inputs!$B$5,0,Inputs!$B$5,1)),"")</f>
        <v>0.842115919704728</v>
      </c>
      <c r="H57" s="8" t="n">
        <f aca="false">MAX(C57-D57,ABS(C57-E56),ABS(D57-E56))</f>
        <v>0.00582150015344707</v>
      </c>
      <c r="I57" s="8" t="n">
        <f aca="true">IF(ROW()-2&lt;14,"",IF(ROW()-2=14,AVERAGE(OFFSET(H57,-13,0,14,1)),(I56*13+H57)/14))</f>
        <v>0.00763359346503833</v>
      </c>
      <c r="J57" s="9" t="b">
        <f aca="false">IF(AND(ISNUMBER(F57),ISNUMBER(G57),ISNUMBER(F56),ISNUMBER(G56)),AND(F57&gt;G57,F56&lt;=G56),FALSE())</f>
        <v>0</v>
      </c>
      <c r="K57" s="9" t="b">
        <f aca="false">IF(AND(ISNUMBER(F57),ISNUMBER(G57),ISNUMBER(F56),ISNUMBER(G56)),AND(F57&lt;G57,F56&gt;=G56),FALSE())</f>
        <v>0</v>
      </c>
      <c r="L57" s="8" t="n">
        <f aca="false">IF(ISNUMBER(I57),E57-Inputs!$B$6*I57,"")</f>
        <v>0.833032165835593</v>
      </c>
      <c r="M57" s="9" t="b">
        <f aca="false">AND(Y56&gt;0,Z56)</f>
        <v>0</v>
      </c>
      <c r="N57" s="8" t="n">
        <f aca="false">B57*(1-Inputs!$B$12)</f>
        <v>0.849232981500498</v>
      </c>
      <c r="O57" s="10" t="n">
        <f aca="false">IF(M57,Y56*(N57-AB56)-Inputs!$B$9-Y56*AD56*Inputs!$B$13*(A57-AC56),0)</f>
        <v>0</v>
      </c>
      <c r="P57" s="10" t="n">
        <f aca="false">X56+O57</f>
        <v>1000</v>
      </c>
      <c r="Q57" s="9" t="b">
        <f aca="false">AND(IF(M57,0,Y56)=0,AA56,IF(ISNUMBER(AE56),B57&gt;AE56,FALSE()))</f>
        <v>0</v>
      </c>
      <c r="R57" s="8" t="n">
        <f aca="false">B57*(1+Inputs!$B$12)</f>
        <v>0.849572742645327</v>
      </c>
      <c r="S57" s="11" t="n">
        <f aca="false">IF(Q57,MIN(P57*Inputs!$B$3/(R57-AE56),P57*Inputs!$B$11/R57),0)</f>
        <v>0</v>
      </c>
      <c r="T57" s="11" t="n">
        <f aca="false">IF(Q57,S57,IF(M57,0,Y56))</f>
        <v>0</v>
      </c>
      <c r="U57" s="8" t="n">
        <f aca="false">IF(Q57,AE56,AF56)</f>
        <v>0</v>
      </c>
      <c r="V57" s="9" t="b">
        <f aca="false">AND(T57&gt;0,D57&lt;=U57)</f>
        <v>0</v>
      </c>
      <c r="W57" s="10" t="n">
        <f aca="false">IF(V57,T57*(AK57-AB57)-Inputs!$B$9-T57*AD57*Inputs!$B$13*(A57-AC57),0)</f>
        <v>0</v>
      </c>
      <c r="X57" s="10" t="n">
        <f aca="false">P57-IF(Q57,Inputs!$B$9,0)+W57</f>
        <v>1000</v>
      </c>
      <c r="Y57" s="11" t="n">
        <f aca="false">IF(V57,0,T57)</f>
        <v>0</v>
      </c>
      <c r="Z57" s="9" t="b">
        <f aca="false">AND(Y57&gt;0,K57)</f>
        <v>0</v>
      </c>
      <c r="AA57" s="9" t="b">
        <f aca="false">AND(Y57=0,J57,ISNUMBER(L57))</f>
        <v>0</v>
      </c>
      <c r="AB57" s="8" t="n">
        <f aca="false">IF(Q57,R57,AB56)</f>
        <v>0</v>
      </c>
      <c r="AC57" s="12" t="n">
        <f aca="false">IF(Q57,A57,AC56)</f>
        <v>0</v>
      </c>
      <c r="AD57" s="8" t="n">
        <f aca="false">IF(Q57,B57,AD56)</f>
        <v>0</v>
      </c>
      <c r="AE57" s="8" t="str">
        <f aca="false">IF(AA57,L57,"")</f>
        <v/>
      </c>
      <c r="AF57" s="8" t="n">
        <f aca="false">U57</f>
        <v>0</v>
      </c>
      <c r="AG57" s="2" t="n">
        <f aca="false">AG56+IF(Q57,1,0)</f>
        <v>0</v>
      </c>
      <c r="AH57" s="2" t="n">
        <f aca="false">AG56</f>
        <v>0</v>
      </c>
      <c r="AI57" s="10" t="n">
        <f aca="false">X57+Y57*(E57-AB57)-Y57*AD57*Inputs!$B$13*(A57-AC57)</f>
        <v>1000</v>
      </c>
      <c r="AJ57" s="10" t="n">
        <v>0</v>
      </c>
      <c r="AK57" s="8" t="n">
        <f aca="false">IF(AND(B57&lt;=U57,NOT(Q57)),B57,U57)*(1-Inputs!$B$12)</f>
        <v>0</v>
      </c>
    </row>
    <row r="58" customFormat="false" ht="15" hidden="false" customHeight="false" outlineLevel="0" collapsed="false">
      <c r="A58" s="6" t="n">
        <v>44842</v>
      </c>
      <c r="B58" s="7" t="n">
        <v>0.84829935276567</v>
      </c>
      <c r="C58" s="7" t="n">
        <v>0.848534627441179</v>
      </c>
      <c r="D58" s="7" t="n">
        <v>0.842722103136921</v>
      </c>
      <c r="E58" s="7" t="n">
        <v>0.846160978784149</v>
      </c>
      <c r="F58" s="8" t="n">
        <f aca="true">IF(ROW()-2&gt;=Inputs!$B$4,AVERAGE(OFFSET(E58,1-Inputs!$B$4,0,Inputs!$B$4,1)),"")</f>
        <v>0.852974333869221</v>
      </c>
      <c r="G58" s="8" t="n">
        <f aca="true">IF(ROW()-2&gt;=Inputs!$B$5,AVERAGE(OFFSET(E58,1-Inputs!$B$5,0,Inputs!$B$5,1)),"")</f>
        <v>0.842400383607913</v>
      </c>
      <c r="H58" s="8" t="n">
        <f aca="false">MAX(C58-D58,ABS(C58-E57),ABS(D58-E57))</f>
        <v>0.00581252430425838</v>
      </c>
      <c r="I58" s="8" t="n">
        <f aca="true">IF(ROW()-2&lt;14,"",IF(ROW()-2=14,AVERAGE(OFFSET(H58,-13,0,14,1)),(I57*13+H58)/14))</f>
        <v>0.00750351709641119</v>
      </c>
      <c r="J58" s="9" t="b">
        <f aca="false">IF(AND(ISNUMBER(F58),ISNUMBER(G58),ISNUMBER(F57),ISNUMBER(G57)),AND(F58&gt;G58,F57&lt;=G57),FALSE())</f>
        <v>0</v>
      </c>
      <c r="K58" s="9" t="b">
        <f aca="false">IF(AND(ISNUMBER(F58),ISNUMBER(G58),ISNUMBER(F57),ISNUMBER(G57)),AND(F58&lt;G58,F57&gt;=G57),FALSE())</f>
        <v>0</v>
      </c>
      <c r="L58" s="8" t="n">
        <f aca="false">IF(ISNUMBER(I58),E58-Inputs!$B$6*I58,"")</f>
        <v>0.831153944591326</v>
      </c>
      <c r="M58" s="9" t="b">
        <f aca="false">AND(Y57&gt;0,Z57)</f>
        <v>0</v>
      </c>
      <c r="N58" s="8" t="n">
        <f aca="false">B58*(1-Inputs!$B$12)</f>
        <v>0.848129692895117</v>
      </c>
      <c r="O58" s="10" t="n">
        <f aca="false">IF(M58,Y57*(N58-AB57)-Inputs!$B$9-Y57*AD57*Inputs!$B$13*(A58-AC57),0)</f>
        <v>0</v>
      </c>
      <c r="P58" s="10" t="n">
        <f aca="false">X57+O58</f>
        <v>1000</v>
      </c>
      <c r="Q58" s="9" t="b">
        <f aca="false">AND(IF(M58,0,Y57)=0,AA57,IF(ISNUMBER(AE57),B58&gt;AE57,FALSE()))</f>
        <v>0</v>
      </c>
      <c r="R58" s="8" t="n">
        <f aca="false">B58*(1+Inputs!$B$12)</f>
        <v>0.848469012636223</v>
      </c>
      <c r="S58" s="11" t="n">
        <f aca="false">IF(Q58,MIN(P58*Inputs!$B$3/(R58-AE57),P58*Inputs!$B$11/R58),0)</f>
        <v>0</v>
      </c>
      <c r="T58" s="11" t="n">
        <f aca="false">IF(Q58,S58,IF(M58,0,Y57))</f>
        <v>0</v>
      </c>
      <c r="U58" s="8" t="n">
        <f aca="false">IF(Q58,AE57,AF57)</f>
        <v>0</v>
      </c>
      <c r="V58" s="9" t="b">
        <f aca="false">AND(T58&gt;0,D58&lt;=U58)</f>
        <v>0</v>
      </c>
      <c r="W58" s="10" t="n">
        <f aca="false">IF(V58,T58*(AK58-AB58)-Inputs!$B$9-T58*AD58*Inputs!$B$13*(A58-AC58),0)</f>
        <v>0</v>
      </c>
      <c r="X58" s="10" t="n">
        <f aca="false">P58-IF(Q58,Inputs!$B$9,0)+W58</f>
        <v>1000</v>
      </c>
      <c r="Y58" s="11" t="n">
        <f aca="false">IF(V58,0,T58)</f>
        <v>0</v>
      </c>
      <c r="Z58" s="9" t="b">
        <f aca="false">AND(Y58&gt;0,K58)</f>
        <v>0</v>
      </c>
      <c r="AA58" s="9" t="b">
        <f aca="false">AND(Y58=0,J58,ISNUMBER(L58))</f>
        <v>0</v>
      </c>
      <c r="AB58" s="8" t="n">
        <f aca="false">IF(Q58,R58,AB57)</f>
        <v>0</v>
      </c>
      <c r="AC58" s="12" t="n">
        <f aca="false">IF(Q58,A58,AC57)</f>
        <v>0</v>
      </c>
      <c r="AD58" s="8" t="n">
        <f aca="false">IF(Q58,B58,AD57)</f>
        <v>0</v>
      </c>
      <c r="AE58" s="8" t="str">
        <f aca="false">IF(AA58,L58,"")</f>
        <v/>
      </c>
      <c r="AF58" s="8" t="n">
        <f aca="false">U58</f>
        <v>0</v>
      </c>
      <c r="AG58" s="2" t="n">
        <f aca="false">AG57+IF(Q58,1,0)</f>
        <v>0</v>
      </c>
      <c r="AH58" s="2" t="n">
        <f aca="false">AG57</f>
        <v>0</v>
      </c>
      <c r="AI58" s="10" t="n">
        <f aca="false">X58+Y58*(E58-AB58)-Y58*AD58*Inputs!$B$13*(A58-AC58)</f>
        <v>1000</v>
      </c>
      <c r="AJ58" s="10" t="n">
        <v>0</v>
      </c>
      <c r="AK58" s="8" t="n">
        <f aca="false">IF(AND(B58&lt;=U58,NOT(Q58)),B58,U58)*(1-Inputs!$B$12)</f>
        <v>0</v>
      </c>
    </row>
    <row r="59" customFormat="false" ht="15" hidden="false" customHeight="false" outlineLevel="0" collapsed="false">
      <c r="A59" s="6" t="n">
        <v>44843</v>
      </c>
      <c r="B59" s="7" t="n">
        <v>0.846160978784149</v>
      </c>
      <c r="C59" s="7" t="n">
        <v>0.848469740629818</v>
      </c>
      <c r="D59" s="7" t="n">
        <v>0.844669587373683</v>
      </c>
      <c r="E59" s="7" t="n">
        <v>0.847008258562984</v>
      </c>
      <c r="F59" s="8" t="n">
        <f aca="true">IF(ROW()-2&gt;=Inputs!$B$4,AVERAGE(OFFSET(E59,1-Inputs!$B$4,0,Inputs!$B$4,1)),"")</f>
        <v>0.853421182718307</v>
      </c>
      <c r="G59" s="8" t="n">
        <f aca="true">IF(ROW()-2&gt;=Inputs!$B$5,AVERAGE(OFFSET(E59,1-Inputs!$B$5,0,Inputs!$B$5,1)),"")</f>
        <v>0.842610716608794</v>
      </c>
      <c r="H59" s="8" t="n">
        <f aca="false">MAX(C59-D59,ABS(C59-E58),ABS(D59-E58))</f>
        <v>0.00380015325613525</v>
      </c>
      <c r="I59" s="8" t="n">
        <f aca="true">IF(ROW()-2&lt;14,"",IF(ROW()-2=14,AVERAGE(OFFSET(H59,-13,0,14,1)),(I58*13+H59)/14))</f>
        <v>0.00723899110782006</v>
      </c>
      <c r="J59" s="9" t="b">
        <f aca="false">IF(AND(ISNUMBER(F59),ISNUMBER(G59),ISNUMBER(F58),ISNUMBER(G58)),AND(F59&gt;G59,F58&lt;=G58),FALSE())</f>
        <v>0</v>
      </c>
      <c r="K59" s="9" t="b">
        <f aca="false">IF(AND(ISNUMBER(F59),ISNUMBER(G59),ISNUMBER(F58),ISNUMBER(G58)),AND(F59&lt;G59,F58&gt;=G58),FALSE())</f>
        <v>0</v>
      </c>
      <c r="L59" s="8" t="n">
        <f aca="false">IF(ISNUMBER(I59),E59-Inputs!$B$6*I59,"")</f>
        <v>0.832530276347344</v>
      </c>
      <c r="M59" s="9" t="b">
        <f aca="false">AND(Y58&gt;0,Z58)</f>
        <v>0</v>
      </c>
      <c r="N59" s="8" t="n">
        <f aca="false">B59*(1-Inputs!$B$12)</f>
        <v>0.845991746588392</v>
      </c>
      <c r="O59" s="10" t="n">
        <f aca="false">IF(M59,Y58*(N59-AB58)-Inputs!$B$9-Y58*AD58*Inputs!$B$13*(A59-AC58),0)</f>
        <v>0</v>
      </c>
      <c r="P59" s="10" t="n">
        <f aca="false">X58+O59</f>
        <v>1000</v>
      </c>
      <c r="Q59" s="9" t="b">
        <f aca="false">AND(IF(M59,0,Y58)=0,AA58,IF(ISNUMBER(AE58),B59&gt;AE58,FALSE()))</f>
        <v>0</v>
      </c>
      <c r="R59" s="8" t="n">
        <f aca="false">B59*(1+Inputs!$B$12)</f>
        <v>0.846330210979906</v>
      </c>
      <c r="S59" s="11" t="n">
        <f aca="false">IF(Q59,MIN(P59*Inputs!$B$3/(R59-AE58),P59*Inputs!$B$11/R59),0)</f>
        <v>0</v>
      </c>
      <c r="T59" s="11" t="n">
        <f aca="false">IF(Q59,S59,IF(M59,0,Y58))</f>
        <v>0</v>
      </c>
      <c r="U59" s="8" t="n">
        <f aca="false">IF(Q59,AE58,AF58)</f>
        <v>0</v>
      </c>
      <c r="V59" s="9" t="b">
        <f aca="false">AND(T59&gt;0,D59&lt;=U59)</f>
        <v>0</v>
      </c>
      <c r="W59" s="10" t="n">
        <f aca="false">IF(V59,T59*(AK59-AB59)-Inputs!$B$9-T59*AD59*Inputs!$B$13*(A59-AC59),0)</f>
        <v>0</v>
      </c>
      <c r="X59" s="10" t="n">
        <f aca="false">P59-IF(Q59,Inputs!$B$9,0)+W59</f>
        <v>1000</v>
      </c>
      <c r="Y59" s="11" t="n">
        <f aca="false">IF(V59,0,T59)</f>
        <v>0</v>
      </c>
      <c r="Z59" s="9" t="b">
        <f aca="false">AND(Y59&gt;0,K59)</f>
        <v>0</v>
      </c>
      <c r="AA59" s="9" t="b">
        <f aca="false">AND(Y59=0,J59,ISNUMBER(L59))</f>
        <v>0</v>
      </c>
      <c r="AB59" s="8" t="n">
        <f aca="false">IF(Q59,R59,AB58)</f>
        <v>0</v>
      </c>
      <c r="AC59" s="12" t="n">
        <f aca="false">IF(Q59,A59,AC58)</f>
        <v>0</v>
      </c>
      <c r="AD59" s="8" t="n">
        <f aca="false">IF(Q59,B59,AD58)</f>
        <v>0</v>
      </c>
      <c r="AE59" s="8" t="str">
        <f aca="false">IF(AA59,L59,"")</f>
        <v/>
      </c>
      <c r="AF59" s="8" t="n">
        <f aca="false">U59</f>
        <v>0</v>
      </c>
      <c r="AG59" s="2" t="n">
        <f aca="false">AG58+IF(Q59,1,0)</f>
        <v>0</v>
      </c>
      <c r="AH59" s="2" t="n">
        <f aca="false">AG58</f>
        <v>0</v>
      </c>
      <c r="AI59" s="10" t="n">
        <f aca="false">X59+Y59*(E59-AB59)-Y59*AD59*Inputs!$B$13*(A59-AC59)</f>
        <v>1000</v>
      </c>
      <c r="AJ59" s="10" t="n">
        <v>0</v>
      </c>
      <c r="AK59" s="8" t="n">
        <f aca="false">IF(AND(B59&lt;=U59,NOT(Q59)),B59,U59)*(1-Inputs!$B$12)</f>
        <v>0</v>
      </c>
    </row>
    <row r="60" customFormat="false" ht="15" hidden="false" customHeight="false" outlineLevel="0" collapsed="false">
      <c r="A60" s="6" t="n">
        <v>44844</v>
      </c>
      <c r="B60" s="7" t="n">
        <v>0.847008258562984</v>
      </c>
      <c r="C60" s="7" t="n">
        <v>0.850834398271063</v>
      </c>
      <c r="D60" s="7" t="n">
        <v>0.845597909112727</v>
      </c>
      <c r="E60" s="7" t="n">
        <v>0.850023373062562</v>
      </c>
      <c r="F60" s="8" t="n">
        <f aca="true">IF(ROW()-2&gt;=Inputs!$B$4,AVERAGE(OFFSET(E60,1-Inputs!$B$4,0,Inputs!$B$4,1)),"")</f>
        <v>0.853876747759341</v>
      </c>
      <c r="G60" s="8" t="n">
        <f aca="true">IF(ROW()-2&gt;=Inputs!$B$5,AVERAGE(OFFSET(E60,1-Inputs!$B$5,0,Inputs!$B$5,1)),"")</f>
        <v>0.842968108232625</v>
      </c>
      <c r="H60" s="8" t="n">
        <f aca="false">MAX(C60-D60,ABS(C60-E59),ABS(D60-E59))</f>
        <v>0.00523648915833619</v>
      </c>
      <c r="I60" s="8" t="n">
        <f aca="true">IF(ROW()-2&lt;14,"",IF(ROW()-2=14,AVERAGE(OFFSET(H60,-13,0,14,1)),(I59*13+H60)/14))</f>
        <v>0.0070959552542855</v>
      </c>
      <c r="J60" s="9" t="b">
        <f aca="false">IF(AND(ISNUMBER(F60),ISNUMBER(G60),ISNUMBER(F59),ISNUMBER(G59)),AND(F60&gt;G60,F59&lt;=G59),FALSE())</f>
        <v>0</v>
      </c>
      <c r="K60" s="9" t="b">
        <f aca="false">IF(AND(ISNUMBER(F60),ISNUMBER(G60),ISNUMBER(F59),ISNUMBER(G59)),AND(F60&lt;G60,F59&gt;=G59),FALSE())</f>
        <v>0</v>
      </c>
      <c r="L60" s="8" t="n">
        <f aca="false">IF(ISNUMBER(I60),E60-Inputs!$B$6*I60,"")</f>
        <v>0.835831462553991</v>
      </c>
      <c r="M60" s="9" t="b">
        <f aca="false">AND(Y59&gt;0,Z59)</f>
        <v>0</v>
      </c>
      <c r="N60" s="8" t="n">
        <f aca="false">B60*(1-Inputs!$B$12)</f>
        <v>0.846838856911272</v>
      </c>
      <c r="O60" s="10" t="n">
        <f aca="false">IF(M60,Y59*(N60-AB59)-Inputs!$B$9-Y59*AD59*Inputs!$B$13*(A60-AC59),0)</f>
        <v>0</v>
      </c>
      <c r="P60" s="10" t="n">
        <f aca="false">X59+O60</f>
        <v>1000</v>
      </c>
      <c r="Q60" s="9" t="b">
        <f aca="false">AND(IF(M60,0,Y59)=0,AA59,IF(ISNUMBER(AE59),B60&gt;AE59,FALSE()))</f>
        <v>0</v>
      </c>
      <c r="R60" s="8" t="n">
        <f aca="false">B60*(1+Inputs!$B$12)</f>
        <v>0.847177660214697</v>
      </c>
      <c r="S60" s="11" t="n">
        <f aca="false">IF(Q60,MIN(P60*Inputs!$B$3/(R60-AE59),P60*Inputs!$B$11/R60),0)</f>
        <v>0</v>
      </c>
      <c r="T60" s="11" t="n">
        <f aca="false">IF(Q60,S60,IF(M60,0,Y59))</f>
        <v>0</v>
      </c>
      <c r="U60" s="8" t="n">
        <f aca="false">IF(Q60,AE59,AF59)</f>
        <v>0</v>
      </c>
      <c r="V60" s="9" t="b">
        <f aca="false">AND(T60&gt;0,D60&lt;=U60)</f>
        <v>0</v>
      </c>
      <c r="W60" s="10" t="n">
        <f aca="false">IF(V60,T60*(AK60-AB60)-Inputs!$B$9-T60*AD60*Inputs!$B$13*(A60-AC60),0)</f>
        <v>0</v>
      </c>
      <c r="X60" s="10" t="n">
        <f aca="false">P60-IF(Q60,Inputs!$B$9,0)+W60</f>
        <v>1000</v>
      </c>
      <c r="Y60" s="11" t="n">
        <f aca="false">IF(V60,0,T60)</f>
        <v>0</v>
      </c>
      <c r="Z60" s="9" t="b">
        <f aca="false">AND(Y60&gt;0,K60)</f>
        <v>0</v>
      </c>
      <c r="AA60" s="9" t="b">
        <f aca="false">AND(Y60=0,J60,ISNUMBER(L60))</f>
        <v>0</v>
      </c>
      <c r="AB60" s="8" t="n">
        <f aca="false">IF(Q60,R60,AB59)</f>
        <v>0</v>
      </c>
      <c r="AC60" s="12" t="n">
        <f aca="false">IF(Q60,A60,AC59)</f>
        <v>0</v>
      </c>
      <c r="AD60" s="8" t="n">
        <f aca="false">IF(Q60,B60,AD59)</f>
        <v>0</v>
      </c>
      <c r="AE60" s="8" t="str">
        <f aca="false">IF(AA60,L60,"")</f>
        <v/>
      </c>
      <c r="AF60" s="8" t="n">
        <f aca="false">U60</f>
        <v>0</v>
      </c>
      <c r="AG60" s="2" t="n">
        <f aca="false">AG59+IF(Q60,1,0)</f>
        <v>0</v>
      </c>
      <c r="AH60" s="2" t="n">
        <f aca="false">AG59</f>
        <v>0</v>
      </c>
      <c r="AI60" s="10" t="n">
        <f aca="false">X60+Y60*(E60-AB60)-Y60*AD60*Inputs!$B$13*(A60-AC60)</f>
        <v>1000</v>
      </c>
      <c r="AJ60" s="10" t="n">
        <v>0</v>
      </c>
      <c r="AK60" s="8" t="n">
        <f aca="false">IF(AND(B60&lt;=U60,NOT(Q60)),B60,U60)*(1-Inputs!$B$12)</f>
        <v>0</v>
      </c>
    </row>
    <row r="61" customFormat="false" ht="15" hidden="false" customHeight="false" outlineLevel="0" collapsed="false">
      <c r="A61" s="6" t="n">
        <v>44845</v>
      </c>
      <c r="B61" s="7" t="n">
        <v>0.850023373062562</v>
      </c>
      <c r="C61" s="7" t="n">
        <v>0.855239917797011</v>
      </c>
      <c r="D61" s="7" t="n">
        <v>0.833281011299001</v>
      </c>
      <c r="E61" s="7" t="n">
        <v>0.838717150629875</v>
      </c>
      <c r="F61" s="8" t="n">
        <f aca="true">IF(ROW()-2&gt;=Inputs!$B$4,AVERAGE(OFFSET(E61,1-Inputs!$B$4,0,Inputs!$B$4,1)),"")</f>
        <v>0.853416751720102</v>
      </c>
      <c r="G61" s="8" t="n">
        <f aca="true">IF(ROW()-2&gt;=Inputs!$B$5,AVERAGE(OFFSET(E61,1-Inputs!$B$5,0,Inputs!$B$5,1)),"")</f>
        <v>0.842956397512795</v>
      </c>
      <c r="H61" s="8" t="n">
        <f aca="false">MAX(C61-D61,ABS(C61-E60),ABS(D61-E60))</f>
        <v>0.0219589064980101</v>
      </c>
      <c r="I61" s="8" t="n">
        <f aca="true">IF(ROW()-2&lt;14,"",IF(ROW()-2=14,AVERAGE(OFFSET(H61,-13,0,14,1)),(I60*13+H61)/14))</f>
        <v>0.00815759462883725</v>
      </c>
      <c r="J61" s="9" t="b">
        <f aca="false">IF(AND(ISNUMBER(F61),ISNUMBER(G61),ISNUMBER(F60),ISNUMBER(G60)),AND(F61&gt;G61,F60&lt;=G60),FALSE())</f>
        <v>0</v>
      </c>
      <c r="K61" s="9" t="b">
        <f aca="false">IF(AND(ISNUMBER(F61),ISNUMBER(G61),ISNUMBER(F60),ISNUMBER(G60)),AND(F61&lt;G61,F60&gt;=G60),FALSE())</f>
        <v>0</v>
      </c>
      <c r="L61" s="8" t="n">
        <f aca="false">IF(ISNUMBER(I61),E61-Inputs!$B$6*I61,"")</f>
        <v>0.822401961372201</v>
      </c>
      <c r="M61" s="9" t="b">
        <f aca="false">AND(Y60&gt;0,Z60)</f>
        <v>0</v>
      </c>
      <c r="N61" s="8" t="n">
        <f aca="false">B61*(1-Inputs!$B$12)</f>
        <v>0.84985336838795</v>
      </c>
      <c r="O61" s="10" t="n">
        <f aca="false">IF(M61,Y60*(N61-AB60)-Inputs!$B$9-Y60*AD60*Inputs!$B$13*(A61-AC60),0)</f>
        <v>0</v>
      </c>
      <c r="P61" s="10" t="n">
        <f aca="false">X60+O61</f>
        <v>1000</v>
      </c>
      <c r="Q61" s="9" t="b">
        <f aca="false">AND(IF(M61,0,Y60)=0,AA60,IF(ISNUMBER(AE60),B61&gt;AE60,FALSE()))</f>
        <v>0</v>
      </c>
      <c r="R61" s="8" t="n">
        <f aca="false">B61*(1+Inputs!$B$12)</f>
        <v>0.850193377737175</v>
      </c>
      <c r="S61" s="11" t="n">
        <f aca="false">IF(Q61,MIN(P61*Inputs!$B$3/(R61-AE60),P61*Inputs!$B$11/R61),0)</f>
        <v>0</v>
      </c>
      <c r="T61" s="11" t="n">
        <f aca="false">IF(Q61,S61,IF(M61,0,Y60))</f>
        <v>0</v>
      </c>
      <c r="U61" s="8" t="n">
        <f aca="false">IF(Q61,AE60,AF60)</f>
        <v>0</v>
      </c>
      <c r="V61" s="9" t="b">
        <f aca="false">AND(T61&gt;0,D61&lt;=U61)</f>
        <v>0</v>
      </c>
      <c r="W61" s="10" t="n">
        <f aca="false">IF(V61,T61*(AK61-AB61)-Inputs!$B$9-T61*AD61*Inputs!$B$13*(A61-AC61),0)</f>
        <v>0</v>
      </c>
      <c r="X61" s="10" t="n">
        <f aca="false">P61-IF(Q61,Inputs!$B$9,0)+W61</f>
        <v>1000</v>
      </c>
      <c r="Y61" s="11" t="n">
        <f aca="false">IF(V61,0,T61)</f>
        <v>0</v>
      </c>
      <c r="Z61" s="9" t="b">
        <f aca="false">AND(Y61&gt;0,K61)</f>
        <v>0</v>
      </c>
      <c r="AA61" s="9" t="b">
        <f aca="false">AND(Y61=0,J61,ISNUMBER(L61))</f>
        <v>0</v>
      </c>
      <c r="AB61" s="8" t="n">
        <f aca="false">IF(Q61,R61,AB60)</f>
        <v>0</v>
      </c>
      <c r="AC61" s="12" t="n">
        <f aca="false">IF(Q61,A61,AC60)</f>
        <v>0</v>
      </c>
      <c r="AD61" s="8" t="n">
        <f aca="false">IF(Q61,B61,AD60)</f>
        <v>0</v>
      </c>
      <c r="AE61" s="8" t="str">
        <f aca="false">IF(AA61,L61,"")</f>
        <v/>
      </c>
      <c r="AF61" s="8" t="n">
        <f aca="false">U61</f>
        <v>0</v>
      </c>
      <c r="AG61" s="2" t="n">
        <f aca="false">AG60+IF(Q61,1,0)</f>
        <v>0</v>
      </c>
      <c r="AH61" s="2" t="n">
        <f aca="false">AG60</f>
        <v>0</v>
      </c>
      <c r="AI61" s="10" t="n">
        <f aca="false">X61+Y61*(E61-AB61)-Y61*AD61*Inputs!$B$13*(A61-AC61)</f>
        <v>1000</v>
      </c>
      <c r="AJ61" s="10" t="n">
        <v>0</v>
      </c>
      <c r="AK61" s="8" t="n">
        <f aca="false">IF(AND(B61&lt;=U61,NOT(Q61)),B61,U61)*(1-Inputs!$B$12)</f>
        <v>0</v>
      </c>
    </row>
    <row r="62" customFormat="false" ht="15" hidden="false" customHeight="false" outlineLevel="0" collapsed="false">
      <c r="A62" s="6" t="n">
        <v>44846</v>
      </c>
      <c r="B62" s="7" t="n">
        <v>0.838717150629875</v>
      </c>
      <c r="C62" s="7" t="n">
        <v>0.838926645880653</v>
      </c>
      <c r="D62" s="7" t="n">
        <v>0.832924942669464</v>
      </c>
      <c r="E62" s="7" t="n">
        <v>0.833518796494256</v>
      </c>
      <c r="F62" s="8" t="n">
        <f aca="true">IF(ROW()-2&gt;=Inputs!$B$4,AVERAGE(OFFSET(E62,1-Inputs!$B$4,0,Inputs!$B$4,1)),"")</f>
        <v>0.852710420455391</v>
      </c>
      <c r="G62" s="8" t="n">
        <f aca="true">IF(ROW()-2&gt;=Inputs!$B$5,AVERAGE(OFFSET(E62,1-Inputs!$B$5,0,Inputs!$B$5,1)),"")</f>
        <v>0.842884609579867</v>
      </c>
      <c r="H62" s="8" t="n">
        <f aca="false">MAX(C62-D62,ABS(C62-E61),ABS(D62-E61))</f>
        <v>0.00600170321118898</v>
      </c>
      <c r="I62" s="8" t="n">
        <f aca="true">IF(ROW()-2&lt;14,"",IF(ROW()-2=14,AVERAGE(OFFSET(H62,-13,0,14,1)),(I61*13+H62)/14))</f>
        <v>0.00800360238471952</v>
      </c>
      <c r="J62" s="9" t="b">
        <f aca="false">IF(AND(ISNUMBER(F62),ISNUMBER(G62),ISNUMBER(F61),ISNUMBER(G61)),AND(F62&gt;G62,F61&lt;=G61),FALSE())</f>
        <v>0</v>
      </c>
      <c r="K62" s="9" t="b">
        <f aca="false">IF(AND(ISNUMBER(F62),ISNUMBER(G62),ISNUMBER(F61),ISNUMBER(G61)),AND(F62&lt;G62,F61&gt;=G61),FALSE())</f>
        <v>0</v>
      </c>
      <c r="L62" s="8" t="n">
        <f aca="false">IF(ISNUMBER(I62),E62-Inputs!$B$6*I62,"")</f>
        <v>0.817511591724817</v>
      </c>
      <c r="M62" s="9" t="b">
        <f aca="false">AND(Y61&gt;0,Z61)</f>
        <v>0</v>
      </c>
      <c r="N62" s="8" t="n">
        <f aca="false">B62*(1-Inputs!$B$12)</f>
        <v>0.838549407199749</v>
      </c>
      <c r="O62" s="10" t="n">
        <f aca="false">IF(M62,Y61*(N62-AB61)-Inputs!$B$9-Y61*AD61*Inputs!$B$13*(A62-AC61),0)</f>
        <v>0</v>
      </c>
      <c r="P62" s="10" t="n">
        <f aca="false">X61+O62</f>
        <v>1000</v>
      </c>
      <c r="Q62" s="9" t="b">
        <f aca="false">AND(IF(M62,0,Y61)=0,AA61,IF(ISNUMBER(AE61),B62&gt;AE61,FALSE()))</f>
        <v>0</v>
      </c>
      <c r="R62" s="8" t="n">
        <f aca="false">B62*(1+Inputs!$B$12)</f>
        <v>0.838884894060001</v>
      </c>
      <c r="S62" s="11" t="n">
        <f aca="false">IF(Q62,MIN(P62*Inputs!$B$3/(R62-AE61),P62*Inputs!$B$11/R62),0)</f>
        <v>0</v>
      </c>
      <c r="T62" s="11" t="n">
        <f aca="false">IF(Q62,S62,IF(M62,0,Y61))</f>
        <v>0</v>
      </c>
      <c r="U62" s="8" t="n">
        <f aca="false">IF(Q62,AE61,AF61)</f>
        <v>0</v>
      </c>
      <c r="V62" s="9" t="b">
        <f aca="false">AND(T62&gt;0,D62&lt;=U62)</f>
        <v>0</v>
      </c>
      <c r="W62" s="10" t="n">
        <f aca="false">IF(V62,T62*(AK62-AB62)-Inputs!$B$9-T62*AD62*Inputs!$B$13*(A62-AC62),0)</f>
        <v>0</v>
      </c>
      <c r="X62" s="10" t="n">
        <f aca="false">P62-IF(Q62,Inputs!$B$9,0)+W62</f>
        <v>1000</v>
      </c>
      <c r="Y62" s="11" t="n">
        <f aca="false">IF(V62,0,T62)</f>
        <v>0</v>
      </c>
      <c r="Z62" s="9" t="b">
        <f aca="false">AND(Y62&gt;0,K62)</f>
        <v>0</v>
      </c>
      <c r="AA62" s="9" t="b">
        <f aca="false">AND(Y62=0,J62,ISNUMBER(L62))</f>
        <v>0</v>
      </c>
      <c r="AB62" s="8" t="n">
        <f aca="false">IF(Q62,R62,AB61)</f>
        <v>0</v>
      </c>
      <c r="AC62" s="12" t="n">
        <f aca="false">IF(Q62,A62,AC61)</f>
        <v>0</v>
      </c>
      <c r="AD62" s="8" t="n">
        <f aca="false">IF(Q62,B62,AD61)</f>
        <v>0</v>
      </c>
      <c r="AE62" s="8" t="str">
        <f aca="false">IF(AA62,L62,"")</f>
        <v/>
      </c>
      <c r="AF62" s="8" t="n">
        <f aca="false">U62</f>
        <v>0</v>
      </c>
      <c r="AG62" s="2" t="n">
        <f aca="false">AG61+IF(Q62,1,0)</f>
        <v>0</v>
      </c>
      <c r="AH62" s="2" t="n">
        <f aca="false">AG61</f>
        <v>0</v>
      </c>
      <c r="AI62" s="10" t="n">
        <f aca="false">X62+Y62*(E62-AB62)-Y62*AD62*Inputs!$B$13*(A62-AC62)</f>
        <v>1000</v>
      </c>
      <c r="AJ62" s="10" t="n">
        <v>0</v>
      </c>
      <c r="AK62" s="8" t="n">
        <f aca="false">IF(AND(B62&lt;=U62,NOT(Q62)),B62,U62)*(1-Inputs!$B$12)</f>
        <v>0</v>
      </c>
    </row>
    <row r="63" customFormat="false" ht="15" hidden="false" customHeight="false" outlineLevel="0" collapsed="false">
      <c r="A63" s="6" t="n">
        <v>44847</v>
      </c>
      <c r="B63" s="7" t="n">
        <v>0.833518796494256</v>
      </c>
      <c r="C63" s="7" t="n">
        <v>0.835248325504567</v>
      </c>
      <c r="D63" s="7" t="n">
        <v>0.825813025646189</v>
      </c>
      <c r="E63" s="7" t="n">
        <v>0.82665135311554</v>
      </c>
      <c r="F63" s="8" t="n">
        <f aca="true">IF(ROW()-2&gt;=Inputs!$B$4,AVERAGE(OFFSET(E63,1-Inputs!$B$4,0,Inputs!$B$4,1)),"")</f>
        <v>0.851616195731687</v>
      </c>
      <c r="G63" s="8" t="n">
        <f aca="true">IF(ROW()-2&gt;=Inputs!$B$5,AVERAGE(OFFSET(E63,1-Inputs!$B$5,0,Inputs!$B$5,1)),"")</f>
        <v>0.842537808615193</v>
      </c>
      <c r="H63" s="8" t="n">
        <f aca="false">MAX(C63-D63,ABS(C63-E62),ABS(D63-E62))</f>
        <v>0.00943529985837854</v>
      </c>
      <c r="I63" s="8" t="n">
        <f aca="true">IF(ROW()-2&lt;14,"",IF(ROW()-2=14,AVERAGE(OFFSET(H63,-13,0,14,1)),(I62*13+H63)/14))</f>
        <v>0.00810586648998088</v>
      </c>
      <c r="J63" s="9" t="b">
        <f aca="false">IF(AND(ISNUMBER(F63),ISNUMBER(G63),ISNUMBER(F62),ISNUMBER(G62)),AND(F63&gt;G63,F62&lt;=G62),FALSE())</f>
        <v>0</v>
      </c>
      <c r="K63" s="9" t="b">
        <f aca="false">IF(AND(ISNUMBER(F63),ISNUMBER(G63),ISNUMBER(F62),ISNUMBER(G62)),AND(F63&lt;G63,F62&gt;=G62),FALSE())</f>
        <v>0</v>
      </c>
      <c r="L63" s="8" t="n">
        <f aca="false">IF(ISNUMBER(I63),E63-Inputs!$B$6*I63,"")</f>
        <v>0.810439620135579</v>
      </c>
      <c r="M63" s="9" t="b">
        <f aca="false">AND(Y62&gt;0,Z62)</f>
        <v>0</v>
      </c>
      <c r="N63" s="8" t="n">
        <f aca="false">B63*(1-Inputs!$B$12)</f>
        <v>0.833352092734957</v>
      </c>
      <c r="O63" s="10" t="n">
        <f aca="false">IF(M63,Y62*(N63-AB62)-Inputs!$B$9-Y62*AD62*Inputs!$B$13*(A63-AC62),0)</f>
        <v>0</v>
      </c>
      <c r="P63" s="10" t="n">
        <f aca="false">X62+O63</f>
        <v>1000</v>
      </c>
      <c r="Q63" s="9" t="b">
        <f aca="false">AND(IF(M63,0,Y62)=0,AA62,IF(ISNUMBER(AE62),B63&gt;AE62,FALSE()))</f>
        <v>0</v>
      </c>
      <c r="R63" s="8" t="n">
        <f aca="false">B63*(1+Inputs!$B$12)</f>
        <v>0.833685500253555</v>
      </c>
      <c r="S63" s="11" t="n">
        <f aca="false">IF(Q63,MIN(P63*Inputs!$B$3/(R63-AE62),P63*Inputs!$B$11/R63),0)</f>
        <v>0</v>
      </c>
      <c r="T63" s="11" t="n">
        <f aca="false">IF(Q63,S63,IF(M63,0,Y62))</f>
        <v>0</v>
      </c>
      <c r="U63" s="8" t="n">
        <f aca="false">IF(Q63,AE62,AF62)</f>
        <v>0</v>
      </c>
      <c r="V63" s="9" t="b">
        <f aca="false">AND(T63&gt;0,D63&lt;=U63)</f>
        <v>0</v>
      </c>
      <c r="W63" s="10" t="n">
        <f aca="false">IF(V63,T63*(AK63-AB63)-Inputs!$B$9-T63*AD63*Inputs!$B$13*(A63-AC63),0)</f>
        <v>0</v>
      </c>
      <c r="X63" s="10" t="n">
        <f aca="false">P63-IF(Q63,Inputs!$B$9,0)+W63</f>
        <v>1000</v>
      </c>
      <c r="Y63" s="11" t="n">
        <f aca="false">IF(V63,0,T63)</f>
        <v>0</v>
      </c>
      <c r="Z63" s="9" t="b">
        <f aca="false">AND(Y63&gt;0,K63)</f>
        <v>0</v>
      </c>
      <c r="AA63" s="9" t="b">
        <f aca="false">AND(Y63=0,J63,ISNUMBER(L63))</f>
        <v>0</v>
      </c>
      <c r="AB63" s="8" t="n">
        <f aca="false">IF(Q63,R63,AB62)</f>
        <v>0</v>
      </c>
      <c r="AC63" s="12" t="n">
        <f aca="false">IF(Q63,A63,AC62)</f>
        <v>0</v>
      </c>
      <c r="AD63" s="8" t="n">
        <f aca="false">IF(Q63,B63,AD62)</f>
        <v>0</v>
      </c>
      <c r="AE63" s="8" t="str">
        <f aca="false">IF(AA63,L63,"")</f>
        <v/>
      </c>
      <c r="AF63" s="8" t="n">
        <f aca="false">U63</f>
        <v>0</v>
      </c>
      <c r="AG63" s="2" t="n">
        <f aca="false">AG62+IF(Q63,1,0)</f>
        <v>0</v>
      </c>
      <c r="AH63" s="2" t="n">
        <f aca="false">AG62</f>
        <v>0</v>
      </c>
      <c r="AI63" s="10" t="n">
        <f aca="false">X63+Y63*(E63-AB63)-Y63*AD63*Inputs!$B$13*(A63-AC63)</f>
        <v>1000</v>
      </c>
      <c r="AJ63" s="10" t="n">
        <v>0</v>
      </c>
      <c r="AK63" s="8" t="n">
        <f aca="false">IF(AND(B63&lt;=U63,NOT(Q63)),B63,U63)*(1-Inputs!$B$12)</f>
        <v>0</v>
      </c>
    </row>
    <row r="64" customFormat="false" ht="15" hidden="false" customHeight="false" outlineLevel="0" collapsed="false">
      <c r="A64" s="6" t="n">
        <v>44848</v>
      </c>
      <c r="B64" s="7" t="n">
        <v>0.82665135311554</v>
      </c>
      <c r="C64" s="7" t="n">
        <v>0.834426033026281</v>
      </c>
      <c r="D64" s="7" t="n">
        <v>0.824186876445465</v>
      </c>
      <c r="E64" s="7" t="n">
        <v>0.824887419151227</v>
      </c>
      <c r="F64" s="8" t="n">
        <f aca="true">IF(ROW()-2&gt;=Inputs!$B$4,AVERAGE(OFFSET(E64,1-Inputs!$B$4,0,Inputs!$B$4,1)),"")</f>
        <v>0.85025780598995</v>
      </c>
      <c r="G64" s="8" t="n">
        <f aca="true">IF(ROW()-2&gt;=Inputs!$B$5,AVERAGE(OFFSET(E64,1-Inputs!$B$5,0,Inputs!$B$5,1)),"")</f>
        <v>0.842110557351607</v>
      </c>
      <c r="H64" s="8" t="n">
        <f aca="false">MAX(C64-D64,ABS(C64-E63),ABS(D64-E63))</f>
        <v>0.0102391565808161</v>
      </c>
      <c r="I64" s="8" t="n">
        <f aca="true">IF(ROW()-2&lt;14,"",IF(ROW()-2=14,AVERAGE(OFFSET(H64,-13,0,14,1)),(I63*13+H64)/14))</f>
        <v>0.00825824435361197</v>
      </c>
      <c r="J64" s="9" t="b">
        <f aca="false">IF(AND(ISNUMBER(F64),ISNUMBER(G64),ISNUMBER(F63),ISNUMBER(G63)),AND(F64&gt;G64,F63&lt;=G63),FALSE())</f>
        <v>0</v>
      </c>
      <c r="K64" s="9" t="b">
        <f aca="false">IF(AND(ISNUMBER(F64),ISNUMBER(G64),ISNUMBER(F63),ISNUMBER(G63)),AND(F64&lt;G64,F63&gt;=G63),FALSE())</f>
        <v>0</v>
      </c>
      <c r="L64" s="8" t="n">
        <f aca="false">IF(ISNUMBER(I64),E64-Inputs!$B$6*I64,"")</f>
        <v>0.808370930444003</v>
      </c>
      <c r="M64" s="9" t="b">
        <f aca="false">AND(Y63&gt;0,Z63)</f>
        <v>0</v>
      </c>
      <c r="N64" s="8" t="n">
        <f aca="false">B64*(1-Inputs!$B$12)</f>
        <v>0.826486022844917</v>
      </c>
      <c r="O64" s="10" t="n">
        <f aca="false">IF(M64,Y63*(N64-AB63)-Inputs!$B$9-Y63*AD63*Inputs!$B$13*(A64-AC63),0)</f>
        <v>0</v>
      </c>
      <c r="P64" s="10" t="n">
        <f aca="false">X63+O64</f>
        <v>1000</v>
      </c>
      <c r="Q64" s="9" t="b">
        <f aca="false">AND(IF(M64,0,Y63)=0,AA63,IF(ISNUMBER(AE63),B64&gt;AE63,FALSE()))</f>
        <v>0</v>
      </c>
      <c r="R64" s="8" t="n">
        <f aca="false">B64*(1+Inputs!$B$12)</f>
        <v>0.826816683386163</v>
      </c>
      <c r="S64" s="11" t="n">
        <f aca="false">IF(Q64,MIN(P64*Inputs!$B$3/(R64-AE63),P64*Inputs!$B$11/R64),0)</f>
        <v>0</v>
      </c>
      <c r="T64" s="11" t="n">
        <f aca="false">IF(Q64,S64,IF(M64,0,Y63))</f>
        <v>0</v>
      </c>
      <c r="U64" s="8" t="n">
        <f aca="false">IF(Q64,AE63,AF63)</f>
        <v>0</v>
      </c>
      <c r="V64" s="9" t="b">
        <f aca="false">AND(T64&gt;0,D64&lt;=U64)</f>
        <v>0</v>
      </c>
      <c r="W64" s="10" t="n">
        <f aca="false">IF(V64,T64*(AK64-AB64)-Inputs!$B$9-T64*AD64*Inputs!$B$13*(A64-AC64),0)</f>
        <v>0</v>
      </c>
      <c r="X64" s="10" t="n">
        <f aca="false">P64-IF(Q64,Inputs!$B$9,0)+W64</f>
        <v>1000</v>
      </c>
      <c r="Y64" s="11" t="n">
        <f aca="false">IF(V64,0,T64)</f>
        <v>0</v>
      </c>
      <c r="Z64" s="9" t="b">
        <f aca="false">AND(Y64&gt;0,K64)</f>
        <v>0</v>
      </c>
      <c r="AA64" s="9" t="b">
        <f aca="false">AND(Y64=0,J64,ISNUMBER(L64))</f>
        <v>0</v>
      </c>
      <c r="AB64" s="8" t="n">
        <f aca="false">IF(Q64,R64,AB63)</f>
        <v>0</v>
      </c>
      <c r="AC64" s="12" t="n">
        <f aca="false">IF(Q64,A64,AC63)</f>
        <v>0</v>
      </c>
      <c r="AD64" s="8" t="n">
        <f aca="false">IF(Q64,B64,AD63)</f>
        <v>0</v>
      </c>
      <c r="AE64" s="8" t="str">
        <f aca="false">IF(AA64,L64,"")</f>
        <v/>
      </c>
      <c r="AF64" s="8" t="n">
        <f aca="false">U64</f>
        <v>0</v>
      </c>
      <c r="AG64" s="2" t="n">
        <f aca="false">AG63+IF(Q64,1,0)</f>
        <v>0</v>
      </c>
      <c r="AH64" s="2" t="n">
        <f aca="false">AG63</f>
        <v>0</v>
      </c>
      <c r="AI64" s="10" t="n">
        <f aca="false">X64+Y64*(E64-AB64)-Y64*AD64*Inputs!$B$13*(A64-AC64)</f>
        <v>1000</v>
      </c>
      <c r="AJ64" s="10" t="n">
        <v>0</v>
      </c>
      <c r="AK64" s="8" t="n">
        <f aca="false">IF(AND(B64&lt;=U64,NOT(Q64)),B64,U64)*(1-Inputs!$B$12)</f>
        <v>0</v>
      </c>
    </row>
    <row r="65" customFormat="false" ht="15" hidden="false" customHeight="false" outlineLevel="0" collapsed="false">
      <c r="A65" s="6" t="n">
        <v>44849</v>
      </c>
      <c r="B65" s="7" t="n">
        <v>0.824887419151227</v>
      </c>
      <c r="C65" s="7" t="n">
        <v>0.828456707102617</v>
      </c>
      <c r="D65" s="7" t="n">
        <v>0.819535720509745</v>
      </c>
      <c r="E65" s="7" t="n">
        <v>0.819675679793791</v>
      </c>
      <c r="F65" s="8" t="n">
        <f aca="true">IF(ROW()-2&gt;=Inputs!$B$4,AVERAGE(OFFSET(E65,1-Inputs!$B$4,0,Inputs!$B$4,1)),"")</f>
        <v>0.848374701023178</v>
      </c>
      <c r="G65" s="8" t="n">
        <f aca="true">IF(ROW()-2&gt;=Inputs!$B$5,AVERAGE(OFFSET(E65,1-Inputs!$B$5,0,Inputs!$B$5,1)),"")</f>
        <v>0.841548228386423</v>
      </c>
      <c r="H65" s="8" t="n">
        <f aca="false">MAX(C65-D65,ABS(C65-E64),ABS(D65-E64))</f>
        <v>0.00892098659287222</v>
      </c>
      <c r="I65" s="8" t="n">
        <f aca="true">IF(ROW()-2&lt;14,"",IF(ROW()-2=14,AVERAGE(OFFSET(H65,-13,0,14,1)),(I64*13+H65)/14))</f>
        <v>0.0083055830849877</v>
      </c>
      <c r="J65" s="9" t="b">
        <f aca="false">IF(AND(ISNUMBER(F65),ISNUMBER(G65),ISNUMBER(F64),ISNUMBER(G64)),AND(F65&gt;G65,F64&lt;=G64),FALSE())</f>
        <v>0</v>
      </c>
      <c r="K65" s="9" t="b">
        <f aca="false">IF(AND(ISNUMBER(F65),ISNUMBER(G65),ISNUMBER(F64),ISNUMBER(G64)),AND(F65&lt;G65,F64&gt;=G64),FALSE())</f>
        <v>0</v>
      </c>
      <c r="L65" s="8" t="n">
        <f aca="false">IF(ISNUMBER(I65),E65-Inputs!$B$6*I65,"")</f>
        <v>0.803064513623815</v>
      </c>
      <c r="M65" s="9" t="b">
        <f aca="false">AND(Y64&gt;0,Z64)</f>
        <v>0</v>
      </c>
      <c r="N65" s="8" t="n">
        <f aca="false">B65*(1-Inputs!$B$12)</f>
        <v>0.824722441667397</v>
      </c>
      <c r="O65" s="10" t="n">
        <f aca="false">IF(M65,Y64*(N65-AB64)-Inputs!$B$9-Y64*AD64*Inputs!$B$13*(A65-AC64),0)</f>
        <v>0</v>
      </c>
      <c r="P65" s="10" t="n">
        <f aca="false">X64+O65</f>
        <v>1000</v>
      </c>
      <c r="Q65" s="9" t="b">
        <f aca="false">AND(IF(M65,0,Y64)=0,AA64,IF(ISNUMBER(AE64),B65&gt;AE64,FALSE()))</f>
        <v>0</v>
      </c>
      <c r="R65" s="8" t="n">
        <f aca="false">B65*(1+Inputs!$B$12)</f>
        <v>0.825052396635057</v>
      </c>
      <c r="S65" s="11" t="n">
        <f aca="false">IF(Q65,MIN(P65*Inputs!$B$3/(R65-AE64),P65*Inputs!$B$11/R65),0)</f>
        <v>0</v>
      </c>
      <c r="T65" s="11" t="n">
        <f aca="false">IF(Q65,S65,IF(M65,0,Y64))</f>
        <v>0</v>
      </c>
      <c r="U65" s="8" t="n">
        <f aca="false">IF(Q65,AE64,AF64)</f>
        <v>0</v>
      </c>
      <c r="V65" s="9" t="b">
        <f aca="false">AND(T65&gt;0,D65&lt;=U65)</f>
        <v>0</v>
      </c>
      <c r="W65" s="10" t="n">
        <f aca="false">IF(V65,T65*(AK65-AB65)-Inputs!$B$9-T65*AD65*Inputs!$B$13*(A65-AC65),0)</f>
        <v>0</v>
      </c>
      <c r="X65" s="10" t="n">
        <f aca="false">P65-IF(Q65,Inputs!$B$9,0)+W65</f>
        <v>1000</v>
      </c>
      <c r="Y65" s="11" t="n">
        <f aca="false">IF(V65,0,T65)</f>
        <v>0</v>
      </c>
      <c r="Z65" s="9" t="b">
        <f aca="false">AND(Y65&gt;0,K65)</f>
        <v>0</v>
      </c>
      <c r="AA65" s="9" t="b">
        <f aca="false">AND(Y65=0,J65,ISNUMBER(L65))</f>
        <v>0</v>
      </c>
      <c r="AB65" s="8" t="n">
        <f aca="false">IF(Q65,R65,AB64)</f>
        <v>0</v>
      </c>
      <c r="AC65" s="12" t="n">
        <f aca="false">IF(Q65,A65,AC64)</f>
        <v>0</v>
      </c>
      <c r="AD65" s="8" t="n">
        <f aca="false">IF(Q65,B65,AD64)</f>
        <v>0</v>
      </c>
      <c r="AE65" s="8" t="str">
        <f aca="false">IF(AA65,L65,"")</f>
        <v/>
      </c>
      <c r="AF65" s="8" t="n">
        <f aca="false">U65</f>
        <v>0</v>
      </c>
      <c r="AG65" s="2" t="n">
        <f aca="false">AG64+IF(Q65,1,0)</f>
        <v>0</v>
      </c>
      <c r="AH65" s="2" t="n">
        <f aca="false">AG64</f>
        <v>0</v>
      </c>
      <c r="AI65" s="10" t="n">
        <f aca="false">X65+Y65*(E65-AB65)-Y65*AD65*Inputs!$B$13*(A65-AC65)</f>
        <v>1000</v>
      </c>
      <c r="AJ65" s="10" t="n">
        <v>0</v>
      </c>
      <c r="AK65" s="8" t="n">
        <f aca="false">IF(AND(B65&lt;=U65,NOT(Q65)),B65,U65)*(1-Inputs!$B$12)</f>
        <v>0</v>
      </c>
    </row>
    <row r="66" customFormat="false" ht="15" hidden="false" customHeight="false" outlineLevel="0" collapsed="false">
      <c r="A66" s="6" t="n">
        <v>44850</v>
      </c>
      <c r="B66" s="7" t="n">
        <v>0.819675679793791</v>
      </c>
      <c r="C66" s="7" t="n">
        <v>0.820798305649138</v>
      </c>
      <c r="D66" s="7" t="n">
        <v>0.818597447578121</v>
      </c>
      <c r="E66" s="7" t="n">
        <v>0.820606336077381</v>
      </c>
      <c r="F66" s="8" t="n">
        <f aca="true">IF(ROW()-2&gt;=Inputs!$B$4,AVERAGE(OFFSET(E66,1-Inputs!$B$4,0,Inputs!$B$4,1)),"")</f>
        <v>0.846473163242474</v>
      </c>
      <c r="G66" s="8" t="n">
        <f aca="true">IF(ROW()-2&gt;=Inputs!$B$5,AVERAGE(OFFSET(E66,1-Inputs!$B$5,0,Inputs!$B$5,1)),"")</f>
        <v>0.841027695944979</v>
      </c>
      <c r="H66" s="8" t="n">
        <f aca="false">MAX(C66-D66,ABS(C66-E65),ABS(D66-E65))</f>
        <v>0.00220085807101689</v>
      </c>
      <c r="I66" s="8" t="n">
        <f aca="true">IF(ROW()-2&lt;14,"",IF(ROW()-2=14,AVERAGE(OFFSET(H66,-13,0,14,1)),(I65*13+H66)/14))</f>
        <v>0.0078695312982755</v>
      </c>
      <c r="J66" s="9" t="b">
        <f aca="false">IF(AND(ISNUMBER(F66),ISNUMBER(G66),ISNUMBER(F65),ISNUMBER(G65)),AND(F66&gt;G66,F65&lt;=G65),FALSE())</f>
        <v>0</v>
      </c>
      <c r="K66" s="9" t="b">
        <f aca="false">IF(AND(ISNUMBER(F66),ISNUMBER(G66),ISNUMBER(F65),ISNUMBER(G65)),AND(F66&lt;G66,F65&gt;=G65),FALSE())</f>
        <v>0</v>
      </c>
      <c r="L66" s="8" t="n">
        <f aca="false">IF(ISNUMBER(I66),E66-Inputs!$B$6*I66,"")</f>
        <v>0.80486727348083</v>
      </c>
      <c r="M66" s="9" t="b">
        <f aca="false">AND(Y65&gt;0,Z65)</f>
        <v>0</v>
      </c>
      <c r="N66" s="8" t="n">
        <f aca="false">B66*(1-Inputs!$B$12)</f>
        <v>0.819511744657832</v>
      </c>
      <c r="O66" s="10" t="n">
        <f aca="false">IF(M66,Y65*(N66-AB65)-Inputs!$B$9-Y65*AD65*Inputs!$B$13*(A66-AC65),0)</f>
        <v>0</v>
      </c>
      <c r="P66" s="10" t="n">
        <f aca="false">X65+O66</f>
        <v>1000</v>
      </c>
      <c r="Q66" s="9" t="b">
        <f aca="false">AND(IF(M66,0,Y65)=0,AA65,IF(ISNUMBER(AE65),B66&gt;AE65,FALSE()))</f>
        <v>0</v>
      </c>
      <c r="R66" s="8" t="n">
        <f aca="false">B66*(1+Inputs!$B$12)</f>
        <v>0.819839614929749</v>
      </c>
      <c r="S66" s="11" t="n">
        <f aca="false">IF(Q66,MIN(P66*Inputs!$B$3/(R66-AE65),P66*Inputs!$B$11/R66),0)</f>
        <v>0</v>
      </c>
      <c r="T66" s="11" t="n">
        <f aca="false">IF(Q66,S66,IF(M66,0,Y65))</f>
        <v>0</v>
      </c>
      <c r="U66" s="8" t="n">
        <f aca="false">IF(Q66,AE65,AF65)</f>
        <v>0</v>
      </c>
      <c r="V66" s="9" t="b">
        <f aca="false">AND(T66&gt;0,D66&lt;=U66)</f>
        <v>0</v>
      </c>
      <c r="W66" s="10" t="n">
        <f aca="false">IF(V66,T66*(AK66-AB66)-Inputs!$B$9-T66*AD66*Inputs!$B$13*(A66-AC66),0)</f>
        <v>0</v>
      </c>
      <c r="X66" s="10" t="n">
        <f aca="false">P66-IF(Q66,Inputs!$B$9,0)+W66</f>
        <v>1000</v>
      </c>
      <c r="Y66" s="11" t="n">
        <f aca="false">IF(V66,0,T66)</f>
        <v>0</v>
      </c>
      <c r="Z66" s="9" t="b">
        <f aca="false">AND(Y66&gt;0,K66)</f>
        <v>0</v>
      </c>
      <c r="AA66" s="9" t="b">
        <f aca="false">AND(Y66=0,J66,ISNUMBER(L66))</f>
        <v>0</v>
      </c>
      <c r="AB66" s="8" t="n">
        <f aca="false">IF(Q66,R66,AB65)</f>
        <v>0</v>
      </c>
      <c r="AC66" s="12" t="n">
        <f aca="false">IF(Q66,A66,AC65)</f>
        <v>0</v>
      </c>
      <c r="AD66" s="8" t="n">
        <f aca="false">IF(Q66,B66,AD65)</f>
        <v>0</v>
      </c>
      <c r="AE66" s="8" t="str">
        <f aca="false">IF(AA66,L66,"")</f>
        <v/>
      </c>
      <c r="AF66" s="8" t="n">
        <f aca="false">U66</f>
        <v>0</v>
      </c>
      <c r="AG66" s="2" t="n">
        <f aca="false">AG65+IF(Q66,1,0)</f>
        <v>0</v>
      </c>
      <c r="AH66" s="2" t="n">
        <f aca="false">AG65</f>
        <v>0</v>
      </c>
      <c r="AI66" s="10" t="n">
        <f aca="false">X66+Y66*(E66-AB66)-Y66*AD66*Inputs!$B$13*(A66-AC66)</f>
        <v>1000</v>
      </c>
      <c r="AJ66" s="10" t="n">
        <v>0</v>
      </c>
      <c r="AK66" s="8" t="n">
        <f aca="false">IF(AND(B66&lt;=U66,NOT(Q66)),B66,U66)*(1-Inputs!$B$12)</f>
        <v>0</v>
      </c>
    </row>
    <row r="67" customFormat="false" ht="15" hidden="false" customHeight="false" outlineLevel="0" collapsed="false">
      <c r="A67" s="6" t="n">
        <v>44851</v>
      </c>
      <c r="B67" s="7" t="n">
        <v>0.820606336077381</v>
      </c>
      <c r="C67" s="7" t="n">
        <v>0.827185001563324</v>
      </c>
      <c r="D67" s="7" t="n">
        <v>0.819233450554679</v>
      </c>
      <c r="E67" s="7" t="n">
        <v>0.827088042463911</v>
      </c>
      <c r="F67" s="8" t="n">
        <f aca="true">IF(ROW()-2&gt;=Inputs!$B$4,AVERAGE(OFFSET(E67,1-Inputs!$B$4,0,Inputs!$B$4,1)),"")</f>
        <v>0.844758416022994</v>
      </c>
      <c r="G67" s="8" t="n">
        <f aca="true">IF(ROW()-2&gt;=Inputs!$B$5,AVERAGE(OFFSET(E67,1-Inputs!$B$5,0,Inputs!$B$5,1)),"")</f>
        <v>0.840523137960961</v>
      </c>
      <c r="H67" s="8" t="n">
        <f aca="false">MAX(C67-D67,ABS(C67-E66),ABS(D67-E66))</f>
        <v>0.0079515510086452</v>
      </c>
      <c r="I67" s="8" t="n">
        <f aca="true">IF(ROW()-2&lt;14,"",IF(ROW()-2=14,AVERAGE(OFFSET(H67,-13,0,14,1)),(I66*13+H67)/14))</f>
        <v>0.00787538984901619</v>
      </c>
      <c r="J67" s="9" t="b">
        <f aca="false">IF(AND(ISNUMBER(F67),ISNUMBER(G67),ISNUMBER(F66),ISNUMBER(G66)),AND(F67&gt;G67,F66&lt;=G66),FALSE())</f>
        <v>0</v>
      </c>
      <c r="K67" s="9" t="b">
        <f aca="false">IF(AND(ISNUMBER(F67),ISNUMBER(G67),ISNUMBER(F66),ISNUMBER(G66)),AND(F67&lt;G67,F66&gt;=G66),FALSE())</f>
        <v>0</v>
      </c>
      <c r="L67" s="8" t="n">
        <f aca="false">IF(ISNUMBER(I67),E67-Inputs!$B$6*I67,"")</f>
        <v>0.811337262765878</v>
      </c>
      <c r="M67" s="9" t="b">
        <f aca="false">AND(Y66&gt;0,Z66)</f>
        <v>0</v>
      </c>
      <c r="N67" s="8" t="n">
        <f aca="false">B67*(1-Inputs!$B$12)</f>
        <v>0.820442214810165</v>
      </c>
      <c r="O67" s="10" t="n">
        <f aca="false">IF(M67,Y66*(N67-AB66)-Inputs!$B$9-Y66*AD66*Inputs!$B$13*(A67-AC66),0)</f>
        <v>0</v>
      </c>
      <c r="P67" s="10" t="n">
        <f aca="false">X66+O67</f>
        <v>1000</v>
      </c>
      <c r="Q67" s="9" t="b">
        <f aca="false">AND(IF(M67,0,Y66)=0,AA66,IF(ISNUMBER(AE66),B67&gt;AE66,FALSE()))</f>
        <v>0</v>
      </c>
      <c r="R67" s="8" t="n">
        <f aca="false">B67*(1+Inputs!$B$12)</f>
        <v>0.820770457344596</v>
      </c>
      <c r="S67" s="11" t="n">
        <f aca="false">IF(Q67,MIN(P67*Inputs!$B$3/(R67-AE66),P67*Inputs!$B$11/R67),0)</f>
        <v>0</v>
      </c>
      <c r="T67" s="11" t="n">
        <f aca="false">IF(Q67,S67,IF(M67,0,Y66))</f>
        <v>0</v>
      </c>
      <c r="U67" s="8" t="n">
        <f aca="false">IF(Q67,AE66,AF66)</f>
        <v>0</v>
      </c>
      <c r="V67" s="9" t="b">
        <f aca="false">AND(T67&gt;0,D67&lt;=U67)</f>
        <v>0</v>
      </c>
      <c r="W67" s="10" t="n">
        <f aca="false">IF(V67,T67*(AK67-AB67)-Inputs!$B$9-T67*AD67*Inputs!$B$13*(A67-AC67),0)</f>
        <v>0</v>
      </c>
      <c r="X67" s="10" t="n">
        <f aca="false">P67-IF(Q67,Inputs!$B$9,0)+W67</f>
        <v>1000</v>
      </c>
      <c r="Y67" s="11" t="n">
        <f aca="false">IF(V67,0,T67)</f>
        <v>0</v>
      </c>
      <c r="Z67" s="9" t="b">
        <f aca="false">AND(Y67&gt;0,K67)</f>
        <v>0</v>
      </c>
      <c r="AA67" s="9" t="b">
        <f aca="false">AND(Y67=0,J67,ISNUMBER(L67))</f>
        <v>0</v>
      </c>
      <c r="AB67" s="8" t="n">
        <f aca="false">IF(Q67,R67,AB66)</f>
        <v>0</v>
      </c>
      <c r="AC67" s="12" t="n">
        <f aca="false">IF(Q67,A67,AC66)</f>
        <v>0</v>
      </c>
      <c r="AD67" s="8" t="n">
        <f aca="false">IF(Q67,B67,AD66)</f>
        <v>0</v>
      </c>
      <c r="AE67" s="8" t="str">
        <f aca="false">IF(AA67,L67,"")</f>
        <v/>
      </c>
      <c r="AF67" s="8" t="n">
        <f aca="false">U67</f>
        <v>0</v>
      </c>
      <c r="AG67" s="2" t="n">
        <f aca="false">AG66+IF(Q67,1,0)</f>
        <v>0</v>
      </c>
      <c r="AH67" s="2" t="n">
        <f aca="false">AG66</f>
        <v>0</v>
      </c>
      <c r="AI67" s="10" t="n">
        <f aca="false">X67+Y67*(E67-AB67)-Y67*AD67*Inputs!$B$13*(A67-AC67)</f>
        <v>1000</v>
      </c>
      <c r="AJ67" s="10" t="n">
        <v>0</v>
      </c>
      <c r="AK67" s="8" t="n">
        <f aca="false">IF(AND(B67&lt;=U67,NOT(Q67)),B67,U67)*(1-Inputs!$B$12)</f>
        <v>0</v>
      </c>
    </row>
    <row r="68" customFormat="false" ht="15" hidden="false" customHeight="false" outlineLevel="0" collapsed="false">
      <c r="A68" s="6" t="n">
        <v>44852</v>
      </c>
      <c r="B68" s="7" t="n">
        <v>0.827088042463911</v>
      </c>
      <c r="C68" s="7" t="n">
        <v>0.83081865627236</v>
      </c>
      <c r="D68" s="7" t="n">
        <v>0.824194645553092</v>
      </c>
      <c r="E68" s="7" t="n">
        <v>0.829920565405548</v>
      </c>
      <c r="F68" s="8" t="n">
        <f aca="true">IF(ROW()-2&gt;=Inputs!$B$4,AVERAGE(OFFSET(E68,1-Inputs!$B$4,0,Inputs!$B$4,1)),"")</f>
        <v>0.843228004117316</v>
      </c>
      <c r="G68" s="8" t="n">
        <f aca="true">IF(ROW()-2&gt;=Inputs!$B$5,AVERAGE(OFFSET(E68,1-Inputs!$B$5,0,Inputs!$B$5,1)),"")</f>
        <v>0.840172133144477</v>
      </c>
      <c r="H68" s="8" t="n">
        <f aca="false">MAX(C68-D68,ABS(C68-E67),ABS(D68-E67))</f>
        <v>0.00662401071926777</v>
      </c>
      <c r="I68" s="8" t="n">
        <f aca="true">IF(ROW()-2&lt;14,"",IF(ROW()-2=14,AVERAGE(OFFSET(H68,-13,0,14,1)),(I67*13+H68)/14))</f>
        <v>0.00778600562546273</v>
      </c>
      <c r="J68" s="9" t="b">
        <f aca="false">IF(AND(ISNUMBER(F68),ISNUMBER(G68),ISNUMBER(F67),ISNUMBER(G67)),AND(F68&gt;G68,F67&lt;=G67),FALSE())</f>
        <v>0</v>
      </c>
      <c r="K68" s="9" t="b">
        <f aca="false">IF(AND(ISNUMBER(F68),ISNUMBER(G68),ISNUMBER(F67),ISNUMBER(G67)),AND(F68&lt;G68,F67&gt;=G67),FALSE())</f>
        <v>0</v>
      </c>
      <c r="L68" s="8" t="n">
        <f aca="false">IF(ISNUMBER(I68),E68-Inputs!$B$6*I68,"")</f>
        <v>0.814348554154622</v>
      </c>
      <c r="M68" s="9" t="b">
        <f aca="false">AND(Y67&gt;0,Z67)</f>
        <v>0</v>
      </c>
      <c r="N68" s="8" t="n">
        <f aca="false">B68*(1-Inputs!$B$12)</f>
        <v>0.826922624855418</v>
      </c>
      <c r="O68" s="10" t="n">
        <f aca="false">IF(M68,Y67*(N68-AB67)-Inputs!$B$9-Y67*AD67*Inputs!$B$13*(A68-AC67),0)</f>
        <v>0</v>
      </c>
      <c r="P68" s="10" t="n">
        <f aca="false">X67+O68</f>
        <v>1000</v>
      </c>
      <c r="Q68" s="9" t="b">
        <f aca="false">AND(IF(M68,0,Y67)=0,AA67,IF(ISNUMBER(AE67),B68&gt;AE67,FALSE()))</f>
        <v>0</v>
      </c>
      <c r="R68" s="8" t="n">
        <f aca="false">B68*(1+Inputs!$B$12)</f>
        <v>0.827253460072404</v>
      </c>
      <c r="S68" s="11" t="n">
        <f aca="false">IF(Q68,MIN(P68*Inputs!$B$3/(R68-AE67),P68*Inputs!$B$11/R68),0)</f>
        <v>0</v>
      </c>
      <c r="T68" s="11" t="n">
        <f aca="false">IF(Q68,S68,IF(M68,0,Y67))</f>
        <v>0</v>
      </c>
      <c r="U68" s="8" t="n">
        <f aca="false">IF(Q68,AE67,AF67)</f>
        <v>0</v>
      </c>
      <c r="V68" s="9" t="b">
        <f aca="false">AND(T68&gt;0,D68&lt;=U68)</f>
        <v>0</v>
      </c>
      <c r="W68" s="10" t="n">
        <f aca="false">IF(V68,T68*(AK68-AB68)-Inputs!$B$9-T68*AD68*Inputs!$B$13*(A68-AC68),0)</f>
        <v>0</v>
      </c>
      <c r="X68" s="10" t="n">
        <f aca="false">P68-IF(Q68,Inputs!$B$9,0)+W68</f>
        <v>1000</v>
      </c>
      <c r="Y68" s="11" t="n">
        <f aca="false">IF(V68,0,T68)</f>
        <v>0</v>
      </c>
      <c r="Z68" s="9" t="b">
        <f aca="false">AND(Y68&gt;0,K68)</f>
        <v>0</v>
      </c>
      <c r="AA68" s="9" t="b">
        <f aca="false">AND(Y68=0,J68,ISNUMBER(L68))</f>
        <v>0</v>
      </c>
      <c r="AB68" s="8" t="n">
        <f aca="false">IF(Q68,R68,AB67)</f>
        <v>0</v>
      </c>
      <c r="AC68" s="12" t="n">
        <f aca="false">IF(Q68,A68,AC67)</f>
        <v>0</v>
      </c>
      <c r="AD68" s="8" t="n">
        <f aca="false">IF(Q68,B68,AD67)</f>
        <v>0</v>
      </c>
      <c r="AE68" s="8" t="str">
        <f aca="false">IF(AA68,L68,"")</f>
        <v/>
      </c>
      <c r="AF68" s="8" t="n">
        <f aca="false">U68</f>
        <v>0</v>
      </c>
      <c r="AG68" s="2" t="n">
        <f aca="false">AG67+IF(Q68,1,0)</f>
        <v>0</v>
      </c>
      <c r="AH68" s="2" t="n">
        <f aca="false">AG67</f>
        <v>0</v>
      </c>
      <c r="AI68" s="10" t="n">
        <f aca="false">X68+Y68*(E68-AB68)-Y68*AD68*Inputs!$B$13*(A68-AC68)</f>
        <v>1000</v>
      </c>
      <c r="AJ68" s="10" t="n">
        <v>0</v>
      </c>
      <c r="AK68" s="8" t="n">
        <f aca="false">IF(AND(B68&lt;=U68,NOT(Q68)),B68,U68)*(1-Inputs!$B$12)</f>
        <v>0</v>
      </c>
    </row>
    <row r="69" customFormat="false" ht="15" hidden="false" customHeight="false" outlineLevel="0" collapsed="false">
      <c r="A69" s="6" t="n">
        <v>44853</v>
      </c>
      <c r="B69" s="7" t="n">
        <v>0.829920565405548</v>
      </c>
      <c r="C69" s="7" t="n">
        <v>0.834819818603844</v>
      </c>
      <c r="D69" s="7" t="n">
        <v>0.823940925906181</v>
      </c>
      <c r="E69" s="7" t="n">
        <v>0.82755362363818</v>
      </c>
      <c r="F69" s="8" t="n">
        <f aca="true">IF(ROW()-2&gt;=Inputs!$B$4,AVERAGE(OFFSET(E69,1-Inputs!$B$4,0,Inputs!$B$4,1)),"")</f>
        <v>0.841562289775554</v>
      </c>
      <c r="G69" s="8" t="n">
        <f aca="true">IF(ROW()-2&gt;=Inputs!$B$5,AVERAGE(OFFSET(E69,1-Inputs!$B$5,0,Inputs!$B$5,1)),"")</f>
        <v>0.839934404410722</v>
      </c>
      <c r="H69" s="8" t="n">
        <f aca="false">MAX(C69-D69,ABS(C69-E68),ABS(D69-E68))</f>
        <v>0.0108788926976634</v>
      </c>
      <c r="I69" s="8" t="n">
        <f aca="true">IF(ROW()-2&lt;14,"",IF(ROW()-2=14,AVERAGE(OFFSET(H69,-13,0,14,1)),(I68*13+H69)/14))</f>
        <v>0.00800692613061992</v>
      </c>
      <c r="J69" s="9" t="b">
        <f aca="false">IF(AND(ISNUMBER(F69),ISNUMBER(G69),ISNUMBER(F68),ISNUMBER(G68)),AND(F69&gt;G69,F68&lt;=G68),FALSE())</f>
        <v>0</v>
      </c>
      <c r="K69" s="9" t="b">
        <f aca="false">IF(AND(ISNUMBER(F69),ISNUMBER(G69),ISNUMBER(F68),ISNUMBER(G68)),AND(F69&lt;G69,F68&gt;=G68),FALSE())</f>
        <v>0</v>
      </c>
      <c r="L69" s="8" t="n">
        <f aca="false">IF(ISNUMBER(I69),E69-Inputs!$B$6*I69,"")</f>
        <v>0.81153977137694</v>
      </c>
      <c r="M69" s="9" t="b">
        <f aca="false">AND(Y68&gt;0,Z68)</f>
        <v>0</v>
      </c>
      <c r="N69" s="8" t="n">
        <f aca="false">B69*(1-Inputs!$B$12)</f>
        <v>0.829754581292467</v>
      </c>
      <c r="O69" s="10" t="n">
        <f aca="false">IF(M69,Y68*(N69-AB68)-Inputs!$B$9-Y68*AD68*Inputs!$B$13*(A69-AC68),0)</f>
        <v>0</v>
      </c>
      <c r="P69" s="10" t="n">
        <f aca="false">X68+O69</f>
        <v>1000</v>
      </c>
      <c r="Q69" s="9" t="b">
        <f aca="false">AND(IF(M69,0,Y68)=0,AA68,IF(ISNUMBER(AE68),B69&gt;AE68,FALSE()))</f>
        <v>0</v>
      </c>
      <c r="R69" s="8" t="n">
        <f aca="false">B69*(1+Inputs!$B$12)</f>
        <v>0.830086549518629</v>
      </c>
      <c r="S69" s="11" t="n">
        <f aca="false">IF(Q69,MIN(P69*Inputs!$B$3/(R69-AE68),P69*Inputs!$B$11/R69),0)</f>
        <v>0</v>
      </c>
      <c r="T69" s="11" t="n">
        <f aca="false">IF(Q69,S69,IF(M69,0,Y68))</f>
        <v>0</v>
      </c>
      <c r="U69" s="8" t="n">
        <f aca="false">IF(Q69,AE68,AF68)</f>
        <v>0</v>
      </c>
      <c r="V69" s="9" t="b">
        <f aca="false">AND(T69&gt;0,D69&lt;=U69)</f>
        <v>0</v>
      </c>
      <c r="W69" s="10" t="n">
        <f aca="false">IF(V69,T69*(AK69-AB69)-Inputs!$B$9-T69*AD69*Inputs!$B$13*(A69-AC69),0)</f>
        <v>0</v>
      </c>
      <c r="X69" s="10" t="n">
        <f aca="false">P69-IF(Q69,Inputs!$B$9,0)+W69</f>
        <v>1000</v>
      </c>
      <c r="Y69" s="11" t="n">
        <f aca="false">IF(V69,0,T69)</f>
        <v>0</v>
      </c>
      <c r="Z69" s="9" t="b">
        <f aca="false">AND(Y69&gt;0,K69)</f>
        <v>0</v>
      </c>
      <c r="AA69" s="9" t="b">
        <f aca="false">AND(Y69=0,J69,ISNUMBER(L69))</f>
        <v>0</v>
      </c>
      <c r="AB69" s="8" t="n">
        <f aca="false">IF(Q69,R69,AB68)</f>
        <v>0</v>
      </c>
      <c r="AC69" s="12" t="n">
        <f aca="false">IF(Q69,A69,AC68)</f>
        <v>0</v>
      </c>
      <c r="AD69" s="8" t="n">
        <f aca="false">IF(Q69,B69,AD68)</f>
        <v>0</v>
      </c>
      <c r="AE69" s="8" t="str">
        <f aca="false">IF(AA69,L69,"")</f>
        <v/>
      </c>
      <c r="AF69" s="8" t="n">
        <f aca="false">U69</f>
        <v>0</v>
      </c>
      <c r="AG69" s="2" t="n">
        <f aca="false">AG68+IF(Q69,1,0)</f>
        <v>0</v>
      </c>
      <c r="AH69" s="2" t="n">
        <f aca="false">AG68</f>
        <v>0</v>
      </c>
      <c r="AI69" s="10" t="n">
        <f aca="false">X69+Y69*(E69-AB69)-Y69*AD69*Inputs!$B$13*(A69-AC69)</f>
        <v>1000</v>
      </c>
      <c r="AJ69" s="10" t="n">
        <v>0</v>
      </c>
      <c r="AK69" s="8" t="n">
        <f aca="false">IF(AND(B69&lt;=U69,NOT(Q69)),B69,U69)*(1-Inputs!$B$12)</f>
        <v>0</v>
      </c>
    </row>
    <row r="70" customFormat="false" ht="15" hidden="false" customHeight="false" outlineLevel="0" collapsed="false">
      <c r="A70" s="6" t="n">
        <v>44854</v>
      </c>
      <c r="B70" s="7" t="n">
        <v>0.82755362363818</v>
      </c>
      <c r="C70" s="7" t="n">
        <v>0.833772314383257</v>
      </c>
      <c r="D70" s="7" t="n">
        <v>0.827116351579866</v>
      </c>
      <c r="E70" s="7" t="n">
        <v>0.831930692887143</v>
      </c>
      <c r="F70" s="8" t="n">
        <f aca="true">IF(ROW()-2&gt;=Inputs!$B$4,AVERAGE(OFFSET(E70,1-Inputs!$B$4,0,Inputs!$B$4,1)),"")</f>
        <v>0.840268449020363</v>
      </c>
      <c r="G70" s="8" t="n">
        <f aca="true">IF(ROW()-2&gt;=Inputs!$B$5,AVERAGE(OFFSET(E70,1-Inputs!$B$5,0,Inputs!$B$5,1)),"")</f>
        <v>0.839862230642872</v>
      </c>
      <c r="H70" s="8" t="n">
        <f aca="false">MAX(C70-D70,ABS(C70-E69),ABS(D70-E69))</f>
        <v>0.00665596280339109</v>
      </c>
      <c r="I70" s="8" t="n">
        <f aca="true">IF(ROW()-2&lt;14,"",IF(ROW()-2=14,AVERAGE(OFFSET(H70,-13,0,14,1)),(I69*13+H70)/14))</f>
        <v>0.00791042875010358</v>
      </c>
      <c r="J70" s="9" t="b">
        <f aca="false">IF(AND(ISNUMBER(F70),ISNUMBER(G70),ISNUMBER(F69),ISNUMBER(G69)),AND(F70&gt;G70,F69&lt;=G69),FALSE())</f>
        <v>0</v>
      </c>
      <c r="K70" s="9" t="b">
        <f aca="false">IF(AND(ISNUMBER(F70),ISNUMBER(G70),ISNUMBER(F69),ISNUMBER(G69)),AND(F70&lt;G70,F69&gt;=G69),FALSE())</f>
        <v>0</v>
      </c>
      <c r="L70" s="8" t="n">
        <f aca="false">IF(ISNUMBER(I70),E70-Inputs!$B$6*I70,"")</f>
        <v>0.816109835386936</v>
      </c>
      <c r="M70" s="9" t="b">
        <f aca="false">AND(Y69&gt;0,Z69)</f>
        <v>0</v>
      </c>
      <c r="N70" s="8" t="n">
        <f aca="false">B70*(1-Inputs!$B$12)</f>
        <v>0.827388112913453</v>
      </c>
      <c r="O70" s="10" t="n">
        <f aca="false">IF(M70,Y69*(N70-AB69)-Inputs!$B$9-Y69*AD69*Inputs!$B$13*(A70-AC69),0)</f>
        <v>0</v>
      </c>
      <c r="P70" s="10" t="n">
        <f aca="false">X69+O70</f>
        <v>1000</v>
      </c>
      <c r="Q70" s="9" t="b">
        <f aca="false">AND(IF(M70,0,Y69)=0,AA69,IF(ISNUMBER(AE69),B70&gt;AE69,FALSE()))</f>
        <v>0</v>
      </c>
      <c r="R70" s="8" t="n">
        <f aca="false">B70*(1+Inputs!$B$12)</f>
        <v>0.827719134362908</v>
      </c>
      <c r="S70" s="11" t="n">
        <f aca="false">IF(Q70,MIN(P70*Inputs!$B$3/(R70-AE69),P70*Inputs!$B$11/R70),0)</f>
        <v>0</v>
      </c>
      <c r="T70" s="11" t="n">
        <f aca="false">IF(Q70,S70,IF(M70,0,Y69))</f>
        <v>0</v>
      </c>
      <c r="U70" s="8" t="n">
        <f aca="false">IF(Q70,AE69,AF69)</f>
        <v>0</v>
      </c>
      <c r="V70" s="9" t="b">
        <f aca="false">AND(T70&gt;0,D70&lt;=U70)</f>
        <v>0</v>
      </c>
      <c r="W70" s="10" t="n">
        <f aca="false">IF(V70,T70*(AK70-AB70)-Inputs!$B$9-T70*AD70*Inputs!$B$13*(A70-AC70),0)</f>
        <v>0</v>
      </c>
      <c r="X70" s="10" t="n">
        <f aca="false">P70-IF(Q70,Inputs!$B$9,0)+W70</f>
        <v>1000</v>
      </c>
      <c r="Y70" s="11" t="n">
        <f aca="false">IF(V70,0,T70)</f>
        <v>0</v>
      </c>
      <c r="Z70" s="9" t="b">
        <f aca="false">AND(Y70&gt;0,K70)</f>
        <v>0</v>
      </c>
      <c r="AA70" s="9" t="b">
        <f aca="false">AND(Y70=0,J70,ISNUMBER(L70))</f>
        <v>0</v>
      </c>
      <c r="AB70" s="8" t="n">
        <f aca="false">IF(Q70,R70,AB69)</f>
        <v>0</v>
      </c>
      <c r="AC70" s="12" t="n">
        <f aca="false">IF(Q70,A70,AC69)</f>
        <v>0</v>
      </c>
      <c r="AD70" s="8" t="n">
        <f aca="false">IF(Q70,B70,AD69)</f>
        <v>0</v>
      </c>
      <c r="AE70" s="8" t="str">
        <f aca="false">IF(AA70,L70,"")</f>
        <v/>
      </c>
      <c r="AF70" s="8" t="n">
        <f aca="false">U70</f>
        <v>0</v>
      </c>
      <c r="AG70" s="2" t="n">
        <f aca="false">AG69+IF(Q70,1,0)</f>
        <v>0</v>
      </c>
      <c r="AH70" s="2" t="n">
        <f aca="false">AG69</f>
        <v>0</v>
      </c>
      <c r="AI70" s="10" t="n">
        <f aca="false">X70+Y70*(E70-AB70)-Y70*AD70*Inputs!$B$13*(A70-AC70)</f>
        <v>1000</v>
      </c>
      <c r="AJ70" s="10" t="n">
        <v>0</v>
      </c>
      <c r="AK70" s="8" t="n">
        <f aca="false">IF(AND(B70&lt;=U70,NOT(Q70)),B70,U70)*(1-Inputs!$B$12)</f>
        <v>0</v>
      </c>
    </row>
    <row r="71" customFormat="false" ht="15" hidden="false" customHeight="false" outlineLevel="0" collapsed="false">
      <c r="A71" s="6" t="n">
        <v>44855</v>
      </c>
      <c r="B71" s="7" t="n">
        <v>0.831930692887143</v>
      </c>
      <c r="C71" s="7" t="n">
        <v>0.83652377816722</v>
      </c>
      <c r="D71" s="7" t="n">
        <v>0.831641727737341</v>
      </c>
      <c r="E71" s="7" t="n">
        <v>0.833853512944612</v>
      </c>
      <c r="F71" s="8" t="n">
        <f aca="true">IF(ROW()-2&gt;=Inputs!$B$4,AVERAGE(OFFSET(E71,1-Inputs!$B$4,0,Inputs!$B$4,1)),"")</f>
        <v>0.839150780159507</v>
      </c>
      <c r="G71" s="8" t="n">
        <f aca="true">IF(ROW()-2&gt;=Inputs!$B$5,AVERAGE(OFFSET(E71,1-Inputs!$B$5,0,Inputs!$B$5,1)),"")</f>
        <v>0.839897117293981</v>
      </c>
      <c r="H71" s="8" t="n">
        <f aca="false">MAX(C71-D71,ABS(C71-E70),ABS(D71-E70))</f>
        <v>0.00488205042987921</v>
      </c>
      <c r="I71" s="8" t="n">
        <f aca="true">IF(ROW()-2&lt;14,"",IF(ROW()-2=14,AVERAGE(OFFSET(H71,-13,0,14,1)),(I70*13+H71)/14))</f>
        <v>0.00769411601294469</v>
      </c>
      <c r="J71" s="9" t="b">
        <f aca="false">IF(AND(ISNUMBER(F71),ISNUMBER(G71),ISNUMBER(F70),ISNUMBER(G70)),AND(F71&gt;G71,F70&lt;=G70),FALSE())</f>
        <v>0</v>
      </c>
      <c r="K71" s="9" t="b">
        <f aca="false">IF(AND(ISNUMBER(F71),ISNUMBER(G71),ISNUMBER(F70),ISNUMBER(G70)),AND(F71&lt;G71,F70&gt;=G70),FALSE())</f>
        <v>1</v>
      </c>
      <c r="L71" s="8" t="n">
        <f aca="false">IF(ISNUMBER(I71),E71-Inputs!$B$6*I71,"")</f>
        <v>0.818465280918722</v>
      </c>
      <c r="M71" s="9" t="b">
        <f aca="false">AND(Y70&gt;0,Z70)</f>
        <v>0</v>
      </c>
      <c r="N71" s="8" t="n">
        <f aca="false">B71*(1-Inputs!$B$12)</f>
        <v>0.831764306748565</v>
      </c>
      <c r="O71" s="10" t="n">
        <f aca="false">IF(M71,Y70*(N71-AB70)-Inputs!$B$9-Y70*AD70*Inputs!$B$13*(A71-AC70),0)</f>
        <v>0</v>
      </c>
      <c r="P71" s="10" t="n">
        <f aca="false">X70+O71</f>
        <v>1000</v>
      </c>
      <c r="Q71" s="9" t="b">
        <f aca="false">AND(IF(M71,0,Y70)=0,AA70,IF(ISNUMBER(AE70),B71&gt;AE70,FALSE()))</f>
        <v>0</v>
      </c>
      <c r="R71" s="8" t="n">
        <f aca="false">B71*(1+Inputs!$B$12)</f>
        <v>0.83209707902572</v>
      </c>
      <c r="S71" s="11" t="n">
        <f aca="false">IF(Q71,MIN(P71*Inputs!$B$3/(R71-AE70),P71*Inputs!$B$11/R71),0)</f>
        <v>0</v>
      </c>
      <c r="T71" s="11" t="n">
        <f aca="false">IF(Q71,S71,IF(M71,0,Y70))</f>
        <v>0</v>
      </c>
      <c r="U71" s="8" t="n">
        <f aca="false">IF(Q71,AE70,AF70)</f>
        <v>0</v>
      </c>
      <c r="V71" s="9" t="b">
        <f aca="false">AND(T71&gt;0,D71&lt;=U71)</f>
        <v>0</v>
      </c>
      <c r="W71" s="10" t="n">
        <f aca="false">IF(V71,T71*(AK71-AB71)-Inputs!$B$9-T71*AD71*Inputs!$B$13*(A71-AC71),0)</f>
        <v>0</v>
      </c>
      <c r="X71" s="10" t="n">
        <f aca="false">P71-IF(Q71,Inputs!$B$9,0)+W71</f>
        <v>1000</v>
      </c>
      <c r="Y71" s="11" t="n">
        <f aca="false">IF(V71,0,T71)</f>
        <v>0</v>
      </c>
      <c r="Z71" s="9" t="b">
        <f aca="false">AND(Y71&gt;0,K71)</f>
        <v>0</v>
      </c>
      <c r="AA71" s="9" t="b">
        <f aca="false">AND(Y71=0,J71,ISNUMBER(L71))</f>
        <v>0</v>
      </c>
      <c r="AB71" s="8" t="n">
        <f aca="false">IF(Q71,R71,AB70)</f>
        <v>0</v>
      </c>
      <c r="AC71" s="12" t="n">
        <f aca="false">IF(Q71,A71,AC70)</f>
        <v>0</v>
      </c>
      <c r="AD71" s="8" t="n">
        <f aca="false">IF(Q71,B71,AD70)</f>
        <v>0</v>
      </c>
      <c r="AE71" s="8" t="str">
        <f aca="false">IF(AA71,L71,"")</f>
        <v/>
      </c>
      <c r="AF71" s="8" t="n">
        <f aca="false">U71</f>
        <v>0</v>
      </c>
      <c r="AG71" s="2" t="n">
        <f aca="false">AG70+IF(Q71,1,0)</f>
        <v>0</v>
      </c>
      <c r="AH71" s="2" t="n">
        <f aca="false">AG70</f>
        <v>0</v>
      </c>
      <c r="AI71" s="10" t="n">
        <f aca="false">X71+Y71*(E71-AB71)-Y71*AD71*Inputs!$B$13*(A71-AC71)</f>
        <v>1000</v>
      </c>
      <c r="AJ71" s="10" t="n">
        <v>0</v>
      </c>
      <c r="AK71" s="8" t="n">
        <f aca="false">IF(AND(B71&lt;=U71,NOT(Q71)),B71,U71)*(1-Inputs!$B$12)</f>
        <v>0</v>
      </c>
    </row>
    <row r="72" customFormat="false" ht="15" hidden="false" customHeight="false" outlineLevel="0" collapsed="false">
      <c r="A72" s="6" t="n">
        <v>44856</v>
      </c>
      <c r="B72" s="7" t="n">
        <v>0.833853512944612</v>
      </c>
      <c r="C72" s="7" t="n">
        <v>0.83453763185654</v>
      </c>
      <c r="D72" s="7" t="n">
        <v>0.825159129885852</v>
      </c>
      <c r="E72" s="7" t="n">
        <v>0.833702680640426</v>
      </c>
      <c r="F72" s="8" t="n">
        <f aca="true">IF(ROW()-2&gt;=Inputs!$B$4,AVERAGE(OFFSET(E72,1-Inputs!$B$4,0,Inputs!$B$4,1)),"")</f>
        <v>0.83772882114694</v>
      </c>
      <c r="G72" s="8" t="n">
        <f aca="true">IF(ROW()-2&gt;=Inputs!$B$5,AVERAGE(OFFSET(E72,1-Inputs!$B$5,0,Inputs!$B$5,1)),"")</f>
        <v>0.839827929300904</v>
      </c>
      <c r="H72" s="8" t="n">
        <f aca="false">MAX(C72-D72,ABS(C72-E71),ABS(D72-E71))</f>
        <v>0.00937850197068824</v>
      </c>
      <c r="I72" s="8" t="n">
        <f aca="true">IF(ROW()-2&lt;14,"",IF(ROW()-2=14,AVERAGE(OFFSET(H72,-13,0,14,1)),(I71*13+H72)/14))</f>
        <v>0.00781442929564066</v>
      </c>
      <c r="J72" s="9" t="b">
        <f aca="false">IF(AND(ISNUMBER(F72),ISNUMBER(G72),ISNUMBER(F71),ISNUMBER(G71)),AND(F72&gt;G72,F71&lt;=G71),FALSE())</f>
        <v>0</v>
      </c>
      <c r="K72" s="9" t="b">
        <f aca="false">IF(AND(ISNUMBER(F72),ISNUMBER(G72),ISNUMBER(F71),ISNUMBER(G71)),AND(F72&lt;G72,F71&gt;=G71),FALSE())</f>
        <v>0</v>
      </c>
      <c r="L72" s="8" t="n">
        <f aca="false">IF(ISNUMBER(I72),E72-Inputs!$B$6*I72,"")</f>
        <v>0.818073822049145</v>
      </c>
      <c r="M72" s="9" t="b">
        <f aca="false">AND(Y71&gt;0,Z71)</f>
        <v>0</v>
      </c>
      <c r="N72" s="8" t="n">
        <f aca="false">B72*(1-Inputs!$B$12)</f>
        <v>0.833686742242023</v>
      </c>
      <c r="O72" s="10" t="n">
        <f aca="false">IF(M72,Y71*(N72-AB71)-Inputs!$B$9-Y71*AD71*Inputs!$B$13*(A72-AC71),0)</f>
        <v>0</v>
      </c>
      <c r="P72" s="10" t="n">
        <f aca="false">X71+O72</f>
        <v>1000</v>
      </c>
      <c r="Q72" s="9" t="b">
        <f aca="false">AND(IF(M72,0,Y71)=0,AA71,IF(ISNUMBER(AE71),B72&gt;AE71,FALSE()))</f>
        <v>0</v>
      </c>
      <c r="R72" s="8" t="n">
        <f aca="false">B72*(1+Inputs!$B$12)</f>
        <v>0.834020283647201</v>
      </c>
      <c r="S72" s="11" t="n">
        <f aca="false">IF(Q72,MIN(P72*Inputs!$B$3/(R72-AE71),P72*Inputs!$B$11/R72),0)</f>
        <v>0</v>
      </c>
      <c r="T72" s="11" t="n">
        <f aca="false">IF(Q72,S72,IF(M72,0,Y71))</f>
        <v>0</v>
      </c>
      <c r="U72" s="8" t="n">
        <f aca="false">IF(Q72,AE71,AF71)</f>
        <v>0</v>
      </c>
      <c r="V72" s="9" t="b">
        <f aca="false">AND(T72&gt;0,D72&lt;=U72)</f>
        <v>0</v>
      </c>
      <c r="W72" s="10" t="n">
        <f aca="false">IF(V72,T72*(AK72-AB72)-Inputs!$B$9-T72*AD72*Inputs!$B$13*(A72-AC72),0)</f>
        <v>0</v>
      </c>
      <c r="X72" s="10" t="n">
        <f aca="false">P72-IF(Q72,Inputs!$B$9,0)+W72</f>
        <v>1000</v>
      </c>
      <c r="Y72" s="11" t="n">
        <f aca="false">IF(V72,0,T72)</f>
        <v>0</v>
      </c>
      <c r="Z72" s="9" t="b">
        <f aca="false">AND(Y72&gt;0,K72)</f>
        <v>0</v>
      </c>
      <c r="AA72" s="9" t="b">
        <f aca="false">AND(Y72=0,J72,ISNUMBER(L72))</f>
        <v>0</v>
      </c>
      <c r="AB72" s="8" t="n">
        <f aca="false">IF(Q72,R72,AB71)</f>
        <v>0</v>
      </c>
      <c r="AC72" s="12" t="n">
        <f aca="false">IF(Q72,A72,AC71)</f>
        <v>0</v>
      </c>
      <c r="AD72" s="8" t="n">
        <f aca="false">IF(Q72,B72,AD71)</f>
        <v>0</v>
      </c>
      <c r="AE72" s="8" t="str">
        <f aca="false">IF(AA72,L72,"")</f>
        <v/>
      </c>
      <c r="AF72" s="8" t="n">
        <f aca="false">U72</f>
        <v>0</v>
      </c>
      <c r="AG72" s="2" t="n">
        <f aca="false">AG71+IF(Q72,1,0)</f>
        <v>0</v>
      </c>
      <c r="AH72" s="2" t="n">
        <f aca="false">AG71</f>
        <v>0</v>
      </c>
      <c r="AI72" s="10" t="n">
        <f aca="false">X72+Y72*(E72-AB72)-Y72*AD72*Inputs!$B$13*(A72-AC72)</f>
        <v>1000</v>
      </c>
      <c r="AJ72" s="10" t="n">
        <v>0</v>
      </c>
      <c r="AK72" s="8" t="n">
        <f aca="false">IF(AND(B72&lt;=U72,NOT(Q72)),B72,U72)*(1-Inputs!$B$12)</f>
        <v>0</v>
      </c>
    </row>
    <row r="73" customFormat="false" ht="15" hidden="false" customHeight="false" outlineLevel="0" collapsed="false">
      <c r="A73" s="6" t="n">
        <v>44857</v>
      </c>
      <c r="B73" s="7" t="n">
        <v>0.833702680640426</v>
      </c>
      <c r="C73" s="7" t="n">
        <v>0.83677644941216</v>
      </c>
      <c r="D73" s="7" t="n">
        <v>0.831402518524443</v>
      </c>
      <c r="E73" s="7" t="n">
        <v>0.835069169529765</v>
      </c>
      <c r="F73" s="8" t="n">
        <f aca="true">IF(ROW()-2&gt;=Inputs!$B$4,AVERAGE(OFFSET(E73,1-Inputs!$B$4,0,Inputs!$B$4,1)),"")</f>
        <v>0.836580693155291</v>
      </c>
      <c r="G73" s="8" t="n">
        <f aca="true">IF(ROW()-2&gt;=Inputs!$B$5,AVERAGE(OFFSET(E73,1-Inputs!$B$5,0,Inputs!$B$5,1)),"")</f>
        <v>0.83996985285696</v>
      </c>
      <c r="H73" s="8" t="n">
        <f aca="false">MAX(C73-D73,ABS(C73-E72),ABS(D73-E72))</f>
        <v>0.00537393088771676</v>
      </c>
      <c r="I73" s="8" t="n">
        <f aca="true">IF(ROW()-2&lt;14,"",IF(ROW()-2=14,AVERAGE(OFFSET(H73,-13,0,14,1)),(I72*13+H73)/14))</f>
        <v>0.00764010798078895</v>
      </c>
      <c r="J73" s="9" t="b">
        <f aca="false">IF(AND(ISNUMBER(F73),ISNUMBER(G73),ISNUMBER(F72),ISNUMBER(G72)),AND(F73&gt;G73,F72&lt;=G72),FALSE())</f>
        <v>0</v>
      </c>
      <c r="K73" s="9" t="b">
        <f aca="false">IF(AND(ISNUMBER(F73),ISNUMBER(G73),ISNUMBER(F72),ISNUMBER(G72)),AND(F73&lt;G73,F72&gt;=G72),FALSE())</f>
        <v>0</v>
      </c>
      <c r="L73" s="8" t="n">
        <f aca="false">IF(ISNUMBER(I73),E73-Inputs!$B$6*I73,"")</f>
        <v>0.819788953568187</v>
      </c>
      <c r="M73" s="9" t="b">
        <f aca="false">AND(Y72&gt;0,Z72)</f>
        <v>0</v>
      </c>
      <c r="N73" s="8" t="n">
        <f aca="false">B73*(1-Inputs!$B$12)</f>
        <v>0.833535940104298</v>
      </c>
      <c r="O73" s="10" t="n">
        <f aca="false">IF(M73,Y72*(N73-AB72)-Inputs!$B$9-Y72*AD72*Inputs!$B$13*(A73-AC72),0)</f>
        <v>0</v>
      </c>
      <c r="P73" s="10" t="n">
        <f aca="false">X72+O73</f>
        <v>1000</v>
      </c>
      <c r="Q73" s="9" t="b">
        <f aca="false">AND(IF(M73,0,Y72)=0,AA72,IF(ISNUMBER(AE72),B73&gt;AE72,FALSE()))</f>
        <v>0</v>
      </c>
      <c r="R73" s="8" t="n">
        <f aca="false">B73*(1+Inputs!$B$12)</f>
        <v>0.833869421176554</v>
      </c>
      <c r="S73" s="11" t="n">
        <f aca="false">IF(Q73,MIN(P73*Inputs!$B$3/(R73-AE72),P73*Inputs!$B$11/R73),0)</f>
        <v>0</v>
      </c>
      <c r="T73" s="11" t="n">
        <f aca="false">IF(Q73,S73,IF(M73,0,Y72))</f>
        <v>0</v>
      </c>
      <c r="U73" s="8" t="n">
        <f aca="false">IF(Q73,AE72,AF72)</f>
        <v>0</v>
      </c>
      <c r="V73" s="9" t="b">
        <f aca="false">AND(T73&gt;0,D73&lt;=U73)</f>
        <v>0</v>
      </c>
      <c r="W73" s="10" t="n">
        <f aca="false">IF(V73,T73*(AK73-AB73)-Inputs!$B$9-T73*AD73*Inputs!$B$13*(A73-AC73),0)</f>
        <v>0</v>
      </c>
      <c r="X73" s="10" t="n">
        <f aca="false">P73-IF(Q73,Inputs!$B$9,0)+W73</f>
        <v>1000</v>
      </c>
      <c r="Y73" s="11" t="n">
        <f aca="false">IF(V73,0,T73)</f>
        <v>0</v>
      </c>
      <c r="Z73" s="9" t="b">
        <f aca="false">AND(Y73&gt;0,K73)</f>
        <v>0</v>
      </c>
      <c r="AA73" s="9" t="b">
        <f aca="false">AND(Y73=0,J73,ISNUMBER(L73))</f>
        <v>0</v>
      </c>
      <c r="AB73" s="8" t="n">
        <f aca="false">IF(Q73,R73,AB72)</f>
        <v>0</v>
      </c>
      <c r="AC73" s="12" t="n">
        <f aca="false">IF(Q73,A73,AC72)</f>
        <v>0</v>
      </c>
      <c r="AD73" s="8" t="n">
        <f aca="false">IF(Q73,B73,AD72)</f>
        <v>0</v>
      </c>
      <c r="AE73" s="8" t="str">
        <f aca="false">IF(AA73,L73,"")</f>
        <v/>
      </c>
      <c r="AF73" s="8" t="n">
        <f aca="false">U73</f>
        <v>0</v>
      </c>
      <c r="AG73" s="2" t="n">
        <f aca="false">AG72+IF(Q73,1,0)</f>
        <v>0</v>
      </c>
      <c r="AH73" s="2" t="n">
        <f aca="false">AG72</f>
        <v>0</v>
      </c>
      <c r="AI73" s="10" t="n">
        <f aca="false">X73+Y73*(E73-AB73)-Y73*AD73*Inputs!$B$13*(A73-AC73)</f>
        <v>1000</v>
      </c>
      <c r="AJ73" s="10" t="n">
        <v>0</v>
      </c>
      <c r="AK73" s="8" t="n">
        <f aca="false">IF(AND(B73&lt;=U73,NOT(Q73)),B73,U73)*(1-Inputs!$B$12)</f>
        <v>0</v>
      </c>
    </row>
    <row r="74" customFormat="false" ht="15" hidden="false" customHeight="false" outlineLevel="0" collapsed="false">
      <c r="A74" s="6" t="n">
        <v>44858</v>
      </c>
      <c r="B74" s="7" t="n">
        <v>0.835069169529765</v>
      </c>
      <c r="C74" s="7" t="n">
        <v>0.839834080010603</v>
      </c>
      <c r="D74" s="7" t="n">
        <v>0.83079584270771</v>
      </c>
      <c r="E74" s="7" t="n">
        <v>0.837218814392669</v>
      </c>
      <c r="F74" s="8" t="n">
        <f aca="true">IF(ROW()-2&gt;=Inputs!$B$4,AVERAGE(OFFSET(E74,1-Inputs!$B$4,0,Inputs!$B$4,1)),"")</f>
        <v>0.835665070178432</v>
      </c>
      <c r="G74" s="8" t="n">
        <f aca="true">IF(ROW()-2&gt;=Inputs!$B$5,AVERAGE(OFFSET(E74,1-Inputs!$B$5,0,Inputs!$B$5,1)),"")</f>
        <v>0.840132413944301</v>
      </c>
      <c r="H74" s="8" t="n">
        <f aca="false">MAX(C74-D74,ABS(C74-E73),ABS(D74-E73))</f>
        <v>0.00903823730289233</v>
      </c>
      <c r="I74" s="8" t="n">
        <f aca="true">IF(ROW()-2&lt;14,"",IF(ROW()-2=14,AVERAGE(OFFSET(H74,-13,0,14,1)),(I73*13+H74)/14))</f>
        <v>0.00773997436093919</v>
      </c>
      <c r="J74" s="9" t="b">
        <f aca="false">IF(AND(ISNUMBER(F74),ISNUMBER(G74),ISNUMBER(F73),ISNUMBER(G73)),AND(F74&gt;G74,F73&lt;=G73),FALSE())</f>
        <v>0</v>
      </c>
      <c r="K74" s="9" t="b">
        <f aca="false">IF(AND(ISNUMBER(F74),ISNUMBER(G74),ISNUMBER(F73),ISNUMBER(G73)),AND(F74&lt;G74,F73&gt;=G73),FALSE())</f>
        <v>0</v>
      </c>
      <c r="L74" s="8" t="n">
        <f aca="false">IF(ISNUMBER(I74),E74-Inputs!$B$6*I74,"")</f>
        <v>0.82173886567079</v>
      </c>
      <c r="M74" s="9" t="b">
        <f aca="false">AND(Y73&gt;0,Z73)</f>
        <v>0</v>
      </c>
      <c r="N74" s="8" t="n">
        <f aca="false">B74*(1-Inputs!$B$12)</f>
        <v>0.834902155695859</v>
      </c>
      <c r="O74" s="10" t="n">
        <f aca="false">IF(M74,Y73*(N74-AB73)-Inputs!$B$9-Y73*AD73*Inputs!$B$13*(A74-AC73),0)</f>
        <v>0</v>
      </c>
      <c r="P74" s="10" t="n">
        <f aca="false">X73+O74</f>
        <v>1000</v>
      </c>
      <c r="Q74" s="9" t="b">
        <f aca="false">AND(IF(M74,0,Y73)=0,AA73,IF(ISNUMBER(AE73),B74&gt;AE73,FALSE()))</f>
        <v>0</v>
      </c>
      <c r="R74" s="8" t="n">
        <f aca="false">B74*(1+Inputs!$B$12)</f>
        <v>0.83523618336367</v>
      </c>
      <c r="S74" s="11" t="n">
        <f aca="false">IF(Q74,MIN(P74*Inputs!$B$3/(R74-AE73),P74*Inputs!$B$11/R74),0)</f>
        <v>0</v>
      </c>
      <c r="T74" s="11" t="n">
        <f aca="false">IF(Q74,S74,IF(M74,0,Y73))</f>
        <v>0</v>
      </c>
      <c r="U74" s="8" t="n">
        <f aca="false">IF(Q74,AE73,AF73)</f>
        <v>0</v>
      </c>
      <c r="V74" s="9" t="b">
        <f aca="false">AND(T74&gt;0,D74&lt;=U74)</f>
        <v>0</v>
      </c>
      <c r="W74" s="10" t="n">
        <f aca="false">IF(V74,T74*(AK74-AB74)-Inputs!$B$9-T74*AD74*Inputs!$B$13*(A74-AC74),0)</f>
        <v>0</v>
      </c>
      <c r="X74" s="10" t="n">
        <f aca="false">P74-IF(Q74,Inputs!$B$9,0)+W74</f>
        <v>1000</v>
      </c>
      <c r="Y74" s="11" t="n">
        <f aca="false">IF(V74,0,T74)</f>
        <v>0</v>
      </c>
      <c r="Z74" s="9" t="b">
        <f aca="false">AND(Y74&gt;0,K74)</f>
        <v>0</v>
      </c>
      <c r="AA74" s="9" t="b">
        <f aca="false">AND(Y74=0,J74,ISNUMBER(L74))</f>
        <v>0</v>
      </c>
      <c r="AB74" s="8" t="n">
        <f aca="false">IF(Q74,R74,AB73)</f>
        <v>0</v>
      </c>
      <c r="AC74" s="12" t="n">
        <f aca="false">IF(Q74,A74,AC73)</f>
        <v>0</v>
      </c>
      <c r="AD74" s="8" t="n">
        <f aca="false">IF(Q74,B74,AD73)</f>
        <v>0</v>
      </c>
      <c r="AE74" s="8" t="str">
        <f aca="false">IF(AA74,L74,"")</f>
        <v/>
      </c>
      <c r="AF74" s="8" t="n">
        <f aca="false">U74</f>
        <v>0</v>
      </c>
      <c r="AG74" s="2" t="n">
        <f aca="false">AG73+IF(Q74,1,0)</f>
        <v>0</v>
      </c>
      <c r="AH74" s="2" t="n">
        <f aca="false">AG73</f>
        <v>0</v>
      </c>
      <c r="AI74" s="10" t="n">
        <f aca="false">X74+Y74*(E74-AB74)-Y74*AD74*Inputs!$B$13*(A74-AC74)</f>
        <v>1000</v>
      </c>
      <c r="AJ74" s="10" t="n">
        <v>0</v>
      </c>
      <c r="AK74" s="8" t="n">
        <f aca="false">IF(AND(B74&lt;=U74,NOT(Q74)),B74,U74)*(1-Inputs!$B$12)</f>
        <v>0</v>
      </c>
    </row>
    <row r="75" customFormat="false" ht="15" hidden="false" customHeight="false" outlineLevel="0" collapsed="false">
      <c r="A75" s="6" t="n">
        <v>44859</v>
      </c>
      <c r="B75" s="7" t="n">
        <v>0.837218814392669</v>
      </c>
      <c r="C75" s="7" t="n">
        <v>0.840519745093677</v>
      </c>
      <c r="D75" s="7" t="n">
        <v>0.83358816427953</v>
      </c>
      <c r="E75" s="7" t="n">
        <v>0.835387741827722</v>
      </c>
      <c r="F75" s="8" t="n">
        <f aca="true">IF(ROW()-2&gt;=Inputs!$B$4,AVERAGE(OFFSET(E75,1-Inputs!$B$4,0,Inputs!$B$4,1)),"")</f>
        <v>0.834833820212016</v>
      </c>
      <c r="G75" s="8" t="n">
        <f aca="true">IF(ROW()-2&gt;=Inputs!$B$5,AVERAGE(OFFSET(E75,1-Inputs!$B$5,0,Inputs!$B$5,1)),"")</f>
        <v>0.84022523911487</v>
      </c>
      <c r="H75" s="8" t="n">
        <f aca="false">MAX(C75-D75,ABS(C75-E74),ABS(D75-E74))</f>
        <v>0.00693158081414669</v>
      </c>
      <c r="I75" s="8" t="n">
        <f aca="true">IF(ROW()-2&lt;14,"",IF(ROW()-2=14,AVERAGE(OFFSET(H75,-13,0,14,1)),(I74*13+H75)/14))</f>
        <v>0.00768223196473973</v>
      </c>
      <c r="J75" s="9" t="b">
        <f aca="false">IF(AND(ISNUMBER(F75),ISNUMBER(G75),ISNUMBER(F74),ISNUMBER(G74)),AND(F75&gt;G75,F74&lt;=G74),FALSE())</f>
        <v>0</v>
      </c>
      <c r="K75" s="9" t="b">
        <f aca="false">IF(AND(ISNUMBER(F75),ISNUMBER(G75),ISNUMBER(F74),ISNUMBER(G74)),AND(F75&lt;G75,F74&gt;=G74),FALSE())</f>
        <v>0</v>
      </c>
      <c r="L75" s="8" t="n">
        <f aca="false">IF(ISNUMBER(I75),E75-Inputs!$B$6*I75,"")</f>
        <v>0.820023277898242</v>
      </c>
      <c r="M75" s="9" t="b">
        <f aca="false">AND(Y74&gt;0,Z74)</f>
        <v>0</v>
      </c>
      <c r="N75" s="8" t="n">
        <f aca="false">B75*(1-Inputs!$B$12)</f>
        <v>0.83705137062979</v>
      </c>
      <c r="O75" s="10" t="n">
        <f aca="false">IF(M75,Y74*(N75-AB74)-Inputs!$B$9-Y74*AD74*Inputs!$B$13*(A75-AC74),0)</f>
        <v>0</v>
      </c>
      <c r="P75" s="10" t="n">
        <f aca="false">X74+O75</f>
        <v>1000</v>
      </c>
      <c r="Q75" s="9" t="b">
        <f aca="false">AND(IF(M75,0,Y74)=0,AA74,IF(ISNUMBER(AE74),B75&gt;AE74,FALSE()))</f>
        <v>0</v>
      </c>
      <c r="R75" s="8" t="n">
        <f aca="false">B75*(1+Inputs!$B$12)</f>
        <v>0.837386258155547</v>
      </c>
      <c r="S75" s="11" t="n">
        <f aca="false">IF(Q75,MIN(P75*Inputs!$B$3/(R75-AE74),P75*Inputs!$B$11/R75),0)</f>
        <v>0</v>
      </c>
      <c r="T75" s="11" t="n">
        <f aca="false">IF(Q75,S75,IF(M75,0,Y74))</f>
        <v>0</v>
      </c>
      <c r="U75" s="8" t="n">
        <f aca="false">IF(Q75,AE74,AF74)</f>
        <v>0</v>
      </c>
      <c r="V75" s="9" t="b">
        <f aca="false">AND(T75&gt;0,D75&lt;=U75)</f>
        <v>0</v>
      </c>
      <c r="W75" s="10" t="n">
        <f aca="false">IF(V75,T75*(AK75-AB75)-Inputs!$B$9-T75*AD75*Inputs!$B$13*(A75-AC75),0)</f>
        <v>0</v>
      </c>
      <c r="X75" s="10" t="n">
        <f aca="false">P75-IF(Q75,Inputs!$B$9,0)+W75</f>
        <v>1000</v>
      </c>
      <c r="Y75" s="11" t="n">
        <f aca="false">IF(V75,0,T75)</f>
        <v>0</v>
      </c>
      <c r="Z75" s="9" t="b">
        <f aca="false">AND(Y75&gt;0,K75)</f>
        <v>0</v>
      </c>
      <c r="AA75" s="9" t="b">
        <f aca="false">AND(Y75=0,J75,ISNUMBER(L75))</f>
        <v>0</v>
      </c>
      <c r="AB75" s="8" t="n">
        <f aca="false">IF(Q75,R75,AB74)</f>
        <v>0</v>
      </c>
      <c r="AC75" s="12" t="n">
        <f aca="false">IF(Q75,A75,AC74)</f>
        <v>0</v>
      </c>
      <c r="AD75" s="8" t="n">
        <f aca="false">IF(Q75,B75,AD74)</f>
        <v>0</v>
      </c>
      <c r="AE75" s="8" t="str">
        <f aca="false">IF(AA75,L75,"")</f>
        <v/>
      </c>
      <c r="AF75" s="8" t="n">
        <f aca="false">U75</f>
        <v>0</v>
      </c>
      <c r="AG75" s="2" t="n">
        <f aca="false">AG74+IF(Q75,1,0)</f>
        <v>0</v>
      </c>
      <c r="AH75" s="2" t="n">
        <f aca="false">AG74</f>
        <v>0</v>
      </c>
      <c r="AI75" s="10" t="n">
        <f aca="false">X75+Y75*(E75-AB75)-Y75*AD75*Inputs!$B$13*(A75-AC75)</f>
        <v>1000</v>
      </c>
      <c r="AJ75" s="10" t="n">
        <v>0</v>
      </c>
      <c r="AK75" s="8" t="n">
        <f aca="false">IF(AND(B75&lt;=U75,NOT(Q75)),B75,U75)*(1-Inputs!$B$12)</f>
        <v>0</v>
      </c>
    </row>
    <row r="76" customFormat="false" ht="15" hidden="false" customHeight="false" outlineLevel="0" collapsed="false">
      <c r="A76" s="6" t="n">
        <v>44860</v>
      </c>
      <c r="B76" s="7" t="n">
        <v>0.835387741827722</v>
      </c>
      <c r="C76" s="7" t="n">
        <v>0.837667523228796</v>
      </c>
      <c r="D76" s="7" t="n">
        <v>0.831940787188924</v>
      </c>
      <c r="E76" s="7" t="n">
        <v>0.832950443397789</v>
      </c>
      <c r="F76" s="8" t="n">
        <f aca="true">IF(ROW()-2&gt;=Inputs!$B$4,AVERAGE(OFFSET(E76,1-Inputs!$B$4,0,Inputs!$B$4,1)),"")</f>
        <v>0.83401119927826</v>
      </c>
      <c r="G76" s="8" t="n">
        <f aca="true">IF(ROW()-2&gt;=Inputs!$B$5,AVERAGE(OFFSET(E76,1-Inputs!$B$5,0,Inputs!$B$5,1)),"")</f>
        <v>0.840232004699611</v>
      </c>
      <c r="H76" s="8" t="n">
        <f aca="false">MAX(C76-D76,ABS(C76-E75),ABS(D76-E75))</f>
        <v>0.00572673603987273</v>
      </c>
      <c r="I76" s="8" t="n">
        <f aca="true">IF(ROW()-2&lt;14,"",IF(ROW()-2=14,AVERAGE(OFFSET(H76,-13,0,14,1)),(I75*13+H76)/14))</f>
        <v>0.00754255368439209</v>
      </c>
      <c r="J76" s="9" t="b">
        <f aca="false">IF(AND(ISNUMBER(F76),ISNUMBER(G76),ISNUMBER(F75),ISNUMBER(G75)),AND(F76&gt;G76,F75&lt;=G75),FALSE())</f>
        <v>0</v>
      </c>
      <c r="K76" s="9" t="b">
        <f aca="false">IF(AND(ISNUMBER(F76),ISNUMBER(G76),ISNUMBER(F75),ISNUMBER(G75)),AND(F76&lt;G76,F75&gt;=G75),FALSE())</f>
        <v>0</v>
      </c>
      <c r="L76" s="8" t="n">
        <f aca="false">IF(ISNUMBER(I76),E76-Inputs!$B$6*I76,"")</f>
        <v>0.817865336029005</v>
      </c>
      <c r="M76" s="9" t="b">
        <f aca="false">AND(Y75&gt;0,Z75)</f>
        <v>0</v>
      </c>
      <c r="N76" s="8" t="n">
        <f aca="false">B76*(1-Inputs!$B$12)</f>
        <v>0.835220664279356</v>
      </c>
      <c r="O76" s="10" t="n">
        <f aca="false">IF(M76,Y75*(N76-AB75)-Inputs!$B$9-Y75*AD75*Inputs!$B$13*(A76-AC75),0)</f>
        <v>0</v>
      </c>
      <c r="P76" s="10" t="n">
        <f aca="false">X75+O76</f>
        <v>1000</v>
      </c>
      <c r="Q76" s="9" t="b">
        <f aca="false">AND(IF(M76,0,Y75)=0,AA75,IF(ISNUMBER(AE75),B76&gt;AE75,FALSE()))</f>
        <v>0</v>
      </c>
      <c r="R76" s="8" t="n">
        <f aca="false">B76*(1+Inputs!$B$12)</f>
        <v>0.835554819376087</v>
      </c>
      <c r="S76" s="11" t="n">
        <f aca="false">IF(Q76,MIN(P76*Inputs!$B$3/(R76-AE75),P76*Inputs!$B$11/R76),0)</f>
        <v>0</v>
      </c>
      <c r="T76" s="11" t="n">
        <f aca="false">IF(Q76,S76,IF(M76,0,Y75))</f>
        <v>0</v>
      </c>
      <c r="U76" s="8" t="n">
        <f aca="false">IF(Q76,AE75,AF75)</f>
        <v>0</v>
      </c>
      <c r="V76" s="9" t="b">
        <f aca="false">AND(T76&gt;0,D76&lt;=U76)</f>
        <v>0</v>
      </c>
      <c r="W76" s="10" t="n">
        <f aca="false">IF(V76,T76*(AK76-AB76)-Inputs!$B$9-T76*AD76*Inputs!$B$13*(A76-AC76),0)</f>
        <v>0</v>
      </c>
      <c r="X76" s="10" t="n">
        <f aca="false">P76-IF(Q76,Inputs!$B$9,0)+W76</f>
        <v>1000</v>
      </c>
      <c r="Y76" s="11" t="n">
        <f aca="false">IF(V76,0,T76)</f>
        <v>0</v>
      </c>
      <c r="Z76" s="9" t="b">
        <f aca="false">AND(Y76&gt;0,K76)</f>
        <v>0</v>
      </c>
      <c r="AA76" s="9" t="b">
        <f aca="false">AND(Y76=0,J76,ISNUMBER(L76))</f>
        <v>0</v>
      </c>
      <c r="AB76" s="8" t="n">
        <f aca="false">IF(Q76,R76,AB75)</f>
        <v>0</v>
      </c>
      <c r="AC76" s="12" t="n">
        <f aca="false">IF(Q76,A76,AC75)</f>
        <v>0</v>
      </c>
      <c r="AD76" s="8" t="n">
        <f aca="false">IF(Q76,B76,AD75)</f>
        <v>0</v>
      </c>
      <c r="AE76" s="8" t="str">
        <f aca="false">IF(AA76,L76,"")</f>
        <v/>
      </c>
      <c r="AF76" s="8" t="n">
        <f aca="false">U76</f>
        <v>0</v>
      </c>
      <c r="AG76" s="2" t="n">
        <f aca="false">AG75+IF(Q76,1,0)</f>
        <v>0</v>
      </c>
      <c r="AH76" s="2" t="n">
        <f aca="false">AG75</f>
        <v>0</v>
      </c>
      <c r="AI76" s="10" t="n">
        <f aca="false">X76+Y76*(E76-AB76)-Y76*AD76*Inputs!$B$13*(A76-AC76)</f>
        <v>1000</v>
      </c>
      <c r="AJ76" s="10" t="n">
        <v>0</v>
      </c>
      <c r="AK76" s="8" t="n">
        <f aca="false">IF(AND(B76&lt;=U76,NOT(Q76)),B76,U76)*(1-Inputs!$B$12)</f>
        <v>0</v>
      </c>
    </row>
    <row r="77" customFormat="false" ht="15" hidden="false" customHeight="false" outlineLevel="0" collapsed="false">
      <c r="A77" s="6" t="n">
        <v>44861</v>
      </c>
      <c r="B77" s="7" t="n">
        <v>0.832950443397789</v>
      </c>
      <c r="C77" s="7" t="n">
        <v>0.839967172154666</v>
      </c>
      <c r="D77" s="7" t="n">
        <v>0.831165708902733</v>
      </c>
      <c r="E77" s="7" t="n">
        <v>0.836951488236222</v>
      </c>
      <c r="F77" s="8" t="n">
        <f aca="true">IF(ROW()-2&gt;=Inputs!$B$4,AVERAGE(OFFSET(E77,1-Inputs!$B$4,0,Inputs!$B$4,1)),"")</f>
        <v>0.833443806051788</v>
      </c>
      <c r="G77" s="8" t="n">
        <f aca="true">IF(ROW()-2&gt;=Inputs!$B$5,AVERAGE(OFFSET(E77,1-Inputs!$B$5,0,Inputs!$B$5,1)),"")</f>
        <v>0.840235798833134</v>
      </c>
      <c r="H77" s="8" t="n">
        <f aca="false">MAX(C77-D77,ABS(C77-E76),ABS(D77-E76))</f>
        <v>0.00880146325193276</v>
      </c>
      <c r="I77" s="8" t="n">
        <f aca="true">IF(ROW()-2&lt;14,"",IF(ROW()-2=14,AVERAGE(OFFSET(H77,-13,0,14,1)),(I76*13+H77)/14))</f>
        <v>0.00763247579635928</v>
      </c>
      <c r="J77" s="9" t="b">
        <f aca="false">IF(AND(ISNUMBER(F77),ISNUMBER(G77),ISNUMBER(F76),ISNUMBER(G76)),AND(F77&gt;G77,F76&lt;=G76),FALSE())</f>
        <v>0</v>
      </c>
      <c r="K77" s="9" t="b">
        <f aca="false">IF(AND(ISNUMBER(F77),ISNUMBER(G77),ISNUMBER(F76),ISNUMBER(G76)),AND(F77&lt;G77,F76&gt;=G76),FALSE())</f>
        <v>0</v>
      </c>
      <c r="L77" s="8" t="n">
        <f aca="false">IF(ISNUMBER(I77),E77-Inputs!$B$6*I77,"")</f>
        <v>0.821686536643503</v>
      </c>
      <c r="M77" s="9" t="b">
        <f aca="false">AND(Y76&gt;0,Z76)</f>
        <v>0</v>
      </c>
      <c r="N77" s="8" t="n">
        <f aca="false">B77*(1-Inputs!$B$12)</f>
        <v>0.832783853309109</v>
      </c>
      <c r="O77" s="10" t="n">
        <f aca="false">IF(M77,Y76*(N77-AB76)-Inputs!$B$9-Y76*AD76*Inputs!$B$13*(A77-AC76),0)</f>
        <v>0</v>
      </c>
      <c r="P77" s="10" t="n">
        <f aca="false">X76+O77</f>
        <v>1000</v>
      </c>
      <c r="Q77" s="9" t="b">
        <f aca="false">AND(IF(M77,0,Y76)=0,AA76,IF(ISNUMBER(AE76),B77&gt;AE76,FALSE()))</f>
        <v>0</v>
      </c>
      <c r="R77" s="8" t="n">
        <f aca="false">B77*(1+Inputs!$B$12)</f>
        <v>0.833117033486468</v>
      </c>
      <c r="S77" s="11" t="n">
        <f aca="false">IF(Q77,MIN(P77*Inputs!$B$3/(R77-AE76),P77*Inputs!$B$11/R77),0)</f>
        <v>0</v>
      </c>
      <c r="T77" s="11" t="n">
        <f aca="false">IF(Q77,S77,IF(M77,0,Y76))</f>
        <v>0</v>
      </c>
      <c r="U77" s="8" t="n">
        <f aca="false">IF(Q77,AE76,AF76)</f>
        <v>0</v>
      </c>
      <c r="V77" s="9" t="b">
        <f aca="false">AND(T77&gt;0,D77&lt;=U77)</f>
        <v>0</v>
      </c>
      <c r="W77" s="10" t="n">
        <f aca="false">IF(V77,T77*(AK77-AB77)-Inputs!$B$9-T77*AD77*Inputs!$B$13*(A77-AC77),0)</f>
        <v>0</v>
      </c>
      <c r="X77" s="10" t="n">
        <f aca="false">P77-IF(Q77,Inputs!$B$9,0)+W77</f>
        <v>1000</v>
      </c>
      <c r="Y77" s="11" t="n">
        <f aca="false">IF(V77,0,T77)</f>
        <v>0</v>
      </c>
      <c r="Z77" s="9" t="b">
        <f aca="false">AND(Y77&gt;0,K77)</f>
        <v>0</v>
      </c>
      <c r="AA77" s="9" t="b">
        <f aca="false">AND(Y77=0,J77,ISNUMBER(L77))</f>
        <v>0</v>
      </c>
      <c r="AB77" s="8" t="n">
        <f aca="false">IF(Q77,R77,AB76)</f>
        <v>0</v>
      </c>
      <c r="AC77" s="12" t="n">
        <f aca="false">IF(Q77,A77,AC76)</f>
        <v>0</v>
      </c>
      <c r="AD77" s="8" t="n">
        <f aca="false">IF(Q77,B77,AD76)</f>
        <v>0</v>
      </c>
      <c r="AE77" s="8" t="str">
        <f aca="false">IF(AA77,L77,"")</f>
        <v/>
      </c>
      <c r="AF77" s="8" t="n">
        <f aca="false">U77</f>
        <v>0</v>
      </c>
      <c r="AG77" s="2" t="n">
        <f aca="false">AG76+IF(Q77,1,0)</f>
        <v>0</v>
      </c>
      <c r="AH77" s="2" t="n">
        <f aca="false">AG76</f>
        <v>0</v>
      </c>
      <c r="AI77" s="10" t="n">
        <f aca="false">X77+Y77*(E77-AB77)-Y77*AD77*Inputs!$B$13*(A77-AC77)</f>
        <v>1000</v>
      </c>
      <c r="AJ77" s="10" t="n">
        <v>0</v>
      </c>
      <c r="AK77" s="8" t="n">
        <f aca="false">IF(AND(B77&lt;=U77,NOT(Q77)),B77,U77)*(1-Inputs!$B$12)</f>
        <v>0</v>
      </c>
    </row>
    <row r="78" customFormat="false" ht="15" hidden="false" customHeight="false" outlineLevel="0" collapsed="false">
      <c r="A78" s="6" t="n">
        <v>44862</v>
      </c>
      <c r="B78" s="7" t="n">
        <v>0.836951488236222</v>
      </c>
      <c r="C78" s="7" t="n">
        <v>0.840611507820548</v>
      </c>
      <c r="D78" s="7" t="n">
        <v>0.832659375081087</v>
      </c>
      <c r="E78" s="7" t="n">
        <v>0.833559041796443</v>
      </c>
      <c r="F78" s="8" t="n">
        <f aca="true">IF(ROW()-2&gt;=Inputs!$B$4,AVERAGE(OFFSET(E78,1-Inputs!$B$4,0,Inputs!$B$4,1)),"")</f>
        <v>0.832813709202402</v>
      </c>
      <c r="G78" s="8" t="n">
        <f aca="true">IF(ROW()-2&gt;=Inputs!$B$5,AVERAGE(OFFSET(E78,1-Inputs!$B$5,0,Inputs!$B$5,1)),"")</f>
        <v>0.840272321574869</v>
      </c>
      <c r="H78" s="8" t="n">
        <f aca="false">MAX(C78-D78,ABS(C78-E77),ABS(D78-E77))</f>
        <v>0.00795213273946083</v>
      </c>
      <c r="I78" s="8" t="n">
        <f aca="true">IF(ROW()-2&lt;14,"",IF(ROW()-2=14,AVERAGE(OFFSET(H78,-13,0,14,1)),(I77*13+H78)/14))</f>
        <v>0.00765530843515225</v>
      </c>
      <c r="J78" s="9" t="b">
        <f aca="false">IF(AND(ISNUMBER(F78),ISNUMBER(G78),ISNUMBER(F77),ISNUMBER(G77)),AND(F78&gt;G78,F77&lt;=G77),FALSE())</f>
        <v>0</v>
      </c>
      <c r="K78" s="9" t="b">
        <f aca="false">IF(AND(ISNUMBER(F78),ISNUMBER(G78),ISNUMBER(F77),ISNUMBER(G77)),AND(F78&lt;G78,F77&gt;=G77),FALSE())</f>
        <v>0</v>
      </c>
      <c r="L78" s="8" t="n">
        <f aca="false">IF(ISNUMBER(I78),E78-Inputs!$B$6*I78,"")</f>
        <v>0.818248424926138</v>
      </c>
      <c r="M78" s="9" t="b">
        <f aca="false">AND(Y77&gt;0,Z77)</f>
        <v>0</v>
      </c>
      <c r="N78" s="8" t="n">
        <f aca="false">B78*(1-Inputs!$B$12)</f>
        <v>0.836784097938575</v>
      </c>
      <c r="O78" s="10" t="n">
        <f aca="false">IF(M78,Y77*(N78-AB77)-Inputs!$B$9-Y77*AD77*Inputs!$B$13*(A78-AC77),0)</f>
        <v>0</v>
      </c>
      <c r="P78" s="10" t="n">
        <f aca="false">X77+O78</f>
        <v>1000</v>
      </c>
      <c r="Q78" s="9" t="b">
        <f aca="false">AND(IF(M78,0,Y77)=0,AA77,IF(ISNUMBER(AE77),B78&gt;AE77,FALSE()))</f>
        <v>0</v>
      </c>
      <c r="R78" s="8" t="n">
        <f aca="false">B78*(1+Inputs!$B$12)</f>
        <v>0.837118878533869</v>
      </c>
      <c r="S78" s="11" t="n">
        <f aca="false">IF(Q78,MIN(P78*Inputs!$B$3/(R78-AE77),P78*Inputs!$B$11/R78),0)</f>
        <v>0</v>
      </c>
      <c r="T78" s="11" t="n">
        <f aca="false">IF(Q78,S78,IF(M78,0,Y77))</f>
        <v>0</v>
      </c>
      <c r="U78" s="8" t="n">
        <f aca="false">IF(Q78,AE77,AF77)</f>
        <v>0</v>
      </c>
      <c r="V78" s="9" t="b">
        <f aca="false">AND(T78&gt;0,D78&lt;=U78)</f>
        <v>0</v>
      </c>
      <c r="W78" s="10" t="n">
        <f aca="false">IF(V78,T78*(AK78-AB78)-Inputs!$B$9-T78*AD78*Inputs!$B$13*(A78-AC78),0)</f>
        <v>0</v>
      </c>
      <c r="X78" s="10" t="n">
        <f aca="false">P78-IF(Q78,Inputs!$B$9,0)+W78</f>
        <v>1000</v>
      </c>
      <c r="Y78" s="11" t="n">
        <f aca="false">IF(V78,0,T78)</f>
        <v>0</v>
      </c>
      <c r="Z78" s="9" t="b">
        <f aca="false">AND(Y78&gt;0,K78)</f>
        <v>0</v>
      </c>
      <c r="AA78" s="9" t="b">
        <f aca="false">AND(Y78=0,J78,ISNUMBER(L78))</f>
        <v>0</v>
      </c>
      <c r="AB78" s="8" t="n">
        <f aca="false">IF(Q78,R78,AB77)</f>
        <v>0</v>
      </c>
      <c r="AC78" s="12" t="n">
        <f aca="false">IF(Q78,A78,AC77)</f>
        <v>0</v>
      </c>
      <c r="AD78" s="8" t="n">
        <f aca="false">IF(Q78,B78,AD77)</f>
        <v>0</v>
      </c>
      <c r="AE78" s="8" t="str">
        <f aca="false">IF(AA78,L78,"")</f>
        <v/>
      </c>
      <c r="AF78" s="8" t="n">
        <f aca="false">U78</f>
        <v>0</v>
      </c>
      <c r="AG78" s="2" t="n">
        <f aca="false">AG77+IF(Q78,1,0)</f>
        <v>0</v>
      </c>
      <c r="AH78" s="2" t="n">
        <f aca="false">AG77</f>
        <v>0</v>
      </c>
      <c r="AI78" s="10" t="n">
        <f aca="false">X78+Y78*(E78-AB78)-Y78*AD78*Inputs!$B$13*(A78-AC78)</f>
        <v>1000</v>
      </c>
      <c r="AJ78" s="10" t="n">
        <v>0</v>
      </c>
      <c r="AK78" s="8" t="n">
        <f aca="false">IF(AND(B78&lt;=U78,NOT(Q78)),B78,U78)*(1-Inputs!$B$12)</f>
        <v>0</v>
      </c>
    </row>
    <row r="79" customFormat="false" ht="15" hidden="false" customHeight="false" outlineLevel="0" collapsed="false">
      <c r="A79" s="6" t="n">
        <v>44863</v>
      </c>
      <c r="B79" s="7" t="n">
        <v>0.833559041796443</v>
      </c>
      <c r="C79" s="7" t="n">
        <v>0.8413735413795</v>
      </c>
      <c r="D79" s="7" t="n">
        <v>0.828676469814183</v>
      </c>
      <c r="E79" s="7" t="n">
        <v>0.838838556582176</v>
      </c>
      <c r="F79" s="8" t="n">
        <f aca="true">IF(ROW()-2&gt;=Inputs!$B$4,AVERAGE(OFFSET(E79,1-Inputs!$B$4,0,Inputs!$B$4,1)),"")</f>
        <v>0.832405224103362</v>
      </c>
      <c r="G79" s="8" t="n">
        <f aca="true">IF(ROW()-2&gt;=Inputs!$B$5,AVERAGE(OFFSET(E79,1-Inputs!$B$5,0,Inputs!$B$5,1)),"")</f>
        <v>0.840513007536338</v>
      </c>
      <c r="H79" s="8" t="n">
        <f aca="false">MAX(C79-D79,ABS(C79-E78),ABS(D79-E78))</f>
        <v>0.0126970715653172</v>
      </c>
      <c r="I79" s="8" t="n">
        <f aca="true">IF(ROW()-2&lt;14,"",IF(ROW()-2=14,AVERAGE(OFFSET(H79,-13,0,14,1)),(I78*13+H79)/14))</f>
        <v>0.00801543437302117</v>
      </c>
      <c r="J79" s="9" t="b">
        <f aca="false">IF(AND(ISNUMBER(F79),ISNUMBER(G79),ISNUMBER(F78),ISNUMBER(G78)),AND(F79&gt;G79,F78&lt;=G78),FALSE())</f>
        <v>0</v>
      </c>
      <c r="K79" s="9" t="b">
        <f aca="false">IF(AND(ISNUMBER(F79),ISNUMBER(G79),ISNUMBER(F78),ISNUMBER(G78)),AND(F79&lt;G79,F78&gt;=G78),FALSE())</f>
        <v>0</v>
      </c>
      <c r="L79" s="8" t="n">
        <f aca="false">IF(ISNUMBER(I79),E79-Inputs!$B$6*I79,"")</f>
        <v>0.822807687836134</v>
      </c>
      <c r="M79" s="9" t="b">
        <f aca="false">AND(Y78&gt;0,Z78)</f>
        <v>0</v>
      </c>
      <c r="N79" s="8" t="n">
        <f aca="false">B79*(1-Inputs!$B$12)</f>
        <v>0.833392329988084</v>
      </c>
      <c r="O79" s="10" t="n">
        <f aca="false">IF(M79,Y78*(N79-AB78)-Inputs!$B$9-Y78*AD78*Inputs!$B$13*(A79-AC78),0)</f>
        <v>0</v>
      </c>
      <c r="P79" s="10" t="n">
        <f aca="false">X78+O79</f>
        <v>1000</v>
      </c>
      <c r="Q79" s="9" t="b">
        <f aca="false">AND(IF(M79,0,Y78)=0,AA78,IF(ISNUMBER(AE78),B79&gt;AE78,FALSE()))</f>
        <v>0</v>
      </c>
      <c r="R79" s="8" t="n">
        <f aca="false">B79*(1+Inputs!$B$12)</f>
        <v>0.833725753604802</v>
      </c>
      <c r="S79" s="11" t="n">
        <f aca="false">IF(Q79,MIN(P79*Inputs!$B$3/(R79-AE78),P79*Inputs!$B$11/R79),0)</f>
        <v>0</v>
      </c>
      <c r="T79" s="11" t="n">
        <f aca="false">IF(Q79,S79,IF(M79,0,Y78))</f>
        <v>0</v>
      </c>
      <c r="U79" s="8" t="n">
        <f aca="false">IF(Q79,AE78,AF78)</f>
        <v>0</v>
      </c>
      <c r="V79" s="9" t="b">
        <f aca="false">AND(T79&gt;0,D79&lt;=U79)</f>
        <v>0</v>
      </c>
      <c r="W79" s="10" t="n">
        <f aca="false">IF(V79,T79*(AK79-AB79)-Inputs!$B$9-T79*AD79*Inputs!$B$13*(A79-AC79),0)</f>
        <v>0</v>
      </c>
      <c r="X79" s="10" t="n">
        <f aca="false">P79-IF(Q79,Inputs!$B$9,0)+W79</f>
        <v>1000</v>
      </c>
      <c r="Y79" s="11" t="n">
        <f aca="false">IF(V79,0,T79)</f>
        <v>0</v>
      </c>
      <c r="Z79" s="9" t="b">
        <f aca="false">AND(Y79&gt;0,K79)</f>
        <v>0</v>
      </c>
      <c r="AA79" s="9" t="b">
        <f aca="false">AND(Y79=0,J79,ISNUMBER(L79))</f>
        <v>0</v>
      </c>
      <c r="AB79" s="8" t="n">
        <f aca="false">IF(Q79,R79,AB78)</f>
        <v>0</v>
      </c>
      <c r="AC79" s="12" t="n">
        <f aca="false">IF(Q79,A79,AC78)</f>
        <v>0</v>
      </c>
      <c r="AD79" s="8" t="n">
        <f aca="false">IF(Q79,B79,AD78)</f>
        <v>0</v>
      </c>
      <c r="AE79" s="8" t="str">
        <f aca="false">IF(AA79,L79,"")</f>
        <v/>
      </c>
      <c r="AF79" s="8" t="n">
        <f aca="false">U79</f>
        <v>0</v>
      </c>
      <c r="AG79" s="2" t="n">
        <f aca="false">AG78+IF(Q79,1,0)</f>
        <v>0</v>
      </c>
      <c r="AH79" s="2" t="n">
        <f aca="false">AG78</f>
        <v>0</v>
      </c>
      <c r="AI79" s="10" t="n">
        <f aca="false">X79+Y79*(E79-AB79)-Y79*AD79*Inputs!$B$13*(A79-AC79)</f>
        <v>1000</v>
      </c>
      <c r="AJ79" s="10" t="n">
        <v>0</v>
      </c>
      <c r="AK79" s="8" t="n">
        <f aca="false">IF(AND(B79&lt;=U79,NOT(Q79)),B79,U79)*(1-Inputs!$B$12)</f>
        <v>0</v>
      </c>
    </row>
    <row r="80" customFormat="false" ht="15" hidden="false" customHeight="false" outlineLevel="0" collapsed="false">
      <c r="A80" s="6" t="n">
        <v>44864</v>
      </c>
      <c r="B80" s="7" t="n">
        <v>0.838838556582176</v>
      </c>
      <c r="C80" s="7" t="n">
        <v>0.840996106445589</v>
      </c>
      <c r="D80" s="7" t="n">
        <v>0.831677696750662</v>
      </c>
      <c r="E80" s="7" t="n">
        <v>0.836761553042699</v>
      </c>
      <c r="F80" s="8" t="n">
        <f aca="true">IF(ROW()-2&gt;=Inputs!$B$4,AVERAGE(OFFSET(E80,1-Inputs!$B$4,0,Inputs!$B$4,1)),"")</f>
        <v>0.831742133102369</v>
      </c>
      <c r="G80" s="8" t="n">
        <f aca="true">IF(ROW()-2&gt;=Inputs!$B$5,AVERAGE(OFFSET(E80,1-Inputs!$B$5,0,Inputs!$B$5,1)),"")</f>
        <v>0.840642315952518</v>
      </c>
      <c r="H80" s="8" t="n">
        <f aca="false">MAX(C80-D80,ABS(C80-E79),ABS(D80-E79))</f>
        <v>0.00931840969492714</v>
      </c>
      <c r="I80" s="8" t="n">
        <f aca="true">IF(ROW()-2&lt;14,"",IF(ROW()-2=14,AVERAGE(OFFSET(H80,-13,0,14,1)),(I79*13+H80)/14))</f>
        <v>0.0081085040388716</v>
      </c>
      <c r="J80" s="9" t="b">
        <f aca="false">IF(AND(ISNUMBER(F80),ISNUMBER(G80),ISNUMBER(F79),ISNUMBER(G79)),AND(F80&gt;G80,F79&lt;=G79),FALSE())</f>
        <v>0</v>
      </c>
      <c r="K80" s="9" t="b">
        <f aca="false">IF(AND(ISNUMBER(F80),ISNUMBER(G80),ISNUMBER(F79),ISNUMBER(G79)),AND(F80&lt;G80,F79&gt;=G79),FALSE())</f>
        <v>0</v>
      </c>
      <c r="L80" s="8" t="n">
        <f aca="false">IF(ISNUMBER(I80),E80-Inputs!$B$6*I80,"")</f>
        <v>0.820544544964956</v>
      </c>
      <c r="M80" s="9" t="b">
        <f aca="false">AND(Y79&gt;0,Z79)</f>
        <v>0</v>
      </c>
      <c r="N80" s="8" t="n">
        <f aca="false">B80*(1-Inputs!$B$12)</f>
        <v>0.838670788870859</v>
      </c>
      <c r="O80" s="10" t="n">
        <f aca="false">IF(M80,Y79*(N80-AB79)-Inputs!$B$9-Y79*AD79*Inputs!$B$13*(A80-AC79),0)</f>
        <v>0</v>
      </c>
      <c r="P80" s="10" t="n">
        <f aca="false">X79+O80</f>
        <v>1000</v>
      </c>
      <c r="Q80" s="9" t="b">
        <f aca="false">AND(IF(M80,0,Y79)=0,AA79,IF(ISNUMBER(AE79),B80&gt;AE79,FALSE()))</f>
        <v>0</v>
      </c>
      <c r="R80" s="8" t="n">
        <f aca="false">B80*(1+Inputs!$B$12)</f>
        <v>0.839006324293492</v>
      </c>
      <c r="S80" s="11" t="n">
        <f aca="false">IF(Q80,MIN(P80*Inputs!$B$3/(R80-AE79),P80*Inputs!$B$11/R80),0)</f>
        <v>0</v>
      </c>
      <c r="T80" s="11" t="n">
        <f aca="false">IF(Q80,S80,IF(M80,0,Y79))</f>
        <v>0</v>
      </c>
      <c r="U80" s="8" t="n">
        <f aca="false">IF(Q80,AE79,AF79)</f>
        <v>0</v>
      </c>
      <c r="V80" s="9" t="b">
        <f aca="false">AND(T80&gt;0,D80&lt;=U80)</f>
        <v>0</v>
      </c>
      <c r="W80" s="10" t="n">
        <f aca="false">IF(V80,T80*(AK80-AB80)-Inputs!$B$9-T80*AD80*Inputs!$B$13*(A80-AC80),0)</f>
        <v>0</v>
      </c>
      <c r="X80" s="10" t="n">
        <f aca="false">P80-IF(Q80,Inputs!$B$9,0)+W80</f>
        <v>1000</v>
      </c>
      <c r="Y80" s="11" t="n">
        <f aca="false">IF(V80,0,T80)</f>
        <v>0</v>
      </c>
      <c r="Z80" s="9" t="b">
        <f aca="false">AND(Y80&gt;0,K80)</f>
        <v>0</v>
      </c>
      <c r="AA80" s="9" t="b">
        <f aca="false">AND(Y80=0,J80,ISNUMBER(L80))</f>
        <v>0</v>
      </c>
      <c r="AB80" s="8" t="n">
        <f aca="false">IF(Q80,R80,AB79)</f>
        <v>0</v>
      </c>
      <c r="AC80" s="12" t="n">
        <f aca="false">IF(Q80,A80,AC79)</f>
        <v>0</v>
      </c>
      <c r="AD80" s="8" t="n">
        <f aca="false">IF(Q80,B80,AD79)</f>
        <v>0</v>
      </c>
      <c r="AE80" s="8" t="str">
        <f aca="false">IF(AA80,L80,"")</f>
        <v/>
      </c>
      <c r="AF80" s="8" t="n">
        <f aca="false">U80</f>
        <v>0</v>
      </c>
      <c r="AG80" s="2" t="n">
        <f aca="false">AG79+IF(Q80,1,0)</f>
        <v>0</v>
      </c>
      <c r="AH80" s="2" t="n">
        <f aca="false">AG79</f>
        <v>0</v>
      </c>
      <c r="AI80" s="10" t="n">
        <f aca="false">X80+Y80*(E80-AB80)-Y80*AD80*Inputs!$B$13*(A80-AC80)</f>
        <v>1000</v>
      </c>
      <c r="AJ80" s="10" t="n">
        <v>0</v>
      </c>
      <c r="AK80" s="8" t="n">
        <f aca="false">IF(AND(B80&lt;=U80,NOT(Q80)),B80,U80)*(1-Inputs!$B$12)</f>
        <v>0</v>
      </c>
    </row>
    <row r="81" customFormat="false" ht="15" hidden="false" customHeight="false" outlineLevel="0" collapsed="false">
      <c r="A81" s="6" t="n">
        <v>44865</v>
      </c>
      <c r="B81" s="7" t="n">
        <v>0.836761553042699</v>
      </c>
      <c r="C81" s="7" t="n">
        <v>0.839221704334903</v>
      </c>
      <c r="D81" s="7" t="n">
        <v>0.834062786486723</v>
      </c>
      <c r="E81" s="7" t="n">
        <v>0.838957897580733</v>
      </c>
      <c r="F81" s="8" t="n">
        <f aca="true">IF(ROW()-2&gt;=Inputs!$B$4,AVERAGE(OFFSET(E81,1-Inputs!$B$4,0,Inputs!$B$4,1)),"")</f>
        <v>0.831754170449912</v>
      </c>
      <c r="G81" s="8" t="n">
        <f aca="true">IF(ROW()-2&gt;=Inputs!$B$5,AVERAGE(OFFSET(E81,1-Inputs!$B$5,0,Inputs!$B$5,1)),"")</f>
        <v>0.840780677212202</v>
      </c>
      <c r="H81" s="8" t="n">
        <f aca="false">MAX(C81-D81,ABS(C81-E80),ABS(D81-E80))</f>
        <v>0.00515891784818001</v>
      </c>
      <c r="I81" s="8" t="n">
        <f aca="true">IF(ROW()-2&lt;14,"",IF(ROW()-2=14,AVERAGE(OFFSET(H81,-13,0,14,1)),(I80*13+H81)/14))</f>
        <v>0.00789781931096505</v>
      </c>
      <c r="J81" s="9" t="b">
        <f aca="false">IF(AND(ISNUMBER(F81),ISNUMBER(G81),ISNUMBER(F80),ISNUMBER(G80)),AND(F81&gt;G81,F80&lt;=G80),FALSE())</f>
        <v>0</v>
      </c>
      <c r="K81" s="9" t="b">
        <f aca="false">IF(AND(ISNUMBER(F81),ISNUMBER(G81),ISNUMBER(F80),ISNUMBER(G80)),AND(F81&lt;G81,F80&gt;=G80),FALSE())</f>
        <v>0</v>
      </c>
      <c r="L81" s="8" t="n">
        <f aca="false">IF(ISNUMBER(I81),E81-Inputs!$B$6*I81,"")</f>
        <v>0.823162258958803</v>
      </c>
      <c r="M81" s="9" t="b">
        <f aca="false">AND(Y80&gt;0,Z80)</f>
        <v>0</v>
      </c>
      <c r="N81" s="8" t="n">
        <f aca="false">B81*(1-Inputs!$B$12)</f>
        <v>0.83659420073209</v>
      </c>
      <c r="O81" s="10" t="n">
        <f aca="false">IF(M81,Y80*(N81-AB80)-Inputs!$B$9-Y80*AD80*Inputs!$B$13*(A81-AC80),0)</f>
        <v>0</v>
      </c>
      <c r="P81" s="10" t="n">
        <f aca="false">X80+O81</f>
        <v>1000</v>
      </c>
      <c r="Q81" s="9" t="b">
        <f aca="false">AND(IF(M81,0,Y80)=0,AA80,IF(ISNUMBER(AE80),B81&gt;AE80,FALSE()))</f>
        <v>0</v>
      </c>
      <c r="R81" s="8" t="n">
        <f aca="false">B81*(1+Inputs!$B$12)</f>
        <v>0.836928905353307</v>
      </c>
      <c r="S81" s="11" t="n">
        <f aca="false">IF(Q81,MIN(P81*Inputs!$B$3/(R81-AE80),P81*Inputs!$B$11/R81),0)</f>
        <v>0</v>
      </c>
      <c r="T81" s="11" t="n">
        <f aca="false">IF(Q81,S81,IF(M81,0,Y80))</f>
        <v>0</v>
      </c>
      <c r="U81" s="8" t="n">
        <f aca="false">IF(Q81,AE80,AF80)</f>
        <v>0</v>
      </c>
      <c r="V81" s="9" t="b">
        <f aca="false">AND(T81&gt;0,D81&lt;=U81)</f>
        <v>0</v>
      </c>
      <c r="W81" s="10" t="n">
        <f aca="false">IF(V81,T81*(AK81-AB81)-Inputs!$B$9-T81*AD81*Inputs!$B$13*(A81-AC81),0)</f>
        <v>0</v>
      </c>
      <c r="X81" s="10" t="n">
        <f aca="false">P81-IF(Q81,Inputs!$B$9,0)+W81</f>
        <v>1000</v>
      </c>
      <c r="Y81" s="11" t="n">
        <f aca="false">IF(V81,0,T81)</f>
        <v>0</v>
      </c>
      <c r="Z81" s="9" t="b">
        <f aca="false">AND(Y81&gt;0,K81)</f>
        <v>0</v>
      </c>
      <c r="AA81" s="9" t="b">
        <f aca="false">AND(Y81=0,J81,ISNUMBER(L81))</f>
        <v>0</v>
      </c>
      <c r="AB81" s="8" t="n">
        <f aca="false">IF(Q81,R81,AB80)</f>
        <v>0</v>
      </c>
      <c r="AC81" s="12" t="n">
        <f aca="false">IF(Q81,A81,AC80)</f>
        <v>0</v>
      </c>
      <c r="AD81" s="8" t="n">
        <f aca="false">IF(Q81,B81,AD80)</f>
        <v>0</v>
      </c>
      <c r="AE81" s="8" t="str">
        <f aca="false">IF(AA81,L81,"")</f>
        <v/>
      </c>
      <c r="AF81" s="8" t="n">
        <f aca="false">U81</f>
        <v>0</v>
      </c>
      <c r="AG81" s="2" t="n">
        <f aca="false">AG80+IF(Q81,1,0)</f>
        <v>0</v>
      </c>
      <c r="AH81" s="2" t="n">
        <f aca="false">AG80</f>
        <v>0</v>
      </c>
      <c r="AI81" s="10" t="n">
        <f aca="false">X81+Y81*(E81-AB81)-Y81*AD81*Inputs!$B$13*(A81-AC81)</f>
        <v>1000</v>
      </c>
      <c r="AJ81" s="10" t="n">
        <v>0</v>
      </c>
      <c r="AK81" s="8" t="n">
        <f aca="false">IF(AND(B81&lt;=U81,NOT(Q81)),B81,U81)*(1-Inputs!$B$12)</f>
        <v>0</v>
      </c>
    </row>
    <row r="82" customFormat="false" ht="15" hidden="false" customHeight="false" outlineLevel="0" collapsed="false">
      <c r="A82" s="6" t="n">
        <v>44866</v>
      </c>
      <c r="B82" s="7" t="n">
        <v>0.838957897580733</v>
      </c>
      <c r="C82" s="7" t="n">
        <v>0.842085889630877</v>
      </c>
      <c r="D82" s="7" t="n">
        <v>0.823991204007298</v>
      </c>
      <c r="E82" s="7" t="n">
        <v>0.826672244640303</v>
      </c>
      <c r="F82" s="8" t="n">
        <f aca="true">IF(ROW()-2&gt;=Inputs!$B$4,AVERAGE(OFFSET(E82,1-Inputs!$B$4,0,Inputs!$B$4,1)),"")</f>
        <v>0.831411842857214</v>
      </c>
      <c r="G82" s="8" t="n">
        <f aca="true">IF(ROW()-2&gt;=Inputs!$B$5,AVERAGE(OFFSET(E82,1-Inputs!$B$5,0,Inputs!$B$5,1)),"")</f>
        <v>0.840777586166086</v>
      </c>
      <c r="H82" s="8" t="n">
        <f aca="false">MAX(C82-D82,ABS(C82-E81),ABS(D82-E81))</f>
        <v>0.0180946856235783</v>
      </c>
      <c r="I82" s="8" t="n">
        <f aca="true">IF(ROW()-2&lt;14,"",IF(ROW()-2=14,AVERAGE(OFFSET(H82,-13,0,14,1)),(I81*13+H82)/14))</f>
        <v>0.00862616690472314</v>
      </c>
      <c r="J82" s="9" t="b">
        <f aca="false">IF(AND(ISNUMBER(F82),ISNUMBER(G82),ISNUMBER(F81),ISNUMBER(G81)),AND(F82&gt;G82,F81&lt;=G81),FALSE())</f>
        <v>0</v>
      </c>
      <c r="K82" s="9" t="b">
        <f aca="false">IF(AND(ISNUMBER(F82),ISNUMBER(G82),ISNUMBER(F81),ISNUMBER(G81)),AND(F82&lt;G82,F81&gt;=G81),FALSE())</f>
        <v>0</v>
      </c>
      <c r="L82" s="8" t="n">
        <f aca="false">IF(ISNUMBER(I82),E82-Inputs!$B$6*I82,"")</f>
        <v>0.809419910830857</v>
      </c>
      <c r="M82" s="9" t="b">
        <f aca="false">AND(Y81&gt;0,Z81)</f>
        <v>0</v>
      </c>
      <c r="N82" s="8" t="n">
        <f aca="false">B82*(1-Inputs!$B$12)</f>
        <v>0.838790106001217</v>
      </c>
      <c r="O82" s="10" t="n">
        <f aca="false">IF(M82,Y81*(N82-AB81)-Inputs!$B$9-Y81*AD81*Inputs!$B$13*(A82-AC81),0)</f>
        <v>0</v>
      </c>
      <c r="P82" s="10" t="n">
        <f aca="false">X81+O82</f>
        <v>1000</v>
      </c>
      <c r="Q82" s="9" t="b">
        <f aca="false">AND(IF(M82,0,Y81)=0,AA81,IF(ISNUMBER(AE81),B82&gt;AE81,FALSE()))</f>
        <v>0</v>
      </c>
      <c r="R82" s="8" t="n">
        <f aca="false">B82*(1+Inputs!$B$12)</f>
        <v>0.839125689160249</v>
      </c>
      <c r="S82" s="11" t="n">
        <f aca="false">IF(Q82,MIN(P82*Inputs!$B$3/(R82-AE81),P82*Inputs!$B$11/R82),0)</f>
        <v>0</v>
      </c>
      <c r="T82" s="11" t="n">
        <f aca="false">IF(Q82,S82,IF(M82,0,Y81))</f>
        <v>0</v>
      </c>
      <c r="U82" s="8" t="n">
        <f aca="false">IF(Q82,AE81,AF81)</f>
        <v>0</v>
      </c>
      <c r="V82" s="9" t="b">
        <f aca="false">AND(T82&gt;0,D82&lt;=U82)</f>
        <v>0</v>
      </c>
      <c r="W82" s="10" t="n">
        <f aca="false">IF(V82,T82*(AK82-AB82)-Inputs!$B$9-T82*AD82*Inputs!$B$13*(A82-AC82),0)</f>
        <v>0</v>
      </c>
      <c r="X82" s="10" t="n">
        <f aca="false">P82-IF(Q82,Inputs!$B$9,0)+W82</f>
        <v>1000</v>
      </c>
      <c r="Y82" s="11" t="n">
        <f aca="false">IF(V82,0,T82)</f>
        <v>0</v>
      </c>
      <c r="Z82" s="9" t="b">
        <f aca="false">AND(Y82&gt;0,K82)</f>
        <v>0</v>
      </c>
      <c r="AA82" s="9" t="b">
        <f aca="false">AND(Y82=0,J82,ISNUMBER(L82))</f>
        <v>0</v>
      </c>
      <c r="AB82" s="8" t="n">
        <f aca="false">IF(Q82,R82,AB81)</f>
        <v>0</v>
      </c>
      <c r="AC82" s="12" t="n">
        <f aca="false">IF(Q82,A82,AC81)</f>
        <v>0</v>
      </c>
      <c r="AD82" s="8" t="n">
        <f aca="false">IF(Q82,B82,AD81)</f>
        <v>0</v>
      </c>
      <c r="AE82" s="8" t="str">
        <f aca="false">IF(AA82,L82,"")</f>
        <v/>
      </c>
      <c r="AF82" s="8" t="n">
        <f aca="false">U82</f>
        <v>0</v>
      </c>
      <c r="AG82" s="2" t="n">
        <f aca="false">AG81+IF(Q82,1,0)</f>
        <v>0</v>
      </c>
      <c r="AH82" s="2" t="n">
        <f aca="false">AG81</f>
        <v>0</v>
      </c>
      <c r="AI82" s="10" t="n">
        <f aca="false">X82+Y82*(E82-AB82)-Y82*AD82*Inputs!$B$13*(A82-AC82)</f>
        <v>1000</v>
      </c>
      <c r="AJ82" s="10" t="n">
        <v>0</v>
      </c>
      <c r="AK82" s="8" t="n">
        <f aca="false">IF(AND(B82&lt;=U82,NOT(Q82)),B82,U82)*(1-Inputs!$B$12)</f>
        <v>0</v>
      </c>
    </row>
    <row r="83" customFormat="false" ht="15" hidden="false" customHeight="false" outlineLevel="0" collapsed="false">
      <c r="A83" s="6" t="n">
        <v>44867</v>
      </c>
      <c r="B83" s="7" t="n">
        <v>0.826672244640303</v>
      </c>
      <c r="C83" s="7" t="n">
        <v>0.830093573315743</v>
      </c>
      <c r="D83" s="7" t="n">
        <v>0.822360944706616</v>
      </c>
      <c r="E83" s="7" t="n">
        <v>0.828918070562409</v>
      </c>
      <c r="F83" s="8" t="n">
        <f aca="true">IF(ROW()-2&gt;=Inputs!$B$4,AVERAGE(OFFSET(E83,1-Inputs!$B$4,0,Inputs!$B$4,1)),"")</f>
        <v>0.831525178729557</v>
      </c>
      <c r="G83" s="8" t="n">
        <f aca="true">IF(ROW()-2&gt;=Inputs!$B$5,AVERAGE(OFFSET(E83,1-Inputs!$B$5,0,Inputs!$B$5,1)),"")</f>
        <v>0.840891675085012</v>
      </c>
      <c r="H83" s="8" t="n">
        <f aca="false">MAX(C83-D83,ABS(C83-E82),ABS(D83-E82))</f>
        <v>0.00773262860912694</v>
      </c>
      <c r="I83" s="8" t="n">
        <f aca="true">IF(ROW()-2&lt;14,"",IF(ROW()-2=14,AVERAGE(OFFSET(H83,-13,0,14,1)),(I82*13+H83)/14))</f>
        <v>0.00856234274075199</v>
      </c>
      <c r="J83" s="9" t="b">
        <f aca="false">IF(AND(ISNUMBER(F83),ISNUMBER(G83),ISNUMBER(F82),ISNUMBER(G82)),AND(F83&gt;G83,F82&lt;=G82),FALSE())</f>
        <v>0</v>
      </c>
      <c r="K83" s="9" t="b">
        <f aca="false">IF(AND(ISNUMBER(F83),ISNUMBER(G83),ISNUMBER(F82),ISNUMBER(G82)),AND(F83&lt;G83,F82&gt;=G82),FALSE())</f>
        <v>0</v>
      </c>
      <c r="L83" s="8" t="n">
        <f aca="false">IF(ISNUMBER(I83),E83-Inputs!$B$6*I83,"")</f>
        <v>0.811793385080905</v>
      </c>
      <c r="M83" s="9" t="b">
        <f aca="false">AND(Y82&gt;0,Z82)</f>
        <v>0</v>
      </c>
      <c r="N83" s="8" t="n">
        <f aca="false">B83*(1-Inputs!$B$12)</f>
        <v>0.826506910191375</v>
      </c>
      <c r="O83" s="10" t="n">
        <f aca="false">IF(M83,Y82*(N83-AB82)-Inputs!$B$9-Y82*AD82*Inputs!$B$13*(A83-AC82),0)</f>
        <v>0</v>
      </c>
      <c r="P83" s="10" t="n">
        <f aca="false">X82+O83</f>
        <v>1000</v>
      </c>
      <c r="Q83" s="9" t="b">
        <f aca="false">AND(IF(M83,0,Y82)=0,AA82,IF(ISNUMBER(AE82),B83&gt;AE82,FALSE()))</f>
        <v>0</v>
      </c>
      <c r="R83" s="8" t="n">
        <f aca="false">B83*(1+Inputs!$B$12)</f>
        <v>0.826837579089231</v>
      </c>
      <c r="S83" s="11" t="n">
        <f aca="false">IF(Q83,MIN(P83*Inputs!$B$3/(R83-AE82),P83*Inputs!$B$11/R83),0)</f>
        <v>0</v>
      </c>
      <c r="T83" s="11" t="n">
        <f aca="false">IF(Q83,S83,IF(M83,0,Y82))</f>
        <v>0</v>
      </c>
      <c r="U83" s="8" t="n">
        <f aca="false">IF(Q83,AE82,AF82)</f>
        <v>0</v>
      </c>
      <c r="V83" s="9" t="b">
        <f aca="false">AND(T83&gt;0,D83&lt;=U83)</f>
        <v>0</v>
      </c>
      <c r="W83" s="10" t="n">
        <f aca="false">IF(V83,T83*(AK83-AB83)-Inputs!$B$9-T83*AD83*Inputs!$B$13*(A83-AC83),0)</f>
        <v>0</v>
      </c>
      <c r="X83" s="10" t="n">
        <f aca="false">P83-IF(Q83,Inputs!$B$9,0)+W83</f>
        <v>1000</v>
      </c>
      <c r="Y83" s="11" t="n">
        <f aca="false">IF(V83,0,T83)</f>
        <v>0</v>
      </c>
      <c r="Z83" s="9" t="b">
        <f aca="false">AND(Y83&gt;0,K83)</f>
        <v>0</v>
      </c>
      <c r="AA83" s="9" t="b">
        <f aca="false">AND(Y83=0,J83,ISNUMBER(L83))</f>
        <v>0</v>
      </c>
      <c r="AB83" s="8" t="n">
        <f aca="false">IF(Q83,R83,AB82)</f>
        <v>0</v>
      </c>
      <c r="AC83" s="12" t="n">
        <f aca="false">IF(Q83,A83,AC82)</f>
        <v>0</v>
      </c>
      <c r="AD83" s="8" t="n">
        <f aca="false">IF(Q83,B83,AD82)</f>
        <v>0</v>
      </c>
      <c r="AE83" s="8" t="str">
        <f aca="false">IF(AA83,L83,"")</f>
        <v/>
      </c>
      <c r="AF83" s="8" t="n">
        <f aca="false">U83</f>
        <v>0</v>
      </c>
      <c r="AG83" s="2" t="n">
        <f aca="false">AG82+IF(Q83,1,0)</f>
        <v>0</v>
      </c>
      <c r="AH83" s="2" t="n">
        <f aca="false">AG82</f>
        <v>0</v>
      </c>
      <c r="AI83" s="10" t="n">
        <f aca="false">X83+Y83*(E83-AB83)-Y83*AD83*Inputs!$B$13*(A83-AC83)</f>
        <v>1000</v>
      </c>
      <c r="AJ83" s="10" t="n">
        <v>0</v>
      </c>
      <c r="AK83" s="8" t="n">
        <f aca="false">IF(AND(B83&lt;=U83,NOT(Q83)),B83,U83)*(1-Inputs!$B$12)</f>
        <v>0</v>
      </c>
    </row>
    <row r="84" customFormat="false" ht="15" hidden="false" customHeight="false" outlineLevel="0" collapsed="false">
      <c r="A84" s="6" t="n">
        <v>44868</v>
      </c>
      <c r="B84" s="7" t="n">
        <v>0.828918070562409</v>
      </c>
      <c r="C84" s="7" t="n">
        <v>0.832041555781995</v>
      </c>
      <c r="D84" s="7" t="n">
        <v>0.820921492668038</v>
      </c>
      <c r="E84" s="7" t="n">
        <v>0.823238707336688</v>
      </c>
      <c r="F84" s="8" t="n">
        <f aca="true">IF(ROW()-2&gt;=Inputs!$B$4,AVERAGE(OFFSET(E84,1-Inputs!$B$4,0,Inputs!$B$4,1)),"")</f>
        <v>0.83144274313883</v>
      </c>
      <c r="G84" s="8" t="n">
        <f aca="true">IF(ROW()-2&gt;=Inputs!$B$5,AVERAGE(OFFSET(E84,1-Inputs!$B$5,0,Inputs!$B$5,1)),"")</f>
        <v>0.840953059911346</v>
      </c>
      <c r="H84" s="8" t="n">
        <f aca="false">MAX(C84-D84,ABS(C84-E83),ABS(D84-E83))</f>
        <v>0.0111200631139571</v>
      </c>
      <c r="I84" s="8" t="n">
        <f aca="true">IF(ROW()-2&lt;14,"",IF(ROW()-2=14,AVERAGE(OFFSET(H84,-13,0,14,1)),(I83*13+H84)/14))</f>
        <v>0.00874503705312378</v>
      </c>
      <c r="J84" s="9" t="b">
        <f aca="false">IF(AND(ISNUMBER(F84),ISNUMBER(G84),ISNUMBER(F83),ISNUMBER(G83)),AND(F84&gt;G84,F83&lt;=G83),FALSE())</f>
        <v>0</v>
      </c>
      <c r="K84" s="9" t="b">
        <f aca="false">IF(AND(ISNUMBER(F84),ISNUMBER(G84),ISNUMBER(F83),ISNUMBER(G83)),AND(F84&lt;G84,F83&gt;=G83),FALSE())</f>
        <v>0</v>
      </c>
      <c r="L84" s="8" t="n">
        <f aca="false">IF(ISNUMBER(I84),E84-Inputs!$B$6*I84,"")</f>
        <v>0.80574863323044</v>
      </c>
      <c r="M84" s="9" t="b">
        <f aca="false">AND(Y83&gt;0,Z83)</f>
        <v>0</v>
      </c>
      <c r="N84" s="8" t="n">
        <f aca="false">B84*(1-Inputs!$B$12)</f>
        <v>0.828752286948297</v>
      </c>
      <c r="O84" s="10" t="n">
        <f aca="false">IF(M84,Y83*(N84-AB83)-Inputs!$B$9-Y83*AD83*Inputs!$B$13*(A84-AC83),0)</f>
        <v>0</v>
      </c>
      <c r="P84" s="10" t="n">
        <f aca="false">X83+O84</f>
        <v>1000</v>
      </c>
      <c r="Q84" s="9" t="b">
        <f aca="false">AND(IF(M84,0,Y83)=0,AA83,IF(ISNUMBER(AE83),B84&gt;AE83,FALSE()))</f>
        <v>0</v>
      </c>
      <c r="R84" s="8" t="n">
        <f aca="false">B84*(1+Inputs!$B$12)</f>
        <v>0.829083854176522</v>
      </c>
      <c r="S84" s="11" t="n">
        <f aca="false">IF(Q84,MIN(P84*Inputs!$B$3/(R84-AE83),P84*Inputs!$B$11/R84),0)</f>
        <v>0</v>
      </c>
      <c r="T84" s="11" t="n">
        <f aca="false">IF(Q84,S84,IF(M84,0,Y83))</f>
        <v>0</v>
      </c>
      <c r="U84" s="8" t="n">
        <f aca="false">IF(Q84,AE83,AF83)</f>
        <v>0</v>
      </c>
      <c r="V84" s="9" t="b">
        <f aca="false">AND(T84&gt;0,D84&lt;=U84)</f>
        <v>0</v>
      </c>
      <c r="W84" s="10" t="n">
        <f aca="false">IF(V84,T84*(AK84-AB84)-Inputs!$B$9-T84*AD84*Inputs!$B$13*(A84-AC84),0)</f>
        <v>0</v>
      </c>
      <c r="X84" s="10" t="n">
        <f aca="false">P84-IF(Q84,Inputs!$B$9,0)+W84</f>
        <v>1000</v>
      </c>
      <c r="Y84" s="11" t="n">
        <f aca="false">IF(V84,0,T84)</f>
        <v>0</v>
      </c>
      <c r="Z84" s="9" t="b">
        <f aca="false">AND(Y84&gt;0,K84)</f>
        <v>0</v>
      </c>
      <c r="AA84" s="9" t="b">
        <f aca="false">AND(Y84=0,J84,ISNUMBER(L84))</f>
        <v>0</v>
      </c>
      <c r="AB84" s="8" t="n">
        <f aca="false">IF(Q84,R84,AB83)</f>
        <v>0</v>
      </c>
      <c r="AC84" s="12" t="n">
        <f aca="false">IF(Q84,A84,AC83)</f>
        <v>0</v>
      </c>
      <c r="AD84" s="8" t="n">
        <f aca="false">IF(Q84,B84,AD83)</f>
        <v>0</v>
      </c>
      <c r="AE84" s="8" t="str">
        <f aca="false">IF(AA84,L84,"")</f>
        <v/>
      </c>
      <c r="AF84" s="8" t="n">
        <f aca="false">U84</f>
        <v>0</v>
      </c>
      <c r="AG84" s="2" t="n">
        <f aca="false">AG83+IF(Q84,1,0)</f>
        <v>0</v>
      </c>
      <c r="AH84" s="2" t="n">
        <f aca="false">AG83</f>
        <v>0</v>
      </c>
      <c r="AI84" s="10" t="n">
        <f aca="false">X84+Y84*(E84-AB84)-Y84*AD84*Inputs!$B$13*(A84-AC84)</f>
        <v>1000</v>
      </c>
      <c r="AJ84" s="10" t="n">
        <v>0</v>
      </c>
      <c r="AK84" s="8" t="n">
        <f aca="false">IF(AND(B84&lt;=U84,NOT(Q84)),B84,U84)*(1-Inputs!$B$12)</f>
        <v>0</v>
      </c>
    </row>
    <row r="85" customFormat="false" ht="15" hidden="false" customHeight="false" outlineLevel="0" collapsed="false">
      <c r="A85" s="6" t="n">
        <v>44869</v>
      </c>
      <c r="B85" s="7" t="n">
        <v>0.823238707336688</v>
      </c>
      <c r="C85" s="7" t="n">
        <v>0.825187273993167</v>
      </c>
      <c r="D85" s="7" t="n">
        <v>0.821616362106051</v>
      </c>
      <c r="E85" s="7" t="n">
        <v>0.824678972697948</v>
      </c>
      <c r="F85" s="8" t="n">
        <f aca="true">IF(ROW()-2&gt;=Inputs!$B$4,AVERAGE(OFFSET(E85,1-Inputs!$B$4,0,Inputs!$B$4,1)),"")</f>
        <v>0.831692907784038</v>
      </c>
      <c r="G85" s="8" t="n">
        <f aca="true">IF(ROW()-2&gt;=Inputs!$B$5,AVERAGE(OFFSET(E85,1-Inputs!$B$5,0,Inputs!$B$5,1)),"")</f>
        <v>0.840911708740639</v>
      </c>
      <c r="H85" s="8" t="n">
        <f aca="false">MAX(C85-D85,ABS(C85-E84),ABS(D85-E84))</f>
        <v>0.00357091188711622</v>
      </c>
      <c r="I85" s="8" t="n">
        <f aca="true">IF(ROW()-2&lt;14,"",IF(ROW()-2=14,AVERAGE(OFFSET(H85,-13,0,14,1)),(I84*13+H85)/14))</f>
        <v>0.00837545668412324</v>
      </c>
      <c r="J85" s="9" t="b">
        <f aca="false">IF(AND(ISNUMBER(F85),ISNUMBER(G85),ISNUMBER(F84),ISNUMBER(G84)),AND(F85&gt;G85,F84&lt;=G84),FALSE())</f>
        <v>0</v>
      </c>
      <c r="K85" s="9" t="b">
        <f aca="false">IF(AND(ISNUMBER(F85),ISNUMBER(G85),ISNUMBER(F84),ISNUMBER(G84)),AND(F85&lt;G85,F84&gt;=G84),FALSE())</f>
        <v>0</v>
      </c>
      <c r="L85" s="8" t="n">
        <f aca="false">IF(ISNUMBER(I85),E85-Inputs!$B$6*I85,"")</f>
        <v>0.807928059329701</v>
      </c>
      <c r="M85" s="9" t="b">
        <f aca="false">AND(Y84&gt;0,Z84)</f>
        <v>0</v>
      </c>
      <c r="N85" s="8" t="n">
        <f aca="false">B85*(1-Inputs!$B$12)</f>
        <v>0.82307405959522</v>
      </c>
      <c r="O85" s="10" t="n">
        <f aca="false">IF(M85,Y84*(N85-AB84)-Inputs!$B$9-Y84*AD84*Inputs!$B$13*(A85-AC84),0)</f>
        <v>0</v>
      </c>
      <c r="P85" s="10" t="n">
        <f aca="false">X84+O85</f>
        <v>1000</v>
      </c>
      <c r="Q85" s="9" t="b">
        <f aca="false">AND(IF(M85,0,Y84)=0,AA84,IF(ISNUMBER(AE84),B85&gt;AE84,FALSE()))</f>
        <v>0</v>
      </c>
      <c r="R85" s="8" t="n">
        <f aca="false">B85*(1+Inputs!$B$12)</f>
        <v>0.823403355078155</v>
      </c>
      <c r="S85" s="11" t="n">
        <f aca="false">IF(Q85,MIN(P85*Inputs!$B$3/(R85-AE84),P85*Inputs!$B$11/R85),0)</f>
        <v>0</v>
      </c>
      <c r="T85" s="11" t="n">
        <f aca="false">IF(Q85,S85,IF(M85,0,Y84))</f>
        <v>0</v>
      </c>
      <c r="U85" s="8" t="n">
        <f aca="false">IF(Q85,AE84,AF84)</f>
        <v>0</v>
      </c>
      <c r="V85" s="9" t="b">
        <f aca="false">AND(T85&gt;0,D85&lt;=U85)</f>
        <v>0</v>
      </c>
      <c r="W85" s="10" t="n">
        <f aca="false">IF(V85,T85*(AK85-AB85)-Inputs!$B$9-T85*AD85*Inputs!$B$13*(A85-AC85),0)</f>
        <v>0</v>
      </c>
      <c r="X85" s="10" t="n">
        <f aca="false">P85-IF(Q85,Inputs!$B$9,0)+W85</f>
        <v>1000</v>
      </c>
      <c r="Y85" s="11" t="n">
        <f aca="false">IF(V85,0,T85)</f>
        <v>0</v>
      </c>
      <c r="Z85" s="9" t="b">
        <f aca="false">AND(Y85&gt;0,K85)</f>
        <v>0</v>
      </c>
      <c r="AA85" s="9" t="b">
        <f aca="false">AND(Y85=0,J85,ISNUMBER(L85))</f>
        <v>0</v>
      </c>
      <c r="AB85" s="8" t="n">
        <f aca="false">IF(Q85,R85,AB84)</f>
        <v>0</v>
      </c>
      <c r="AC85" s="12" t="n">
        <f aca="false">IF(Q85,A85,AC84)</f>
        <v>0</v>
      </c>
      <c r="AD85" s="8" t="n">
        <f aca="false">IF(Q85,B85,AD84)</f>
        <v>0</v>
      </c>
      <c r="AE85" s="8" t="str">
        <f aca="false">IF(AA85,L85,"")</f>
        <v/>
      </c>
      <c r="AF85" s="8" t="n">
        <f aca="false">U85</f>
        <v>0</v>
      </c>
      <c r="AG85" s="2" t="n">
        <f aca="false">AG84+IF(Q85,1,0)</f>
        <v>0</v>
      </c>
      <c r="AH85" s="2" t="n">
        <f aca="false">AG84</f>
        <v>0</v>
      </c>
      <c r="AI85" s="10" t="n">
        <f aca="false">X85+Y85*(E85-AB85)-Y85*AD85*Inputs!$B$13*(A85-AC85)</f>
        <v>1000</v>
      </c>
      <c r="AJ85" s="10" t="n">
        <v>0</v>
      </c>
      <c r="AK85" s="8" t="n">
        <f aca="false">IF(AND(B85&lt;=U85,NOT(Q85)),B85,U85)*(1-Inputs!$B$12)</f>
        <v>0</v>
      </c>
    </row>
    <row r="86" customFormat="false" ht="15" hidden="false" customHeight="false" outlineLevel="0" collapsed="false">
      <c r="A86" s="6" t="n">
        <v>44870</v>
      </c>
      <c r="B86" s="7" t="n">
        <v>0.824678972697948</v>
      </c>
      <c r="C86" s="7" t="n">
        <v>0.830876920048227</v>
      </c>
      <c r="D86" s="7" t="n">
        <v>0.820501292954489</v>
      </c>
      <c r="E86" s="7" t="n">
        <v>0.82230098782746</v>
      </c>
      <c r="F86" s="8" t="n">
        <f aca="true">IF(ROW()-2&gt;=Inputs!$B$4,AVERAGE(OFFSET(E86,1-Inputs!$B$4,0,Inputs!$B$4,1)),"")</f>
        <v>0.831777640371542</v>
      </c>
      <c r="G86" s="8" t="n">
        <f aca="true">IF(ROW()-2&gt;=Inputs!$B$5,AVERAGE(OFFSET(E86,1-Inputs!$B$5,0,Inputs!$B$5,1)),"")</f>
        <v>0.840675892291831</v>
      </c>
      <c r="H86" s="8" t="n">
        <f aca="false">MAX(C86-D86,ABS(C86-E85),ABS(D86-E85))</f>
        <v>0.0103756270937373</v>
      </c>
      <c r="I86" s="8" t="n">
        <f aca="true">IF(ROW()-2&lt;14,"",IF(ROW()-2=14,AVERAGE(OFFSET(H86,-13,0,14,1)),(I85*13+H86)/14))</f>
        <v>0.00851832599909567</v>
      </c>
      <c r="J86" s="9" t="b">
        <f aca="false">IF(AND(ISNUMBER(F86),ISNUMBER(G86),ISNUMBER(F85),ISNUMBER(G85)),AND(F86&gt;G86,F85&lt;=G85),FALSE())</f>
        <v>0</v>
      </c>
      <c r="K86" s="9" t="b">
        <f aca="false">IF(AND(ISNUMBER(F86),ISNUMBER(G86),ISNUMBER(F85),ISNUMBER(G85)),AND(F86&lt;G86,F85&gt;=G85),FALSE())</f>
        <v>0</v>
      </c>
      <c r="L86" s="8" t="n">
        <f aca="false">IF(ISNUMBER(I86),E86-Inputs!$B$6*I86,"")</f>
        <v>0.805264335829269</v>
      </c>
      <c r="M86" s="9" t="b">
        <f aca="false">AND(Y85&gt;0,Z85)</f>
        <v>0</v>
      </c>
      <c r="N86" s="8" t="n">
        <f aca="false">B86*(1-Inputs!$B$12)</f>
        <v>0.824514036903408</v>
      </c>
      <c r="O86" s="10" t="n">
        <f aca="false">IF(M86,Y85*(N86-AB85)-Inputs!$B$9-Y85*AD85*Inputs!$B$13*(A86-AC85),0)</f>
        <v>0</v>
      </c>
      <c r="P86" s="10" t="n">
        <f aca="false">X85+O86</f>
        <v>1000</v>
      </c>
      <c r="Q86" s="9" t="b">
        <f aca="false">AND(IF(M86,0,Y85)=0,AA85,IF(ISNUMBER(AE85),B86&gt;AE85,FALSE()))</f>
        <v>0</v>
      </c>
      <c r="R86" s="8" t="n">
        <f aca="false">B86*(1+Inputs!$B$12)</f>
        <v>0.824843908492487</v>
      </c>
      <c r="S86" s="11" t="n">
        <f aca="false">IF(Q86,MIN(P86*Inputs!$B$3/(R86-AE85),P86*Inputs!$B$11/R86),0)</f>
        <v>0</v>
      </c>
      <c r="T86" s="11" t="n">
        <f aca="false">IF(Q86,S86,IF(M86,0,Y85))</f>
        <v>0</v>
      </c>
      <c r="U86" s="8" t="n">
        <f aca="false">IF(Q86,AE85,AF85)</f>
        <v>0</v>
      </c>
      <c r="V86" s="9" t="b">
        <f aca="false">AND(T86&gt;0,D86&lt;=U86)</f>
        <v>0</v>
      </c>
      <c r="W86" s="10" t="n">
        <f aca="false">IF(V86,T86*(AK86-AB86)-Inputs!$B$9-T86*AD86*Inputs!$B$13*(A86-AC86),0)</f>
        <v>0</v>
      </c>
      <c r="X86" s="10" t="n">
        <f aca="false">P86-IF(Q86,Inputs!$B$9,0)+W86</f>
        <v>1000</v>
      </c>
      <c r="Y86" s="11" t="n">
        <f aca="false">IF(V86,0,T86)</f>
        <v>0</v>
      </c>
      <c r="Z86" s="9" t="b">
        <f aca="false">AND(Y86&gt;0,K86)</f>
        <v>0</v>
      </c>
      <c r="AA86" s="9" t="b">
        <f aca="false">AND(Y86=0,J86,ISNUMBER(L86))</f>
        <v>0</v>
      </c>
      <c r="AB86" s="8" t="n">
        <f aca="false">IF(Q86,R86,AB85)</f>
        <v>0</v>
      </c>
      <c r="AC86" s="12" t="n">
        <f aca="false">IF(Q86,A86,AC85)</f>
        <v>0</v>
      </c>
      <c r="AD86" s="8" t="n">
        <f aca="false">IF(Q86,B86,AD85)</f>
        <v>0</v>
      </c>
      <c r="AE86" s="8" t="str">
        <f aca="false">IF(AA86,L86,"")</f>
        <v/>
      </c>
      <c r="AF86" s="8" t="n">
        <f aca="false">U86</f>
        <v>0</v>
      </c>
      <c r="AG86" s="2" t="n">
        <f aca="false">AG85+IF(Q86,1,0)</f>
        <v>0</v>
      </c>
      <c r="AH86" s="2" t="n">
        <f aca="false">AG85</f>
        <v>0</v>
      </c>
      <c r="AI86" s="10" t="n">
        <f aca="false">X86+Y86*(E86-AB86)-Y86*AD86*Inputs!$B$13*(A86-AC86)</f>
        <v>1000</v>
      </c>
      <c r="AJ86" s="10" t="n">
        <v>0</v>
      </c>
      <c r="AK86" s="8" t="n">
        <f aca="false">IF(AND(B86&lt;=U86,NOT(Q86)),B86,U86)*(1-Inputs!$B$12)</f>
        <v>0</v>
      </c>
    </row>
    <row r="87" customFormat="false" ht="15" hidden="false" customHeight="false" outlineLevel="0" collapsed="false">
      <c r="A87" s="6" t="n">
        <v>44871</v>
      </c>
      <c r="B87" s="7" t="n">
        <v>0.82230098782746</v>
      </c>
      <c r="C87" s="7" t="n">
        <v>0.82681898588155</v>
      </c>
      <c r="D87" s="7" t="n">
        <v>0.815731694830367</v>
      </c>
      <c r="E87" s="7" t="n">
        <v>0.819673284320769</v>
      </c>
      <c r="F87" s="8" t="n">
        <f aca="true">IF(ROW()-2&gt;=Inputs!$B$4,AVERAGE(OFFSET(E87,1-Inputs!$B$4,0,Inputs!$B$4,1)),"")</f>
        <v>0.831406902464385</v>
      </c>
      <c r="G87" s="8" t="n">
        <f aca="true">IF(ROW()-2&gt;=Inputs!$B$5,AVERAGE(OFFSET(E87,1-Inputs!$B$5,0,Inputs!$B$5,1)),"")</f>
        <v>0.840304723341071</v>
      </c>
      <c r="H87" s="8" t="n">
        <f aca="false">MAX(C87-D87,ABS(C87-E86),ABS(D87-E86))</f>
        <v>0.0110872910511828</v>
      </c>
      <c r="I87" s="8" t="n">
        <f aca="true">IF(ROW()-2&lt;14,"",IF(ROW()-2=14,AVERAGE(OFFSET(H87,-13,0,14,1)),(I86*13+H87)/14))</f>
        <v>0.00870182350281618</v>
      </c>
      <c r="J87" s="9" t="b">
        <f aca="false">IF(AND(ISNUMBER(F87),ISNUMBER(G87),ISNUMBER(F86),ISNUMBER(G86)),AND(F87&gt;G87,F86&lt;=G86),FALSE())</f>
        <v>0</v>
      </c>
      <c r="K87" s="9" t="b">
        <f aca="false">IF(AND(ISNUMBER(F87),ISNUMBER(G87),ISNUMBER(F86),ISNUMBER(G86)),AND(F87&lt;G87,F86&gt;=G86),FALSE())</f>
        <v>0</v>
      </c>
      <c r="L87" s="8" t="n">
        <f aca="false">IF(ISNUMBER(I87),E87-Inputs!$B$6*I87,"")</f>
        <v>0.802269637315136</v>
      </c>
      <c r="M87" s="9" t="b">
        <f aca="false">AND(Y86&gt;0,Z86)</f>
        <v>0</v>
      </c>
      <c r="N87" s="8" t="n">
        <f aca="false">B87*(1-Inputs!$B$12)</f>
        <v>0.822136527629894</v>
      </c>
      <c r="O87" s="10" t="n">
        <f aca="false">IF(M87,Y86*(N87-AB86)-Inputs!$B$9-Y86*AD86*Inputs!$B$13*(A87-AC86),0)</f>
        <v>0</v>
      </c>
      <c r="P87" s="10" t="n">
        <f aca="false">X86+O87</f>
        <v>1000</v>
      </c>
      <c r="Q87" s="9" t="b">
        <f aca="false">AND(IF(M87,0,Y86)=0,AA86,IF(ISNUMBER(AE86),B87&gt;AE86,FALSE()))</f>
        <v>0</v>
      </c>
      <c r="R87" s="8" t="n">
        <f aca="false">B87*(1+Inputs!$B$12)</f>
        <v>0.822465448025025</v>
      </c>
      <c r="S87" s="11" t="n">
        <f aca="false">IF(Q87,MIN(P87*Inputs!$B$3/(R87-AE86),P87*Inputs!$B$11/R87),0)</f>
        <v>0</v>
      </c>
      <c r="T87" s="11" t="n">
        <f aca="false">IF(Q87,S87,IF(M87,0,Y86))</f>
        <v>0</v>
      </c>
      <c r="U87" s="8" t="n">
        <f aca="false">IF(Q87,AE86,AF86)</f>
        <v>0</v>
      </c>
      <c r="V87" s="9" t="b">
        <f aca="false">AND(T87&gt;0,D87&lt;=U87)</f>
        <v>0</v>
      </c>
      <c r="W87" s="10" t="n">
        <f aca="false">IF(V87,T87*(AK87-AB87)-Inputs!$B$9-T87*AD87*Inputs!$B$13*(A87-AC87),0)</f>
        <v>0</v>
      </c>
      <c r="X87" s="10" t="n">
        <f aca="false">P87-IF(Q87,Inputs!$B$9,0)+W87</f>
        <v>1000</v>
      </c>
      <c r="Y87" s="11" t="n">
        <f aca="false">IF(V87,0,T87)</f>
        <v>0</v>
      </c>
      <c r="Z87" s="9" t="b">
        <f aca="false">AND(Y87&gt;0,K87)</f>
        <v>0</v>
      </c>
      <c r="AA87" s="9" t="b">
        <f aca="false">AND(Y87=0,J87,ISNUMBER(L87))</f>
        <v>0</v>
      </c>
      <c r="AB87" s="8" t="n">
        <f aca="false">IF(Q87,R87,AB86)</f>
        <v>0</v>
      </c>
      <c r="AC87" s="12" t="n">
        <f aca="false">IF(Q87,A87,AC86)</f>
        <v>0</v>
      </c>
      <c r="AD87" s="8" t="n">
        <f aca="false">IF(Q87,B87,AD86)</f>
        <v>0</v>
      </c>
      <c r="AE87" s="8" t="str">
        <f aca="false">IF(AA87,L87,"")</f>
        <v/>
      </c>
      <c r="AF87" s="8" t="n">
        <f aca="false">U87</f>
        <v>0</v>
      </c>
      <c r="AG87" s="2" t="n">
        <f aca="false">AG86+IF(Q87,1,0)</f>
        <v>0</v>
      </c>
      <c r="AH87" s="2" t="n">
        <f aca="false">AG86</f>
        <v>0</v>
      </c>
      <c r="AI87" s="10" t="n">
        <f aca="false">X87+Y87*(E87-AB87)-Y87*AD87*Inputs!$B$13*(A87-AC87)</f>
        <v>1000</v>
      </c>
      <c r="AJ87" s="10" t="n">
        <v>0</v>
      </c>
      <c r="AK87" s="8" t="n">
        <f aca="false">IF(AND(B87&lt;=U87,NOT(Q87)),B87,U87)*(1-Inputs!$B$12)</f>
        <v>0</v>
      </c>
    </row>
    <row r="88" customFormat="false" ht="15" hidden="false" customHeight="false" outlineLevel="0" collapsed="false">
      <c r="A88" s="6" t="n">
        <v>44872</v>
      </c>
      <c r="B88" s="7" t="n">
        <v>0.819673284320769</v>
      </c>
      <c r="C88" s="7" t="n">
        <v>0.825445807626269</v>
      </c>
      <c r="D88" s="7" t="n">
        <v>0.816618789933122</v>
      </c>
      <c r="E88" s="7" t="n">
        <v>0.823369535042377</v>
      </c>
      <c r="F88" s="8" t="n">
        <f aca="true">IF(ROW()-2&gt;=Inputs!$B$4,AVERAGE(OFFSET(E88,1-Inputs!$B$4,0,Inputs!$B$4,1)),"")</f>
        <v>0.831079350946226</v>
      </c>
      <c r="G88" s="8" t="n">
        <f aca="true">IF(ROW()-2&gt;=Inputs!$B$5,AVERAGE(OFFSET(E88,1-Inputs!$B$5,0,Inputs!$B$5,1)),"")</f>
        <v>0.839983413421321</v>
      </c>
      <c r="H88" s="8" t="n">
        <f aca="false">MAX(C88-D88,ABS(C88-E87),ABS(D88-E87))</f>
        <v>0.00882701769314676</v>
      </c>
      <c r="I88" s="8" t="n">
        <f aca="true">IF(ROW()-2&lt;14,"",IF(ROW()-2=14,AVERAGE(OFFSET(H88,-13,0,14,1)),(I87*13+H88)/14))</f>
        <v>0.00871076594498265</v>
      </c>
      <c r="J88" s="9" t="b">
        <f aca="false">IF(AND(ISNUMBER(F88),ISNUMBER(G88),ISNUMBER(F87),ISNUMBER(G87)),AND(F88&gt;G88,F87&lt;=G87),FALSE())</f>
        <v>0</v>
      </c>
      <c r="K88" s="9" t="b">
        <f aca="false">IF(AND(ISNUMBER(F88),ISNUMBER(G88),ISNUMBER(F87),ISNUMBER(G87)),AND(F88&lt;G88,F87&gt;=G87),FALSE())</f>
        <v>0</v>
      </c>
      <c r="L88" s="8" t="n">
        <f aca="false">IF(ISNUMBER(I88),E88-Inputs!$B$6*I88,"")</f>
        <v>0.805948003152411</v>
      </c>
      <c r="M88" s="9" t="b">
        <f aca="false">AND(Y87&gt;0,Z87)</f>
        <v>0</v>
      </c>
      <c r="N88" s="8" t="n">
        <f aca="false">B88*(1-Inputs!$B$12)</f>
        <v>0.819509349663905</v>
      </c>
      <c r="O88" s="10" t="n">
        <f aca="false">IF(M88,Y87*(N88-AB87)-Inputs!$B$9-Y87*AD87*Inputs!$B$13*(A88-AC87),0)</f>
        <v>0</v>
      </c>
      <c r="P88" s="10" t="n">
        <f aca="false">X87+O88</f>
        <v>1000</v>
      </c>
      <c r="Q88" s="9" t="b">
        <f aca="false">AND(IF(M88,0,Y87)=0,AA87,IF(ISNUMBER(AE87),B88&gt;AE87,FALSE()))</f>
        <v>0</v>
      </c>
      <c r="R88" s="8" t="n">
        <f aca="false">B88*(1+Inputs!$B$12)</f>
        <v>0.819837218977633</v>
      </c>
      <c r="S88" s="11" t="n">
        <f aca="false">IF(Q88,MIN(P88*Inputs!$B$3/(R88-AE87),P88*Inputs!$B$11/R88),0)</f>
        <v>0</v>
      </c>
      <c r="T88" s="11" t="n">
        <f aca="false">IF(Q88,S88,IF(M88,0,Y87))</f>
        <v>0</v>
      </c>
      <c r="U88" s="8" t="n">
        <f aca="false">IF(Q88,AE87,AF87)</f>
        <v>0</v>
      </c>
      <c r="V88" s="9" t="b">
        <f aca="false">AND(T88&gt;0,D88&lt;=U88)</f>
        <v>0</v>
      </c>
      <c r="W88" s="10" t="n">
        <f aca="false">IF(V88,T88*(AK88-AB88)-Inputs!$B$9-T88*AD88*Inputs!$B$13*(A88-AC88),0)</f>
        <v>0</v>
      </c>
      <c r="X88" s="10" t="n">
        <f aca="false">P88-IF(Q88,Inputs!$B$9,0)+W88</f>
        <v>1000</v>
      </c>
      <c r="Y88" s="11" t="n">
        <f aca="false">IF(V88,0,T88)</f>
        <v>0</v>
      </c>
      <c r="Z88" s="9" t="b">
        <f aca="false">AND(Y88&gt;0,K88)</f>
        <v>0</v>
      </c>
      <c r="AA88" s="9" t="b">
        <f aca="false">AND(Y88=0,J88,ISNUMBER(L88))</f>
        <v>0</v>
      </c>
      <c r="AB88" s="8" t="n">
        <f aca="false">IF(Q88,R88,AB87)</f>
        <v>0</v>
      </c>
      <c r="AC88" s="12" t="n">
        <f aca="false">IF(Q88,A88,AC87)</f>
        <v>0</v>
      </c>
      <c r="AD88" s="8" t="n">
        <f aca="false">IF(Q88,B88,AD87)</f>
        <v>0</v>
      </c>
      <c r="AE88" s="8" t="str">
        <f aca="false">IF(AA88,L88,"")</f>
        <v/>
      </c>
      <c r="AF88" s="8" t="n">
        <f aca="false">U88</f>
        <v>0</v>
      </c>
      <c r="AG88" s="2" t="n">
        <f aca="false">AG87+IF(Q88,1,0)</f>
        <v>0</v>
      </c>
      <c r="AH88" s="2" t="n">
        <f aca="false">AG87</f>
        <v>0</v>
      </c>
      <c r="AI88" s="10" t="n">
        <f aca="false">X88+Y88*(E88-AB88)-Y88*AD88*Inputs!$B$13*(A88-AC88)</f>
        <v>1000</v>
      </c>
      <c r="AJ88" s="10" t="n">
        <v>0</v>
      </c>
      <c r="AK88" s="8" t="n">
        <f aca="false">IF(AND(B88&lt;=U88,NOT(Q88)),B88,U88)*(1-Inputs!$B$12)</f>
        <v>0</v>
      </c>
    </row>
    <row r="89" customFormat="false" ht="15" hidden="false" customHeight="false" outlineLevel="0" collapsed="false">
      <c r="A89" s="6" t="n">
        <v>44873</v>
      </c>
      <c r="B89" s="7" t="n">
        <v>0.823369535042377</v>
      </c>
      <c r="C89" s="7" t="n">
        <v>0.825930325719986</v>
      </c>
      <c r="D89" s="7" t="n">
        <v>0.812746047410178</v>
      </c>
      <c r="E89" s="7" t="n">
        <v>0.815845195944129</v>
      </c>
      <c r="F89" s="8" t="n">
        <f aca="true">IF(ROW()-2&gt;=Inputs!$B$4,AVERAGE(OFFSET(E89,1-Inputs!$B$4,0,Inputs!$B$4,1)),"")</f>
        <v>0.830493929561524</v>
      </c>
      <c r="G89" s="8" t="n">
        <f aca="true">IF(ROW()-2&gt;=Inputs!$B$5,AVERAGE(OFFSET(E89,1-Inputs!$B$5,0,Inputs!$B$5,1)),"")</f>
        <v>0.839538891708578</v>
      </c>
      <c r="H89" s="8" t="n">
        <f aca="false">MAX(C89-D89,ABS(C89-E88),ABS(D89-E88))</f>
        <v>0.013184278309808</v>
      </c>
      <c r="I89" s="8" t="n">
        <f aca="true">IF(ROW()-2&lt;14,"",IF(ROW()-2=14,AVERAGE(OFFSET(H89,-13,0,14,1)),(I88*13+H89)/14))</f>
        <v>0.00903030254247017</v>
      </c>
      <c r="J89" s="9" t="b">
        <f aca="false">IF(AND(ISNUMBER(F89),ISNUMBER(G89),ISNUMBER(F88),ISNUMBER(G88)),AND(F89&gt;G89,F88&lt;=G88),FALSE())</f>
        <v>0</v>
      </c>
      <c r="K89" s="9" t="b">
        <f aca="false">IF(AND(ISNUMBER(F89),ISNUMBER(G89),ISNUMBER(F88),ISNUMBER(G88)),AND(F89&lt;G89,F88&gt;=G88),FALSE())</f>
        <v>0</v>
      </c>
      <c r="L89" s="8" t="n">
        <f aca="false">IF(ISNUMBER(I89),E89-Inputs!$B$6*I89,"")</f>
        <v>0.797784590859189</v>
      </c>
      <c r="M89" s="9" t="b">
        <f aca="false">AND(Y88&gt;0,Z88)</f>
        <v>0</v>
      </c>
      <c r="N89" s="8" t="n">
        <f aca="false">B89*(1-Inputs!$B$12)</f>
        <v>0.823204861135368</v>
      </c>
      <c r="O89" s="10" t="n">
        <f aca="false">IF(M89,Y88*(N89-AB88)-Inputs!$B$9-Y88*AD88*Inputs!$B$13*(A89-AC88),0)</f>
        <v>0</v>
      </c>
      <c r="P89" s="10" t="n">
        <f aca="false">X88+O89</f>
        <v>1000</v>
      </c>
      <c r="Q89" s="9" t="b">
        <f aca="false">AND(IF(M89,0,Y88)=0,AA88,IF(ISNUMBER(AE88),B89&gt;AE88,FALSE()))</f>
        <v>0</v>
      </c>
      <c r="R89" s="8" t="n">
        <f aca="false">B89*(1+Inputs!$B$12)</f>
        <v>0.823534208949385</v>
      </c>
      <c r="S89" s="11" t="n">
        <f aca="false">IF(Q89,MIN(P89*Inputs!$B$3/(R89-AE88),P89*Inputs!$B$11/R89),0)</f>
        <v>0</v>
      </c>
      <c r="T89" s="11" t="n">
        <f aca="false">IF(Q89,S89,IF(M89,0,Y88))</f>
        <v>0</v>
      </c>
      <c r="U89" s="8" t="n">
        <f aca="false">IF(Q89,AE88,AF88)</f>
        <v>0</v>
      </c>
      <c r="V89" s="9" t="b">
        <f aca="false">AND(T89&gt;0,D89&lt;=U89)</f>
        <v>0</v>
      </c>
      <c r="W89" s="10" t="n">
        <f aca="false">IF(V89,T89*(AK89-AB89)-Inputs!$B$9-T89*AD89*Inputs!$B$13*(A89-AC89),0)</f>
        <v>0</v>
      </c>
      <c r="X89" s="10" t="n">
        <f aca="false">P89-IF(Q89,Inputs!$B$9,0)+W89</f>
        <v>1000</v>
      </c>
      <c r="Y89" s="11" t="n">
        <f aca="false">IF(V89,0,T89)</f>
        <v>0</v>
      </c>
      <c r="Z89" s="9" t="b">
        <f aca="false">AND(Y89&gt;0,K89)</f>
        <v>0</v>
      </c>
      <c r="AA89" s="9" t="b">
        <f aca="false">AND(Y89=0,J89,ISNUMBER(L89))</f>
        <v>0</v>
      </c>
      <c r="AB89" s="8" t="n">
        <f aca="false">IF(Q89,R89,AB88)</f>
        <v>0</v>
      </c>
      <c r="AC89" s="12" t="n">
        <f aca="false">IF(Q89,A89,AC88)</f>
        <v>0</v>
      </c>
      <c r="AD89" s="8" t="n">
        <f aca="false">IF(Q89,B89,AD88)</f>
        <v>0</v>
      </c>
      <c r="AE89" s="8" t="str">
        <f aca="false">IF(AA89,L89,"")</f>
        <v/>
      </c>
      <c r="AF89" s="8" t="n">
        <f aca="false">U89</f>
        <v>0</v>
      </c>
      <c r="AG89" s="2" t="n">
        <f aca="false">AG88+IF(Q89,1,0)</f>
        <v>0</v>
      </c>
      <c r="AH89" s="2" t="n">
        <f aca="false">AG88</f>
        <v>0</v>
      </c>
      <c r="AI89" s="10" t="n">
        <f aca="false">X89+Y89*(E89-AB89)-Y89*AD89*Inputs!$B$13*(A89-AC89)</f>
        <v>1000</v>
      </c>
      <c r="AJ89" s="10" t="n">
        <v>0</v>
      </c>
      <c r="AK89" s="8" t="n">
        <f aca="false">IF(AND(B89&lt;=U89,NOT(Q89)),B89,U89)*(1-Inputs!$B$12)</f>
        <v>0</v>
      </c>
    </row>
    <row r="90" customFormat="false" ht="15" hidden="false" customHeight="false" outlineLevel="0" collapsed="false">
      <c r="A90" s="6" t="n">
        <v>44874</v>
      </c>
      <c r="B90" s="7" t="n">
        <v>0.815845195944129</v>
      </c>
      <c r="C90" s="7" t="n">
        <v>0.820505144293182</v>
      </c>
      <c r="D90" s="7" t="n">
        <v>0.815405511570049</v>
      </c>
      <c r="E90" s="7" t="n">
        <v>0.818756440679429</v>
      </c>
      <c r="F90" s="8" t="n">
        <f aca="true">IF(ROW()-2&gt;=Inputs!$B$4,AVERAGE(OFFSET(E90,1-Inputs!$B$4,0,Inputs!$B$4,1)),"")</f>
        <v>0.829835216951138</v>
      </c>
      <c r="G90" s="8" t="n">
        <f aca="true">IF(ROW()-2&gt;=Inputs!$B$5,AVERAGE(OFFSET(E90,1-Inputs!$B$5,0,Inputs!$B$5,1)),"")</f>
        <v>0.839095779077329</v>
      </c>
      <c r="H90" s="8" t="n">
        <f aca="false">MAX(C90-D90,ABS(C90-E89),ABS(D90-E89))</f>
        <v>0.00509963272313263</v>
      </c>
      <c r="I90" s="8" t="n">
        <f aca="true">IF(ROW()-2&lt;14,"",IF(ROW()-2=14,AVERAGE(OFFSET(H90,-13,0,14,1)),(I89*13+H90)/14))</f>
        <v>0.00874954041251749</v>
      </c>
      <c r="J90" s="9" t="b">
        <f aca="false">IF(AND(ISNUMBER(F90),ISNUMBER(G90),ISNUMBER(F89),ISNUMBER(G89)),AND(F90&gt;G90,F89&lt;=G89),FALSE())</f>
        <v>0</v>
      </c>
      <c r="K90" s="9" t="b">
        <f aca="false">IF(AND(ISNUMBER(F90),ISNUMBER(G90),ISNUMBER(F89),ISNUMBER(G89)),AND(F90&lt;G90,F89&gt;=G89),FALSE())</f>
        <v>0</v>
      </c>
      <c r="L90" s="8" t="n">
        <f aca="false">IF(ISNUMBER(I90),E90-Inputs!$B$6*I90,"")</f>
        <v>0.801257359854394</v>
      </c>
      <c r="M90" s="9" t="b">
        <f aca="false">AND(Y89&gt;0,Z89)</f>
        <v>0</v>
      </c>
      <c r="N90" s="8" t="n">
        <f aca="false">B90*(1-Inputs!$B$12)</f>
        <v>0.81568202690494</v>
      </c>
      <c r="O90" s="10" t="n">
        <f aca="false">IF(M90,Y89*(N90-AB89)-Inputs!$B$9-Y89*AD89*Inputs!$B$13*(A90-AC89),0)</f>
        <v>0</v>
      </c>
      <c r="P90" s="10" t="n">
        <f aca="false">X89+O90</f>
        <v>1000</v>
      </c>
      <c r="Q90" s="9" t="b">
        <f aca="false">AND(IF(M90,0,Y89)=0,AA89,IF(ISNUMBER(AE89),B90&gt;AE89,FALSE()))</f>
        <v>0</v>
      </c>
      <c r="R90" s="8" t="n">
        <f aca="false">B90*(1+Inputs!$B$12)</f>
        <v>0.816008364983318</v>
      </c>
      <c r="S90" s="11" t="n">
        <f aca="false">IF(Q90,MIN(P90*Inputs!$B$3/(R90-AE89),P90*Inputs!$B$11/R90),0)</f>
        <v>0</v>
      </c>
      <c r="T90" s="11" t="n">
        <f aca="false">IF(Q90,S90,IF(M90,0,Y89))</f>
        <v>0</v>
      </c>
      <c r="U90" s="8" t="n">
        <f aca="false">IF(Q90,AE89,AF89)</f>
        <v>0</v>
      </c>
      <c r="V90" s="9" t="b">
        <f aca="false">AND(T90&gt;0,D90&lt;=U90)</f>
        <v>0</v>
      </c>
      <c r="W90" s="10" t="n">
        <f aca="false">IF(V90,T90*(AK90-AB90)-Inputs!$B$9-T90*AD90*Inputs!$B$13*(A90-AC90),0)</f>
        <v>0</v>
      </c>
      <c r="X90" s="10" t="n">
        <f aca="false">P90-IF(Q90,Inputs!$B$9,0)+W90</f>
        <v>1000</v>
      </c>
      <c r="Y90" s="11" t="n">
        <f aca="false">IF(V90,0,T90)</f>
        <v>0</v>
      </c>
      <c r="Z90" s="9" t="b">
        <f aca="false">AND(Y90&gt;0,K90)</f>
        <v>0</v>
      </c>
      <c r="AA90" s="9" t="b">
        <f aca="false">AND(Y90=0,J90,ISNUMBER(L90))</f>
        <v>0</v>
      </c>
      <c r="AB90" s="8" t="n">
        <f aca="false">IF(Q90,R90,AB89)</f>
        <v>0</v>
      </c>
      <c r="AC90" s="12" t="n">
        <f aca="false">IF(Q90,A90,AC89)</f>
        <v>0</v>
      </c>
      <c r="AD90" s="8" t="n">
        <f aca="false">IF(Q90,B90,AD89)</f>
        <v>0</v>
      </c>
      <c r="AE90" s="8" t="str">
        <f aca="false">IF(AA90,L90,"")</f>
        <v/>
      </c>
      <c r="AF90" s="8" t="n">
        <f aca="false">U90</f>
        <v>0</v>
      </c>
      <c r="AG90" s="2" t="n">
        <f aca="false">AG89+IF(Q90,1,0)</f>
        <v>0</v>
      </c>
      <c r="AH90" s="2" t="n">
        <f aca="false">AG89</f>
        <v>0</v>
      </c>
      <c r="AI90" s="10" t="n">
        <f aca="false">X90+Y90*(E90-AB90)-Y90*AD90*Inputs!$B$13*(A90-AC90)</f>
        <v>1000</v>
      </c>
      <c r="AJ90" s="10" t="n">
        <v>0</v>
      </c>
      <c r="AK90" s="8" t="n">
        <f aca="false">IF(AND(B90&lt;=U90,NOT(Q90)),B90,U90)*(1-Inputs!$B$12)</f>
        <v>0</v>
      </c>
    </row>
    <row r="91" customFormat="false" ht="15" hidden="false" customHeight="false" outlineLevel="0" collapsed="false">
      <c r="A91" s="6" t="n">
        <v>44875</v>
      </c>
      <c r="B91" s="7" t="n">
        <v>0.818756440679429</v>
      </c>
      <c r="C91" s="7" t="n">
        <v>0.825695283582896</v>
      </c>
      <c r="D91" s="7" t="n">
        <v>0.817548531048808</v>
      </c>
      <c r="E91" s="7" t="n">
        <v>0.823114528351831</v>
      </c>
      <c r="F91" s="8" t="n">
        <f aca="true">IF(ROW()-2&gt;=Inputs!$B$4,AVERAGE(OFFSET(E91,1-Inputs!$B$4,0,Inputs!$B$4,1)),"")</f>
        <v>0.829298267721499</v>
      </c>
      <c r="G91" s="8" t="n">
        <f aca="true">IF(ROW()-2&gt;=Inputs!$B$5,AVERAGE(OFFSET(E91,1-Inputs!$B$5,0,Inputs!$B$5,1)),"")</f>
        <v>0.838599728216072</v>
      </c>
      <c r="H91" s="8" t="n">
        <f aca="false">MAX(C91-D91,ABS(C91-E90),ABS(D91-E90))</f>
        <v>0.00814675253408748</v>
      </c>
      <c r="I91" s="8" t="n">
        <f aca="true">IF(ROW()-2&lt;14,"",IF(ROW()-2=14,AVERAGE(OFFSET(H91,-13,0,14,1)),(I90*13+H91)/14))</f>
        <v>0.00870648413548677</v>
      </c>
      <c r="J91" s="9" t="b">
        <f aca="false">IF(AND(ISNUMBER(F91),ISNUMBER(G91),ISNUMBER(F90),ISNUMBER(G90)),AND(F91&gt;G91,F90&lt;=G90),FALSE())</f>
        <v>0</v>
      </c>
      <c r="K91" s="9" t="b">
        <f aca="false">IF(AND(ISNUMBER(F91),ISNUMBER(G91),ISNUMBER(F90),ISNUMBER(G90)),AND(F91&lt;G91,F90&gt;=G90),FALSE())</f>
        <v>0</v>
      </c>
      <c r="L91" s="8" t="n">
        <f aca="false">IF(ISNUMBER(I91),E91-Inputs!$B$6*I91,"")</f>
        <v>0.805701560080858</v>
      </c>
      <c r="M91" s="9" t="b">
        <f aca="false">AND(Y90&gt;0,Z90)</f>
        <v>0</v>
      </c>
      <c r="N91" s="8" t="n">
        <f aca="false">B91*(1-Inputs!$B$12)</f>
        <v>0.818592689391293</v>
      </c>
      <c r="O91" s="10" t="n">
        <f aca="false">IF(M91,Y90*(N91-AB90)-Inputs!$B$9-Y90*AD90*Inputs!$B$13*(A91-AC90),0)</f>
        <v>0</v>
      </c>
      <c r="P91" s="10" t="n">
        <f aca="false">X90+O91</f>
        <v>1000</v>
      </c>
      <c r="Q91" s="9" t="b">
        <f aca="false">AND(IF(M91,0,Y90)=0,AA90,IF(ISNUMBER(AE90),B91&gt;AE90,FALSE()))</f>
        <v>0</v>
      </c>
      <c r="R91" s="8" t="n">
        <f aca="false">B91*(1+Inputs!$B$12)</f>
        <v>0.818920191967565</v>
      </c>
      <c r="S91" s="11" t="n">
        <f aca="false">IF(Q91,MIN(P91*Inputs!$B$3/(R91-AE90),P91*Inputs!$B$11/R91),0)</f>
        <v>0</v>
      </c>
      <c r="T91" s="11" t="n">
        <f aca="false">IF(Q91,S91,IF(M91,0,Y90))</f>
        <v>0</v>
      </c>
      <c r="U91" s="8" t="n">
        <f aca="false">IF(Q91,AE90,AF90)</f>
        <v>0</v>
      </c>
      <c r="V91" s="9" t="b">
        <f aca="false">AND(T91&gt;0,D91&lt;=U91)</f>
        <v>0</v>
      </c>
      <c r="W91" s="10" t="n">
        <f aca="false">IF(V91,T91*(AK91-AB91)-Inputs!$B$9-T91*AD91*Inputs!$B$13*(A91-AC91),0)</f>
        <v>0</v>
      </c>
      <c r="X91" s="10" t="n">
        <f aca="false">P91-IF(Q91,Inputs!$B$9,0)+W91</f>
        <v>1000</v>
      </c>
      <c r="Y91" s="11" t="n">
        <f aca="false">IF(V91,0,T91)</f>
        <v>0</v>
      </c>
      <c r="Z91" s="9" t="b">
        <f aca="false">AND(Y91&gt;0,K91)</f>
        <v>0</v>
      </c>
      <c r="AA91" s="9" t="b">
        <f aca="false">AND(Y91=0,J91,ISNUMBER(L91))</f>
        <v>0</v>
      </c>
      <c r="AB91" s="8" t="n">
        <f aca="false">IF(Q91,R91,AB90)</f>
        <v>0</v>
      </c>
      <c r="AC91" s="12" t="n">
        <f aca="false">IF(Q91,A91,AC90)</f>
        <v>0</v>
      </c>
      <c r="AD91" s="8" t="n">
        <f aca="false">IF(Q91,B91,AD90)</f>
        <v>0</v>
      </c>
      <c r="AE91" s="8" t="str">
        <f aca="false">IF(AA91,L91,"")</f>
        <v/>
      </c>
      <c r="AF91" s="8" t="n">
        <f aca="false">U91</f>
        <v>0</v>
      </c>
      <c r="AG91" s="2" t="n">
        <f aca="false">AG90+IF(Q91,1,0)</f>
        <v>0</v>
      </c>
      <c r="AH91" s="2" t="n">
        <f aca="false">AG90</f>
        <v>0</v>
      </c>
      <c r="AI91" s="10" t="n">
        <f aca="false">X91+Y91*(E91-AB91)-Y91*AD91*Inputs!$B$13*(A91-AC91)</f>
        <v>1000</v>
      </c>
      <c r="AJ91" s="10" t="n">
        <v>0</v>
      </c>
      <c r="AK91" s="8" t="n">
        <f aca="false">IF(AND(B91&lt;=U91,NOT(Q91)),B91,U91)*(1-Inputs!$B$12)</f>
        <v>0</v>
      </c>
    </row>
    <row r="92" customFormat="false" ht="15" hidden="false" customHeight="false" outlineLevel="0" collapsed="false">
      <c r="A92" s="6" t="n">
        <v>44876</v>
      </c>
      <c r="B92" s="7" t="n">
        <v>0.823114528351831</v>
      </c>
      <c r="C92" s="7" t="n">
        <v>0.824803708419062</v>
      </c>
      <c r="D92" s="7" t="n">
        <v>0.821950086129078</v>
      </c>
      <c r="E92" s="7" t="n">
        <v>0.822147347924582</v>
      </c>
      <c r="F92" s="8" t="n">
        <f aca="true">IF(ROW()-2&gt;=Inputs!$B$4,AVERAGE(OFFSET(E92,1-Inputs!$B$4,0,Inputs!$B$4,1)),"")</f>
        <v>0.828720501085707</v>
      </c>
      <c r="G92" s="8" t="n">
        <f aca="true">IF(ROW()-2&gt;=Inputs!$B$5,AVERAGE(OFFSET(E92,1-Inputs!$B$5,0,Inputs!$B$5,1)),"")</f>
        <v>0.838089766738794</v>
      </c>
      <c r="H92" s="8" t="n">
        <f aca="false">MAX(C92-D92,ABS(C92-E91),ABS(D92-E91))</f>
        <v>0.00285362228998431</v>
      </c>
      <c r="I92" s="8" t="n">
        <f aca="true">IF(ROW()-2&lt;14,"",IF(ROW()-2=14,AVERAGE(OFFSET(H92,-13,0,14,1)),(I91*13+H92)/14))</f>
        <v>0.00828842257509374</v>
      </c>
      <c r="J92" s="9" t="b">
        <f aca="false">IF(AND(ISNUMBER(F92),ISNUMBER(G92),ISNUMBER(F91),ISNUMBER(G91)),AND(F92&gt;G92,F91&lt;=G91),FALSE())</f>
        <v>0</v>
      </c>
      <c r="K92" s="9" t="b">
        <f aca="false">IF(AND(ISNUMBER(F92),ISNUMBER(G92),ISNUMBER(F91),ISNUMBER(G91)),AND(F92&lt;G92,F91&gt;=G91),FALSE())</f>
        <v>0</v>
      </c>
      <c r="L92" s="8" t="n">
        <f aca="false">IF(ISNUMBER(I92),E92-Inputs!$B$6*I92,"")</f>
        <v>0.805570502774394</v>
      </c>
      <c r="M92" s="9" t="b">
        <f aca="false">AND(Y91&gt;0,Z91)</f>
        <v>0</v>
      </c>
      <c r="N92" s="8" t="n">
        <f aca="false">B92*(1-Inputs!$B$12)</f>
        <v>0.822949905446161</v>
      </c>
      <c r="O92" s="10" t="n">
        <f aca="false">IF(M92,Y91*(N92-AB91)-Inputs!$B$9-Y91*AD91*Inputs!$B$13*(A92-AC91),0)</f>
        <v>0</v>
      </c>
      <c r="P92" s="10" t="n">
        <f aca="false">X91+O92</f>
        <v>1000</v>
      </c>
      <c r="Q92" s="9" t="b">
        <f aca="false">AND(IF(M92,0,Y91)=0,AA91,IF(ISNUMBER(AE91),B92&gt;AE91,FALSE()))</f>
        <v>0</v>
      </c>
      <c r="R92" s="8" t="n">
        <f aca="false">B92*(1+Inputs!$B$12)</f>
        <v>0.823279151257502</v>
      </c>
      <c r="S92" s="11" t="n">
        <f aca="false">IF(Q92,MIN(P92*Inputs!$B$3/(R92-AE91),P92*Inputs!$B$11/R92),0)</f>
        <v>0</v>
      </c>
      <c r="T92" s="11" t="n">
        <f aca="false">IF(Q92,S92,IF(M92,0,Y91))</f>
        <v>0</v>
      </c>
      <c r="U92" s="8" t="n">
        <f aca="false">IF(Q92,AE91,AF91)</f>
        <v>0</v>
      </c>
      <c r="V92" s="9" t="b">
        <f aca="false">AND(T92&gt;0,D92&lt;=U92)</f>
        <v>0</v>
      </c>
      <c r="W92" s="10" t="n">
        <f aca="false">IF(V92,T92*(AK92-AB92)-Inputs!$B$9-T92*AD92*Inputs!$B$13*(A92-AC92),0)</f>
        <v>0</v>
      </c>
      <c r="X92" s="10" t="n">
        <f aca="false">P92-IF(Q92,Inputs!$B$9,0)+W92</f>
        <v>1000</v>
      </c>
      <c r="Y92" s="11" t="n">
        <f aca="false">IF(V92,0,T92)</f>
        <v>0</v>
      </c>
      <c r="Z92" s="9" t="b">
        <f aca="false">AND(Y92&gt;0,K92)</f>
        <v>0</v>
      </c>
      <c r="AA92" s="9" t="b">
        <f aca="false">AND(Y92=0,J92,ISNUMBER(L92))</f>
        <v>0</v>
      </c>
      <c r="AB92" s="8" t="n">
        <f aca="false">IF(Q92,R92,AB91)</f>
        <v>0</v>
      </c>
      <c r="AC92" s="12" t="n">
        <f aca="false">IF(Q92,A92,AC91)</f>
        <v>0</v>
      </c>
      <c r="AD92" s="8" t="n">
        <f aca="false">IF(Q92,B92,AD91)</f>
        <v>0</v>
      </c>
      <c r="AE92" s="8" t="str">
        <f aca="false">IF(AA92,L92,"")</f>
        <v/>
      </c>
      <c r="AF92" s="8" t="n">
        <f aca="false">U92</f>
        <v>0</v>
      </c>
      <c r="AG92" s="2" t="n">
        <f aca="false">AG91+IF(Q92,1,0)</f>
        <v>0</v>
      </c>
      <c r="AH92" s="2" t="n">
        <f aca="false">AG91</f>
        <v>0</v>
      </c>
      <c r="AI92" s="10" t="n">
        <f aca="false">X92+Y92*(E92-AB92)-Y92*AD92*Inputs!$B$13*(A92-AC92)</f>
        <v>1000</v>
      </c>
      <c r="AJ92" s="10" t="n">
        <v>0</v>
      </c>
      <c r="AK92" s="8" t="n">
        <f aca="false">IF(AND(B92&lt;=U92,NOT(Q92)),B92,U92)*(1-Inputs!$B$12)</f>
        <v>0</v>
      </c>
    </row>
    <row r="93" customFormat="false" ht="15" hidden="false" customHeight="false" outlineLevel="0" collapsed="false">
      <c r="A93" s="6" t="n">
        <v>44877</v>
      </c>
      <c r="B93" s="7" t="n">
        <v>0.822147347924582</v>
      </c>
      <c r="C93" s="7" t="n">
        <v>0.828884083773903</v>
      </c>
      <c r="D93" s="7" t="n">
        <v>0.818295587358403</v>
      </c>
      <c r="E93" s="7" t="n">
        <v>0.823726903744314</v>
      </c>
      <c r="F93" s="8" t="n">
        <f aca="true">IF(ROW()-2&gt;=Inputs!$B$4,AVERAGE(OFFSET(E93,1-Inputs!$B$4,0,Inputs!$B$4,1)),"")</f>
        <v>0.828153387796434</v>
      </c>
      <c r="G93" s="8" t="n">
        <f aca="true">IF(ROW()-2&gt;=Inputs!$B$5,AVERAGE(OFFSET(E93,1-Inputs!$B$5,0,Inputs!$B$5,1)),"")</f>
        <v>0.837593587861888</v>
      </c>
      <c r="H93" s="8" t="n">
        <f aca="false">MAX(C93-D93,ABS(C93-E92),ABS(D93-E92))</f>
        <v>0.0105884964154999</v>
      </c>
      <c r="I93" s="8" t="n">
        <f aca="true">IF(ROW()-2&lt;14,"",IF(ROW()-2=14,AVERAGE(OFFSET(H93,-13,0,14,1)),(I92*13+H93)/14))</f>
        <v>0.00845271356369418</v>
      </c>
      <c r="J93" s="9" t="b">
        <f aca="false">IF(AND(ISNUMBER(F93),ISNUMBER(G93),ISNUMBER(F92),ISNUMBER(G92)),AND(F93&gt;G93,F92&lt;=G92),FALSE())</f>
        <v>0</v>
      </c>
      <c r="K93" s="9" t="b">
        <f aca="false">IF(AND(ISNUMBER(F93),ISNUMBER(G93),ISNUMBER(F92),ISNUMBER(G92)),AND(F93&lt;G93,F92&gt;=G92),FALSE())</f>
        <v>0</v>
      </c>
      <c r="L93" s="8" t="n">
        <f aca="false">IF(ISNUMBER(I93),E93-Inputs!$B$6*I93,"")</f>
        <v>0.806821476616926</v>
      </c>
      <c r="M93" s="9" t="b">
        <f aca="false">AND(Y92&gt;0,Z92)</f>
        <v>0</v>
      </c>
      <c r="N93" s="8" t="n">
        <f aca="false">B93*(1-Inputs!$B$12)</f>
        <v>0.821982918454997</v>
      </c>
      <c r="O93" s="10" t="n">
        <f aca="false">IF(M93,Y92*(N93-AB92)-Inputs!$B$9-Y92*AD92*Inputs!$B$13*(A93-AC92),0)</f>
        <v>0</v>
      </c>
      <c r="P93" s="10" t="n">
        <f aca="false">X92+O93</f>
        <v>1000</v>
      </c>
      <c r="Q93" s="9" t="b">
        <f aca="false">AND(IF(M93,0,Y92)=0,AA92,IF(ISNUMBER(AE92),B93&gt;AE92,FALSE()))</f>
        <v>0</v>
      </c>
      <c r="R93" s="8" t="n">
        <f aca="false">B93*(1+Inputs!$B$12)</f>
        <v>0.822311777394167</v>
      </c>
      <c r="S93" s="11" t="n">
        <f aca="false">IF(Q93,MIN(P93*Inputs!$B$3/(R93-AE92),P93*Inputs!$B$11/R93),0)</f>
        <v>0</v>
      </c>
      <c r="T93" s="11" t="n">
        <f aca="false">IF(Q93,S93,IF(M93,0,Y92))</f>
        <v>0</v>
      </c>
      <c r="U93" s="8" t="n">
        <f aca="false">IF(Q93,AE92,AF92)</f>
        <v>0</v>
      </c>
      <c r="V93" s="9" t="b">
        <f aca="false">AND(T93&gt;0,D93&lt;=U93)</f>
        <v>0</v>
      </c>
      <c r="W93" s="10" t="n">
        <f aca="false">IF(V93,T93*(AK93-AB93)-Inputs!$B$9-T93*AD93*Inputs!$B$13*(A93-AC93),0)</f>
        <v>0</v>
      </c>
      <c r="X93" s="10" t="n">
        <f aca="false">P93-IF(Q93,Inputs!$B$9,0)+W93</f>
        <v>1000</v>
      </c>
      <c r="Y93" s="11" t="n">
        <f aca="false">IF(V93,0,T93)</f>
        <v>0</v>
      </c>
      <c r="Z93" s="9" t="b">
        <f aca="false">AND(Y93&gt;0,K93)</f>
        <v>0</v>
      </c>
      <c r="AA93" s="9" t="b">
        <f aca="false">AND(Y93=0,J93,ISNUMBER(L93))</f>
        <v>0</v>
      </c>
      <c r="AB93" s="8" t="n">
        <f aca="false">IF(Q93,R93,AB92)</f>
        <v>0</v>
      </c>
      <c r="AC93" s="12" t="n">
        <f aca="false">IF(Q93,A93,AC92)</f>
        <v>0</v>
      </c>
      <c r="AD93" s="8" t="n">
        <f aca="false">IF(Q93,B93,AD92)</f>
        <v>0</v>
      </c>
      <c r="AE93" s="8" t="str">
        <f aca="false">IF(AA93,L93,"")</f>
        <v/>
      </c>
      <c r="AF93" s="8" t="n">
        <f aca="false">U93</f>
        <v>0</v>
      </c>
      <c r="AG93" s="2" t="n">
        <f aca="false">AG92+IF(Q93,1,0)</f>
        <v>0</v>
      </c>
      <c r="AH93" s="2" t="n">
        <f aca="false">AG92</f>
        <v>0</v>
      </c>
      <c r="AI93" s="10" t="n">
        <f aca="false">X93+Y93*(E93-AB93)-Y93*AD93*Inputs!$B$13*(A93-AC93)</f>
        <v>1000</v>
      </c>
      <c r="AJ93" s="10" t="n">
        <v>0</v>
      </c>
      <c r="AK93" s="8" t="n">
        <f aca="false">IF(AND(B93&lt;=U93,NOT(Q93)),B93,U93)*(1-Inputs!$B$12)</f>
        <v>0</v>
      </c>
    </row>
    <row r="94" customFormat="false" ht="15" hidden="false" customHeight="false" outlineLevel="0" collapsed="false">
      <c r="A94" s="6" t="n">
        <v>44878</v>
      </c>
      <c r="B94" s="7" t="n">
        <v>0.823726903744314</v>
      </c>
      <c r="C94" s="7" t="n">
        <v>0.827872468698939</v>
      </c>
      <c r="D94" s="7" t="n">
        <v>0.819435679537823</v>
      </c>
      <c r="E94" s="7" t="n">
        <v>0.820511831536062</v>
      </c>
      <c r="F94" s="8" t="n">
        <f aca="true">IF(ROW()-2&gt;=Inputs!$B$4,AVERAGE(OFFSET(E94,1-Inputs!$B$4,0,Inputs!$B$4,1)),"")</f>
        <v>0.827318038653604</v>
      </c>
      <c r="G94" s="8" t="n">
        <f aca="true">IF(ROW()-2&gt;=Inputs!$B$5,AVERAGE(OFFSET(E94,1-Inputs!$B$5,0,Inputs!$B$5,1)),"")</f>
        <v>0.83696272021289</v>
      </c>
      <c r="H94" s="8" t="n">
        <f aca="false">MAX(C94-D94,ABS(C94-E93),ABS(D94-E93))</f>
        <v>0.00843678916111623</v>
      </c>
      <c r="I94" s="8" t="n">
        <f aca="true">IF(ROW()-2&lt;14,"",IF(ROW()-2=14,AVERAGE(OFFSET(H94,-13,0,14,1)),(I93*13+H94)/14))</f>
        <v>0.00845157610636718</v>
      </c>
      <c r="J94" s="9" t="b">
        <f aca="false">IF(AND(ISNUMBER(F94),ISNUMBER(G94),ISNUMBER(F93),ISNUMBER(G93)),AND(F94&gt;G94,F93&lt;=G93),FALSE())</f>
        <v>0</v>
      </c>
      <c r="K94" s="9" t="b">
        <f aca="false">IF(AND(ISNUMBER(F94),ISNUMBER(G94),ISNUMBER(F93),ISNUMBER(G93)),AND(F94&lt;G94,F93&gt;=G93),FALSE())</f>
        <v>0</v>
      </c>
      <c r="L94" s="8" t="n">
        <f aca="false">IF(ISNUMBER(I94),E94-Inputs!$B$6*I94,"")</f>
        <v>0.803608679323328</v>
      </c>
      <c r="M94" s="9" t="b">
        <f aca="false">AND(Y93&gt;0,Z93)</f>
        <v>0</v>
      </c>
      <c r="N94" s="8" t="n">
        <f aca="false">B94*(1-Inputs!$B$12)</f>
        <v>0.823562158363565</v>
      </c>
      <c r="O94" s="10" t="n">
        <f aca="false">IF(M94,Y93*(N94-AB93)-Inputs!$B$9-Y93*AD93*Inputs!$B$13*(A94-AC93),0)</f>
        <v>0</v>
      </c>
      <c r="P94" s="10" t="n">
        <f aca="false">X93+O94</f>
        <v>1000</v>
      </c>
      <c r="Q94" s="9" t="b">
        <f aca="false">AND(IF(M94,0,Y93)=0,AA93,IF(ISNUMBER(AE93),B94&gt;AE93,FALSE()))</f>
        <v>0</v>
      </c>
      <c r="R94" s="8" t="n">
        <f aca="false">B94*(1+Inputs!$B$12)</f>
        <v>0.823891649125063</v>
      </c>
      <c r="S94" s="11" t="n">
        <f aca="false">IF(Q94,MIN(P94*Inputs!$B$3/(R94-AE93),P94*Inputs!$B$11/R94),0)</f>
        <v>0</v>
      </c>
      <c r="T94" s="11" t="n">
        <f aca="false">IF(Q94,S94,IF(M94,0,Y93))</f>
        <v>0</v>
      </c>
      <c r="U94" s="8" t="n">
        <f aca="false">IF(Q94,AE93,AF93)</f>
        <v>0</v>
      </c>
      <c r="V94" s="9" t="b">
        <f aca="false">AND(T94&gt;0,D94&lt;=U94)</f>
        <v>0</v>
      </c>
      <c r="W94" s="10" t="n">
        <f aca="false">IF(V94,T94*(AK94-AB94)-Inputs!$B$9-T94*AD94*Inputs!$B$13*(A94-AC94),0)</f>
        <v>0</v>
      </c>
      <c r="X94" s="10" t="n">
        <f aca="false">P94-IF(Q94,Inputs!$B$9,0)+W94</f>
        <v>1000</v>
      </c>
      <c r="Y94" s="11" t="n">
        <f aca="false">IF(V94,0,T94)</f>
        <v>0</v>
      </c>
      <c r="Z94" s="9" t="b">
        <f aca="false">AND(Y94&gt;0,K94)</f>
        <v>0</v>
      </c>
      <c r="AA94" s="9" t="b">
        <f aca="false">AND(Y94=0,J94,ISNUMBER(L94))</f>
        <v>0</v>
      </c>
      <c r="AB94" s="8" t="n">
        <f aca="false">IF(Q94,R94,AB93)</f>
        <v>0</v>
      </c>
      <c r="AC94" s="12" t="n">
        <f aca="false">IF(Q94,A94,AC93)</f>
        <v>0</v>
      </c>
      <c r="AD94" s="8" t="n">
        <f aca="false">IF(Q94,B94,AD93)</f>
        <v>0</v>
      </c>
      <c r="AE94" s="8" t="str">
        <f aca="false">IF(AA94,L94,"")</f>
        <v/>
      </c>
      <c r="AF94" s="8" t="n">
        <f aca="false">U94</f>
        <v>0</v>
      </c>
      <c r="AG94" s="2" t="n">
        <f aca="false">AG93+IF(Q94,1,0)</f>
        <v>0</v>
      </c>
      <c r="AH94" s="2" t="n">
        <f aca="false">AG93</f>
        <v>0</v>
      </c>
      <c r="AI94" s="10" t="n">
        <f aca="false">X94+Y94*(E94-AB94)-Y94*AD94*Inputs!$B$13*(A94-AC94)</f>
        <v>1000</v>
      </c>
      <c r="AJ94" s="10" t="n">
        <v>0</v>
      </c>
      <c r="AK94" s="8" t="n">
        <f aca="false">IF(AND(B94&lt;=U94,NOT(Q94)),B94,U94)*(1-Inputs!$B$12)</f>
        <v>0</v>
      </c>
    </row>
    <row r="95" customFormat="false" ht="15" hidden="false" customHeight="false" outlineLevel="0" collapsed="false">
      <c r="A95" s="6" t="n">
        <v>44879</v>
      </c>
      <c r="B95" s="7" t="n">
        <v>0.820511831536062</v>
      </c>
      <c r="C95" s="7" t="n">
        <v>0.828117422608747</v>
      </c>
      <c r="D95" s="7" t="n">
        <v>0.820297459193142</v>
      </c>
      <c r="E95" s="7" t="n">
        <v>0.823566224577861</v>
      </c>
      <c r="F95" s="8" t="n">
        <f aca="true">IF(ROW()-2&gt;=Inputs!$B$4,AVERAGE(OFFSET(E95,1-Inputs!$B$4,0,Inputs!$B$4,1)),"")</f>
        <v>0.826726962791111</v>
      </c>
      <c r="G95" s="8" t="n">
        <f aca="true">IF(ROW()-2&gt;=Inputs!$B$5,AVERAGE(OFFSET(E95,1-Inputs!$B$5,0,Inputs!$B$5,1)),"")</f>
        <v>0.836287289121863</v>
      </c>
      <c r="H95" s="8" t="n">
        <f aca="false">MAX(C95-D95,ABS(C95-E94),ABS(D95-E94))</f>
        <v>0.00781996341560542</v>
      </c>
      <c r="I95" s="8" t="n">
        <f aca="true">IF(ROW()-2&lt;14,"",IF(ROW()-2=14,AVERAGE(OFFSET(H95,-13,0,14,1)),(I94*13+H95)/14))</f>
        <v>0.00840646091416991</v>
      </c>
      <c r="J95" s="9" t="b">
        <f aca="false">IF(AND(ISNUMBER(F95),ISNUMBER(G95),ISNUMBER(F94),ISNUMBER(G94)),AND(F95&gt;G95,F94&lt;=G94),FALSE())</f>
        <v>0</v>
      </c>
      <c r="K95" s="9" t="b">
        <f aca="false">IF(AND(ISNUMBER(F95),ISNUMBER(G95),ISNUMBER(F94),ISNUMBER(G94)),AND(F95&lt;G95,F94&gt;=G94),FALSE())</f>
        <v>0</v>
      </c>
      <c r="L95" s="8" t="n">
        <f aca="false">IF(ISNUMBER(I95),E95-Inputs!$B$6*I95,"")</f>
        <v>0.806753302749522</v>
      </c>
      <c r="M95" s="9" t="b">
        <f aca="false">AND(Y94&gt;0,Z94)</f>
        <v>0</v>
      </c>
      <c r="N95" s="8" t="n">
        <f aca="false">B95*(1-Inputs!$B$12)</f>
        <v>0.820347729169755</v>
      </c>
      <c r="O95" s="10" t="n">
        <f aca="false">IF(M95,Y94*(N95-AB94)-Inputs!$B$9-Y94*AD94*Inputs!$B$13*(A95-AC94),0)</f>
        <v>0</v>
      </c>
      <c r="P95" s="10" t="n">
        <f aca="false">X94+O95</f>
        <v>1000</v>
      </c>
      <c r="Q95" s="9" t="b">
        <f aca="false">AND(IF(M95,0,Y94)=0,AA94,IF(ISNUMBER(AE94),B95&gt;AE94,FALSE()))</f>
        <v>0</v>
      </c>
      <c r="R95" s="8" t="n">
        <f aca="false">B95*(1+Inputs!$B$12)</f>
        <v>0.820675933902369</v>
      </c>
      <c r="S95" s="11" t="n">
        <f aca="false">IF(Q95,MIN(P95*Inputs!$B$3/(R95-AE94),P95*Inputs!$B$11/R95),0)</f>
        <v>0</v>
      </c>
      <c r="T95" s="11" t="n">
        <f aca="false">IF(Q95,S95,IF(M95,0,Y94))</f>
        <v>0</v>
      </c>
      <c r="U95" s="8" t="n">
        <f aca="false">IF(Q95,AE94,AF94)</f>
        <v>0</v>
      </c>
      <c r="V95" s="9" t="b">
        <f aca="false">AND(T95&gt;0,D95&lt;=U95)</f>
        <v>0</v>
      </c>
      <c r="W95" s="10" t="n">
        <f aca="false">IF(V95,T95*(AK95-AB95)-Inputs!$B$9-T95*AD95*Inputs!$B$13*(A95-AC95),0)</f>
        <v>0</v>
      </c>
      <c r="X95" s="10" t="n">
        <f aca="false">P95-IF(Q95,Inputs!$B$9,0)+W95</f>
        <v>1000</v>
      </c>
      <c r="Y95" s="11" t="n">
        <f aca="false">IF(V95,0,T95)</f>
        <v>0</v>
      </c>
      <c r="Z95" s="9" t="b">
        <f aca="false">AND(Y95&gt;0,K95)</f>
        <v>0</v>
      </c>
      <c r="AA95" s="9" t="b">
        <f aca="false">AND(Y95=0,J95,ISNUMBER(L95))</f>
        <v>0</v>
      </c>
      <c r="AB95" s="8" t="n">
        <f aca="false">IF(Q95,R95,AB94)</f>
        <v>0</v>
      </c>
      <c r="AC95" s="12" t="n">
        <f aca="false">IF(Q95,A95,AC94)</f>
        <v>0</v>
      </c>
      <c r="AD95" s="8" t="n">
        <f aca="false">IF(Q95,B95,AD94)</f>
        <v>0</v>
      </c>
      <c r="AE95" s="8" t="str">
        <f aca="false">IF(AA95,L95,"")</f>
        <v/>
      </c>
      <c r="AF95" s="8" t="n">
        <f aca="false">U95</f>
        <v>0</v>
      </c>
      <c r="AG95" s="2" t="n">
        <f aca="false">AG94+IF(Q95,1,0)</f>
        <v>0</v>
      </c>
      <c r="AH95" s="2" t="n">
        <f aca="false">AG94</f>
        <v>0</v>
      </c>
      <c r="AI95" s="10" t="n">
        <f aca="false">X95+Y95*(E95-AB95)-Y95*AD95*Inputs!$B$13*(A95-AC95)</f>
        <v>1000</v>
      </c>
      <c r="AJ95" s="10" t="n">
        <v>0</v>
      </c>
      <c r="AK95" s="8" t="n">
        <f aca="false">IF(AND(B95&lt;=U95,NOT(Q95)),B95,U95)*(1-Inputs!$B$12)</f>
        <v>0</v>
      </c>
    </row>
    <row r="96" customFormat="false" ht="15" hidden="false" customHeight="false" outlineLevel="0" collapsed="false">
      <c r="A96" s="6" t="n">
        <v>44880</v>
      </c>
      <c r="B96" s="7" t="n">
        <v>0.823566224577861</v>
      </c>
      <c r="C96" s="7" t="n">
        <v>0.834904299814058</v>
      </c>
      <c r="D96" s="7" t="n">
        <v>0.823513817307991</v>
      </c>
      <c r="E96" s="7" t="n">
        <v>0.832882914257393</v>
      </c>
      <c r="F96" s="8" t="n">
        <f aca="true">IF(ROW()-2&gt;=Inputs!$B$4,AVERAGE(OFFSET(E96,1-Inputs!$B$4,0,Inputs!$B$4,1)),"")</f>
        <v>0.826723586334091</v>
      </c>
      <c r="G96" s="8" t="n">
        <f aca="true">IF(ROW()-2&gt;=Inputs!$B$5,AVERAGE(OFFSET(E96,1-Inputs!$B$5,0,Inputs!$B$5,1)),"")</f>
        <v>0.835772205573181</v>
      </c>
      <c r="H96" s="8" t="n">
        <f aca="false">MAX(C96-D96,ABS(C96-E95),ABS(D96-E95))</f>
        <v>0.0113904825060669</v>
      </c>
      <c r="I96" s="8" t="n">
        <f aca="true">IF(ROW()-2&lt;14,"",IF(ROW()-2=14,AVERAGE(OFFSET(H96,-13,0,14,1)),(I95*13+H96)/14))</f>
        <v>0.00861960531359112</v>
      </c>
      <c r="J96" s="9" t="b">
        <f aca="false">IF(AND(ISNUMBER(F96),ISNUMBER(G96),ISNUMBER(F95),ISNUMBER(G95)),AND(F96&gt;G96,F95&lt;=G95),FALSE())</f>
        <v>0</v>
      </c>
      <c r="K96" s="9" t="b">
        <f aca="false">IF(AND(ISNUMBER(F96),ISNUMBER(G96),ISNUMBER(F95),ISNUMBER(G95)),AND(F96&lt;G96,F95&gt;=G95),FALSE())</f>
        <v>0</v>
      </c>
      <c r="L96" s="8" t="n">
        <f aca="false">IF(ISNUMBER(I96),E96-Inputs!$B$6*I96,"")</f>
        <v>0.81564370363021</v>
      </c>
      <c r="M96" s="9" t="b">
        <f aca="false">AND(Y95&gt;0,Z95)</f>
        <v>0</v>
      </c>
      <c r="N96" s="8" t="n">
        <f aca="false">B96*(1-Inputs!$B$12)</f>
        <v>0.823401511332946</v>
      </c>
      <c r="O96" s="10" t="n">
        <f aca="false">IF(M96,Y95*(N96-AB95)-Inputs!$B$9-Y95*AD95*Inputs!$B$13*(A96-AC95),0)</f>
        <v>0</v>
      </c>
      <c r="P96" s="10" t="n">
        <f aca="false">X95+O96</f>
        <v>1000</v>
      </c>
      <c r="Q96" s="9" t="b">
        <f aca="false">AND(IF(M96,0,Y95)=0,AA95,IF(ISNUMBER(AE95),B96&gt;AE95,FALSE()))</f>
        <v>0</v>
      </c>
      <c r="R96" s="8" t="n">
        <f aca="false">B96*(1+Inputs!$B$12)</f>
        <v>0.823730937822777</v>
      </c>
      <c r="S96" s="11" t="n">
        <f aca="false">IF(Q96,MIN(P96*Inputs!$B$3/(R96-AE95),P96*Inputs!$B$11/R96),0)</f>
        <v>0</v>
      </c>
      <c r="T96" s="11" t="n">
        <f aca="false">IF(Q96,S96,IF(M96,0,Y95))</f>
        <v>0</v>
      </c>
      <c r="U96" s="8" t="n">
        <f aca="false">IF(Q96,AE95,AF95)</f>
        <v>0</v>
      </c>
      <c r="V96" s="9" t="b">
        <f aca="false">AND(T96&gt;0,D96&lt;=U96)</f>
        <v>0</v>
      </c>
      <c r="W96" s="10" t="n">
        <f aca="false">IF(V96,T96*(AK96-AB96)-Inputs!$B$9-T96*AD96*Inputs!$B$13*(A96-AC96),0)</f>
        <v>0</v>
      </c>
      <c r="X96" s="10" t="n">
        <f aca="false">P96-IF(Q96,Inputs!$B$9,0)+W96</f>
        <v>1000</v>
      </c>
      <c r="Y96" s="11" t="n">
        <f aca="false">IF(V96,0,T96)</f>
        <v>0</v>
      </c>
      <c r="Z96" s="9" t="b">
        <f aca="false">AND(Y96&gt;0,K96)</f>
        <v>0</v>
      </c>
      <c r="AA96" s="9" t="b">
        <f aca="false">AND(Y96=0,J96,ISNUMBER(L96))</f>
        <v>0</v>
      </c>
      <c r="AB96" s="8" t="n">
        <f aca="false">IF(Q96,R96,AB95)</f>
        <v>0</v>
      </c>
      <c r="AC96" s="12" t="n">
        <f aca="false">IF(Q96,A96,AC95)</f>
        <v>0</v>
      </c>
      <c r="AD96" s="8" t="n">
        <f aca="false">IF(Q96,B96,AD95)</f>
        <v>0</v>
      </c>
      <c r="AE96" s="8" t="str">
        <f aca="false">IF(AA96,L96,"")</f>
        <v/>
      </c>
      <c r="AF96" s="8" t="n">
        <f aca="false">U96</f>
        <v>0</v>
      </c>
      <c r="AG96" s="2" t="n">
        <f aca="false">AG95+IF(Q96,1,0)</f>
        <v>0</v>
      </c>
      <c r="AH96" s="2" t="n">
        <f aca="false">AG95</f>
        <v>0</v>
      </c>
      <c r="AI96" s="10" t="n">
        <f aca="false">X96+Y96*(E96-AB96)-Y96*AD96*Inputs!$B$13*(A96-AC96)</f>
        <v>1000</v>
      </c>
      <c r="AJ96" s="10" t="n">
        <v>0</v>
      </c>
      <c r="AK96" s="8" t="n">
        <f aca="false">IF(AND(B96&lt;=U96,NOT(Q96)),B96,U96)*(1-Inputs!$B$12)</f>
        <v>0</v>
      </c>
    </row>
    <row r="97" customFormat="false" ht="15" hidden="false" customHeight="false" outlineLevel="0" collapsed="false">
      <c r="A97" s="6" t="n">
        <v>44881</v>
      </c>
      <c r="B97" s="7" t="n">
        <v>0.832882914257393</v>
      </c>
      <c r="C97" s="7" t="n">
        <v>0.844535942883752</v>
      </c>
      <c r="D97" s="7" t="n">
        <v>0.830392888460421</v>
      </c>
      <c r="E97" s="7" t="n">
        <v>0.835558454646675</v>
      </c>
      <c r="F97" s="8" t="n">
        <f aca="true">IF(ROW()-2&gt;=Inputs!$B$4,AVERAGE(OFFSET(E97,1-Inputs!$B$4,0,Inputs!$B$4,1)),"")</f>
        <v>0.826653934654614</v>
      </c>
      <c r="G97" s="8" t="n">
        <f aca="true">IF(ROW()-2&gt;=Inputs!$B$5,AVERAGE(OFFSET(E97,1-Inputs!$B$5,0,Inputs!$B$5,1)),"")</f>
        <v>0.835255714929045</v>
      </c>
      <c r="H97" s="8" t="n">
        <f aca="false">MAX(C97-D97,ABS(C97-E96),ABS(D97-E96))</f>
        <v>0.0141430544233312</v>
      </c>
      <c r="I97" s="8" t="n">
        <f aca="true">IF(ROW()-2&lt;14,"",IF(ROW()-2=14,AVERAGE(OFFSET(H97,-13,0,14,1)),(I96*13+H97)/14))</f>
        <v>0.00901413739285827</v>
      </c>
      <c r="J97" s="9" t="b">
        <f aca="false">IF(AND(ISNUMBER(F97),ISNUMBER(G97),ISNUMBER(F96),ISNUMBER(G96)),AND(F97&gt;G97,F96&lt;=G96),FALSE())</f>
        <v>0</v>
      </c>
      <c r="K97" s="9" t="b">
        <f aca="false">IF(AND(ISNUMBER(F97),ISNUMBER(G97),ISNUMBER(F96),ISNUMBER(G96)),AND(F97&lt;G97,F96&gt;=G96),FALSE())</f>
        <v>0</v>
      </c>
      <c r="L97" s="8" t="n">
        <f aca="false">IF(ISNUMBER(I97),E97-Inputs!$B$6*I97,"")</f>
        <v>0.817530179860958</v>
      </c>
      <c r="M97" s="9" t="b">
        <f aca="false">AND(Y96&gt;0,Z96)</f>
        <v>0</v>
      </c>
      <c r="N97" s="8" t="n">
        <f aca="false">B97*(1-Inputs!$B$12)</f>
        <v>0.832716337674541</v>
      </c>
      <c r="O97" s="10" t="n">
        <f aca="false">IF(M97,Y96*(N97-AB96)-Inputs!$B$9-Y96*AD96*Inputs!$B$13*(A97-AC96),0)</f>
        <v>0</v>
      </c>
      <c r="P97" s="10" t="n">
        <f aca="false">X96+O97</f>
        <v>1000</v>
      </c>
      <c r="Q97" s="9" t="b">
        <f aca="false">AND(IF(M97,0,Y96)=0,AA96,IF(ISNUMBER(AE96),B97&gt;AE96,FALSE()))</f>
        <v>0</v>
      </c>
      <c r="R97" s="8" t="n">
        <f aca="false">B97*(1+Inputs!$B$12)</f>
        <v>0.833049490840244</v>
      </c>
      <c r="S97" s="11" t="n">
        <f aca="false">IF(Q97,MIN(P97*Inputs!$B$3/(R97-AE96),P97*Inputs!$B$11/R97),0)</f>
        <v>0</v>
      </c>
      <c r="T97" s="11" t="n">
        <f aca="false">IF(Q97,S97,IF(M97,0,Y96))</f>
        <v>0</v>
      </c>
      <c r="U97" s="8" t="n">
        <f aca="false">IF(Q97,AE96,AF96)</f>
        <v>0</v>
      </c>
      <c r="V97" s="9" t="b">
        <f aca="false">AND(T97&gt;0,D97&lt;=U97)</f>
        <v>0</v>
      </c>
      <c r="W97" s="10" t="n">
        <f aca="false">IF(V97,T97*(AK97-AB97)-Inputs!$B$9-T97*AD97*Inputs!$B$13*(A97-AC97),0)</f>
        <v>0</v>
      </c>
      <c r="X97" s="10" t="n">
        <f aca="false">P97-IF(Q97,Inputs!$B$9,0)+W97</f>
        <v>1000</v>
      </c>
      <c r="Y97" s="11" t="n">
        <f aca="false">IF(V97,0,T97)</f>
        <v>0</v>
      </c>
      <c r="Z97" s="9" t="b">
        <f aca="false">AND(Y97&gt;0,K97)</f>
        <v>0</v>
      </c>
      <c r="AA97" s="9" t="b">
        <f aca="false">AND(Y97=0,J97,ISNUMBER(L97))</f>
        <v>0</v>
      </c>
      <c r="AB97" s="8" t="n">
        <f aca="false">IF(Q97,R97,AB96)</f>
        <v>0</v>
      </c>
      <c r="AC97" s="12" t="n">
        <f aca="false">IF(Q97,A97,AC96)</f>
        <v>0</v>
      </c>
      <c r="AD97" s="8" t="n">
        <f aca="false">IF(Q97,B97,AD96)</f>
        <v>0</v>
      </c>
      <c r="AE97" s="8" t="str">
        <f aca="false">IF(AA97,L97,"")</f>
        <v/>
      </c>
      <c r="AF97" s="8" t="n">
        <f aca="false">U97</f>
        <v>0</v>
      </c>
      <c r="AG97" s="2" t="n">
        <f aca="false">AG96+IF(Q97,1,0)</f>
        <v>0</v>
      </c>
      <c r="AH97" s="2" t="n">
        <f aca="false">AG96</f>
        <v>0</v>
      </c>
      <c r="AI97" s="10" t="n">
        <f aca="false">X97+Y97*(E97-AB97)-Y97*AD97*Inputs!$B$13*(A97-AC97)</f>
        <v>1000</v>
      </c>
      <c r="AJ97" s="10" t="n">
        <v>0</v>
      </c>
      <c r="AK97" s="8" t="n">
        <f aca="false">IF(AND(B97&lt;=U97,NOT(Q97)),B97,U97)*(1-Inputs!$B$12)</f>
        <v>0</v>
      </c>
    </row>
    <row r="98" customFormat="false" ht="15" hidden="false" customHeight="false" outlineLevel="0" collapsed="false">
      <c r="A98" s="6" t="n">
        <v>44882</v>
      </c>
      <c r="B98" s="7" t="n">
        <v>0.835558454646675</v>
      </c>
      <c r="C98" s="7" t="n">
        <v>0.837755575985548</v>
      </c>
      <c r="D98" s="7" t="n">
        <v>0.83049848457303</v>
      </c>
      <c r="E98" s="7" t="n">
        <v>0.833729058142974</v>
      </c>
      <c r="F98" s="8" t="n">
        <f aca="true">IF(ROW()-2&gt;=Inputs!$B$4,AVERAGE(OFFSET(E98,1-Inputs!$B$4,0,Inputs!$B$4,1)),"")</f>
        <v>0.82666243547194</v>
      </c>
      <c r="G98" s="8" t="n">
        <f aca="true">IF(ROW()-2&gt;=Inputs!$B$5,AVERAGE(OFFSET(E98,1-Inputs!$B$5,0,Inputs!$B$5,1)),"")</f>
        <v>0.834719720021522</v>
      </c>
      <c r="H98" s="8" t="n">
        <f aca="false">MAX(C98-D98,ABS(C98-E97),ABS(D98-E97))</f>
        <v>0.00725709141251796</v>
      </c>
      <c r="I98" s="8" t="n">
        <f aca="true">IF(ROW()-2&lt;14,"",IF(ROW()-2=14,AVERAGE(OFFSET(H98,-13,0,14,1)),(I97*13+H98)/14))</f>
        <v>0.00888863410854825</v>
      </c>
      <c r="J98" s="9" t="b">
        <f aca="false">IF(AND(ISNUMBER(F98),ISNUMBER(G98),ISNUMBER(F97),ISNUMBER(G97)),AND(F98&gt;G98,F97&lt;=G97),FALSE())</f>
        <v>0</v>
      </c>
      <c r="K98" s="9" t="b">
        <f aca="false">IF(AND(ISNUMBER(F98),ISNUMBER(G98),ISNUMBER(F97),ISNUMBER(G97)),AND(F98&lt;G98,F97&gt;=G97),FALSE())</f>
        <v>0</v>
      </c>
      <c r="L98" s="8" t="n">
        <f aca="false">IF(ISNUMBER(I98),E98-Inputs!$B$6*I98,"")</f>
        <v>0.815951789925877</v>
      </c>
      <c r="M98" s="9" t="b">
        <f aca="false">AND(Y97&gt;0,Z97)</f>
        <v>0</v>
      </c>
      <c r="N98" s="8" t="n">
        <f aca="false">B98*(1-Inputs!$B$12)</f>
        <v>0.835391342955746</v>
      </c>
      <c r="O98" s="10" t="n">
        <f aca="false">IF(M98,Y97*(N98-AB97)-Inputs!$B$9-Y97*AD97*Inputs!$B$13*(A98-AC97),0)</f>
        <v>0</v>
      </c>
      <c r="P98" s="10" t="n">
        <f aca="false">X97+O98</f>
        <v>1000</v>
      </c>
      <c r="Q98" s="9" t="b">
        <f aca="false">AND(IF(M98,0,Y97)=0,AA97,IF(ISNUMBER(AE97),B98&gt;AE97,FALSE()))</f>
        <v>0</v>
      </c>
      <c r="R98" s="8" t="n">
        <f aca="false">B98*(1+Inputs!$B$12)</f>
        <v>0.835725566337604</v>
      </c>
      <c r="S98" s="11" t="n">
        <f aca="false">IF(Q98,MIN(P98*Inputs!$B$3/(R98-AE97),P98*Inputs!$B$11/R98),0)</f>
        <v>0</v>
      </c>
      <c r="T98" s="11" t="n">
        <f aca="false">IF(Q98,S98,IF(M98,0,Y97))</f>
        <v>0</v>
      </c>
      <c r="U98" s="8" t="n">
        <f aca="false">IF(Q98,AE97,AF97)</f>
        <v>0</v>
      </c>
      <c r="V98" s="9" t="b">
        <f aca="false">AND(T98&gt;0,D98&lt;=U98)</f>
        <v>0</v>
      </c>
      <c r="W98" s="10" t="n">
        <f aca="false">IF(V98,T98*(AK98-AB98)-Inputs!$B$9-T98*AD98*Inputs!$B$13*(A98-AC98),0)</f>
        <v>0</v>
      </c>
      <c r="X98" s="10" t="n">
        <f aca="false">P98-IF(Q98,Inputs!$B$9,0)+W98</f>
        <v>1000</v>
      </c>
      <c r="Y98" s="11" t="n">
        <f aca="false">IF(V98,0,T98)</f>
        <v>0</v>
      </c>
      <c r="Z98" s="9" t="b">
        <f aca="false">AND(Y98&gt;0,K98)</f>
        <v>0</v>
      </c>
      <c r="AA98" s="9" t="b">
        <f aca="false">AND(Y98=0,J98,ISNUMBER(L98))</f>
        <v>0</v>
      </c>
      <c r="AB98" s="8" t="n">
        <f aca="false">IF(Q98,R98,AB97)</f>
        <v>0</v>
      </c>
      <c r="AC98" s="12" t="n">
        <f aca="false">IF(Q98,A98,AC97)</f>
        <v>0</v>
      </c>
      <c r="AD98" s="8" t="n">
        <f aca="false">IF(Q98,B98,AD97)</f>
        <v>0</v>
      </c>
      <c r="AE98" s="8" t="str">
        <f aca="false">IF(AA98,L98,"")</f>
        <v/>
      </c>
      <c r="AF98" s="8" t="n">
        <f aca="false">U98</f>
        <v>0</v>
      </c>
      <c r="AG98" s="2" t="n">
        <f aca="false">AG97+IF(Q98,1,0)</f>
        <v>0</v>
      </c>
      <c r="AH98" s="2" t="n">
        <f aca="false">AG97</f>
        <v>0</v>
      </c>
      <c r="AI98" s="10" t="n">
        <f aca="false">X98+Y98*(E98-AB98)-Y98*AD98*Inputs!$B$13*(A98-AC98)</f>
        <v>1000</v>
      </c>
      <c r="AJ98" s="10" t="n">
        <v>0</v>
      </c>
      <c r="AK98" s="8" t="n">
        <f aca="false">IF(AND(B98&lt;=U98,NOT(Q98)),B98,U98)*(1-Inputs!$B$12)</f>
        <v>0</v>
      </c>
    </row>
    <row r="99" customFormat="false" ht="15" hidden="false" customHeight="false" outlineLevel="0" collapsed="false">
      <c r="A99" s="6" t="n">
        <v>44883</v>
      </c>
      <c r="B99" s="7" t="n">
        <v>0.833729058142974</v>
      </c>
      <c r="C99" s="7" t="n">
        <v>0.845414069123694</v>
      </c>
      <c r="D99" s="7" t="n">
        <v>0.832304576529371</v>
      </c>
      <c r="E99" s="7" t="n">
        <v>0.844029392219566</v>
      </c>
      <c r="F99" s="8" t="n">
        <f aca="true">IF(ROW()-2&gt;=Inputs!$B$4,AVERAGE(OFFSET(E99,1-Inputs!$B$4,0,Inputs!$B$4,1)),"")</f>
        <v>0.82692197725381</v>
      </c>
      <c r="G99" s="8" t="n">
        <f aca="true">IF(ROW()-2&gt;=Inputs!$B$5,AVERAGE(OFFSET(E99,1-Inputs!$B$5,0,Inputs!$B$5,1)),"")</f>
        <v>0.834382949656445</v>
      </c>
      <c r="H99" s="8" t="n">
        <f aca="false">MAX(C99-D99,ABS(C99-E98),ABS(D99-E98))</f>
        <v>0.0131094925943221</v>
      </c>
      <c r="I99" s="8" t="n">
        <f aca="true">IF(ROW()-2&lt;14,"",IF(ROW()-2=14,AVERAGE(OFFSET(H99,-13,0,14,1)),(I98*13+H99)/14))</f>
        <v>0.00919012400038924</v>
      </c>
      <c r="J99" s="9" t="b">
        <f aca="false">IF(AND(ISNUMBER(F99),ISNUMBER(G99),ISNUMBER(F98),ISNUMBER(G98)),AND(F99&gt;G99,F98&lt;=G98),FALSE())</f>
        <v>0</v>
      </c>
      <c r="K99" s="9" t="b">
        <f aca="false">IF(AND(ISNUMBER(F99),ISNUMBER(G99),ISNUMBER(F98),ISNUMBER(G98)),AND(F99&lt;G99,F98&gt;=G98),FALSE())</f>
        <v>0</v>
      </c>
      <c r="L99" s="8" t="n">
        <f aca="false">IF(ISNUMBER(I99),E99-Inputs!$B$6*I99,"")</f>
        <v>0.825649144218787</v>
      </c>
      <c r="M99" s="9" t="b">
        <f aca="false">AND(Y98&gt;0,Z98)</f>
        <v>0</v>
      </c>
      <c r="N99" s="8" t="n">
        <f aca="false">B99*(1-Inputs!$B$12)</f>
        <v>0.833562312331345</v>
      </c>
      <c r="O99" s="10" t="n">
        <f aca="false">IF(M99,Y98*(N99-AB98)-Inputs!$B$9-Y98*AD98*Inputs!$B$13*(A99-AC98),0)</f>
        <v>0</v>
      </c>
      <c r="P99" s="10" t="n">
        <f aca="false">X98+O99</f>
        <v>1000</v>
      </c>
      <c r="Q99" s="9" t="b">
        <f aca="false">AND(IF(M99,0,Y98)=0,AA98,IF(ISNUMBER(AE98),B99&gt;AE98,FALSE()))</f>
        <v>0</v>
      </c>
      <c r="R99" s="8" t="n">
        <f aca="false">B99*(1+Inputs!$B$12)</f>
        <v>0.833895803954602</v>
      </c>
      <c r="S99" s="11" t="n">
        <f aca="false">IF(Q99,MIN(P99*Inputs!$B$3/(R99-AE98),P99*Inputs!$B$11/R99),0)</f>
        <v>0</v>
      </c>
      <c r="T99" s="11" t="n">
        <f aca="false">IF(Q99,S99,IF(M99,0,Y98))</f>
        <v>0</v>
      </c>
      <c r="U99" s="8" t="n">
        <f aca="false">IF(Q99,AE98,AF98)</f>
        <v>0</v>
      </c>
      <c r="V99" s="9" t="b">
        <f aca="false">AND(T99&gt;0,D99&lt;=U99)</f>
        <v>0</v>
      </c>
      <c r="W99" s="10" t="n">
        <f aca="false">IF(V99,T99*(AK99-AB99)-Inputs!$B$9-T99*AD99*Inputs!$B$13*(A99-AC99),0)</f>
        <v>0</v>
      </c>
      <c r="X99" s="10" t="n">
        <f aca="false">P99-IF(Q99,Inputs!$B$9,0)+W99</f>
        <v>1000</v>
      </c>
      <c r="Y99" s="11" t="n">
        <f aca="false">IF(V99,0,T99)</f>
        <v>0</v>
      </c>
      <c r="Z99" s="9" t="b">
        <f aca="false">AND(Y99&gt;0,K99)</f>
        <v>0</v>
      </c>
      <c r="AA99" s="9" t="b">
        <f aca="false">AND(Y99=0,J99,ISNUMBER(L99))</f>
        <v>0</v>
      </c>
      <c r="AB99" s="8" t="n">
        <f aca="false">IF(Q99,R99,AB98)</f>
        <v>0</v>
      </c>
      <c r="AC99" s="12" t="n">
        <f aca="false">IF(Q99,A99,AC98)</f>
        <v>0</v>
      </c>
      <c r="AD99" s="8" t="n">
        <f aca="false">IF(Q99,B99,AD98)</f>
        <v>0</v>
      </c>
      <c r="AE99" s="8" t="str">
        <f aca="false">IF(AA99,L99,"")</f>
        <v/>
      </c>
      <c r="AF99" s="8" t="n">
        <f aca="false">U99</f>
        <v>0</v>
      </c>
      <c r="AG99" s="2" t="n">
        <f aca="false">AG98+IF(Q99,1,0)</f>
        <v>0</v>
      </c>
      <c r="AH99" s="2" t="n">
        <f aca="false">AG98</f>
        <v>0</v>
      </c>
      <c r="AI99" s="10" t="n">
        <f aca="false">X99+Y99*(E99-AB99)-Y99*AD99*Inputs!$B$13*(A99-AC99)</f>
        <v>1000</v>
      </c>
      <c r="AJ99" s="10" t="n">
        <v>0</v>
      </c>
      <c r="AK99" s="8" t="n">
        <f aca="false">IF(AND(B99&lt;=U99,NOT(Q99)),B99,U99)*(1-Inputs!$B$12)</f>
        <v>0</v>
      </c>
    </row>
    <row r="100" customFormat="false" ht="15" hidden="false" customHeight="false" outlineLevel="0" collapsed="false">
      <c r="A100" s="6" t="n">
        <v>44884</v>
      </c>
      <c r="B100" s="7" t="n">
        <v>0.844029392219566</v>
      </c>
      <c r="C100" s="7" t="n">
        <v>0.855229866716975</v>
      </c>
      <c r="D100" s="7" t="n">
        <v>0.840546141550683</v>
      </c>
      <c r="E100" s="7" t="n">
        <v>0.849393111520591</v>
      </c>
      <c r="F100" s="8" t="n">
        <f aca="true">IF(ROW()-2&gt;=Inputs!$B$4,AVERAGE(OFFSET(E100,1-Inputs!$B$4,0,Inputs!$B$4,1)),"")</f>
        <v>0.827553555177705</v>
      </c>
      <c r="G100" s="8" t="n">
        <f aca="true">IF(ROW()-2&gt;=Inputs!$B$5,AVERAGE(OFFSET(E100,1-Inputs!$B$5,0,Inputs!$B$5,1)),"")</f>
        <v>0.834214661727037</v>
      </c>
      <c r="H100" s="8" t="n">
        <f aca="false">MAX(C100-D100,ABS(C100-E99),ABS(D100-E99))</f>
        <v>0.0146837251662918</v>
      </c>
      <c r="I100" s="8" t="n">
        <f aca="true">IF(ROW()-2&lt;14,"",IF(ROW()-2=14,AVERAGE(OFFSET(H100,-13,0,14,1)),(I99*13+H100)/14))</f>
        <v>0.009582524083668</v>
      </c>
      <c r="J100" s="9" t="b">
        <f aca="false">IF(AND(ISNUMBER(F100),ISNUMBER(G100),ISNUMBER(F99),ISNUMBER(G99)),AND(F100&gt;G100,F99&lt;=G99),FALSE())</f>
        <v>0</v>
      </c>
      <c r="K100" s="9" t="b">
        <f aca="false">IF(AND(ISNUMBER(F100),ISNUMBER(G100),ISNUMBER(F99),ISNUMBER(G99)),AND(F100&lt;G100,F99&gt;=G99),FALSE())</f>
        <v>0</v>
      </c>
      <c r="L100" s="8" t="n">
        <f aca="false">IF(ISNUMBER(I100),E100-Inputs!$B$6*I100,"")</f>
        <v>0.830228063353255</v>
      </c>
      <c r="M100" s="9" t="b">
        <f aca="false">AND(Y99&gt;0,Z99)</f>
        <v>0</v>
      </c>
      <c r="N100" s="8" t="n">
        <f aca="false">B100*(1-Inputs!$B$12)</f>
        <v>0.843860586341122</v>
      </c>
      <c r="O100" s="10" t="n">
        <f aca="false">IF(M100,Y99*(N100-AB99)-Inputs!$B$9-Y99*AD99*Inputs!$B$13*(A100-AC99),0)</f>
        <v>0</v>
      </c>
      <c r="P100" s="10" t="n">
        <f aca="false">X99+O100</f>
        <v>1000</v>
      </c>
      <c r="Q100" s="9" t="b">
        <f aca="false">AND(IF(M100,0,Y99)=0,AA99,IF(ISNUMBER(AE99),B100&gt;AE99,FALSE()))</f>
        <v>0</v>
      </c>
      <c r="R100" s="8" t="n">
        <f aca="false">B100*(1+Inputs!$B$12)</f>
        <v>0.84419819809801</v>
      </c>
      <c r="S100" s="11" t="n">
        <f aca="false">IF(Q100,MIN(P100*Inputs!$B$3/(R100-AE99),P100*Inputs!$B$11/R100),0)</f>
        <v>0</v>
      </c>
      <c r="T100" s="11" t="n">
        <f aca="false">IF(Q100,S100,IF(M100,0,Y99))</f>
        <v>0</v>
      </c>
      <c r="U100" s="8" t="n">
        <f aca="false">IF(Q100,AE99,AF99)</f>
        <v>0</v>
      </c>
      <c r="V100" s="9" t="b">
        <f aca="false">AND(T100&gt;0,D100&lt;=U100)</f>
        <v>0</v>
      </c>
      <c r="W100" s="10" t="n">
        <f aca="false">IF(V100,T100*(AK100-AB100)-Inputs!$B$9-T100*AD100*Inputs!$B$13*(A100-AC100),0)</f>
        <v>0</v>
      </c>
      <c r="X100" s="10" t="n">
        <f aca="false">P100-IF(Q100,Inputs!$B$9,0)+W100</f>
        <v>1000</v>
      </c>
      <c r="Y100" s="11" t="n">
        <f aca="false">IF(V100,0,T100)</f>
        <v>0</v>
      </c>
      <c r="Z100" s="9" t="b">
        <f aca="false">AND(Y100&gt;0,K100)</f>
        <v>0</v>
      </c>
      <c r="AA100" s="9" t="b">
        <f aca="false">AND(Y100=0,J100,ISNUMBER(L100))</f>
        <v>0</v>
      </c>
      <c r="AB100" s="8" t="n">
        <f aca="false">IF(Q100,R100,AB99)</f>
        <v>0</v>
      </c>
      <c r="AC100" s="12" t="n">
        <f aca="false">IF(Q100,A100,AC99)</f>
        <v>0</v>
      </c>
      <c r="AD100" s="8" t="n">
        <f aca="false">IF(Q100,B100,AD99)</f>
        <v>0</v>
      </c>
      <c r="AE100" s="8" t="str">
        <f aca="false">IF(AA100,L100,"")</f>
        <v/>
      </c>
      <c r="AF100" s="8" t="n">
        <f aca="false">U100</f>
        <v>0</v>
      </c>
      <c r="AG100" s="2" t="n">
        <f aca="false">AG99+IF(Q100,1,0)</f>
        <v>0</v>
      </c>
      <c r="AH100" s="2" t="n">
        <f aca="false">AG99</f>
        <v>0</v>
      </c>
      <c r="AI100" s="10" t="n">
        <f aca="false">X100+Y100*(E100-AB100)-Y100*AD100*Inputs!$B$13*(A100-AC100)</f>
        <v>1000</v>
      </c>
      <c r="AJ100" s="10" t="n">
        <v>0</v>
      </c>
      <c r="AK100" s="8" t="n">
        <f aca="false">IF(AND(B100&lt;=U100,NOT(Q100)),B100,U100)*(1-Inputs!$B$12)</f>
        <v>0</v>
      </c>
    </row>
    <row r="101" customFormat="false" ht="15" hidden="false" customHeight="false" outlineLevel="0" collapsed="false">
      <c r="A101" s="6" t="n">
        <v>44885</v>
      </c>
      <c r="B101" s="7" t="n">
        <v>0.849393111520591</v>
      </c>
      <c r="C101" s="7" t="n">
        <v>0.84995358216639</v>
      </c>
      <c r="D101" s="7" t="n">
        <v>0.845598243312085</v>
      </c>
      <c r="E101" s="7" t="n">
        <v>0.849615011557308</v>
      </c>
      <c r="F101" s="8" t="n">
        <f aca="true">IF(ROW()-2&gt;=Inputs!$B$4,AVERAGE(OFFSET(E101,1-Inputs!$B$4,0,Inputs!$B$4,1)),"")</f>
        <v>0.828086410876533</v>
      </c>
      <c r="G101" s="8" t="n">
        <f aca="true">IF(ROW()-2&gt;=Inputs!$B$5,AVERAGE(OFFSET(E101,1-Inputs!$B$5,0,Inputs!$B$5,1)),"")</f>
        <v>0.834082824154949</v>
      </c>
      <c r="H101" s="8" t="n">
        <f aca="false">MAX(C101-D101,ABS(C101-E100),ABS(D101-E100))</f>
        <v>0.00435533885430539</v>
      </c>
      <c r="I101" s="8" t="n">
        <f aca="true">IF(ROW()-2&lt;14,"",IF(ROW()-2=14,AVERAGE(OFFSET(H101,-13,0,14,1)),(I100*13+H101)/14))</f>
        <v>0.00920915371014209</v>
      </c>
      <c r="J101" s="9" t="b">
        <f aca="false">IF(AND(ISNUMBER(F101),ISNUMBER(G101),ISNUMBER(F100),ISNUMBER(G100)),AND(F101&gt;G101,F100&lt;=G100),FALSE())</f>
        <v>0</v>
      </c>
      <c r="K101" s="9" t="b">
        <f aca="false">IF(AND(ISNUMBER(F101),ISNUMBER(G101),ISNUMBER(F100),ISNUMBER(G100)),AND(F101&lt;G101,F100&gt;=G100),FALSE())</f>
        <v>0</v>
      </c>
      <c r="L101" s="8" t="n">
        <f aca="false">IF(ISNUMBER(I101),E101-Inputs!$B$6*I101,"")</f>
        <v>0.831196704137023</v>
      </c>
      <c r="M101" s="9" t="b">
        <f aca="false">AND(Y100&gt;0,Z100)</f>
        <v>0</v>
      </c>
      <c r="N101" s="8" t="n">
        <f aca="false">B101*(1-Inputs!$B$12)</f>
        <v>0.849223232898286</v>
      </c>
      <c r="O101" s="10" t="n">
        <f aca="false">IF(M101,Y100*(N101-AB100)-Inputs!$B$9-Y100*AD100*Inputs!$B$13*(A101-AC100),0)</f>
        <v>0</v>
      </c>
      <c r="P101" s="10" t="n">
        <f aca="false">X100+O101</f>
        <v>1000</v>
      </c>
      <c r="Q101" s="9" t="b">
        <f aca="false">AND(IF(M101,0,Y100)=0,AA100,IF(ISNUMBER(AE100),B101&gt;AE100,FALSE()))</f>
        <v>0</v>
      </c>
      <c r="R101" s="8" t="n">
        <f aca="false">B101*(1+Inputs!$B$12)</f>
        <v>0.849562990142895</v>
      </c>
      <c r="S101" s="11" t="n">
        <f aca="false">IF(Q101,MIN(P101*Inputs!$B$3/(R101-AE100),P101*Inputs!$B$11/R101),0)</f>
        <v>0</v>
      </c>
      <c r="T101" s="11" t="n">
        <f aca="false">IF(Q101,S101,IF(M101,0,Y100))</f>
        <v>0</v>
      </c>
      <c r="U101" s="8" t="n">
        <f aca="false">IF(Q101,AE100,AF100)</f>
        <v>0</v>
      </c>
      <c r="V101" s="9" t="b">
        <f aca="false">AND(T101&gt;0,D101&lt;=U101)</f>
        <v>0</v>
      </c>
      <c r="W101" s="10" t="n">
        <f aca="false">IF(V101,T101*(AK101-AB101)-Inputs!$B$9-T101*AD101*Inputs!$B$13*(A101-AC101),0)</f>
        <v>0</v>
      </c>
      <c r="X101" s="10" t="n">
        <f aca="false">P101-IF(Q101,Inputs!$B$9,0)+W101</f>
        <v>1000</v>
      </c>
      <c r="Y101" s="11" t="n">
        <f aca="false">IF(V101,0,T101)</f>
        <v>0</v>
      </c>
      <c r="Z101" s="9" t="b">
        <f aca="false">AND(Y101&gt;0,K101)</f>
        <v>0</v>
      </c>
      <c r="AA101" s="9" t="b">
        <f aca="false">AND(Y101=0,J101,ISNUMBER(L101))</f>
        <v>0</v>
      </c>
      <c r="AB101" s="8" t="n">
        <f aca="false">IF(Q101,R101,AB100)</f>
        <v>0</v>
      </c>
      <c r="AC101" s="12" t="n">
        <f aca="false">IF(Q101,A101,AC100)</f>
        <v>0</v>
      </c>
      <c r="AD101" s="8" t="n">
        <f aca="false">IF(Q101,B101,AD100)</f>
        <v>0</v>
      </c>
      <c r="AE101" s="8" t="str">
        <f aca="false">IF(AA101,L101,"")</f>
        <v/>
      </c>
      <c r="AF101" s="8" t="n">
        <f aca="false">U101</f>
        <v>0</v>
      </c>
      <c r="AG101" s="2" t="n">
        <f aca="false">AG100+IF(Q101,1,0)</f>
        <v>0</v>
      </c>
      <c r="AH101" s="2" t="n">
        <f aca="false">AG100</f>
        <v>0</v>
      </c>
      <c r="AI101" s="10" t="n">
        <f aca="false">X101+Y101*(E101-AB101)-Y101*AD101*Inputs!$B$13*(A101-AC101)</f>
        <v>1000</v>
      </c>
      <c r="AJ101" s="10" t="n">
        <v>0</v>
      </c>
      <c r="AK101" s="8" t="n">
        <f aca="false">IF(AND(B101&lt;=U101,NOT(Q101)),B101,U101)*(1-Inputs!$B$12)</f>
        <v>0</v>
      </c>
    </row>
    <row r="102" customFormat="false" ht="15" hidden="false" customHeight="false" outlineLevel="0" collapsed="false">
      <c r="A102" s="6" t="n">
        <v>44886</v>
      </c>
      <c r="B102" s="7" t="n">
        <v>0.849615011557308</v>
      </c>
      <c r="C102" s="7" t="n">
        <v>0.857691336515545</v>
      </c>
      <c r="D102" s="7" t="n">
        <v>0.847747384702363</v>
      </c>
      <c r="E102" s="7" t="n">
        <v>0.856717921149073</v>
      </c>
      <c r="F102" s="8" t="n">
        <f aca="true">IF(ROW()-2&gt;=Inputs!$B$4,AVERAGE(OFFSET(E102,1-Inputs!$B$4,0,Inputs!$B$4,1)),"")</f>
        <v>0.829588694701972</v>
      </c>
      <c r="G102" s="8" t="n">
        <f aca="true">IF(ROW()-2&gt;=Inputs!$B$5,AVERAGE(OFFSET(E102,1-Inputs!$B$5,0,Inputs!$B$5,1)),"")</f>
        <v>0.833974345360095</v>
      </c>
      <c r="H102" s="8" t="n">
        <f aca="false">MAX(C102-D102,ABS(C102-E101),ABS(D102-E101))</f>
        <v>0.00994395181318264</v>
      </c>
      <c r="I102" s="8" t="n">
        <f aca="true">IF(ROW()-2&lt;14,"",IF(ROW()-2=14,AVERAGE(OFFSET(H102,-13,0,14,1)),(I101*13+H102)/14))</f>
        <v>0.0092616392889307</v>
      </c>
      <c r="J102" s="9" t="b">
        <f aca="false">IF(AND(ISNUMBER(F102),ISNUMBER(G102),ISNUMBER(F101),ISNUMBER(G101)),AND(F102&gt;G102,F101&lt;=G101),FALSE())</f>
        <v>0</v>
      </c>
      <c r="K102" s="9" t="b">
        <f aca="false">IF(AND(ISNUMBER(F102),ISNUMBER(G102),ISNUMBER(F101),ISNUMBER(G101)),AND(F102&lt;G102,F101&gt;=G101),FALSE())</f>
        <v>0</v>
      </c>
      <c r="L102" s="8" t="n">
        <f aca="false">IF(ISNUMBER(I102),E102-Inputs!$B$6*I102,"")</f>
        <v>0.838194642571211</v>
      </c>
      <c r="M102" s="9" t="b">
        <f aca="false">AND(Y101&gt;0,Z101)</f>
        <v>0</v>
      </c>
      <c r="N102" s="8" t="n">
        <f aca="false">B102*(1-Inputs!$B$12)</f>
        <v>0.849445088554996</v>
      </c>
      <c r="O102" s="10" t="n">
        <f aca="false">IF(M102,Y101*(N102-AB101)-Inputs!$B$9-Y101*AD101*Inputs!$B$13*(A102-AC101),0)</f>
        <v>0</v>
      </c>
      <c r="P102" s="10" t="n">
        <f aca="false">X101+O102</f>
        <v>1000</v>
      </c>
      <c r="Q102" s="9" t="b">
        <f aca="false">AND(IF(M102,0,Y101)=0,AA101,IF(ISNUMBER(AE101),B102&gt;AE101,FALSE()))</f>
        <v>0</v>
      </c>
      <c r="R102" s="8" t="n">
        <f aca="false">B102*(1+Inputs!$B$12)</f>
        <v>0.849784934559619</v>
      </c>
      <c r="S102" s="11" t="n">
        <f aca="false">IF(Q102,MIN(P102*Inputs!$B$3/(R102-AE101),P102*Inputs!$B$11/R102),0)</f>
        <v>0</v>
      </c>
      <c r="T102" s="11" t="n">
        <f aca="false">IF(Q102,S102,IF(M102,0,Y101))</f>
        <v>0</v>
      </c>
      <c r="U102" s="8" t="n">
        <f aca="false">IF(Q102,AE101,AF101)</f>
        <v>0</v>
      </c>
      <c r="V102" s="9" t="b">
        <f aca="false">AND(T102&gt;0,D102&lt;=U102)</f>
        <v>0</v>
      </c>
      <c r="W102" s="10" t="n">
        <f aca="false">IF(V102,T102*(AK102-AB102)-Inputs!$B$9-T102*AD102*Inputs!$B$13*(A102-AC102),0)</f>
        <v>0</v>
      </c>
      <c r="X102" s="10" t="n">
        <f aca="false">P102-IF(Q102,Inputs!$B$9,0)+W102</f>
        <v>1000</v>
      </c>
      <c r="Y102" s="11" t="n">
        <f aca="false">IF(V102,0,T102)</f>
        <v>0</v>
      </c>
      <c r="Z102" s="9" t="b">
        <f aca="false">AND(Y102&gt;0,K102)</f>
        <v>0</v>
      </c>
      <c r="AA102" s="9" t="b">
        <f aca="false">AND(Y102=0,J102,ISNUMBER(L102))</f>
        <v>0</v>
      </c>
      <c r="AB102" s="8" t="n">
        <f aca="false">IF(Q102,R102,AB101)</f>
        <v>0</v>
      </c>
      <c r="AC102" s="12" t="n">
        <f aca="false">IF(Q102,A102,AC101)</f>
        <v>0</v>
      </c>
      <c r="AD102" s="8" t="n">
        <f aca="false">IF(Q102,B102,AD101)</f>
        <v>0</v>
      </c>
      <c r="AE102" s="8" t="str">
        <f aca="false">IF(AA102,L102,"")</f>
        <v/>
      </c>
      <c r="AF102" s="8" t="n">
        <f aca="false">U102</f>
        <v>0</v>
      </c>
      <c r="AG102" s="2" t="n">
        <f aca="false">AG101+IF(Q102,1,0)</f>
        <v>0</v>
      </c>
      <c r="AH102" s="2" t="n">
        <f aca="false">AG101</f>
        <v>0</v>
      </c>
      <c r="AI102" s="10" t="n">
        <f aca="false">X102+Y102*(E102-AB102)-Y102*AD102*Inputs!$B$13*(A102-AC102)</f>
        <v>1000</v>
      </c>
      <c r="AJ102" s="10" t="n">
        <v>0</v>
      </c>
      <c r="AK102" s="8" t="n">
        <f aca="false">IF(AND(B102&lt;=U102,NOT(Q102)),B102,U102)*(1-Inputs!$B$12)</f>
        <v>0</v>
      </c>
    </row>
    <row r="103" customFormat="false" ht="15" hidden="false" customHeight="false" outlineLevel="0" collapsed="false">
      <c r="A103" s="6" t="n">
        <v>44887</v>
      </c>
      <c r="B103" s="7" t="n">
        <v>0.856717921149073</v>
      </c>
      <c r="C103" s="7" t="n">
        <v>0.863293560154516</v>
      </c>
      <c r="D103" s="7" t="n">
        <v>0.856030449768042</v>
      </c>
      <c r="E103" s="7" t="n">
        <v>0.859047482012745</v>
      </c>
      <c r="F103" s="8" t="n">
        <f aca="true">IF(ROW()-2&gt;=Inputs!$B$4,AVERAGE(OFFSET(E103,1-Inputs!$B$4,0,Inputs!$B$4,1)),"")</f>
        <v>0.831095165274489</v>
      </c>
      <c r="G103" s="8" t="n">
        <f aca="true">IF(ROW()-2&gt;=Inputs!$B$5,AVERAGE(OFFSET(E103,1-Inputs!$B$5,0,Inputs!$B$5,1)),"")</f>
        <v>0.833994660413095</v>
      </c>
      <c r="H103" s="8" t="n">
        <f aca="false">MAX(C103-D103,ABS(C103-E102),ABS(D103-E102))</f>
        <v>0.00726311038647409</v>
      </c>
      <c r="I103" s="8" t="n">
        <f aca="true">IF(ROW()-2&lt;14,"",IF(ROW()-2=14,AVERAGE(OFFSET(H103,-13,0,14,1)),(I102*13+H103)/14))</f>
        <v>0.00911888722446952</v>
      </c>
      <c r="J103" s="9" t="b">
        <f aca="false">IF(AND(ISNUMBER(F103),ISNUMBER(G103),ISNUMBER(F102),ISNUMBER(G102)),AND(F103&gt;G103,F102&lt;=G102),FALSE())</f>
        <v>0</v>
      </c>
      <c r="K103" s="9" t="b">
        <f aca="false">IF(AND(ISNUMBER(F103),ISNUMBER(G103),ISNUMBER(F102),ISNUMBER(G102)),AND(F103&lt;G103,F102&gt;=G102),FALSE())</f>
        <v>0</v>
      </c>
      <c r="L103" s="8" t="n">
        <f aca="false">IF(ISNUMBER(I103),E103-Inputs!$B$6*I103,"")</f>
        <v>0.840809707563806</v>
      </c>
      <c r="M103" s="9" t="b">
        <f aca="false">AND(Y102&gt;0,Z102)</f>
        <v>0</v>
      </c>
      <c r="N103" s="8" t="n">
        <f aca="false">B103*(1-Inputs!$B$12)</f>
        <v>0.856546577564843</v>
      </c>
      <c r="O103" s="10" t="n">
        <f aca="false">IF(M103,Y102*(N103-AB102)-Inputs!$B$9-Y102*AD102*Inputs!$B$13*(A103-AC102),0)</f>
        <v>0</v>
      </c>
      <c r="P103" s="10" t="n">
        <f aca="false">X102+O103</f>
        <v>1000</v>
      </c>
      <c r="Q103" s="9" t="b">
        <f aca="false">AND(IF(M103,0,Y102)=0,AA102,IF(ISNUMBER(AE102),B103&gt;AE102,FALSE()))</f>
        <v>0</v>
      </c>
      <c r="R103" s="8" t="n">
        <f aca="false">B103*(1+Inputs!$B$12)</f>
        <v>0.856889264733302</v>
      </c>
      <c r="S103" s="11" t="n">
        <f aca="false">IF(Q103,MIN(P103*Inputs!$B$3/(R103-AE102),P103*Inputs!$B$11/R103),0)</f>
        <v>0</v>
      </c>
      <c r="T103" s="11" t="n">
        <f aca="false">IF(Q103,S103,IF(M103,0,Y102))</f>
        <v>0</v>
      </c>
      <c r="U103" s="8" t="n">
        <f aca="false">IF(Q103,AE102,AF102)</f>
        <v>0</v>
      </c>
      <c r="V103" s="9" t="b">
        <f aca="false">AND(T103&gt;0,D103&lt;=U103)</f>
        <v>0</v>
      </c>
      <c r="W103" s="10" t="n">
        <f aca="false">IF(V103,T103*(AK103-AB103)-Inputs!$B$9-T103*AD103*Inputs!$B$13*(A103-AC103),0)</f>
        <v>0</v>
      </c>
      <c r="X103" s="10" t="n">
        <f aca="false">P103-IF(Q103,Inputs!$B$9,0)+W103</f>
        <v>1000</v>
      </c>
      <c r="Y103" s="11" t="n">
        <f aca="false">IF(V103,0,T103)</f>
        <v>0</v>
      </c>
      <c r="Z103" s="9" t="b">
        <f aca="false">AND(Y103&gt;0,K103)</f>
        <v>0</v>
      </c>
      <c r="AA103" s="9" t="b">
        <f aca="false">AND(Y103=0,J103,ISNUMBER(L103))</f>
        <v>0</v>
      </c>
      <c r="AB103" s="8" t="n">
        <f aca="false">IF(Q103,R103,AB102)</f>
        <v>0</v>
      </c>
      <c r="AC103" s="12" t="n">
        <f aca="false">IF(Q103,A103,AC102)</f>
        <v>0</v>
      </c>
      <c r="AD103" s="8" t="n">
        <f aca="false">IF(Q103,B103,AD102)</f>
        <v>0</v>
      </c>
      <c r="AE103" s="8" t="str">
        <f aca="false">IF(AA103,L103,"")</f>
        <v/>
      </c>
      <c r="AF103" s="8" t="n">
        <f aca="false">U103</f>
        <v>0</v>
      </c>
      <c r="AG103" s="2" t="n">
        <f aca="false">AG102+IF(Q103,1,0)</f>
        <v>0</v>
      </c>
      <c r="AH103" s="2" t="n">
        <f aca="false">AG102</f>
        <v>0</v>
      </c>
      <c r="AI103" s="10" t="n">
        <f aca="false">X103+Y103*(E103-AB103)-Y103*AD103*Inputs!$B$13*(A103-AC103)</f>
        <v>1000</v>
      </c>
      <c r="AJ103" s="10" t="n">
        <v>0</v>
      </c>
      <c r="AK103" s="8" t="n">
        <f aca="false">IF(AND(B103&lt;=U103,NOT(Q103)),B103,U103)*(1-Inputs!$B$12)</f>
        <v>0</v>
      </c>
    </row>
    <row r="104" customFormat="false" ht="15" hidden="false" customHeight="false" outlineLevel="0" collapsed="false">
      <c r="A104" s="6" t="n">
        <v>44888</v>
      </c>
      <c r="B104" s="7" t="n">
        <v>0.859047482012745</v>
      </c>
      <c r="C104" s="7" t="n">
        <v>0.867543002979208</v>
      </c>
      <c r="D104" s="7" t="n">
        <v>0.855448998044279</v>
      </c>
      <c r="E104" s="7" t="n">
        <v>0.86168034308115</v>
      </c>
      <c r="F104" s="8" t="n">
        <f aca="true">IF(ROW()-2&gt;=Inputs!$B$4,AVERAGE(OFFSET(E104,1-Inputs!$B$4,0,Inputs!$B$4,1)),"")</f>
        <v>0.833017247061712</v>
      </c>
      <c r="G104" s="8" t="n">
        <f aca="true">IF(ROW()-2&gt;=Inputs!$B$5,AVERAGE(OFFSET(E104,1-Inputs!$B$5,0,Inputs!$B$5,1)),"")</f>
        <v>0.834117641796121</v>
      </c>
      <c r="H104" s="8" t="n">
        <f aca="false">MAX(C104-D104,ABS(C104-E103),ABS(D104-E103))</f>
        <v>0.0120940049349293</v>
      </c>
      <c r="I104" s="8" t="n">
        <f aca="true">IF(ROW()-2&lt;14,"",IF(ROW()-2=14,AVERAGE(OFFSET(H104,-13,0,14,1)),(I103*13+H104)/14))</f>
        <v>0.0093313956323595</v>
      </c>
      <c r="J104" s="9" t="b">
        <f aca="false">IF(AND(ISNUMBER(F104),ISNUMBER(G104),ISNUMBER(F103),ISNUMBER(G103)),AND(F104&gt;G104,F103&lt;=G103),FALSE())</f>
        <v>0</v>
      </c>
      <c r="K104" s="9" t="b">
        <f aca="false">IF(AND(ISNUMBER(F104),ISNUMBER(G104),ISNUMBER(F103),ISNUMBER(G103)),AND(F104&lt;G104,F103&gt;=G103),FALSE())</f>
        <v>0</v>
      </c>
      <c r="L104" s="8" t="n">
        <f aca="false">IF(ISNUMBER(I104),E104-Inputs!$B$6*I104,"")</f>
        <v>0.843017551816431</v>
      </c>
      <c r="M104" s="9" t="b">
        <f aca="false">AND(Y103&gt;0,Z103)</f>
        <v>0</v>
      </c>
      <c r="N104" s="8" t="n">
        <f aca="false">B104*(1-Inputs!$B$12)</f>
        <v>0.858875672516343</v>
      </c>
      <c r="O104" s="10" t="n">
        <f aca="false">IF(M104,Y103*(N104-AB103)-Inputs!$B$9-Y103*AD103*Inputs!$B$13*(A104-AC103),0)</f>
        <v>0</v>
      </c>
      <c r="P104" s="10" t="n">
        <f aca="false">X103+O104</f>
        <v>1000</v>
      </c>
      <c r="Q104" s="9" t="b">
        <f aca="false">AND(IF(M104,0,Y103)=0,AA103,IF(ISNUMBER(AE103),B104&gt;AE103,FALSE()))</f>
        <v>0</v>
      </c>
      <c r="R104" s="8" t="n">
        <f aca="false">B104*(1+Inputs!$B$12)</f>
        <v>0.859219291509148</v>
      </c>
      <c r="S104" s="11" t="n">
        <f aca="false">IF(Q104,MIN(P104*Inputs!$B$3/(R104-AE103),P104*Inputs!$B$11/R104),0)</f>
        <v>0</v>
      </c>
      <c r="T104" s="11" t="n">
        <f aca="false">IF(Q104,S104,IF(M104,0,Y103))</f>
        <v>0</v>
      </c>
      <c r="U104" s="8" t="n">
        <f aca="false">IF(Q104,AE103,AF103)</f>
        <v>0</v>
      </c>
      <c r="V104" s="9" t="b">
        <f aca="false">AND(T104&gt;0,D104&lt;=U104)</f>
        <v>0</v>
      </c>
      <c r="W104" s="10" t="n">
        <f aca="false">IF(V104,T104*(AK104-AB104)-Inputs!$B$9-T104*AD104*Inputs!$B$13*(A104-AC104),0)</f>
        <v>0</v>
      </c>
      <c r="X104" s="10" t="n">
        <f aca="false">P104-IF(Q104,Inputs!$B$9,0)+W104</f>
        <v>1000</v>
      </c>
      <c r="Y104" s="11" t="n">
        <f aca="false">IF(V104,0,T104)</f>
        <v>0</v>
      </c>
      <c r="Z104" s="9" t="b">
        <f aca="false">AND(Y104&gt;0,K104)</f>
        <v>0</v>
      </c>
      <c r="AA104" s="9" t="b">
        <f aca="false">AND(Y104=0,J104,ISNUMBER(L104))</f>
        <v>0</v>
      </c>
      <c r="AB104" s="8" t="n">
        <f aca="false">IF(Q104,R104,AB103)</f>
        <v>0</v>
      </c>
      <c r="AC104" s="12" t="n">
        <f aca="false">IF(Q104,A104,AC103)</f>
        <v>0</v>
      </c>
      <c r="AD104" s="8" t="n">
        <f aca="false">IF(Q104,B104,AD103)</f>
        <v>0</v>
      </c>
      <c r="AE104" s="8" t="str">
        <f aca="false">IF(AA104,L104,"")</f>
        <v/>
      </c>
      <c r="AF104" s="8" t="n">
        <f aca="false">U104</f>
        <v>0</v>
      </c>
      <c r="AG104" s="2" t="n">
        <f aca="false">AG103+IF(Q104,1,0)</f>
        <v>0</v>
      </c>
      <c r="AH104" s="2" t="n">
        <f aca="false">AG103</f>
        <v>0</v>
      </c>
      <c r="AI104" s="10" t="n">
        <f aca="false">X104+Y104*(E104-AB104)-Y104*AD104*Inputs!$B$13*(A104-AC104)</f>
        <v>1000</v>
      </c>
      <c r="AJ104" s="10" t="n">
        <v>0</v>
      </c>
      <c r="AK104" s="8" t="n">
        <f aca="false">IF(AND(B104&lt;=U104,NOT(Q104)),B104,U104)*(1-Inputs!$B$12)</f>
        <v>0</v>
      </c>
    </row>
    <row r="105" customFormat="false" ht="15" hidden="false" customHeight="false" outlineLevel="0" collapsed="false">
      <c r="A105" s="6" t="n">
        <v>44889</v>
      </c>
      <c r="B105" s="7" t="n">
        <v>0.86168034308115</v>
      </c>
      <c r="C105" s="7" t="n">
        <v>0.867069364407644</v>
      </c>
      <c r="D105" s="7" t="n">
        <v>0.853912289053479</v>
      </c>
      <c r="E105" s="7" t="n">
        <v>0.861804297784855</v>
      </c>
      <c r="F105" s="8" t="n">
        <f aca="true">IF(ROW()-2&gt;=Inputs!$B$4,AVERAGE(OFFSET(E105,1-Inputs!$B$4,0,Inputs!$B$4,1)),"")</f>
        <v>0.834873513316057</v>
      </c>
      <c r="G105" s="8" t="n">
        <f aca="true">IF(ROW()-2&gt;=Inputs!$B$5,AVERAGE(OFFSET(E105,1-Inputs!$B$5,0,Inputs!$B$5,1)),"")</f>
        <v>0.834313472928697</v>
      </c>
      <c r="H105" s="8" t="n">
        <f aca="false">MAX(C105-D105,ABS(C105-E104),ABS(D105-E104))</f>
        <v>0.0131570753541645</v>
      </c>
      <c r="I105" s="8" t="n">
        <f aca="true">IF(ROW()-2&lt;14,"",IF(ROW()-2=14,AVERAGE(OFFSET(H105,-13,0,14,1)),(I104*13+H105)/14))</f>
        <v>0.00960465846963129</v>
      </c>
      <c r="J105" s="9" t="b">
        <f aca="false">IF(AND(ISNUMBER(F105),ISNUMBER(G105),ISNUMBER(F104),ISNUMBER(G104)),AND(F105&gt;G105,F104&lt;=G104),FALSE())</f>
        <v>1</v>
      </c>
      <c r="K105" s="9" t="b">
        <f aca="false">IF(AND(ISNUMBER(F105),ISNUMBER(G105),ISNUMBER(F104),ISNUMBER(G104)),AND(F105&lt;G105,F104&gt;=G104),FALSE())</f>
        <v>0</v>
      </c>
      <c r="L105" s="8" t="n">
        <f aca="false">IF(ISNUMBER(I105),E105-Inputs!$B$6*I105,"")</f>
        <v>0.842594980845593</v>
      </c>
      <c r="M105" s="9" t="b">
        <f aca="false">AND(Y104&gt;0,Z104)</f>
        <v>0</v>
      </c>
      <c r="N105" s="8" t="n">
        <f aca="false">B105*(1-Inputs!$B$12)</f>
        <v>0.861508007012534</v>
      </c>
      <c r="O105" s="10" t="n">
        <f aca="false">IF(M105,Y104*(N105-AB104)-Inputs!$B$9-Y104*AD104*Inputs!$B$13*(A105-AC104),0)</f>
        <v>0</v>
      </c>
      <c r="P105" s="10" t="n">
        <f aca="false">X104+O105</f>
        <v>1000</v>
      </c>
      <c r="Q105" s="9" t="b">
        <f aca="false">AND(IF(M105,0,Y104)=0,AA104,IF(ISNUMBER(AE104),B105&gt;AE104,FALSE()))</f>
        <v>0</v>
      </c>
      <c r="R105" s="8" t="n">
        <f aca="false">B105*(1+Inputs!$B$12)</f>
        <v>0.861852679149767</v>
      </c>
      <c r="S105" s="11" t="n">
        <f aca="false">IF(Q105,MIN(P105*Inputs!$B$3/(R105-AE104),P105*Inputs!$B$11/R105),0)</f>
        <v>0</v>
      </c>
      <c r="T105" s="11" t="n">
        <f aca="false">IF(Q105,S105,IF(M105,0,Y104))</f>
        <v>0</v>
      </c>
      <c r="U105" s="8" t="n">
        <f aca="false">IF(Q105,AE104,AF104)</f>
        <v>0</v>
      </c>
      <c r="V105" s="9" t="b">
        <f aca="false">AND(T105&gt;0,D105&lt;=U105)</f>
        <v>0</v>
      </c>
      <c r="W105" s="10" t="n">
        <f aca="false">IF(V105,T105*(AK105-AB105)-Inputs!$B$9-T105*AD105*Inputs!$B$13*(A105-AC105),0)</f>
        <v>0</v>
      </c>
      <c r="X105" s="10" t="n">
        <f aca="false">P105-IF(Q105,Inputs!$B$9,0)+W105</f>
        <v>1000</v>
      </c>
      <c r="Y105" s="11" t="n">
        <f aca="false">IF(V105,0,T105)</f>
        <v>0</v>
      </c>
      <c r="Z105" s="9" t="b">
        <f aca="false">AND(Y105&gt;0,K105)</f>
        <v>0</v>
      </c>
      <c r="AA105" s="9" t="b">
        <f aca="false">AND(Y105=0,J105,ISNUMBER(L105))</f>
        <v>1</v>
      </c>
      <c r="AB105" s="8" t="n">
        <f aca="false">IF(Q105,R105,AB104)</f>
        <v>0</v>
      </c>
      <c r="AC105" s="12" t="n">
        <f aca="false">IF(Q105,A105,AC104)</f>
        <v>0</v>
      </c>
      <c r="AD105" s="8" t="n">
        <f aca="false">IF(Q105,B105,AD104)</f>
        <v>0</v>
      </c>
      <c r="AE105" s="8" t="n">
        <f aca="false">IF(AA105,L105,"")</f>
        <v>0.842594980845593</v>
      </c>
      <c r="AF105" s="8" t="n">
        <f aca="false">U105</f>
        <v>0</v>
      </c>
      <c r="AG105" s="2" t="n">
        <f aca="false">AG104+IF(Q105,1,0)</f>
        <v>0</v>
      </c>
      <c r="AH105" s="2" t="n">
        <f aca="false">AG104</f>
        <v>0</v>
      </c>
      <c r="AI105" s="10" t="n">
        <f aca="false">X105+Y105*(E105-AB105)-Y105*AD105*Inputs!$B$13*(A105-AC105)</f>
        <v>1000</v>
      </c>
      <c r="AJ105" s="10" t="n">
        <v>0</v>
      </c>
      <c r="AK105" s="8" t="n">
        <f aca="false">IF(AND(B105&lt;=U105,NOT(Q105)),B105,U105)*(1-Inputs!$B$12)</f>
        <v>0</v>
      </c>
    </row>
    <row r="106" customFormat="false" ht="15" hidden="false" customHeight="false" outlineLevel="0" collapsed="false">
      <c r="A106" s="6" t="n">
        <v>44890</v>
      </c>
      <c r="B106" s="7" t="n">
        <v>0.861804297784855</v>
      </c>
      <c r="C106" s="7" t="n">
        <v>0.863723291545228</v>
      </c>
      <c r="D106" s="7" t="n">
        <v>0.859065365359877</v>
      </c>
      <c r="E106" s="7" t="n">
        <v>0.860092575672054</v>
      </c>
      <c r="F106" s="8" t="n">
        <f aca="true">IF(ROW()-2&gt;=Inputs!$B$4,AVERAGE(OFFSET(E106,1-Inputs!$B$4,0,Inputs!$B$4,1)),"")</f>
        <v>0.836763092708287</v>
      </c>
      <c r="G106" s="8" t="n">
        <f aca="true">IF(ROW()-2&gt;=Inputs!$B$5,AVERAGE(OFFSET(E106,1-Inputs!$B$5,0,Inputs!$B$5,1)),"")</f>
        <v>0.83452726720068</v>
      </c>
      <c r="H106" s="8" t="n">
        <f aca="false">MAX(C106-D106,ABS(C106-E105),ABS(D106-E105))</f>
        <v>0.00465792618535155</v>
      </c>
      <c r="I106" s="8" t="n">
        <f aca="true">IF(ROW()-2&lt;14,"",IF(ROW()-2=14,AVERAGE(OFFSET(H106,-13,0,14,1)),(I105*13+H106)/14))</f>
        <v>0.0092513204493256</v>
      </c>
      <c r="J106" s="9" t="b">
        <f aca="false">IF(AND(ISNUMBER(F106),ISNUMBER(G106),ISNUMBER(F105),ISNUMBER(G105)),AND(F106&gt;G106,F105&lt;=G105),FALSE())</f>
        <v>0</v>
      </c>
      <c r="K106" s="9" t="b">
        <f aca="false">IF(AND(ISNUMBER(F106),ISNUMBER(G106),ISNUMBER(F105),ISNUMBER(G105)),AND(F106&lt;G106,F105&gt;=G105),FALSE())</f>
        <v>0</v>
      </c>
      <c r="L106" s="8" t="n">
        <f aca="false">IF(ISNUMBER(I106),E106-Inputs!$B$6*I106,"")</f>
        <v>0.841589934773403</v>
      </c>
      <c r="M106" s="9" t="b">
        <f aca="false">AND(Y105&gt;0,Z105)</f>
        <v>0</v>
      </c>
      <c r="N106" s="8" t="n">
        <f aca="false">B106*(1-Inputs!$B$12)</f>
        <v>0.861631936925298</v>
      </c>
      <c r="O106" s="10" t="n">
        <f aca="false">IF(M106,Y105*(N106-AB105)-Inputs!$B$9-Y105*AD105*Inputs!$B$13*(A106-AC105),0)</f>
        <v>0</v>
      </c>
      <c r="P106" s="10" t="n">
        <f aca="false">X105+O106</f>
        <v>1000</v>
      </c>
      <c r="Q106" s="9" t="b">
        <f aca="false">AND(IF(M106,0,Y105)=0,AA105,IF(ISNUMBER(AE105),B106&gt;AE105,FALSE()))</f>
        <v>1</v>
      </c>
      <c r="R106" s="8" t="n">
        <f aca="false">B106*(1+Inputs!$B$12)</f>
        <v>0.861976658644412</v>
      </c>
      <c r="S106" s="11" t="n">
        <f aca="false">IF(Q106,MIN(P106*Inputs!$B$3/(R106-AE105),P106*Inputs!$B$11/R106),0)</f>
        <v>515.951204214585</v>
      </c>
      <c r="T106" s="11" t="n">
        <f aca="false">IF(Q106,S106,IF(M106,0,Y105))</f>
        <v>515.951204214585</v>
      </c>
      <c r="U106" s="8" t="n">
        <f aca="false">IF(Q106,AE105,AF105)</f>
        <v>0.842594980845593</v>
      </c>
      <c r="V106" s="9" t="b">
        <f aca="false">AND(T106&gt;0,D106&lt;=U106)</f>
        <v>0</v>
      </c>
      <c r="W106" s="10" t="n">
        <f aca="false">IF(V106,T106*(AK106-AB106)-Inputs!$B$9-T106*AD106*Inputs!$B$13*(A106-AC106),0)</f>
        <v>0</v>
      </c>
      <c r="X106" s="10" t="n">
        <f aca="false">P106-IF(Q106,Inputs!$B$9,0)+W106</f>
        <v>999</v>
      </c>
      <c r="Y106" s="11" t="n">
        <f aca="false">IF(V106,0,T106)</f>
        <v>515.951204214585</v>
      </c>
      <c r="Z106" s="9" t="b">
        <f aca="false">AND(Y106&gt;0,K106)</f>
        <v>0</v>
      </c>
      <c r="AA106" s="9" t="b">
        <f aca="false">AND(Y106=0,J106,ISNUMBER(L106))</f>
        <v>0</v>
      </c>
      <c r="AB106" s="8" t="n">
        <f aca="false">IF(Q106,R106,AB105)</f>
        <v>0.861976658644412</v>
      </c>
      <c r="AC106" s="12" t="n">
        <f aca="false">IF(Q106,A106,AC105)</f>
        <v>44890</v>
      </c>
      <c r="AD106" s="8" t="n">
        <f aca="false">IF(Q106,B106,AD105)</f>
        <v>0.861804297784855</v>
      </c>
      <c r="AE106" s="8" t="str">
        <f aca="false">IF(AA106,L106,"")</f>
        <v/>
      </c>
      <c r="AF106" s="8" t="n">
        <f aca="false">U106</f>
        <v>0.842594980845593</v>
      </c>
      <c r="AG106" s="2" t="n">
        <f aca="false">AG105+IF(Q106,1,0)</f>
        <v>1</v>
      </c>
      <c r="AH106" s="2" t="n">
        <f aca="false">AG105</f>
        <v>0</v>
      </c>
      <c r="AI106" s="10" t="n">
        <f aca="false">X106+Y106*(E106-AB106)-Y106*AD106*Inputs!$B$13*(A106-AC106)</f>
        <v>998.027905121572</v>
      </c>
      <c r="AJ106" s="10" t="n">
        <v>0</v>
      </c>
      <c r="AK106" s="8" t="n">
        <f aca="false">IF(AND(B106&lt;=U106,NOT(Q106)),B106,U106)*(1-Inputs!$B$12)</f>
        <v>0.842426461849423</v>
      </c>
    </row>
    <row r="107" customFormat="false" ht="15" hidden="false" customHeight="false" outlineLevel="0" collapsed="false">
      <c r="A107" s="6" t="n">
        <v>44891</v>
      </c>
      <c r="B107" s="7" t="n">
        <v>0.860092575672054</v>
      </c>
      <c r="C107" s="7" t="n">
        <v>0.860513649670577</v>
      </c>
      <c r="D107" s="7" t="n">
        <v>0.851727974506205</v>
      </c>
      <c r="E107" s="7" t="n">
        <v>0.85304714551853</v>
      </c>
      <c r="F107" s="8" t="n">
        <f aca="true">IF(ROW()-2&gt;=Inputs!$B$4,AVERAGE(OFFSET(E107,1-Inputs!$B$4,0,Inputs!$B$4,1)),"")</f>
        <v>0.838431785768175</v>
      </c>
      <c r="G107" s="8" t="n">
        <f aca="true">IF(ROW()-2&gt;=Inputs!$B$5,AVERAGE(OFFSET(E107,1-Inputs!$B$5,0,Inputs!$B$5,1)),"")</f>
        <v>0.834622223055737</v>
      </c>
      <c r="H107" s="8" t="n">
        <f aca="false">MAX(C107-D107,ABS(C107-E106),ABS(D107-E106))</f>
        <v>0.00878567516437223</v>
      </c>
      <c r="I107" s="8" t="n">
        <f aca="true">IF(ROW()-2&lt;14,"",IF(ROW()-2=14,AVERAGE(OFFSET(H107,-13,0,14,1)),(I106*13+H107)/14))</f>
        <v>0.00921806007182893</v>
      </c>
      <c r="J107" s="9" t="b">
        <f aca="false">IF(AND(ISNUMBER(F107),ISNUMBER(G107),ISNUMBER(F106),ISNUMBER(G106)),AND(F107&gt;G107,F106&lt;=G106),FALSE())</f>
        <v>0</v>
      </c>
      <c r="K107" s="9" t="b">
        <f aca="false">IF(AND(ISNUMBER(F107),ISNUMBER(G107),ISNUMBER(F106),ISNUMBER(G106)),AND(F107&lt;G107,F106&gt;=G106),FALSE())</f>
        <v>0</v>
      </c>
      <c r="L107" s="8" t="n">
        <f aca="false">IF(ISNUMBER(I107),E107-Inputs!$B$6*I107,"")</f>
        <v>0.834611025374872</v>
      </c>
      <c r="M107" s="9" t="b">
        <f aca="false">AND(Y106&gt;0,Z106)</f>
        <v>0</v>
      </c>
      <c r="N107" s="8" t="n">
        <f aca="false">B107*(1-Inputs!$B$12)</f>
        <v>0.859920557156919</v>
      </c>
      <c r="O107" s="10" t="n">
        <f aca="false">IF(M107,Y106*(N107-AB106)-Inputs!$B$9-Y106*AD106*Inputs!$B$13*(A107-AC106),0)</f>
        <v>0</v>
      </c>
      <c r="P107" s="10" t="n">
        <f aca="false">X106+O107</f>
        <v>999</v>
      </c>
      <c r="Q107" s="9" t="b">
        <f aca="false">AND(IF(M107,0,Y106)=0,AA106,IF(ISNUMBER(AE106),B107&gt;AE106,FALSE()))</f>
        <v>0</v>
      </c>
      <c r="R107" s="8" t="n">
        <f aca="false">B107*(1+Inputs!$B$12)</f>
        <v>0.860264594187188</v>
      </c>
      <c r="S107" s="11" t="n">
        <f aca="false">IF(Q107,MIN(P107*Inputs!$B$3/(R107-AE106),P107*Inputs!$B$11/R107),0)</f>
        <v>0</v>
      </c>
      <c r="T107" s="11" t="n">
        <f aca="false">IF(Q107,S107,IF(M107,0,Y106))</f>
        <v>515.951204214585</v>
      </c>
      <c r="U107" s="8" t="n">
        <f aca="false">IF(Q107,AE106,AF106)</f>
        <v>0.842594980845593</v>
      </c>
      <c r="V107" s="9" t="b">
        <f aca="false">AND(T107&gt;0,D107&lt;=U107)</f>
        <v>0</v>
      </c>
      <c r="W107" s="10" t="n">
        <f aca="false">IF(V107,T107*(AK107-AB107)-Inputs!$B$9-T107*AD107*Inputs!$B$13*(A107-AC107),0)</f>
        <v>0</v>
      </c>
      <c r="X107" s="10" t="n">
        <f aca="false">P107-IF(Q107,Inputs!$B$9,0)+W107</f>
        <v>999</v>
      </c>
      <c r="Y107" s="11" t="n">
        <f aca="false">IF(V107,0,T107)</f>
        <v>515.951204214585</v>
      </c>
      <c r="Z107" s="9" t="b">
        <f aca="false">AND(Y107&gt;0,K107)</f>
        <v>0</v>
      </c>
      <c r="AA107" s="9" t="b">
        <f aca="false">AND(Y107=0,J107,ISNUMBER(L107))</f>
        <v>0</v>
      </c>
      <c r="AB107" s="8" t="n">
        <f aca="false">IF(Q107,R107,AB106)</f>
        <v>0.861976658644412</v>
      </c>
      <c r="AC107" s="12" t="n">
        <f aca="false">IF(Q107,A107,AC106)</f>
        <v>44890</v>
      </c>
      <c r="AD107" s="8" t="n">
        <f aca="false">IF(Q107,B107,AD106)</f>
        <v>0.861804297784855</v>
      </c>
      <c r="AE107" s="8" t="str">
        <f aca="false">IF(AA107,L107,"")</f>
        <v/>
      </c>
      <c r="AF107" s="8" t="n">
        <f aca="false">U107</f>
        <v>0.842594980845593</v>
      </c>
      <c r="AG107" s="2" t="n">
        <f aca="false">AG106+IF(Q107,1,0)</f>
        <v>1</v>
      </c>
      <c r="AH107" s="2" t="n">
        <f aca="false">AG106</f>
        <v>1</v>
      </c>
      <c r="AI107" s="10" t="n">
        <f aca="false">X107+Y107*(E107-AB107)-Y107*AD107*Inputs!$B$13*(A107-AC107)</f>
        <v>994.313622887348</v>
      </c>
      <c r="AJ107" s="10" t="n">
        <v>0</v>
      </c>
      <c r="AK107" s="8" t="n">
        <f aca="false">IF(AND(B107&lt;=U107,NOT(Q107)),B107,U107)*(1-Inputs!$B$12)</f>
        <v>0.842426461849423</v>
      </c>
    </row>
    <row r="108" customFormat="false" ht="15" hidden="false" customHeight="false" outlineLevel="0" collapsed="false">
      <c r="A108" s="6" t="n">
        <v>44892</v>
      </c>
      <c r="B108" s="7" t="n">
        <v>0.85304714551853</v>
      </c>
      <c r="C108" s="7" t="n">
        <v>0.855264650927804</v>
      </c>
      <c r="D108" s="7" t="n">
        <v>0.850821521939852</v>
      </c>
      <c r="E108" s="7" t="n">
        <v>0.855226119389074</v>
      </c>
      <c r="F108" s="8" t="n">
        <f aca="true">IF(ROW()-2&gt;=Inputs!$B$4,AVERAGE(OFFSET(E108,1-Inputs!$B$4,0,Inputs!$B$4,1)),"")</f>
        <v>0.84002461498551</v>
      </c>
      <c r="G108" s="8" t="n">
        <f aca="true">IF(ROW()-2&gt;=Inputs!$B$5,AVERAGE(OFFSET(E108,1-Inputs!$B$5,0,Inputs!$B$5,1)),"")</f>
        <v>0.834803525867836</v>
      </c>
      <c r="H108" s="8" t="n">
        <f aca="false">MAX(C108-D108,ABS(C108-E107),ABS(D108-E107))</f>
        <v>0.00444312898795141</v>
      </c>
      <c r="I108" s="8" t="n">
        <f aca="true">IF(ROW()-2&lt;14,"",IF(ROW()-2=14,AVERAGE(OFFSET(H108,-13,0,14,1)),(I107*13+H108)/14))</f>
        <v>0.00887699356583768</v>
      </c>
      <c r="J108" s="9" t="b">
        <f aca="false">IF(AND(ISNUMBER(F108),ISNUMBER(G108),ISNUMBER(F107),ISNUMBER(G107)),AND(F108&gt;G108,F107&lt;=G107),FALSE())</f>
        <v>0</v>
      </c>
      <c r="K108" s="9" t="b">
        <f aca="false">IF(AND(ISNUMBER(F108),ISNUMBER(G108),ISNUMBER(F107),ISNUMBER(G107)),AND(F108&lt;G108,F107&gt;=G107),FALSE())</f>
        <v>0</v>
      </c>
      <c r="L108" s="8" t="n">
        <f aca="false">IF(ISNUMBER(I108),E108-Inputs!$B$6*I108,"")</f>
        <v>0.837472132257399</v>
      </c>
      <c r="M108" s="9" t="b">
        <f aca="false">AND(Y107&gt;0,Z107)</f>
        <v>0</v>
      </c>
      <c r="N108" s="8" t="n">
        <f aca="false">B108*(1-Inputs!$B$12)</f>
        <v>0.852876536089427</v>
      </c>
      <c r="O108" s="10" t="n">
        <f aca="false">IF(M108,Y107*(N108-AB107)-Inputs!$B$9-Y107*AD107*Inputs!$B$13*(A108-AC107),0)</f>
        <v>0</v>
      </c>
      <c r="P108" s="10" t="n">
        <f aca="false">X107+O108</f>
        <v>999</v>
      </c>
      <c r="Q108" s="9" t="b">
        <f aca="false">AND(IF(M108,0,Y107)=0,AA107,IF(ISNUMBER(AE107),B108&gt;AE107,FALSE()))</f>
        <v>0</v>
      </c>
      <c r="R108" s="8" t="n">
        <f aca="false">B108*(1+Inputs!$B$12)</f>
        <v>0.853217754947634</v>
      </c>
      <c r="S108" s="11" t="n">
        <f aca="false">IF(Q108,MIN(P108*Inputs!$B$3/(R108-AE107),P108*Inputs!$B$11/R108),0)</f>
        <v>0</v>
      </c>
      <c r="T108" s="11" t="n">
        <f aca="false">IF(Q108,S108,IF(M108,0,Y107))</f>
        <v>515.951204214585</v>
      </c>
      <c r="U108" s="8" t="n">
        <f aca="false">IF(Q108,AE107,AF107)</f>
        <v>0.842594980845593</v>
      </c>
      <c r="V108" s="9" t="b">
        <f aca="false">AND(T108&gt;0,D108&lt;=U108)</f>
        <v>0</v>
      </c>
      <c r="W108" s="10" t="n">
        <f aca="false">IF(V108,T108*(AK108-AB108)-Inputs!$B$9-T108*AD108*Inputs!$B$13*(A108-AC108),0)</f>
        <v>0</v>
      </c>
      <c r="X108" s="10" t="n">
        <f aca="false">P108-IF(Q108,Inputs!$B$9,0)+W108</f>
        <v>999</v>
      </c>
      <c r="Y108" s="11" t="n">
        <f aca="false">IF(V108,0,T108)</f>
        <v>515.951204214585</v>
      </c>
      <c r="Z108" s="9" t="b">
        <f aca="false">AND(Y108&gt;0,K108)</f>
        <v>0</v>
      </c>
      <c r="AA108" s="9" t="b">
        <f aca="false">AND(Y108=0,J108,ISNUMBER(L108))</f>
        <v>0</v>
      </c>
      <c r="AB108" s="8" t="n">
        <f aca="false">IF(Q108,R108,AB107)</f>
        <v>0.861976658644412</v>
      </c>
      <c r="AC108" s="12" t="n">
        <f aca="false">IF(Q108,A108,AC107)</f>
        <v>44890</v>
      </c>
      <c r="AD108" s="8" t="n">
        <f aca="false">IF(Q108,B108,AD107)</f>
        <v>0.861804297784855</v>
      </c>
      <c r="AE108" s="8" t="str">
        <f aca="false">IF(AA108,L108,"")</f>
        <v/>
      </c>
      <c r="AF108" s="8" t="n">
        <f aca="false">U108</f>
        <v>0.842594980845593</v>
      </c>
      <c r="AG108" s="2" t="n">
        <f aca="false">AG107+IF(Q108,1,0)</f>
        <v>1</v>
      </c>
      <c r="AH108" s="2" t="n">
        <f aca="false">AG107</f>
        <v>1</v>
      </c>
      <c r="AI108" s="10" t="n">
        <f aca="false">X108+Y108*(E108-AB108)-Y108*AD108*Inputs!$B$13*(A108-AC108)</f>
        <v>995.358683017505</v>
      </c>
      <c r="AJ108" s="10" t="n">
        <v>0</v>
      </c>
      <c r="AK108" s="8" t="n">
        <f aca="false">IF(AND(B108&lt;=U108,NOT(Q108)),B108,U108)*(1-Inputs!$B$12)</f>
        <v>0.842426461849423</v>
      </c>
    </row>
    <row r="109" customFormat="false" ht="15" hidden="false" customHeight="false" outlineLevel="0" collapsed="false">
      <c r="A109" s="6" t="n">
        <v>44893</v>
      </c>
      <c r="B109" s="7" t="n">
        <v>0.855226119389074</v>
      </c>
      <c r="C109" s="7" t="n">
        <v>0.858094881256831</v>
      </c>
      <c r="D109" s="7" t="n">
        <v>0.851774828577796</v>
      </c>
      <c r="E109" s="7" t="n">
        <v>0.854738950607091</v>
      </c>
      <c r="F109" s="8" t="n">
        <f aca="true">IF(ROW()-2&gt;=Inputs!$B$4,AVERAGE(OFFSET(E109,1-Inputs!$B$4,0,Inputs!$B$4,1)),"")</f>
        <v>0.841969302718658</v>
      </c>
      <c r="G109" s="8" t="n">
        <f aca="true">IF(ROW()-2&gt;=Inputs!$B$5,AVERAGE(OFFSET(E109,1-Inputs!$B$5,0,Inputs!$B$5,1)),"")</f>
        <v>0.834958139708718</v>
      </c>
      <c r="H109" s="8" t="n">
        <f aca="false">MAX(C109-D109,ABS(C109-E108),ABS(D109-E108))</f>
        <v>0.00632005267903513</v>
      </c>
      <c r="I109" s="8" t="n">
        <f aca="true">IF(ROW()-2&lt;14,"",IF(ROW()-2=14,AVERAGE(OFFSET(H109,-13,0,14,1)),(I108*13+H109)/14))</f>
        <v>0.00869435493106607</v>
      </c>
      <c r="J109" s="9" t="b">
        <f aca="false">IF(AND(ISNUMBER(F109),ISNUMBER(G109),ISNUMBER(F108),ISNUMBER(G108)),AND(F109&gt;G109,F108&lt;=G108),FALSE())</f>
        <v>0</v>
      </c>
      <c r="K109" s="9" t="b">
        <f aca="false">IF(AND(ISNUMBER(F109),ISNUMBER(G109),ISNUMBER(F108),ISNUMBER(G108)),AND(F109&lt;G109,F108&gt;=G108),FALSE())</f>
        <v>0</v>
      </c>
      <c r="L109" s="8" t="n">
        <f aca="false">IF(ISNUMBER(I109),E109-Inputs!$B$6*I109,"")</f>
        <v>0.837350240744959</v>
      </c>
      <c r="M109" s="9" t="b">
        <f aca="false">AND(Y108&gt;0,Z108)</f>
        <v>0</v>
      </c>
      <c r="N109" s="8" t="n">
        <f aca="false">B109*(1-Inputs!$B$12)</f>
        <v>0.855055074165196</v>
      </c>
      <c r="O109" s="10" t="n">
        <f aca="false">IF(M109,Y108*(N109-AB108)-Inputs!$B$9-Y108*AD108*Inputs!$B$13*(A109-AC108),0)</f>
        <v>0</v>
      </c>
      <c r="P109" s="10" t="n">
        <f aca="false">X108+O109</f>
        <v>999</v>
      </c>
      <c r="Q109" s="9" t="b">
        <f aca="false">AND(IF(M109,0,Y108)=0,AA108,IF(ISNUMBER(AE108),B109&gt;AE108,FALSE()))</f>
        <v>0</v>
      </c>
      <c r="R109" s="8" t="n">
        <f aca="false">B109*(1+Inputs!$B$12)</f>
        <v>0.855397164612952</v>
      </c>
      <c r="S109" s="11" t="n">
        <f aca="false">IF(Q109,MIN(P109*Inputs!$B$3/(R109-AE108),P109*Inputs!$B$11/R109),0)</f>
        <v>0</v>
      </c>
      <c r="T109" s="11" t="n">
        <f aca="false">IF(Q109,S109,IF(M109,0,Y108))</f>
        <v>515.951204214585</v>
      </c>
      <c r="U109" s="8" t="n">
        <f aca="false">IF(Q109,AE108,AF108)</f>
        <v>0.842594980845593</v>
      </c>
      <c r="V109" s="9" t="b">
        <f aca="false">AND(T109&gt;0,D109&lt;=U109)</f>
        <v>0</v>
      </c>
      <c r="W109" s="10" t="n">
        <f aca="false">IF(V109,T109*(AK109-AB109)-Inputs!$B$9-T109*AD109*Inputs!$B$13*(A109-AC109),0)</f>
        <v>0</v>
      </c>
      <c r="X109" s="10" t="n">
        <f aca="false">P109-IF(Q109,Inputs!$B$9,0)+W109</f>
        <v>999</v>
      </c>
      <c r="Y109" s="11" t="n">
        <f aca="false">IF(V109,0,T109)</f>
        <v>515.951204214585</v>
      </c>
      <c r="Z109" s="9" t="b">
        <f aca="false">AND(Y109&gt;0,K109)</f>
        <v>0</v>
      </c>
      <c r="AA109" s="9" t="b">
        <f aca="false">AND(Y109=0,J109,ISNUMBER(L109))</f>
        <v>0</v>
      </c>
      <c r="AB109" s="8" t="n">
        <f aca="false">IF(Q109,R109,AB108)</f>
        <v>0.861976658644412</v>
      </c>
      <c r="AC109" s="12" t="n">
        <f aca="false">IF(Q109,A109,AC108)</f>
        <v>44890</v>
      </c>
      <c r="AD109" s="8" t="n">
        <f aca="false">IF(Q109,B109,AD108)</f>
        <v>0.861804297784855</v>
      </c>
      <c r="AE109" s="8" t="str">
        <f aca="false">IF(AA109,L109,"")</f>
        <v/>
      </c>
      <c r="AF109" s="8" t="n">
        <f aca="false">U109</f>
        <v>0.842594980845593</v>
      </c>
      <c r="AG109" s="2" t="n">
        <f aca="false">AG108+IF(Q109,1,0)</f>
        <v>1</v>
      </c>
      <c r="AH109" s="2" t="n">
        <f aca="false">AG108</f>
        <v>1</v>
      </c>
      <c r="AI109" s="10" t="n">
        <f aca="false">X109+Y109*(E109-AB109)-Y109*AD109*Inputs!$B$13*(A109-AC109)</f>
        <v>995.028143635482</v>
      </c>
      <c r="AJ109" s="10" t="n">
        <v>0</v>
      </c>
      <c r="AK109" s="8" t="n">
        <f aca="false">IF(AND(B109&lt;=U109,NOT(Q109)),B109,U109)*(1-Inputs!$B$12)</f>
        <v>0.842426461849423</v>
      </c>
    </row>
    <row r="110" customFormat="false" ht="15" hidden="false" customHeight="false" outlineLevel="0" collapsed="false">
      <c r="A110" s="6" t="n">
        <v>44894</v>
      </c>
      <c r="B110" s="7" t="n">
        <v>0.854738950607091</v>
      </c>
      <c r="C110" s="7" t="n">
        <v>0.863957901257677</v>
      </c>
      <c r="D110" s="7" t="n">
        <v>0.849553142117458</v>
      </c>
      <c r="E110" s="7" t="n">
        <v>0.861052969282473</v>
      </c>
      <c r="F110" s="8" t="n">
        <f aca="true">IF(ROW()-2&gt;=Inputs!$B$4,AVERAGE(OFFSET(E110,1-Inputs!$B$4,0,Inputs!$B$4,1)),"")</f>
        <v>0.84408412914881</v>
      </c>
      <c r="G110" s="8" t="n">
        <f aca="true">IF(ROW()-2&gt;=Inputs!$B$5,AVERAGE(OFFSET(E110,1-Inputs!$B$5,0,Inputs!$B$5,1)),"")</f>
        <v>0.835178731633116</v>
      </c>
      <c r="H110" s="8" t="n">
        <f aca="false">MAX(C110-D110,ABS(C110-E109),ABS(D110-E109))</f>
        <v>0.0144047591402185</v>
      </c>
      <c r="I110" s="8" t="n">
        <f aca="true">IF(ROW()-2&lt;14,"",IF(ROW()-2=14,AVERAGE(OFFSET(H110,-13,0,14,1)),(I109*13+H110)/14))</f>
        <v>0.00910224094600553</v>
      </c>
      <c r="J110" s="9" t="b">
        <f aca="false">IF(AND(ISNUMBER(F110),ISNUMBER(G110),ISNUMBER(F109),ISNUMBER(G109)),AND(F110&gt;G110,F109&lt;=G109),FALSE())</f>
        <v>0</v>
      </c>
      <c r="K110" s="9" t="b">
        <f aca="false">IF(AND(ISNUMBER(F110),ISNUMBER(G110),ISNUMBER(F109),ISNUMBER(G109)),AND(F110&lt;G110,F109&gt;=G109),FALSE())</f>
        <v>0</v>
      </c>
      <c r="L110" s="8" t="n">
        <f aca="false">IF(ISNUMBER(I110),E110-Inputs!$B$6*I110,"")</f>
        <v>0.842848487390462</v>
      </c>
      <c r="M110" s="9" t="b">
        <f aca="false">AND(Y109&gt;0,Z109)</f>
        <v>0</v>
      </c>
      <c r="N110" s="8" t="n">
        <f aca="false">B110*(1-Inputs!$B$12)</f>
        <v>0.85456800281697</v>
      </c>
      <c r="O110" s="10" t="n">
        <f aca="false">IF(M110,Y109*(N110-AB109)-Inputs!$B$9-Y109*AD109*Inputs!$B$13*(A110-AC109),0)</f>
        <v>0</v>
      </c>
      <c r="P110" s="10" t="n">
        <f aca="false">X109+O110</f>
        <v>999</v>
      </c>
      <c r="Q110" s="9" t="b">
        <f aca="false">AND(IF(M110,0,Y109)=0,AA109,IF(ISNUMBER(AE109),B110&gt;AE109,FALSE()))</f>
        <v>0</v>
      </c>
      <c r="R110" s="8" t="n">
        <f aca="false">B110*(1+Inputs!$B$12)</f>
        <v>0.854909898397213</v>
      </c>
      <c r="S110" s="11" t="n">
        <f aca="false">IF(Q110,MIN(P110*Inputs!$B$3/(R110-AE109),P110*Inputs!$B$11/R110),0)</f>
        <v>0</v>
      </c>
      <c r="T110" s="11" t="n">
        <f aca="false">IF(Q110,S110,IF(M110,0,Y109))</f>
        <v>515.951204214585</v>
      </c>
      <c r="U110" s="8" t="n">
        <f aca="false">IF(Q110,AE109,AF109)</f>
        <v>0.842594980845593</v>
      </c>
      <c r="V110" s="9" t="b">
        <f aca="false">AND(T110&gt;0,D110&lt;=U110)</f>
        <v>0</v>
      </c>
      <c r="W110" s="10" t="n">
        <f aca="false">IF(V110,T110*(AK110-AB110)-Inputs!$B$9-T110*AD110*Inputs!$B$13*(A110-AC110),0)</f>
        <v>0</v>
      </c>
      <c r="X110" s="10" t="n">
        <f aca="false">P110-IF(Q110,Inputs!$B$9,0)+W110</f>
        <v>999</v>
      </c>
      <c r="Y110" s="11" t="n">
        <f aca="false">IF(V110,0,T110)</f>
        <v>515.951204214585</v>
      </c>
      <c r="Z110" s="9" t="b">
        <f aca="false">AND(Y110&gt;0,K110)</f>
        <v>0</v>
      </c>
      <c r="AA110" s="9" t="b">
        <f aca="false">AND(Y110=0,J110,ISNUMBER(L110))</f>
        <v>0</v>
      </c>
      <c r="AB110" s="8" t="n">
        <f aca="false">IF(Q110,R110,AB109)</f>
        <v>0.861976658644412</v>
      </c>
      <c r="AC110" s="12" t="n">
        <f aca="false">IF(Q110,A110,AC109)</f>
        <v>44890</v>
      </c>
      <c r="AD110" s="8" t="n">
        <f aca="false">IF(Q110,B110,AD109)</f>
        <v>0.861804297784855</v>
      </c>
      <c r="AE110" s="8" t="str">
        <f aca="false">IF(AA110,L110,"")</f>
        <v/>
      </c>
      <c r="AF110" s="8" t="n">
        <f aca="false">U110</f>
        <v>0.842594980845593</v>
      </c>
      <c r="AG110" s="2" t="n">
        <f aca="false">AG109+IF(Q110,1,0)</f>
        <v>1</v>
      </c>
      <c r="AH110" s="2" t="n">
        <f aca="false">AG109</f>
        <v>1</v>
      </c>
      <c r="AI110" s="10" t="n">
        <f aca="false">X110+Y110*(E110-AB110)-Y110*AD110*Inputs!$B$13*(A110-AC110)</f>
        <v>998.206685112176</v>
      </c>
      <c r="AJ110" s="10" t="n">
        <v>0</v>
      </c>
      <c r="AK110" s="8" t="n">
        <f aca="false">IF(AND(B110&lt;=U110,NOT(Q110)),B110,U110)*(1-Inputs!$B$12)</f>
        <v>0.842426461849423</v>
      </c>
    </row>
    <row r="111" customFormat="false" ht="15" hidden="false" customHeight="false" outlineLevel="0" collapsed="false">
      <c r="A111" s="6" t="n">
        <v>44895</v>
      </c>
      <c r="B111" s="7" t="n">
        <v>0.861052969282473</v>
      </c>
      <c r="C111" s="7" t="n">
        <v>0.865001272552742</v>
      </c>
      <c r="D111" s="7" t="n">
        <v>0.856362062371124</v>
      </c>
      <c r="E111" s="7" t="n">
        <v>0.856382379926584</v>
      </c>
      <c r="F111" s="8" t="n">
        <f aca="true">IF(ROW()-2&gt;=Inputs!$B$4,AVERAGE(OFFSET(E111,1-Inputs!$B$4,0,Inputs!$B$4,1)),"")</f>
        <v>0.845747521727548</v>
      </c>
      <c r="G111" s="8" t="n">
        <f aca="true">IF(ROW()-2&gt;=Inputs!$B$5,AVERAGE(OFFSET(E111,1-Inputs!$B$5,0,Inputs!$B$5,1)),"")</f>
        <v>0.835532036219051</v>
      </c>
      <c r="H111" s="8" t="n">
        <f aca="false">MAX(C111-D111,ABS(C111-E110),ABS(D111-E110))</f>
        <v>0.00863921018161795</v>
      </c>
      <c r="I111" s="8" t="n">
        <f aca="true">IF(ROW()-2&lt;14,"",IF(ROW()-2=14,AVERAGE(OFFSET(H111,-13,0,14,1)),(I110*13+H111)/14))</f>
        <v>0.00906916731997785</v>
      </c>
      <c r="J111" s="9" t="b">
        <f aca="false">IF(AND(ISNUMBER(F111),ISNUMBER(G111),ISNUMBER(F110),ISNUMBER(G110)),AND(F111&gt;G111,F110&lt;=G110),FALSE())</f>
        <v>0</v>
      </c>
      <c r="K111" s="9" t="b">
        <f aca="false">IF(AND(ISNUMBER(F111),ISNUMBER(G111),ISNUMBER(F110),ISNUMBER(G110)),AND(F111&lt;G111,F110&gt;=G110),FALSE())</f>
        <v>0</v>
      </c>
      <c r="L111" s="8" t="n">
        <f aca="false">IF(ISNUMBER(I111),E111-Inputs!$B$6*I111,"")</f>
        <v>0.838244045286629</v>
      </c>
      <c r="M111" s="9" t="b">
        <f aca="false">AND(Y110&gt;0,Z110)</f>
        <v>0</v>
      </c>
      <c r="N111" s="8" t="n">
        <f aca="false">B111*(1-Inputs!$B$12)</f>
        <v>0.860880758688617</v>
      </c>
      <c r="O111" s="10" t="n">
        <f aca="false">IF(M111,Y110*(N111-AB110)-Inputs!$B$9-Y110*AD110*Inputs!$B$13*(A111-AC110),0)</f>
        <v>0</v>
      </c>
      <c r="P111" s="10" t="n">
        <f aca="false">X110+O111</f>
        <v>999</v>
      </c>
      <c r="Q111" s="9" t="b">
        <f aca="false">AND(IF(M111,0,Y110)=0,AA110,IF(ISNUMBER(AE110),B111&gt;AE110,FALSE()))</f>
        <v>0</v>
      </c>
      <c r="R111" s="8" t="n">
        <f aca="false">B111*(1+Inputs!$B$12)</f>
        <v>0.86122517987633</v>
      </c>
      <c r="S111" s="11" t="n">
        <f aca="false">IF(Q111,MIN(P111*Inputs!$B$3/(R111-AE110),P111*Inputs!$B$11/R111),0)</f>
        <v>0</v>
      </c>
      <c r="T111" s="11" t="n">
        <f aca="false">IF(Q111,S111,IF(M111,0,Y110))</f>
        <v>515.951204214585</v>
      </c>
      <c r="U111" s="8" t="n">
        <f aca="false">IF(Q111,AE110,AF110)</f>
        <v>0.842594980845593</v>
      </c>
      <c r="V111" s="9" t="b">
        <f aca="false">AND(T111&gt;0,D111&lt;=U111)</f>
        <v>0</v>
      </c>
      <c r="W111" s="10" t="n">
        <f aca="false">IF(V111,T111*(AK111-AB111)-Inputs!$B$9-T111*AD111*Inputs!$B$13*(A111-AC111),0)</f>
        <v>0</v>
      </c>
      <c r="X111" s="10" t="n">
        <f aca="false">P111-IF(Q111,Inputs!$B$9,0)+W111</f>
        <v>999</v>
      </c>
      <c r="Y111" s="11" t="n">
        <f aca="false">IF(V111,0,T111)</f>
        <v>515.951204214585</v>
      </c>
      <c r="Z111" s="9" t="b">
        <f aca="false">AND(Y111&gt;0,K111)</f>
        <v>0</v>
      </c>
      <c r="AA111" s="9" t="b">
        <f aca="false">AND(Y111=0,J111,ISNUMBER(L111))</f>
        <v>0</v>
      </c>
      <c r="AB111" s="8" t="n">
        <f aca="false">IF(Q111,R111,AB110)</f>
        <v>0.861976658644412</v>
      </c>
      <c r="AC111" s="12" t="n">
        <f aca="false">IF(Q111,A111,AC110)</f>
        <v>44890</v>
      </c>
      <c r="AD111" s="8" t="n">
        <f aca="false">IF(Q111,B111,AD110)</f>
        <v>0.861804297784855</v>
      </c>
      <c r="AE111" s="8" t="str">
        <f aca="false">IF(AA111,L111,"")</f>
        <v/>
      </c>
      <c r="AF111" s="8" t="n">
        <f aca="false">U111</f>
        <v>0.842594980845593</v>
      </c>
      <c r="AG111" s="2" t="n">
        <f aca="false">AG110+IF(Q111,1,0)</f>
        <v>1</v>
      </c>
      <c r="AH111" s="2" t="n">
        <f aca="false">AG110</f>
        <v>1</v>
      </c>
      <c r="AI111" s="10" t="n">
        <f aca="false">X111+Y111*(E111-AB111)-Y111*AD111*Inputs!$B$13*(A111-AC111)</f>
        <v>995.71770484731</v>
      </c>
      <c r="AJ111" s="10" t="n">
        <v>0</v>
      </c>
      <c r="AK111" s="8" t="n">
        <f aca="false">IF(AND(B111&lt;=U111,NOT(Q111)),B111,U111)*(1-Inputs!$B$12)</f>
        <v>0.842426461849423</v>
      </c>
    </row>
    <row r="112" customFormat="false" ht="15" hidden="false" customHeight="false" outlineLevel="0" collapsed="false">
      <c r="A112" s="6" t="n">
        <v>44896</v>
      </c>
      <c r="B112" s="7" t="n">
        <v>0.856382379926584</v>
      </c>
      <c r="C112" s="7" t="n">
        <v>0.860225497009483</v>
      </c>
      <c r="D112" s="7" t="n">
        <v>0.851462525287554</v>
      </c>
      <c r="E112" s="7" t="n">
        <v>0.853001971661567</v>
      </c>
      <c r="F112" s="8" t="n">
        <f aca="true">IF(ROW()-2&gt;=Inputs!$B$4,AVERAGE(OFFSET(E112,1-Inputs!$B$4,0,Inputs!$B$4,1)),"")</f>
        <v>0.847290252914397</v>
      </c>
      <c r="G112" s="8" t="n">
        <f aca="true">IF(ROW()-2&gt;=Inputs!$B$5,AVERAGE(OFFSET(E112,1-Inputs!$B$5,0,Inputs!$B$5,1)),"")</f>
        <v>0.835921699722397</v>
      </c>
      <c r="H112" s="8" t="n">
        <f aca="false">MAX(C112-D112,ABS(C112-E111),ABS(D112-E111))</f>
        <v>0.00876297172192841</v>
      </c>
      <c r="I112" s="8" t="n">
        <f aca="true">IF(ROW()-2&lt;14,"",IF(ROW()-2=14,AVERAGE(OFFSET(H112,-13,0,14,1)),(I111*13+H112)/14))</f>
        <v>0.00904729620583146</v>
      </c>
      <c r="J112" s="9" t="b">
        <f aca="false">IF(AND(ISNUMBER(F112),ISNUMBER(G112),ISNUMBER(F111),ISNUMBER(G111)),AND(F112&gt;G112,F111&lt;=G111),FALSE())</f>
        <v>0</v>
      </c>
      <c r="K112" s="9" t="b">
        <f aca="false">IF(AND(ISNUMBER(F112),ISNUMBER(G112),ISNUMBER(F111),ISNUMBER(G111)),AND(F112&lt;G112,F111&gt;=G111),FALSE())</f>
        <v>0</v>
      </c>
      <c r="L112" s="8" t="n">
        <f aca="false">IF(ISNUMBER(I112),E112-Inputs!$B$6*I112,"")</f>
        <v>0.834907379249904</v>
      </c>
      <c r="M112" s="9" t="b">
        <f aca="false">AND(Y111&gt;0,Z111)</f>
        <v>0</v>
      </c>
      <c r="N112" s="8" t="n">
        <f aca="false">B112*(1-Inputs!$B$12)</f>
        <v>0.856211103450599</v>
      </c>
      <c r="O112" s="10" t="n">
        <f aca="false">IF(M112,Y111*(N112-AB111)-Inputs!$B$9-Y111*AD111*Inputs!$B$13*(A112-AC111),0)</f>
        <v>0</v>
      </c>
      <c r="P112" s="10" t="n">
        <f aca="false">X111+O112</f>
        <v>999</v>
      </c>
      <c r="Q112" s="9" t="b">
        <f aca="false">AND(IF(M112,0,Y111)=0,AA111,IF(ISNUMBER(AE111),B112&gt;AE111,FALSE()))</f>
        <v>0</v>
      </c>
      <c r="R112" s="8" t="n">
        <f aca="false">B112*(1+Inputs!$B$12)</f>
        <v>0.85655365640257</v>
      </c>
      <c r="S112" s="11" t="n">
        <f aca="false">IF(Q112,MIN(P112*Inputs!$B$3/(R112-AE111),P112*Inputs!$B$11/R112),0)</f>
        <v>0</v>
      </c>
      <c r="T112" s="11" t="n">
        <f aca="false">IF(Q112,S112,IF(M112,0,Y111))</f>
        <v>515.951204214585</v>
      </c>
      <c r="U112" s="8" t="n">
        <f aca="false">IF(Q112,AE111,AF111)</f>
        <v>0.842594980845593</v>
      </c>
      <c r="V112" s="9" t="b">
        <f aca="false">AND(T112&gt;0,D112&lt;=U112)</f>
        <v>0</v>
      </c>
      <c r="W112" s="10" t="n">
        <f aca="false">IF(V112,T112*(AK112-AB112)-Inputs!$B$9-T112*AD112*Inputs!$B$13*(A112-AC112),0)</f>
        <v>0</v>
      </c>
      <c r="X112" s="10" t="n">
        <f aca="false">P112-IF(Q112,Inputs!$B$9,0)+W112</f>
        <v>999</v>
      </c>
      <c r="Y112" s="11" t="n">
        <f aca="false">IF(V112,0,T112)</f>
        <v>515.951204214585</v>
      </c>
      <c r="Z112" s="9" t="b">
        <f aca="false">AND(Y112&gt;0,K112)</f>
        <v>0</v>
      </c>
      <c r="AA112" s="9" t="b">
        <f aca="false">AND(Y112=0,J112,ISNUMBER(L112))</f>
        <v>0</v>
      </c>
      <c r="AB112" s="8" t="n">
        <f aca="false">IF(Q112,R112,AB111)</f>
        <v>0.861976658644412</v>
      </c>
      <c r="AC112" s="12" t="n">
        <f aca="false">IF(Q112,A112,AC111)</f>
        <v>44890</v>
      </c>
      <c r="AD112" s="8" t="n">
        <f aca="false">IF(Q112,B112,AD111)</f>
        <v>0.861804297784855</v>
      </c>
      <c r="AE112" s="8" t="str">
        <f aca="false">IF(AA112,L112,"")</f>
        <v/>
      </c>
      <c r="AF112" s="8" t="n">
        <f aca="false">U112</f>
        <v>0.842594980845593</v>
      </c>
      <c r="AG112" s="2" t="n">
        <f aca="false">AG111+IF(Q112,1,0)</f>
        <v>1</v>
      </c>
      <c r="AH112" s="2" t="n">
        <f aca="false">AG111</f>
        <v>1</v>
      </c>
      <c r="AI112" s="10" t="n">
        <f aca="false">X112+Y112*(E112-AB112)-Y112*AD112*Inputs!$B$13*(A112-AC112)</f>
        <v>993.894395069935</v>
      </c>
      <c r="AJ112" s="10" t="n">
        <v>0</v>
      </c>
      <c r="AK112" s="8" t="n">
        <f aca="false">IF(AND(B112&lt;=U112,NOT(Q112)),B112,U112)*(1-Inputs!$B$12)</f>
        <v>0.842426461849423</v>
      </c>
    </row>
    <row r="113" customFormat="false" ht="15" hidden="false" customHeight="false" outlineLevel="0" collapsed="false">
      <c r="A113" s="6" t="n">
        <v>44897</v>
      </c>
      <c r="B113" s="7" t="n">
        <v>0.853001971661567</v>
      </c>
      <c r="C113" s="7" t="n">
        <v>0.859811705119486</v>
      </c>
      <c r="D113" s="7" t="n">
        <v>0.843699650817634</v>
      </c>
      <c r="E113" s="7" t="n">
        <v>0.856601045094275</v>
      </c>
      <c r="F113" s="8" t="n">
        <f aca="true">IF(ROW()-2&gt;=Inputs!$B$4,AVERAGE(OFFSET(E113,1-Inputs!$B$4,0,Inputs!$B$4,1)),"")</f>
        <v>0.848933959981895</v>
      </c>
      <c r="G113" s="8" t="n">
        <f aca="true">IF(ROW()-2&gt;=Inputs!$B$5,AVERAGE(OFFSET(E113,1-Inputs!$B$5,0,Inputs!$B$5,1)),"")</f>
        <v>0.836520693561972</v>
      </c>
      <c r="H113" s="8" t="n">
        <f aca="false">MAX(C113-D113,ABS(C113-E112),ABS(D113-E112))</f>
        <v>0.0161120543018516</v>
      </c>
      <c r="I113" s="8" t="n">
        <f aca="true">IF(ROW()-2&lt;14,"",IF(ROW()-2=14,AVERAGE(OFFSET(H113,-13,0,14,1)),(I112*13+H113)/14))</f>
        <v>0.00955192178411861</v>
      </c>
      <c r="J113" s="9" t="b">
        <f aca="false">IF(AND(ISNUMBER(F113),ISNUMBER(G113),ISNUMBER(F112),ISNUMBER(G112)),AND(F113&gt;G113,F112&lt;=G112),FALSE())</f>
        <v>0</v>
      </c>
      <c r="K113" s="9" t="b">
        <f aca="false">IF(AND(ISNUMBER(F113),ISNUMBER(G113),ISNUMBER(F112),ISNUMBER(G112)),AND(F113&lt;G113,F112&gt;=G112),FALSE())</f>
        <v>0</v>
      </c>
      <c r="L113" s="8" t="n">
        <f aca="false">IF(ISNUMBER(I113),E113-Inputs!$B$6*I113,"")</f>
        <v>0.837497201526038</v>
      </c>
      <c r="M113" s="9" t="b">
        <f aca="false">AND(Y112&gt;0,Z112)</f>
        <v>0</v>
      </c>
      <c r="N113" s="8" t="n">
        <f aca="false">B113*(1-Inputs!$B$12)</f>
        <v>0.852831371267235</v>
      </c>
      <c r="O113" s="10" t="n">
        <f aca="false">IF(M113,Y112*(N113-AB112)-Inputs!$B$9-Y112*AD112*Inputs!$B$13*(A113-AC112),0)</f>
        <v>0</v>
      </c>
      <c r="P113" s="10" t="n">
        <f aca="false">X112+O113</f>
        <v>999</v>
      </c>
      <c r="Q113" s="9" t="b">
        <f aca="false">AND(IF(M113,0,Y112)=0,AA112,IF(ISNUMBER(AE112),B113&gt;AE112,FALSE()))</f>
        <v>0</v>
      </c>
      <c r="R113" s="8" t="n">
        <f aca="false">B113*(1+Inputs!$B$12)</f>
        <v>0.8531725720559</v>
      </c>
      <c r="S113" s="11" t="n">
        <f aca="false">IF(Q113,MIN(P113*Inputs!$B$3/(R113-AE112),P113*Inputs!$B$11/R113),0)</f>
        <v>0</v>
      </c>
      <c r="T113" s="11" t="n">
        <f aca="false">IF(Q113,S113,IF(M113,0,Y112))</f>
        <v>515.951204214585</v>
      </c>
      <c r="U113" s="8" t="n">
        <f aca="false">IF(Q113,AE112,AF112)</f>
        <v>0.842594980845593</v>
      </c>
      <c r="V113" s="9" t="b">
        <f aca="false">AND(T113&gt;0,D113&lt;=U113)</f>
        <v>0</v>
      </c>
      <c r="W113" s="10" t="n">
        <f aca="false">IF(V113,T113*(AK113-AB113)-Inputs!$B$9-T113*AD113*Inputs!$B$13*(A113-AC113),0)</f>
        <v>0</v>
      </c>
      <c r="X113" s="10" t="n">
        <f aca="false">P113-IF(Q113,Inputs!$B$9,0)+W113</f>
        <v>999</v>
      </c>
      <c r="Y113" s="11" t="n">
        <f aca="false">IF(V113,0,T113)</f>
        <v>515.951204214585</v>
      </c>
      <c r="Z113" s="9" t="b">
        <f aca="false">AND(Y113&gt;0,K113)</f>
        <v>0</v>
      </c>
      <c r="AA113" s="9" t="b">
        <f aca="false">AND(Y113=0,J113,ISNUMBER(L113))</f>
        <v>0</v>
      </c>
      <c r="AB113" s="8" t="n">
        <f aca="false">IF(Q113,R113,AB112)</f>
        <v>0.861976658644412</v>
      </c>
      <c r="AC113" s="12" t="n">
        <f aca="false">IF(Q113,A113,AC112)</f>
        <v>44890</v>
      </c>
      <c r="AD113" s="8" t="n">
        <f aca="false">IF(Q113,B113,AD112)</f>
        <v>0.861804297784855</v>
      </c>
      <c r="AE113" s="8" t="str">
        <f aca="false">IF(AA113,L113,"")</f>
        <v/>
      </c>
      <c r="AF113" s="8" t="n">
        <f aca="false">U113</f>
        <v>0.842594980845593</v>
      </c>
      <c r="AG113" s="2" t="n">
        <f aca="false">AG112+IF(Q113,1,0)</f>
        <v>1</v>
      </c>
      <c r="AH113" s="2" t="n">
        <f aca="false">AG112</f>
        <v>1</v>
      </c>
      <c r="AI113" s="10" t="n">
        <f aca="false">X113+Y113*(E113-AB113)-Y113*AD113*Inputs!$B$13*(A113-AC113)</f>
        <v>995.672157279294</v>
      </c>
      <c r="AJ113" s="10" t="n">
        <v>0</v>
      </c>
      <c r="AK113" s="8" t="n">
        <f aca="false">IF(AND(B113&lt;=U113,NOT(Q113)),B113,U113)*(1-Inputs!$B$12)</f>
        <v>0.842426461849423</v>
      </c>
    </row>
    <row r="114" customFormat="false" ht="15" hidden="false" customHeight="false" outlineLevel="0" collapsed="false">
      <c r="A114" s="6" t="n">
        <v>44898</v>
      </c>
      <c r="B114" s="7" t="n">
        <v>0.856601045094275</v>
      </c>
      <c r="C114" s="7" t="n">
        <v>0.859720579409306</v>
      </c>
      <c r="D114" s="7" t="n">
        <v>0.853089381502287</v>
      </c>
      <c r="E114" s="7" t="n">
        <v>0.855959584714632</v>
      </c>
      <c r="F114" s="8" t="n">
        <f aca="true">IF(ROW()-2&gt;=Inputs!$B$4,AVERAGE(OFFSET(E114,1-Inputs!$B$4,0,Inputs!$B$4,1)),"")</f>
        <v>0.850706347640824</v>
      </c>
      <c r="G114" s="8" t="n">
        <f aca="true">IF(ROW()-2&gt;=Inputs!$B$5,AVERAGE(OFFSET(E114,1-Inputs!$B$5,0,Inputs!$B$5,1)),"")</f>
        <v>0.83714213687324</v>
      </c>
      <c r="H114" s="8" t="n">
        <f aca="false">MAX(C114-D114,ABS(C114-E113),ABS(D114-E113))</f>
        <v>0.00663119790701827</v>
      </c>
      <c r="I114" s="8" t="n">
        <f aca="true">IF(ROW()-2&lt;14,"",IF(ROW()-2=14,AVERAGE(OFFSET(H114,-13,0,14,1)),(I113*13+H114)/14))</f>
        <v>0.00934329865004001</v>
      </c>
      <c r="J114" s="9" t="b">
        <f aca="false">IF(AND(ISNUMBER(F114),ISNUMBER(G114),ISNUMBER(F113),ISNUMBER(G113)),AND(F114&gt;G114,F113&lt;=G113),FALSE())</f>
        <v>0</v>
      </c>
      <c r="K114" s="9" t="b">
        <f aca="false">IF(AND(ISNUMBER(F114),ISNUMBER(G114),ISNUMBER(F113),ISNUMBER(G113)),AND(F114&lt;G114,F113&gt;=G113),FALSE())</f>
        <v>0</v>
      </c>
      <c r="L114" s="8" t="n">
        <f aca="false">IF(ISNUMBER(I114),E114-Inputs!$B$6*I114,"")</f>
        <v>0.837272987414552</v>
      </c>
      <c r="M114" s="9" t="b">
        <f aca="false">AND(Y113&gt;0,Z113)</f>
        <v>0</v>
      </c>
      <c r="N114" s="8" t="n">
        <f aca="false">B114*(1-Inputs!$B$12)</f>
        <v>0.856429724885256</v>
      </c>
      <c r="O114" s="10" t="n">
        <f aca="false">IF(M114,Y113*(N114-AB113)-Inputs!$B$9-Y113*AD113*Inputs!$B$13*(A114-AC113),0)</f>
        <v>0</v>
      </c>
      <c r="P114" s="10" t="n">
        <f aca="false">X113+O114</f>
        <v>999</v>
      </c>
      <c r="Q114" s="9" t="b">
        <f aca="false">AND(IF(M114,0,Y113)=0,AA113,IF(ISNUMBER(AE113),B114&gt;AE113,FALSE()))</f>
        <v>0</v>
      </c>
      <c r="R114" s="8" t="n">
        <f aca="false">B114*(1+Inputs!$B$12)</f>
        <v>0.856772365303294</v>
      </c>
      <c r="S114" s="11" t="n">
        <f aca="false">IF(Q114,MIN(P114*Inputs!$B$3/(R114-AE113),P114*Inputs!$B$11/R114),0)</f>
        <v>0</v>
      </c>
      <c r="T114" s="11" t="n">
        <f aca="false">IF(Q114,S114,IF(M114,0,Y113))</f>
        <v>515.951204214585</v>
      </c>
      <c r="U114" s="8" t="n">
        <f aca="false">IF(Q114,AE113,AF113)</f>
        <v>0.842594980845593</v>
      </c>
      <c r="V114" s="9" t="b">
        <f aca="false">AND(T114&gt;0,D114&lt;=U114)</f>
        <v>0</v>
      </c>
      <c r="W114" s="10" t="n">
        <f aca="false">IF(V114,T114*(AK114-AB114)-Inputs!$B$9-T114*AD114*Inputs!$B$13*(A114-AC114),0)</f>
        <v>0</v>
      </c>
      <c r="X114" s="10" t="n">
        <f aca="false">P114-IF(Q114,Inputs!$B$9,0)+W114</f>
        <v>999</v>
      </c>
      <c r="Y114" s="11" t="n">
        <f aca="false">IF(V114,0,T114)</f>
        <v>515.951204214585</v>
      </c>
      <c r="Z114" s="9" t="b">
        <f aca="false">AND(Y114&gt;0,K114)</f>
        <v>0</v>
      </c>
      <c r="AA114" s="9" t="b">
        <f aca="false">AND(Y114=0,J114,ISNUMBER(L114))</f>
        <v>0</v>
      </c>
      <c r="AB114" s="8" t="n">
        <f aca="false">IF(Q114,R114,AB113)</f>
        <v>0.861976658644412</v>
      </c>
      <c r="AC114" s="12" t="n">
        <f aca="false">IF(Q114,A114,AC113)</f>
        <v>44890</v>
      </c>
      <c r="AD114" s="8" t="n">
        <f aca="false">IF(Q114,B114,AD113)</f>
        <v>0.861804297784855</v>
      </c>
      <c r="AE114" s="8" t="str">
        <f aca="false">IF(AA114,L114,"")</f>
        <v/>
      </c>
      <c r="AF114" s="8" t="n">
        <f aca="false">U114</f>
        <v>0.842594980845593</v>
      </c>
      <c r="AG114" s="2" t="n">
        <f aca="false">AG113+IF(Q114,1,0)</f>
        <v>1</v>
      </c>
      <c r="AH114" s="2" t="n">
        <f aca="false">AG113</f>
        <v>1</v>
      </c>
      <c r="AI114" s="10" t="n">
        <f aca="false">X114+Y114*(E114-AB114)-Y114*AD114*Inputs!$B$13*(A114-AC114)</f>
        <v>995.262010961659</v>
      </c>
      <c r="AJ114" s="10" t="n">
        <v>0</v>
      </c>
      <c r="AK114" s="8" t="n">
        <f aca="false">IF(AND(B114&lt;=U114,NOT(Q114)),B114,U114)*(1-Inputs!$B$12)</f>
        <v>0.842426461849423</v>
      </c>
    </row>
    <row r="115" customFormat="false" ht="15" hidden="false" customHeight="false" outlineLevel="0" collapsed="false">
      <c r="A115" s="6" t="n">
        <v>44899</v>
      </c>
      <c r="B115" s="7" t="n">
        <v>0.855959584714632</v>
      </c>
      <c r="C115" s="7" t="n">
        <v>0.860334762121079</v>
      </c>
      <c r="D115" s="7" t="n">
        <v>0.853086469506302</v>
      </c>
      <c r="E115" s="7" t="n">
        <v>0.857591061401813</v>
      </c>
      <c r="F115" s="8" t="n">
        <f aca="true">IF(ROW()-2&gt;=Inputs!$B$4,AVERAGE(OFFSET(E115,1-Inputs!$B$4,0,Inputs!$B$4,1)),"")</f>
        <v>0.852407589482021</v>
      </c>
      <c r="G115" s="8" t="n">
        <f aca="true">IF(ROW()-2&gt;=Inputs!$B$5,AVERAGE(OFFSET(E115,1-Inputs!$B$5,0,Inputs!$B$5,1)),"")</f>
        <v>0.8379004445054</v>
      </c>
      <c r="H115" s="8" t="n">
        <f aca="false">MAX(C115-D115,ABS(C115-E114),ABS(D115-E114))</f>
        <v>0.00724829261477666</v>
      </c>
      <c r="I115" s="8" t="n">
        <f aca="true">IF(ROW()-2&lt;14,"",IF(ROW()-2=14,AVERAGE(OFFSET(H115,-13,0,14,1)),(I114*13+H115)/14))</f>
        <v>0.00919365536180692</v>
      </c>
      <c r="J115" s="9" t="b">
        <f aca="false">IF(AND(ISNUMBER(F115),ISNUMBER(G115),ISNUMBER(F114),ISNUMBER(G114)),AND(F115&gt;G115,F114&lt;=G114),FALSE())</f>
        <v>0</v>
      </c>
      <c r="K115" s="9" t="b">
        <f aca="false">IF(AND(ISNUMBER(F115),ISNUMBER(G115),ISNUMBER(F114),ISNUMBER(G114)),AND(F115&lt;G115,F114&gt;=G114),FALSE())</f>
        <v>0</v>
      </c>
      <c r="L115" s="8" t="n">
        <f aca="false">IF(ISNUMBER(I115),E115-Inputs!$B$6*I115,"")</f>
        <v>0.839203750678199</v>
      </c>
      <c r="M115" s="9" t="b">
        <f aca="false">AND(Y114&gt;0,Z114)</f>
        <v>0</v>
      </c>
      <c r="N115" s="8" t="n">
        <f aca="false">B115*(1-Inputs!$B$12)</f>
        <v>0.85578839279769</v>
      </c>
      <c r="O115" s="10" t="n">
        <f aca="false">IF(M115,Y114*(N115-AB114)-Inputs!$B$9-Y114*AD114*Inputs!$B$13*(A115-AC114),0)</f>
        <v>0</v>
      </c>
      <c r="P115" s="10" t="n">
        <f aca="false">X114+O115</f>
        <v>999</v>
      </c>
      <c r="Q115" s="9" t="b">
        <f aca="false">AND(IF(M115,0,Y114)=0,AA114,IF(ISNUMBER(AE114),B115&gt;AE114,FALSE()))</f>
        <v>0</v>
      </c>
      <c r="R115" s="8" t="n">
        <f aca="false">B115*(1+Inputs!$B$12)</f>
        <v>0.856130776631575</v>
      </c>
      <c r="S115" s="11" t="n">
        <f aca="false">IF(Q115,MIN(P115*Inputs!$B$3/(R115-AE114),P115*Inputs!$B$11/R115),0)</f>
        <v>0</v>
      </c>
      <c r="T115" s="11" t="n">
        <f aca="false">IF(Q115,S115,IF(M115,0,Y114))</f>
        <v>515.951204214585</v>
      </c>
      <c r="U115" s="8" t="n">
        <f aca="false">IF(Q115,AE114,AF114)</f>
        <v>0.842594980845593</v>
      </c>
      <c r="V115" s="9" t="b">
        <f aca="false">AND(T115&gt;0,D115&lt;=U115)</f>
        <v>0</v>
      </c>
      <c r="W115" s="10" t="n">
        <f aca="false">IF(V115,T115*(AK115-AB115)-Inputs!$B$9-T115*AD115*Inputs!$B$13*(A115-AC115),0)</f>
        <v>0</v>
      </c>
      <c r="X115" s="10" t="n">
        <f aca="false">P115-IF(Q115,Inputs!$B$9,0)+W115</f>
        <v>999</v>
      </c>
      <c r="Y115" s="11" t="n">
        <f aca="false">IF(V115,0,T115)</f>
        <v>515.951204214585</v>
      </c>
      <c r="Z115" s="9" t="b">
        <f aca="false">AND(Y115&gt;0,K115)</f>
        <v>0</v>
      </c>
      <c r="AA115" s="9" t="b">
        <f aca="false">AND(Y115=0,J115,ISNUMBER(L115))</f>
        <v>0</v>
      </c>
      <c r="AB115" s="8" t="n">
        <f aca="false">IF(Q115,R115,AB114)</f>
        <v>0.861976658644412</v>
      </c>
      <c r="AC115" s="12" t="n">
        <f aca="false">IF(Q115,A115,AC114)</f>
        <v>44890</v>
      </c>
      <c r="AD115" s="8" t="n">
        <f aca="false">IF(Q115,B115,AD114)</f>
        <v>0.861804297784855</v>
      </c>
      <c r="AE115" s="8" t="str">
        <f aca="false">IF(AA115,L115,"")</f>
        <v/>
      </c>
      <c r="AF115" s="8" t="n">
        <f aca="false">U115</f>
        <v>0.842594980845593</v>
      </c>
      <c r="AG115" s="2" t="n">
        <f aca="false">AG114+IF(Q115,1,0)</f>
        <v>1</v>
      </c>
      <c r="AH115" s="2" t="n">
        <f aca="false">AG114</f>
        <v>1</v>
      </c>
      <c r="AI115" s="10" t="n">
        <f aca="false">X115+Y115*(E115-AB115)-Y115*AD115*Inputs!$B$13*(A115-AC115)</f>
        <v>996.024589260755</v>
      </c>
      <c r="AJ115" s="10" t="n">
        <v>0</v>
      </c>
      <c r="AK115" s="8" t="n">
        <f aca="false">IF(AND(B115&lt;=U115,NOT(Q115)),B115,U115)*(1-Inputs!$B$12)</f>
        <v>0.842426461849423</v>
      </c>
    </row>
    <row r="116" customFormat="false" ht="15" hidden="false" customHeight="false" outlineLevel="0" collapsed="false">
      <c r="A116" s="6" t="n">
        <v>44900</v>
      </c>
      <c r="B116" s="7" t="n">
        <v>0.857591061401813</v>
      </c>
      <c r="C116" s="7" t="n">
        <v>0.859939496813896</v>
      </c>
      <c r="D116" s="7" t="n">
        <v>0.854348859659158</v>
      </c>
      <c r="E116" s="7" t="n">
        <v>0.855512700093256</v>
      </c>
      <c r="F116" s="8" t="n">
        <f aca="true">IF(ROW()-2&gt;=Inputs!$B$4,AVERAGE(OFFSET(E116,1-Inputs!$B$4,0,Inputs!$B$4,1)),"")</f>
        <v>0.853539078773814</v>
      </c>
      <c r="G116" s="8" t="n">
        <f aca="true">IF(ROW()-2&gt;=Inputs!$B$5,AVERAGE(OFFSET(E116,1-Inputs!$B$5,0,Inputs!$B$5,1)),"")</f>
        <v>0.838598571785717</v>
      </c>
      <c r="H116" s="8" t="n">
        <f aca="false">MAX(C116-D116,ABS(C116-E115),ABS(D116-E115))</f>
        <v>0.00559063715473773</v>
      </c>
      <c r="I116" s="8" t="n">
        <f aca="true">IF(ROW()-2&lt;14,"",IF(ROW()-2=14,AVERAGE(OFFSET(H116,-13,0,14,1)),(I115*13+H116)/14))</f>
        <v>0.00893629691844483</v>
      </c>
      <c r="J116" s="9" t="b">
        <f aca="false">IF(AND(ISNUMBER(F116),ISNUMBER(G116),ISNUMBER(F115),ISNUMBER(G115)),AND(F116&gt;G116,F115&lt;=G115),FALSE())</f>
        <v>0</v>
      </c>
      <c r="K116" s="9" t="b">
        <f aca="false">IF(AND(ISNUMBER(F116),ISNUMBER(G116),ISNUMBER(F115),ISNUMBER(G115)),AND(F116&lt;G116,F115&gt;=G115),FALSE())</f>
        <v>0</v>
      </c>
      <c r="L116" s="8" t="n">
        <f aca="false">IF(ISNUMBER(I116),E116-Inputs!$B$6*I116,"")</f>
        <v>0.837640106256367</v>
      </c>
      <c r="M116" s="9" t="b">
        <f aca="false">AND(Y115&gt;0,Z115)</f>
        <v>0</v>
      </c>
      <c r="N116" s="8" t="n">
        <f aca="false">B116*(1-Inputs!$B$12)</f>
        <v>0.857419543189533</v>
      </c>
      <c r="O116" s="10" t="n">
        <f aca="false">IF(M116,Y115*(N116-AB115)-Inputs!$B$9-Y115*AD115*Inputs!$B$13*(A116-AC115),0)</f>
        <v>0</v>
      </c>
      <c r="P116" s="10" t="n">
        <f aca="false">X115+O116</f>
        <v>999</v>
      </c>
      <c r="Q116" s="9" t="b">
        <f aca="false">AND(IF(M116,0,Y115)=0,AA115,IF(ISNUMBER(AE115),B116&gt;AE115,FALSE()))</f>
        <v>0</v>
      </c>
      <c r="R116" s="8" t="n">
        <f aca="false">B116*(1+Inputs!$B$12)</f>
        <v>0.857762579614094</v>
      </c>
      <c r="S116" s="11" t="n">
        <f aca="false">IF(Q116,MIN(P116*Inputs!$B$3/(R116-AE115),P116*Inputs!$B$11/R116),0)</f>
        <v>0</v>
      </c>
      <c r="T116" s="11" t="n">
        <f aca="false">IF(Q116,S116,IF(M116,0,Y115))</f>
        <v>515.951204214585</v>
      </c>
      <c r="U116" s="8" t="n">
        <f aca="false">IF(Q116,AE115,AF115)</f>
        <v>0.842594980845593</v>
      </c>
      <c r="V116" s="9" t="b">
        <f aca="false">AND(T116&gt;0,D116&lt;=U116)</f>
        <v>0</v>
      </c>
      <c r="W116" s="10" t="n">
        <f aca="false">IF(V116,T116*(AK116-AB116)-Inputs!$B$9-T116*AD116*Inputs!$B$13*(A116-AC116),0)</f>
        <v>0</v>
      </c>
      <c r="X116" s="10" t="n">
        <f aca="false">P116-IF(Q116,Inputs!$B$9,0)+W116</f>
        <v>999</v>
      </c>
      <c r="Y116" s="11" t="n">
        <f aca="false">IF(V116,0,T116)</f>
        <v>515.951204214585</v>
      </c>
      <c r="Z116" s="9" t="b">
        <f aca="false">AND(Y116&gt;0,K116)</f>
        <v>0</v>
      </c>
      <c r="AA116" s="9" t="b">
        <f aca="false">AND(Y116=0,J116,ISNUMBER(L116))</f>
        <v>0</v>
      </c>
      <c r="AB116" s="8" t="n">
        <f aca="false">IF(Q116,R116,AB115)</f>
        <v>0.861976658644412</v>
      </c>
      <c r="AC116" s="12" t="n">
        <f aca="false">IF(Q116,A116,AC115)</f>
        <v>44890</v>
      </c>
      <c r="AD116" s="8" t="n">
        <f aca="false">IF(Q116,B116,AD115)</f>
        <v>0.861804297784855</v>
      </c>
      <c r="AE116" s="8" t="str">
        <f aca="false">IF(AA116,L116,"")</f>
        <v/>
      </c>
      <c r="AF116" s="8" t="n">
        <f aca="false">U116</f>
        <v>0.842594980845593</v>
      </c>
      <c r="AG116" s="2" t="n">
        <f aca="false">AG115+IF(Q116,1,0)</f>
        <v>1</v>
      </c>
      <c r="AH116" s="2" t="n">
        <f aca="false">AG115</f>
        <v>1</v>
      </c>
      <c r="AI116" s="10" t="n">
        <f aca="false">X116+Y116*(E116-AB116)-Y116*AD116*Inputs!$B$13*(A116-AC116)</f>
        <v>994.873072178509</v>
      </c>
      <c r="AJ116" s="10" t="n">
        <v>0</v>
      </c>
      <c r="AK116" s="8" t="n">
        <f aca="false">IF(AND(B116&lt;=U116,NOT(Q116)),B116,U116)*(1-Inputs!$B$12)</f>
        <v>0.842426461849423</v>
      </c>
    </row>
    <row r="117" customFormat="false" ht="15" hidden="false" customHeight="false" outlineLevel="0" collapsed="false">
      <c r="A117" s="6" t="n">
        <v>44901</v>
      </c>
      <c r="B117" s="7" t="n">
        <v>0.855512700093256</v>
      </c>
      <c r="C117" s="7" t="n">
        <v>0.86158214793412</v>
      </c>
      <c r="D117" s="7" t="n">
        <v>0.851926859924213</v>
      </c>
      <c r="E117" s="7" t="n">
        <v>0.8578196769634</v>
      </c>
      <c r="F117" s="8" t="n">
        <f aca="true">IF(ROW()-2&gt;=Inputs!$B$4,AVERAGE(OFFSET(E117,1-Inputs!$B$4,0,Inputs!$B$4,1)),"")</f>
        <v>0.854652139889651</v>
      </c>
      <c r="G117" s="8" t="n">
        <f aca="true">IF(ROW()-2&gt;=Inputs!$B$5,AVERAGE(OFFSET(E117,1-Inputs!$B$5,0,Inputs!$B$5,1)),"")</f>
        <v>0.839213204475707</v>
      </c>
      <c r="H117" s="8" t="n">
        <f aca="false">MAX(C117-D117,ABS(C117-E116),ABS(D117-E116))</f>
        <v>0.00965528800990634</v>
      </c>
      <c r="I117" s="8" t="n">
        <f aca="true">IF(ROW()-2&lt;14,"",IF(ROW()-2=14,AVERAGE(OFFSET(H117,-13,0,14,1)),(I116*13+H117)/14))</f>
        <v>0.0089876534249778</v>
      </c>
      <c r="J117" s="9" t="b">
        <f aca="false">IF(AND(ISNUMBER(F117),ISNUMBER(G117),ISNUMBER(F116),ISNUMBER(G116)),AND(F117&gt;G117,F116&lt;=G116),FALSE())</f>
        <v>0</v>
      </c>
      <c r="K117" s="9" t="b">
        <f aca="false">IF(AND(ISNUMBER(F117),ISNUMBER(G117),ISNUMBER(F116),ISNUMBER(G116)),AND(F117&lt;G117,F116&gt;=G116),FALSE())</f>
        <v>0</v>
      </c>
      <c r="L117" s="8" t="n">
        <f aca="false">IF(ISNUMBER(I117),E117-Inputs!$B$6*I117,"")</f>
        <v>0.839844370113445</v>
      </c>
      <c r="M117" s="9" t="b">
        <f aca="false">AND(Y116&gt;0,Z116)</f>
        <v>0</v>
      </c>
      <c r="N117" s="8" t="n">
        <f aca="false">B117*(1-Inputs!$B$12)</f>
        <v>0.855341597553238</v>
      </c>
      <c r="O117" s="10" t="n">
        <f aca="false">IF(M117,Y116*(N117-AB116)-Inputs!$B$9-Y116*AD116*Inputs!$B$13*(A117-AC116),0)</f>
        <v>0</v>
      </c>
      <c r="P117" s="10" t="n">
        <f aca="false">X116+O117</f>
        <v>999</v>
      </c>
      <c r="Q117" s="9" t="b">
        <f aca="false">AND(IF(M117,0,Y116)=0,AA116,IF(ISNUMBER(AE116),B117&gt;AE116,FALSE()))</f>
        <v>0</v>
      </c>
      <c r="R117" s="8" t="n">
        <f aca="false">B117*(1+Inputs!$B$12)</f>
        <v>0.855683802633275</v>
      </c>
      <c r="S117" s="11" t="n">
        <f aca="false">IF(Q117,MIN(P117*Inputs!$B$3/(R117-AE116),P117*Inputs!$B$11/R117),0)</f>
        <v>0</v>
      </c>
      <c r="T117" s="11" t="n">
        <f aca="false">IF(Q117,S117,IF(M117,0,Y116))</f>
        <v>515.951204214585</v>
      </c>
      <c r="U117" s="8" t="n">
        <f aca="false">IF(Q117,AE116,AF116)</f>
        <v>0.842594980845593</v>
      </c>
      <c r="V117" s="9" t="b">
        <f aca="false">AND(T117&gt;0,D117&lt;=U117)</f>
        <v>0</v>
      </c>
      <c r="W117" s="10" t="n">
        <f aca="false">IF(V117,T117*(AK117-AB117)-Inputs!$B$9-T117*AD117*Inputs!$B$13*(A117-AC117),0)</f>
        <v>0</v>
      </c>
      <c r="X117" s="10" t="n">
        <f aca="false">P117-IF(Q117,Inputs!$B$9,0)+W117</f>
        <v>999</v>
      </c>
      <c r="Y117" s="11" t="n">
        <f aca="false">IF(V117,0,T117)</f>
        <v>515.951204214585</v>
      </c>
      <c r="Z117" s="9" t="b">
        <f aca="false">AND(Y117&gt;0,K117)</f>
        <v>0</v>
      </c>
      <c r="AA117" s="9" t="b">
        <f aca="false">AND(Y117=0,J117,ISNUMBER(L117))</f>
        <v>0</v>
      </c>
      <c r="AB117" s="8" t="n">
        <f aca="false">IF(Q117,R117,AB116)</f>
        <v>0.861976658644412</v>
      </c>
      <c r="AC117" s="12" t="n">
        <f aca="false">IF(Q117,A117,AC116)</f>
        <v>44890</v>
      </c>
      <c r="AD117" s="8" t="n">
        <f aca="false">IF(Q117,B117,AD116)</f>
        <v>0.861804297784855</v>
      </c>
      <c r="AE117" s="8" t="str">
        <f aca="false">IF(AA117,L117,"")</f>
        <v/>
      </c>
      <c r="AF117" s="8" t="n">
        <f aca="false">U117</f>
        <v>0.842594980845593</v>
      </c>
      <c r="AG117" s="2" t="n">
        <f aca="false">AG116+IF(Q117,1,0)</f>
        <v>1</v>
      </c>
      <c r="AH117" s="2" t="n">
        <f aca="false">AG116</f>
        <v>1</v>
      </c>
      <c r="AI117" s="10" t="n">
        <f aca="false">X117+Y117*(E117-AB117)-Y117*AD117*Inputs!$B$13*(A117-AC117)</f>
        <v>995.984175610452</v>
      </c>
      <c r="AJ117" s="10" t="n">
        <v>0</v>
      </c>
      <c r="AK117" s="8" t="n">
        <f aca="false">IF(AND(B117&lt;=U117,NOT(Q117)),B117,U117)*(1-Inputs!$B$12)</f>
        <v>0.842426461849423</v>
      </c>
    </row>
    <row r="118" customFormat="false" ht="15" hidden="false" customHeight="false" outlineLevel="0" collapsed="false">
      <c r="A118" s="6" t="n">
        <v>44902</v>
      </c>
      <c r="B118" s="7" t="n">
        <v>0.8578196769634</v>
      </c>
      <c r="C118" s="7" t="n">
        <v>0.860810454858049</v>
      </c>
      <c r="D118" s="7" t="n">
        <v>0.85685371773376</v>
      </c>
      <c r="E118" s="7" t="n">
        <v>0.85961916271358</v>
      </c>
      <c r="F118" s="8" t="n">
        <f aca="true">IF(ROW()-2&gt;=Inputs!$B$4,AVERAGE(OFFSET(E118,1-Inputs!$B$4,0,Inputs!$B$4,1)),"")</f>
        <v>0.855946645118181</v>
      </c>
      <c r="G118" s="8" t="n">
        <f aca="true">IF(ROW()-2&gt;=Inputs!$B$5,AVERAGE(OFFSET(E118,1-Inputs!$B$5,0,Inputs!$B$5,1)),"")</f>
        <v>0.839807176421868</v>
      </c>
      <c r="H118" s="8" t="n">
        <f aca="false">MAX(C118-D118,ABS(C118-E117),ABS(D118-E117))</f>
        <v>0.00395673712428923</v>
      </c>
      <c r="I118" s="8" t="n">
        <f aca="true">IF(ROW()-2&lt;14,"",IF(ROW()-2=14,AVERAGE(OFFSET(H118,-13,0,14,1)),(I117*13+H118)/14))</f>
        <v>0.0086283022606429</v>
      </c>
      <c r="J118" s="9" t="b">
        <f aca="false">IF(AND(ISNUMBER(F118),ISNUMBER(G118),ISNUMBER(F117),ISNUMBER(G117)),AND(F118&gt;G118,F117&lt;=G117),FALSE())</f>
        <v>0</v>
      </c>
      <c r="K118" s="9" t="b">
        <f aca="false">IF(AND(ISNUMBER(F118),ISNUMBER(G118),ISNUMBER(F117),ISNUMBER(G117)),AND(F118&lt;G118,F117&gt;=G117),FALSE())</f>
        <v>0</v>
      </c>
      <c r="L118" s="8" t="n">
        <f aca="false">IF(ISNUMBER(I118),E118-Inputs!$B$6*I118,"")</f>
        <v>0.842362558192295</v>
      </c>
      <c r="M118" s="9" t="b">
        <f aca="false">AND(Y117&gt;0,Z117)</f>
        <v>0</v>
      </c>
      <c r="N118" s="8" t="n">
        <f aca="false">B118*(1-Inputs!$B$12)</f>
        <v>0.857648113028008</v>
      </c>
      <c r="O118" s="10" t="n">
        <f aca="false">IF(M118,Y117*(N118-AB117)-Inputs!$B$9-Y117*AD117*Inputs!$B$13*(A118-AC117),0)</f>
        <v>0</v>
      </c>
      <c r="P118" s="10" t="n">
        <f aca="false">X117+O118</f>
        <v>999</v>
      </c>
      <c r="Q118" s="9" t="b">
        <f aca="false">AND(IF(M118,0,Y117)=0,AA117,IF(ISNUMBER(AE117),B118&gt;AE117,FALSE()))</f>
        <v>0</v>
      </c>
      <c r="R118" s="8" t="n">
        <f aca="false">B118*(1+Inputs!$B$12)</f>
        <v>0.857991240898793</v>
      </c>
      <c r="S118" s="11" t="n">
        <f aca="false">IF(Q118,MIN(P118*Inputs!$B$3/(R118-AE117),P118*Inputs!$B$11/R118),0)</f>
        <v>0</v>
      </c>
      <c r="T118" s="11" t="n">
        <f aca="false">IF(Q118,S118,IF(M118,0,Y117))</f>
        <v>515.951204214585</v>
      </c>
      <c r="U118" s="8" t="n">
        <f aca="false">IF(Q118,AE117,AF117)</f>
        <v>0.842594980845593</v>
      </c>
      <c r="V118" s="9" t="b">
        <f aca="false">AND(T118&gt;0,D118&lt;=U118)</f>
        <v>0</v>
      </c>
      <c r="W118" s="10" t="n">
        <f aca="false">IF(V118,T118*(AK118-AB118)-Inputs!$B$9-T118*AD118*Inputs!$B$13*(A118-AC118),0)</f>
        <v>0</v>
      </c>
      <c r="X118" s="10" t="n">
        <f aca="false">P118-IF(Q118,Inputs!$B$9,0)+W118</f>
        <v>999</v>
      </c>
      <c r="Y118" s="11" t="n">
        <f aca="false">IF(V118,0,T118)</f>
        <v>515.951204214585</v>
      </c>
      <c r="Z118" s="9" t="b">
        <f aca="false">AND(Y118&gt;0,K118)</f>
        <v>0</v>
      </c>
      <c r="AA118" s="9" t="b">
        <f aca="false">AND(Y118=0,J118,ISNUMBER(L118))</f>
        <v>0</v>
      </c>
      <c r="AB118" s="8" t="n">
        <f aca="false">IF(Q118,R118,AB117)</f>
        <v>0.861976658644412</v>
      </c>
      <c r="AC118" s="12" t="n">
        <f aca="false">IF(Q118,A118,AC117)</f>
        <v>44890</v>
      </c>
      <c r="AD118" s="8" t="n">
        <f aca="false">IF(Q118,B118,AD117)</f>
        <v>0.861804297784855</v>
      </c>
      <c r="AE118" s="8" t="str">
        <f aca="false">IF(AA118,L118,"")</f>
        <v/>
      </c>
      <c r="AF118" s="8" t="n">
        <f aca="false">U118</f>
        <v>0.842594980845593</v>
      </c>
      <c r="AG118" s="2" t="n">
        <f aca="false">AG117+IF(Q118,1,0)</f>
        <v>1</v>
      </c>
      <c r="AH118" s="2" t="n">
        <f aca="false">AG117</f>
        <v>1</v>
      </c>
      <c r="AI118" s="10" t="n">
        <f aca="false">X118+Y118*(E118-AB118)-Y118*AD118*Inputs!$B$13*(A118-AC118)</f>
        <v>996.833438387922</v>
      </c>
      <c r="AJ118" s="10" t="n">
        <v>0</v>
      </c>
      <c r="AK118" s="8" t="n">
        <f aca="false">IF(AND(B118&lt;=U118,NOT(Q118)),B118,U118)*(1-Inputs!$B$12)</f>
        <v>0.842426461849423</v>
      </c>
    </row>
    <row r="119" customFormat="false" ht="15" hidden="false" customHeight="false" outlineLevel="0" collapsed="false">
      <c r="A119" s="6" t="n">
        <v>44903</v>
      </c>
      <c r="B119" s="7" t="n">
        <v>0.85961916271358</v>
      </c>
      <c r="C119" s="7" t="n">
        <v>0.861326870541446</v>
      </c>
      <c r="D119" s="7" t="n">
        <v>0.847282705869865</v>
      </c>
      <c r="E119" s="7" t="n">
        <v>0.853769706927408</v>
      </c>
      <c r="F119" s="8" t="n">
        <f aca="true">IF(ROW()-2&gt;=Inputs!$B$4,AVERAGE(OFFSET(E119,1-Inputs!$B$4,0,Inputs!$B$4,1)),"")</f>
        <v>0.856433660853573</v>
      </c>
      <c r="G119" s="8" t="n">
        <f aca="true">IF(ROW()-2&gt;=Inputs!$B$5,AVERAGE(OFFSET(E119,1-Inputs!$B$5,0,Inputs!$B$5,1)),"")</f>
        <v>0.840331498087652</v>
      </c>
      <c r="H119" s="8" t="n">
        <f aca="false">MAX(C119-D119,ABS(C119-E118),ABS(D119-E118))</f>
        <v>0.0140441646715809</v>
      </c>
      <c r="I119" s="8" t="n">
        <f aca="true">IF(ROW()-2&lt;14,"",IF(ROW()-2=14,AVERAGE(OFFSET(H119,-13,0,14,1)),(I118*13+H119)/14))</f>
        <v>0.0090151495757099</v>
      </c>
      <c r="J119" s="9" t="b">
        <f aca="false">IF(AND(ISNUMBER(F119),ISNUMBER(G119),ISNUMBER(F118),ISNUMBER(G118)),AND(F119&gt;G119,F118&lt;=G118),FALSE())</f>
        <v>0</v>
      </c>
      <c r="K119" s="9" t="b">
        <f aca="false">IF(AND(ISNUMBER(F119),ISNUMBER(G119),ISNUMBER(F118),ISNUMBER(G118)),AND(F119&lt;G119,F118&gt;=G118),FALSE())</f>
        <v>0</v>
      </c>
      <c r="L119" s="8" t="n">
        <f aca="false">IF(ISNUMBER(I119),E119-Inputs!$B$6*I119,"")</f>
        <v>0.835739407775989</v>
      </c>
      <c r="M119" s="9" t="b">
        <f aca="false">AND(Y118&gt;0,Z118)</f>
        <v>0</v>
      </c>
      <c r="N119" s="8" t="n">
        <f aca="false">B119*(1-Inputs!$B$12)</f>
        <v>0.859447238881038</v>
      </c>
      <c r="O119" s="10" t="n">
        <f aca="false">IF(M119,Y118*(N119-AB118)-Inputs!$B$9-Y118*AD118*Inputs!$B$13*(A119-AC118),0)</f>
        <v>0</v>
      </c>
      <c r="P119" s="10" t="n">
        <f aca="false">X118+O119</f>
        <v>999</v>
      </c>
      <c r="Q119" s="9" t="b">
        <f aca="false">AND(IF(M119,0,Y118)=0,AA118,IF(ISNUMBER(AE118),B119&gt;AE118,FALSE()))</f>
        <v>0</v>
      </c>
      <c r="R119" s="8" t="n">
        <f aca="false">B119*(1+Inputs!$B$12)</f>
        <v>0.859791086546123</v>
      </c>
      <c r="S119" s="11" t="n">
        <f aca="false">IF(Q119,MIN(P119*Inputs!$B$3/(R119-AE118),P119*Inputs!$B$11/R119),0)</f>
        <v>0</v>
      </c>
      <c r="T119" s="11" t="n">
        <f aca="false">IF(Q119,S119,IF(M119,0,Y118))</f>
        <v>515.951204214585</v>
      </c>
      <c r="U119" s="8" t="n">
        <f aca="false">IF(Q119,AE118,AF118)</f>
        <v>0.842594980845593</v>
      </c>
      <c r="V119" s="9" t="b">
        <f aca="false">AND(T119&gt;0,D119&lt;=U119)</f>
        <v>0</v>
      </c>
      <c r="W119" s="10" t="n">
        <f aca="false">IF(V119,T119*(AK119-AB119)-Inputs!$B$9-T119*AD119*Inputs!$B$13*(A119-AC119),0)</f>
        <v>0</v>
      </c>
      <c r="X119" s="10" t="n">
        <f aca="false">P119-IF(Q119,Inputs!$B$9,0)+W119</f>
        <v>999</v>
      </c>
      <c r="Y119" s="11" t="n">
        <f aca="false">IF(V119,0,T119)</f>
        <v>515.951204214585</v>
      </c>
      <c r="Z119" s="9" t="b">
        <f aca="false">AND(Y119&gt;0,K119)</f>
        <v>0</v>
      </c>
      <c r="AA119" s="9" t="b">
        <f aca="false">AND(Y119=0,J119,ISNUMBER(L119))</f>
        <v>0</v>
      </c>
      <c r="AB119" s="8" t="n">
        <f aca="false">IF(Q119,R119,AB118)</f>
        <v>0.861976658644412</v>
      </c>
      <c r="AC119" s="12" t="n">
        <f aca="false">IF(Q119,A119,AC118)</f>
        <v>44890</v>
      </c>
      <c r="AD119" s="8" t="n">
        <f aca="false">IF(Q119,B119,AD118)</f>
        <v>0.861804297784855</v>
      </c>
      <c r="AE119" s="8" t="str">
        <f aca="false">IF(AA119,L119,"")</f>
        <v/>
      </c>
      <c r="AF119" s="8" t="n">
        <f aca="false">U119</f>
        <v>0.842594980845593</v>
      </c>
      <c r="AG119" s="2" t="n">
        <f aca="false">AG118+IF(Q119,1,0)</f>
        <v>1</v>
      </c>
      <c r="AH119" s="2" t="n">
        <f aca="false">AG118</f>
        <v>1</v>
      </c>
      <c r="AI119" s="10" t="n">
        <f aca="false">X119+Y119*(E119-AB119)-Y119*AD119*Inputs!$B$13*(A119-AC119)</f>
        <v>993.736220568743</v>
      </c>
      <c r="AJ119" s="10" t="n">
        <v>0</v>
      </c>
      <c r="AK119" s="8" t="n">
        <f aca="false">IF(AND(B119&lt;=U119,NOT(Q119)),B119,U119)*(1-Inputs!$B$12)</f>
        <v>0.842426461849423</v>
      </c>
    </row>
    <row r="120" customFormat="false" ht="15" hidden="false" customHeight="false" outlineLevel="0" collapsed="false">
      <c r="A120" s="6" t="n">
        <v>44904</v>
      </c>
      <c r="B120" s="7" t="n">
        <v>0.853769706927408</v>
      </c>
      <c r="C120" s="7" t="n">
        <v>0.86560078596333</v>
      </c>
      <c r="D120" s="7" t="n">
        <v>0.853069100547379</v>
      </c>
      <c r="E120" s="7" t="n">
        <v>0.865271677604015</v>
      </c>
      <c r="F120" s="8" t="n">
        <f aca="true">IF(ROW()-2&gt;=Inputs!$B$4,AVERAGE(OFFSET(E120,1-Inputs!$B$4,0,Inputs!$B$4,1)),"")</f>
        <v>0.857227589157744</v>
      </c>
      <c r="G120" s="8" t="n">
        <f aca="true">IF(ROW()-2&gt;=Inputs!$B$5,AVERAGE(OFFSET(E120,1-Inputs!$B$5,0,Inputs!$B$5,1)),"")</f>
        <v>0.84099831778199</v>
      </c>
      <c r="H120" s="8" t="n">
        <f aca="false">MAX(C120-D120,ABS(C120-E119),ABS(D120-E119))</f>
        <v>0.0125316854159512</v>
      </c>
      <c r="I120" s="8" t="n">
        <f aca="true">IF(ROW()-2&lt;14,"",IF(ROW()-2=14,AVERAGE(OFFSET(H120,-13,0,14,1)),(I119*13+H120)/14))</f>
        <v>0.0092663307071557</v>
      </c>
      <c r="J120" s="9" t="b">
        <f aca="false">IF(AND(ISNUMBER(F120),ISNUMBER(G120),ISNUMBER(F119),ISNUMBER(G119)),AND(F120&gt;G120,F119&lt;=G119),FALSE())</f>
        <v>0</v>
      </c>
      <c r="K120" s="9" t="b">
        <f aca="false">IF(AND(ISNUMBER(F120),ISNUMBER(G120),ISNUMBER(F119),ISNUMBER(G119)),AND(F120&lt;G120,F119&gt;=G119),FALSE())</f>
        <v>0</v>
      </c>
      <c r="L120" s="8" t="n">
        <f aca="false">IF(ISNUMBER(I120),E120-Inputs!$B$6*I120,"")</f>
        <v>0.846739016189704</v>
      </c>
      <c r="M120" s="9" t="b">
        <f aca="false">AND(Y119&gt;0,Z119)</f>
        <v>0</v>
      </c>
      <c r="N120" s="8" t="n">
        <f aca="false">B120*(1-Inputs!$B$12)</f>
        <v>0.853598952986023</v>
      </c>
      <c r="O120" s="10" t="n">
        <f aca="false">IF(M120,Y119*(N120-AB119)-Inputs!$B$9-Y119*AD119*Inputs!$B$13*(A120-AC119),0)</f>
        <v>0</v>
      </c>
      <c r="P120" s="10" t="n">
        <f aca="false">X119+O120</f>
        <v>999</v>
      </c>
      <c r="Q120" s="9" t="b">
        <f aca="false">AND(IF(M120,0,Y119)=0,AA119,IF(ISNUMBER(AE119),B120&gt;AE119,FALSE()))</f>
        <v>0</v>
      </c>
      <c r="R120" s="8" t="n">
        <f aca="false">B120*(1+Inputs!$B$12)</f>
        <v>0.853940460868794</v>
      </c>
      <c r="S120" s="11" t="n">
        <f aca="false">IF(Q120,MIN(P120*Inputs!$B$3/(R120-AE119),P120*Inputs!$B$11/R120),0)</f>
        <v>0</v>
      </c>
      <c r="T120" s="11" t="n">
        <f aca="false">IF(Q120,S120,IF(M120,0,Y119))</f>
        <v>515.951204214585</v>
      </c>
      <c r="U120" s="8" t="n">
        <f aca="false">IF(Q120,AE119,AF119)</f>
        <v>0.842594980845593</v>
      </c>
      <c r="V120" s="9" t="b">
        <f aca="false">AND(T120&gt;0,D120&lt;=U120)</f>
        <v>0</v>
      </c>
      <c r="W120" s="10" t="n">
        <f aca="false">IF(V120,T120*(AK120-AB120)-Inputs!$B$9-T120*AD120*Inputs!$B$13*(A120-AC120),0)</f>
        <v>0</v>
      </c>
      <c r="X120" s="10" t="n">
        <f aca="false">P120-IF(Q120,Inputs!$B$9,0)+W120</f>
        <v>999</v>
      </c>
      <c r="Y120" s="11" t="n">
        <f aca="false">IF(V120,0,T120)</f>
        <v>515.951204214585</v>
      </c>
      <c r="Z120" s="9" t="b">
        <f aca="false">AND(Y120&gt;0,K120)</f>
        <v>0</v>
      </c>
      <c r="AA120" s="9" t="b">
        <f aca="false">AND(Y120=0,J120,ISNUMBER(L120))</f>
        <v>0</v>
      </c>
      <c r="AB120" s="8" t="n">
        <f aca="false">IF(Q120,R120,AB119)</f>
        <v>0.861976658644412</v>
      </c>
      <c r="AC120" s="12" t="n">
        <f aca="false">IF(Q120,A120,AC119)</f>
        <v>44890</v>
      </c>
      <c r="AD120" s="8" t="n">
        <f aca="false">IF(Q120,B120,AD119)</f>
        <v>0.861804297784855</v>
      </c>
      <c r="AE120" s="8" t="str">
        <f aca="false">IF(AA120,L120,"")</f>
        <v/>
      </c>
      <c r="AF120" s="8" t="n">
        <f aca="false">U120</f>
        <v>0.842594980845593</v>
      </c>
      <c r="AG120" s="2" t="n">
        <f aca="false">AG119+IF(Q120,1,0)</f>
        <v>1</v>
      </c>
      <c r="AH120" s="2" t="n">
        <f aca="false">AG119</f>
        <v>1</v>
      </c>
      <c r="AI120" s="10" t="n">
        <f aca="false">X120+Y120*(E120-AB120)-Y120*AD120*Inputs!$B$13*(A120-AC120)</f>
        <v>999.591492127876</v>
      </c>
      <c r="AJ120" s="10" t="n">
        <v>0</v>
      </c>
      <c r="AK120" s="8" t="n">
        <f aca="false">IF(AND(B120&lt;=U120,NOT(Q120)),B120,U120)*(1-Inputs!$B$12)</f>
        <v>0.842426461849423</v>
      </c>
    </row>
    <row r="121" customFormat="false" ht="15" hidden="false" customHeight="false" outlineLevel="0" collapsed="false">
      <c r="A121" s="6" t="n">
        <v>44905</v>
      </c>
      <c r="B121" s="7" t="n">
        <v>0.865271677604015</v>
      </c>
      <c r="C121" s="7" t="n">
        <v>0.867038045490425</v>
      </c>
      <c r="D121" s="7" t="n">
        <v>0.859879945584524</v>
      </c>
      <c r="E121" s="7" t="n">
        <v>0.865928667614058</v>
      </c>
      <c r="F121" s="8" t="n">
        <f aca="true">IF(ROW()-2&gt;=Inputs!$B$4,AVERAGE(OFFSET(E121,1-Inputs!$B$4,0,Inputs!$B$4,1)),"")</f>
        <v>0.858043271960582</v>
      </c>
      <c r="G121" s="8" t="n">
        <f aca="true">IF(ROW()-2&gt;=Inputs!$B$5,AVERAGE(OFFSET(E121,1-Inputs!$B$5,0,Inputs!$B$5,1)),"")</f>
        <v>0.841639820875379</v>
      </c>
      <c r="H121" s="8" t="n">
        <f aca="false">MAX(C121-D121,ABS(C121-E120),ABS(D121-E120))</f>
        <v>0.00715809990590155</v>
      </c>
      <c r="I121" s="8" t="n">
        <f aca="true">IF(ROW()-2&lt;14,"",IF(ROW()-2=14,AVERAGE(OFFSET(H121,-13,0,14,1)),(I120*13+H121)/14))</f>
        <v>0.00911574279278041</v>
      </c>
      <c r="J121" s="9" t="b">
        <f aca="false">IF(AND(ISNUMBER(F121),ISNUMBER(G121),ISNUMBER(F120),ISNUMBER(G120)),AND(F121&gt;G121,F120&lt;=G120),FALSE())</f>
        <v>0</v>
      </c>
      <c r="K121" s="9" t="b">
        <f aca="false">IF(AND(ISNUMBER(F121),ISNUMBER(G121),ISNUMBER(F120),ISNUMBER(G120)),AND(F121&lt;G121,F120&gt;=G120),FALSE())</f>
        <v>0</v>
      </c>
      <c r="L121" s="8" t="n">
        <f aca="false">IF(ISNUMBER(I121),E121-Inputs!$B$6*I121,"")</f>
        <v>0.847697182028497</v>
      </c>
      <c r="M121" s="9" t="b">
        <f aca="false">AND(Y120&gt;0,Z120)</f>
        <v>0</v>
      </c>
      <c r="N121" s="8" t="n">
        <f aca="false">B121*(1-Inputs!$B$12)</f>
        <v>0.865098623268494</v>
      </c>
      <c r="O121" s="10" t="n">
        <f aca="false">IF(M121,Y120*(N121-AB120)-Inputs!$B$9-Y120*AD120*Inputs!$B$13*(A121-AC120),0)</f>
        <v>0</v>
      </c>
      <c r="P121" s="10" t="n">
        <f aca="false">X120+O121</f>
        <v>999</v>
      </c>
      <c r="Q121" s="9" t="b">
        <f aca="false">AND(IF(M121,0,Y120)=0,AA120,IF(ISNUMBER(AE120),B121&gt;AE120,FALSE()))</f>
        <v>0</v>
      </c>
      <c r="R121" s="8" t="n">
        <f aca="false">B121*(1+Inputs!$B$12)</f>
        <v>0.865444731939536</v>
      </c>
      <c r="S121" s="11" t="n">
        <f aca="false">IF(Q121,MIN(P121*Inputs!$B$3/(R121-AE120),P121*Inputs!$B$11/R121),0)</f>
        <v>0</v>
      </c>
      <c r="T121" s="11" t="n">
        <f aca="false">IF(Q121,S121,IF(M121,0,Y120))</f>
        <v>515.951204214585</v>
      </c>
      <c r="U121" s="8" t="n">
        <f aca="false">IF(Q121,AE120,AF120)</f>
        <v>0.842594980845593</v>
      </c>
      <c r="V121" s="9" t="b">
        <f aca="false">AND(T121&gt;0,D121&lt;=U121)</f>
        <v>0</v>
      </c>
      <c r="W121" s="10" t="n">
        <f aca="false">IF(V121,T121*(AK121-AB121)-Inputs!$B$9-T121*AD121*Inputs!$B$13*(A121-AC121),0)</f>
        <v>0</v>
      </c>
      <c r="X121" s="10" t="n">
        <f aca="false">P121-IF(Q121,Inputs!$B$9,0)+W121</f>
        <v>999</v>
      </c>
      <c r="Y121" s="11" t="n">
        <f aca="false">IF(V121,0,T121)</f>
        <v>515.951204214585</v>
      </c>
      <c r="Z121" s="9" t="b">
        <f aca="false">AND(Y121&gt;0,K121)</f>
        <v>0</v>
      </c>
      <c r="AA121" s="9" t="b">
        <f aca="false">AND(Y121=0,J121,ISNUMBER(L121))</f>
        <v>0</v>
      </c>
      <c r="AB121" s="8" t="n">
        <f aca="false">IF(Q121,R121,AB120)</f>
        <v>0.861976658644412</v>
      </c>
      <c r="AC121" s="12" t="n">
        <f aca="false">IF(Q121,A121,AC120)</f>
        <v>44890</v>
      </c>
      <c r="AD121" s="8" t="n">
        <f aca="false">IF(Q121,B121,AD120)</f>
        <v>0.861804297784855</v>
      </c>
      <c r="AE121" s="8" t="str">
        <f aca="false">IF(AA121,L121,"")</f>
        <v/>
      </c>
      <c r="AF121" s="8" t="n">
        <f aca="false">U121</f>
        <v>0.842594980845593</v>
      </c>
      <c r="AG121" s="2" t="n">
        <f aca="false">AG120+IF(Q121,1,0)</f>
        <v>1</v>
      </c>
      <c r="AH121" s="2" t="n">
        <f aca="false">AG120</f>
        <v>1</v>
      </c>
      <c r="AI121" s="10" t="n">
        <f aca="false">X121+Y121*(E121-AB121)-Y121*AD121*Inputs!$B$13*(A121-AC121)</f>
        <v>999.851282852412</v>
      </c>
      <c r="AJ121" s="10" t="n">
        <v>0</v>
      </c>
      <c r="AK121" s="8" t="n">
        <f aca="false">IF(AND(B121&lt;=U121,NOT(Q121)),B121,U121)*(1-Inputs!$B$12)</f>
        <v>0.842426461849423</v>
      </c>
    </row>
    <row r="122" customFormat="false" ht="15" hidden="false" customHeight="false" outlineLevel="0" collapsed="false">
      <c r="A122" s="6" t="n">
        <v>44906</v>
      </c>
      <c r="B122" s="7" t="n">
        <v>0.865928667614058</v>
      </c>
      <c r="C122" s="7" t="n">
        <v>0.879359639082329</v>
      </c>
      <c r="D122" s="7" t="n">
        <v>0.863694341291145</v>
      </c>
      <c r="E122" s="7" t="n">
        <v>0.870440254688842</v>
      </c>
      <c r="F122" s="8" t="n">
        <f aca="true">IF(ROW()-2&gt;=Inputs!$B$4,AVERAGE(OFFSET(E122,1-Inputs!$B$4,0,Inputs!$B$4,1)),"")</f>
        <v>0.85872938863757</v>
      </c>
      <c r="G122" s="8" t="n">
        <f aca="true">IF(ROW()-2&gt;=Inputs!$B$5,AVERAGE(OFFSET(E122,1-Inputs!$B$5,0,Inputs!$B$5,1)),"")</f>
        <v>0.842374572356347</v>
      </c>
      <c r="H122" s="8" t="n">
        <f aca="false">MAX(C122-D122,ABS(C122-E121),ABS(D122-E121))</f>
        <v>0.0156652977911843</v>
      </c>
      <c r="I122" s="8" t="n">
        <f aca="true">IF(ROW()-2&lt;14,"",IF(ROW()-2=14,AVERAGE(OFFSET(H122,-13,0,14,1)),(I121*13+H122)/14))</f>
        <v>0.00958356814980925</v>
      </c>
      <c r="J122" s="9" t="b">
        <f aca="false">IF(AND(ISNUMBER(F122),ISNUMBER(G122),ISNUMBER(F121),ISNUMBER(G121)),AND(F122&gt;G122,F121&lt;=G121),FALSE())</f>
        <v>0</v>
      </c>
      <c r="K122" s="9" t="b">
        <f aca="false">IF(AND(ISNUMBER(F122),ISNUMBER(G122),ISNUMBER(F121),ISNUMBER(G121)),AND(F122&lt;G122,F121&gt;=G121),FALSE())</f>
        <v>0</v>
      </c>
      <c r="L122" s="8" t="n">
        <f aca="false">IF(ISNUMBER(I122),E122-Inputs!$B$6*I122,"")</f>
        <v>0.851273118389223</v>
      </c>
      <c r="M122" s="9" t="b">
        <f aca="false">AND(Y121&gt;0,Z121)</f>
        <v>0</v>
      </c>
      <c r="N122" s="8" t="n">
        <f aca="false">B122*(1-Inputs!$B$12)</f>
        <v>0.865755481880535</v>
      </c>
      <c r="O122" s="10" t="n">
        <f aca="false">IF(M122,Y121*(N122-AB121)-Inputs!$B$9-Y121*AD121*Inputs!$B$13*(A122-AC121),0)</f>
        <v>0</v>
      </c>
      <c r="P122" s="10" t="n">
        <f aca="false">X121+O122</f>
        <v>999</v>
      </c>
      <c r="Q122" s="9" t="b">
        <f aca="false">AND(IF(M122,0,Y121)=0,AA121,IF(ISNUMBER(AE121),B122&gt;AE121,FALSE()))</f>
        <v>0</v>
      </c>
      <c r="R122" s="8" t="n">
        <f aca="false">B122*(1+Inputs!$B$12)</f>
        <v>0.866101853347581</v>
      </c>
      <c r="S122" s="11" t="n">
        <f aca="false">IF(Q122,MIN(P122*Inputs!$B$3/(R122-AE121),P122*Inputs!$B$11/R122),0)</f>
        <v>0</v>
      </c>
      <c r="T122" s="11" t="n">
        <f aca="false">IF(Q122,S122,IF(M122,0,Y121))</f>
        <v>515.951204214585</v>
      </c>
      <c r="U122" s="8" t="n">
        <f aca="false">IF(Q122,AE121,AF121)</f>
        <v>0.842594980845593</v>
      </c>
      <c r="V122" s="9" t="b">
        <f aca="false">AND(T122&gt;0,D122&lt;=U122)</f>
        <v>0</v>
      </c>
      <c r="W122" s="10" t="n">
        <f aca="false">IF(V122,T122*(AK122-AB122)-Inputs!$B$9-T122*AD122*Inputs!$B$13*(A122-AC122),0)</f>
        <v>0</v>
      </c>
      <c r="X122" s="10" t="n">
        <f aca="false">P122-IF(Q122,Inputs!$B$9,0)+W122</f>
        <v>999</v>
      </c>
      <c r="Y122" s="11" t="n">
        <f aca="false">IF(V122,0,T122)</f>
        <v>515.951204214585</v>
      </c>
      <c r="Z122" s="9" t="b">
        <f aca="false">AND(Y122&gt;0,K122)</f>
        <v>0</v>
      </c>
      <c r="AA122" s="9" t="b">
        <f aca="false">AND(Y122=0,J122,ISNUMBER(L122))</f>
        <v>0</v>
      </c>
      <c r="AB122" s="8" t="n">
        <f aca="false">IF(Q122,R122,AB121)</f>
        <v>0.861976658644412</v>
      </c>
      <c r="AC122" s="12" t="n">
        <f aca="false">IF(Q122,A122,AC121)</f>
        <v>44890</v>
      </c>
      <c r="AD122" s="8" t="n">
        <f aca="false">IF(Q122,B122,AD121)</f>
        <v>0.861804297784855</v>
      </c>
      <c r="AE122" s="8" t="str">
        <f aca="false">IF(AA122,L122,"")</f>
        <v/>
      </c>
      <c r="AF122" s="8" t="n">
        <f aca="false">U122</f>
        <v>0.842594980845593</v>
      </c>
      <c r="AG122" s="2" t="n">
        <f aca="false">AG121+IF(Q122,1,0)</f>
        <v>1</v>
      </c>
      <c r="AH122" s="2" t="n">
        <f aca="false">AG121</f>
        <v>1</v>
      </c>
      <c r="AI122" s="10" t="n">
        <f aca="false">X122+Y122*(E122-AB122)-Y122*AD122*Inputs!$B$13*(A122-AC122)</f>
        <v>1002.09985757426</v>
      </c>
      <c r="AJ122" s="10" t="n">
        <v>0</v>
      </c>
      <c r="AK122" s="8" t="n">
        <f aca="false">IF(AND(B122&lt;=U122,NOT(Q122)),B122,U122)*(1-Inputs!$B$12)</f>
        <v>0.842426461849423</v>
      </c>
    </row>
    <row r="123" customFormat="false" ht="15" hidden="false" customHeight="false" outlineLevel="0" collapsed="false">
      <c r="A123" s="6" t="n">
        <v>44907</v>
      </c>
      <c r="B123" s="7" t="n">
        <v>0.870440254688842</v>
      </c>
      <c r="C123" s="7" t="n">
        <v>0.870684166668706</v>
      </c>
      <c r="D123" s="7" t="n">
        <v>0.859306808359818</v>
      </c>
      <c r="E123" s="7" t="n">
        <v>0.863439924817355</v>
      </c>
      <c r="F123" s="8" t="n">
        <f aca="true">IF(ROW()-2&gt;=Inputs!$B$4,AVERAGE(OFFSET(E123,1-Inputs!$B$4,0,Inputs!$B$4,1)),"")</f>
        <v>0.858949010777801</v>
      </c>
      <c r="G123" s="8" t="n">
        <f aca="true">IF(ROW()-2&gt;=Inputs!$B$5,AVERAGE(OFFSET(E123,1-Inputs!$B$5,0,Inputs!$B$5,1)),"")</f>
        <v>0.842941987462099</v>
      </c>
      <c r="H123" s="8" t="n">
        <f aca="false">MAX(C123-D123,ABS(C123-E122),ABS(D123-E122))</f>
        <v>0.0113773583088879</v>
      </c>
      <c r="I123" s="8" t="n">
        <f aca="true">IF(ROW()-2&lt;14,"",IF(ROW()-2=14,AVERAGE(OFFSET(H123,-13,0,14,1)),(I122*13+H123)/14))</f>
        <v>0.00971169601831487</v>
      </c>
      <c r="J123" s="9" t="b">
        <f aca="false">IF(AND(ISNUMBER(F123),ISNUMBER(G123),ISNUMBER(F122),ISNUMBER(G122)),AND(F123&gt;G123,F122&lt;=G122),FALSE())</f>
        <v>0</v>
      </c>
      <c r="K123" s="9" t="b">
        <f aca="false">IF(AND(ISNUMBER(F123),ISNUMBER(G123),ISNUMBER(F122),ISNUMBER(G122)),AND(F123&lt;G123,F122&gt;=G122),FALSE())</f>
        <v>0</v>
      </c>
      <c r="L123" s="8" t="n">
        <f aca="false">IF(ISNUMBER(I123),E123-Inputs!$B$6*I123,"")</f>
        <v>0.844016532780725</v>
      </c>
      <c r="M123" s="9" t="b">
        <f aca="false">AND(Y122&gt;0,Z122)</f>
        <v>0</v>
      </c>
      <c r="N123" s="8" t="n">
        <f aca="false">B123*(1-Inputs!$B$12)</f>
        <v>0.870266166637904</v>
      </c>
      <c r="O123" s="10" t="n">
        <f aca="false">IF(M123,Y122*(N123-AB122)-Inputs!$B$9-Y122*AD122*Inputs!$B$13*(A123-AC122),0)</f>
        <v>0</v>
      </c>
      <c r="P123" s="10" t="n">
        <f aca="false">X122+O123</f>
        <v>999</v>
      </c>
      <c r="Q123" s="9" t="b">
        <f aca="false">AND(IF(M123,0,Y122)=0,AA122,IF(ISNUMBER(AE122),B123&gt;AE122,FALSE()))</f>
        <v>0</v>
      </c>
      <c r="R123" s="8" t="n">
        <f aca="false">B123*(1+Inputs!$B$12)</f>
        <v>0.87061434273978</v>
      </c>
      <c r="S123" s="11" t="n">
        <f aca="false">IF(Q123,MIN(P123*Inputs!$B$3/(R123-AE122),P123*Inputs!$B$11/R123),0)</f>
        <v>0</v>
      </c>
      <c r="T123" s="11" t="n">
        <f aca="false">IF(Q123,S123,IF(M123,0,Y122))</f>
        <v>515.951204214585</v>
      </c>
      <c r="U123" s="8" t="n">
        <f aca="false">IF(Q123,AE122,AF122)</f>
        <v>0.842594980845593</v>
      </c>
      <c r="V123" s="9" t="b">
        <f aca="false">AND(T123&gt;0,D123&lt;=U123)</f>
        <v>0</v>
      </c>
      <c r="W123" s="10" t="n">
        <f aca="false">IF(V123,T123*(AK123-AB123)-Inputs!$B$9-T123*AD123*Inputs!$B$13*(A123-AC123),0)</f>
        <v>0</v>
      </c>
      <c r="X123" s="10" t="n">
        <f aca="false">P123-IF(Q123,Inputs!$B$9,0)+W123</f>
        <v>999</v>
      </c>
      <c r="Y123" s="11" t="n">
        <f aca="false">IF(V123,0,T123)</f>
        <v>515.951204214585</v>
      </c>
      <c r="Z123" s="9" t="b">
        <f aca="false">AND(Y123&gt;0,K123)</f>
        <v>0</v>
      </c>
      <c r="AA123" s="9" t="b">
        <f aca="false">AND(Y123=0,J123,ISNUMBER(L123))</f>
        <v>0</v>
      </c>
      <c r="AB123" s="8" t="n">
        <f aca="false">IF(Q123,R123,AB122)</f>
        <v>0.861976658644412</v>
      </c>
      <c r="AC123" s="12" t="n">
        <f aca="false">IF(Q123,A123,AC122)</f>
        <v>44890</v>
      </c>
      <c r="AD123" s="8" t="n">
        <f aca="false">IF(Q123,B123,AD122)</f>
        <v>0.861804297784855</v>
      </c>
      <c r="AE123" s="8" t="str">
        <f aca="false">IF(AA123,L123,"")</f>
        <v/>
      </c>
      <c r="AF123" s="8" t="n">
        <f aca="false">U123</f>
        <v>0.842594980845593</v>
      </c>
      <c r="AG123" s="2" t="n">
        <f aca="false">AG122+IF(Q123,1,0)</f>
        <v>1</v>
      </c>
      <c r="AH123" s="2" t="n">
        <f aca="false">AG122</f>
        <v>1</v>
      </c>
      <c r="AI123" s="10" t="n">
        <f aca="false">X123+Y123*(E123-AB123)-Y123*AD123*Inputs!$B$13*(A123-AC123)</f>
        <v>998.408844884867</v>
      </c>
      <c r="AJ123" s="10" t="n">
        <v>0</v>
      </c>
      <c r="AK123" s="8" t="n">
        <f aca="false">IF(AND(B123&lt;=U123,NOT(Q123)),B123,U123)*(1-Inputs!$B$12)</f>
        <v>0.842426461849423</v>
      </c>
    </row>
    <row r="124" customFormat="false" ht="15" hidden="false" customHeight="false" outlineLevel="0" collapsed="false">
      <c r="A124" s="6" t="n">
        <v>44908</v>
      </c>
      <c r="B124" s="7" t="n">
        <v>0.863439924817355</v>
      </c>
      <c r="C124" s="7" t="n">
        <v>0.869651620536537</v>
      </c>
      <c r="D124" s="7" t="n">
        <v>0.863233511801972</v>
      </c>
      <c r="E124" s="7" t="n">
        <v>0.867509963994956</v>
      </c>
      <c r="F124" s="8" t="n">
        <f aca="true">IF(ROW()-2&gt;=Inputs!$B$4,AVERAGE(OFFSET(E124,1-Inputs!$B$4,0,Inputs!$B$4,1)),"")</f>
        <v>0.859240491823491</v>
      </c>
      <c r="G124" s="8" t="n">
        <f aca="true">IF(ROW()-2&gt;=Inputs!$B$5,AVERAGE(OFFSET(E124,1-Inputs!$B$5,0,Inputs!$B$5,1)),"")</f>
        <v>0.843547810454145</v>
      </c>
      <c r="H124" s="8" t="n">
        <f aca="false">MAX(C124-D124,ABS(C124-E123),ABS(D124-E123))</f>
        <v>0.0064181087345645</v>
      </c>
      <c r="I124" s="8" t="n">
        <f aca="true">IF(ROW()-2&lt;14,"",IF(ROW()-2=14,AVERAGE(OFFSET(H124,-13,0,14,1)),(I123*13+H124)/14))</f>
        <v>0.00947643978376127</v>
      </c>
      <c r="J124" s="9" t="b">
        <f aca="false">IF(AND(ISNUMBER(F124),ISNUMBER(G124),ISNUMBER(F123),ISNUMBER(G123)),AND(F124&gt;G124,F123&lt;=G123),FALSE())</f>
        <v>0</v>
      </c>
      <c r="K124" s="9" t="b">
        <f aca="false">IF(AND(ISNUMBER(F124),ISNUMBER(G124),ISNUMBER(F123),ISNUMBER(G123)),AND(F124&lt;G124,F123&gt;=G123),FALSE())</f>
        <v>0</v>
      </c>
      <c r="L124" s="8" t="n">
        <f aca="false">IF(ISNUMBER(I124),E124-Inputs!$B$6*I124,"")</f>
        <v>0.848557084427434</v>
      </c>
      <c r="M124" s="9" t="b">
        <f aca="false">AND(Y123&gt;0,Z123)</f>
        <v>0</v>
      </c>
      <c r="N124" s="8" t="n">
        <f aca="false">B124*(1-Inputs!$B$12)</f>
        <v>0.863267236832392</v>
      </c>
      <c r="O124" s="10" t="n">
        <f aca="false">IF(M124,Y123*(N124-AB123)-Inputs!$B$9-Y123*AD123*Inputs!$B$13*(A124-AC123),0)</f>
        <v>0</v>
      </c>
      <c r="P124" s="10" t="n">
        <f aca="false">X123+O124</f>
        <v>999</v>
      </c>
      <c r="Q124" s="9" t="b">
        <f aca="false">AND(IF(M124,0,Y123)=0,AA123,IF(ISNUMBER(AE123),B124&gt;AE123,FALSE()))</f>
        <v>0</v>
      </c>
      <c r="R124" s="8" t="n">
        <f aca="false">B124*(1+Inputs!$B$12)</f>
        <v>0.863612612802319</v>
      </c>
      <c r="S124" s="11" t="n">
        <f aca="false">IF(Q124,MIN(P124*Inputs!$B$3/(R124-AE123),P124*Inputs!$B$11/R124),0)</f>
        <v>0</v>
      </c>
      <c r="T124" s="11" t="n">
        <f aca="false">IF(Q124,S124,IF(M124,0,Y123))</f>
        <v>515.951204214585</v>
      </c>
      <c r="U124" s="8" t="n">
        <f aca="false">IF(Q124,AE123,AF123)</f>
        <v>0.842594980845593</v>
      </c>
      <c r="V124" s="9" t="b">
        <f aca="false">AND(T124&gt;0,D124&lt;=U124)</f>
        <v>0</v>
      </c>
      <c r="W124" s="10" t="n">
        <f aca="false">IF(V124,T124*(AK124-AB124)-Inputs!$B$9-T124*AD124*Inputs!$B$13*(A124-AC124),0)</f>
        <v>0</v>
      </c>
      <c r="X124" s="10" t="n">
        <f aca="false">P124-IF(Q124,Inputs!$B$9,0)+W124</f>
        <v>999</v>
      </c>
      <c r="Y124" s="11" t="n">
        <f aca="false">IF(V124,0,T124)</f>
        <v>515.951204214585</v>
      </c>
      <c r="Z124" s="9" t="b">
        <f aca="false">AND(Y124&gt;0,K124)</f>
        <v>0</v>
      </c>
      <c r="AA124" s="9" t="b">
        <f aca="false">AND(Y124=0,J124,ISNUMBER(L124))</f>
        <v>0</v>
      </c>
      <c r="AB124" s="8" t="n">
        <f aca="false">IF(Q124,R124,AB123)</f>
        <v>0.861976658644412</v>
      </c>
      <c r="AC124" s="12" t="n">
        <f aca="false">IF(Q124,A124,AC123)</f>
        <v>44890</v>
      </c>
      <c r="AD124" s="8" t="n">
        <f aca="false">IF(Q124,B124,AD123)</f>
        <v>0.861804297784855</v>
      </c>
      <c r="AE124" s="8" t="str">
        <f aca="false">IF(AA124,L124,"")</f>
        <v/>
      </c>
      <c r="AF124" s="8" t="n">
        <f aca="false">U124</f>
        <v>0.842594980845593</v>
      </c>
      <c r="AG124" s="2" t="n">
        <f aca="false">AG123+IF(Q124,1,0)</f>
        <v>1</v>
      </c>
      <c r="AH124" s="2" t="n">
        <f aca="false">AG123</f>
        <v>1</v>
      </c>
      <c r="AI124" s="10" t="n">
        <f aca="false">X124+Y124*(E124-AB124)-Y124*AD124*Inputs!$B$13*(A124-AC124)</f>
        <v>1000.42960243745</v>
      </c>
      <c r="AJ124" s="10" t="n">
        <v>0</v>
      </c>
      <c r="AK124" s="8" t="n">
        <f aca="false">IF(AND(B124&lt;=U124,NOT(Q124)),B124,U124)*(1-Inputs!$B$12)</f>
        <v>0.842426461849423</v>
      </c>
    </row>
    <row r="125" customFormat="false" ht="15" hidden="false" customHeight="false" outlineLevel="0" collapsed="false">
      <c r="A125" s="6" t="n">
        <v>44909</v>
      </c>
      <c r="B125" s="7" t="n">
        <v>0.867509963994956</v>
      </c>
      <c r="C125" s="7" t="n">
        <v>0.868343133777706</v>
      </c>
      <c r="D125" s="7" t="n">
        <v>0.861848138465078</v>
      </c>
      <c r="E125" s="7" t="n">
        <v>0.863562115643963</v>
      </c>
      <c r="F125" s="8" t="n">
        <f aca="true">IF(ROW()-2&gt;=Inputs!$B$4,AVERAGE(OFFSET(E125,1-Inputs!$B$4,0,Inputs!$B$4,1)),"")</f>
        <v>0.859328382716446</v>
      </c>
      <c r="G125" s="8" t="n">
        <f aca="true">IF(ROW()-2&gt;=Inputs!$B$5,AVERAGE(OFFSET(E125,1-Inputs!$B$5,0,Inputs!$B$5,1)),"")</f>
        <v>0.84411129793047</v>
      </c>
      <c r="H125" s="8" t="n">
        <f aca="false">MAX(C125-D125,ABS(C125-E124),ABS(D125-E124))</f>
        <v>0.00649499531262798</v>
      </c>
      <c r="I125" s="8" t="n">
        <f aca="true">IF(ROW()-2&lt;14,"",IF(ROW()-2=14,AVERAGE(OFFSET(H125,-13,0,14,1)),(I124*13+H125)/14))</f>
        <v>0.00926347946439461</v>
      </c>
      <c r="J125" s="9" t="b">
        <f aca="false">IF(AND(ISNUMBER(F125),ISNUMBER(G125),ISNUMBER(F124),ISNUMBER(G124)),AND(F125&gt;G125,F124&lt;=G124),FALSE())</f>
        <v>0</v>
      </c>
      <c r="K125" s="9" t="b">
        <f aca="false">IF(AND(ISNUMBER(F125),ISNUMBER(G125),ISNUMBER(F124),ISNUMBER(G124)),AND(F125&lt;G125,F124&gt;=G124),FALSE())</f>
        <v>0</v>
      </c>
      <c r="L125" s="8" t="n">
        <f aca="false">IF(ISNUMBER(I125),E125-Inputs!$B$6*I125,"")</f>
        <v>0.845035156715174</v>
      </c>
      <c r="M125" s="9" t="b">
        <f aca="false">AND(Y124&gt;0,Z124)</f>
        <v>0</v>
      </c>
      <c r="N125" s="8" t="n">
        <f aca="false">B125*(1-Inputs!$B$12)</f>
        <v>0.867336462002157</v>
      </c>
      <c r="O125" s="10" t="n">
        <f aca="false">IF(M125,Y124*(N125-AB124)-Inputs!$B$9-Y124*AD124*Inputs!$B$13*(A125-AC124),0)</f>
        <v>0</v>
      </c>
      <c r="P125" s="10" t="n">
        <f aca="false">X124+O125</f>
        <v>999</v>
      </c>
      <c r="Q125" s="9" t="b">
        <f aca="false">AND(IF(M125,0,Y124)=0,AA124,IF(ISNUMBER(AE124),B125&gt;AE124,FALSE()))</f>
        <v>0</v>
      </c>
      <c r="R125" s="8" t="n">
        <f aca="false">B125*(1+Inputs!$B$12)</f>
        <v>0.867683465987755</v>
      </c>
      <c r="S125" s="11" t="n">
        <f aca="false">IF(Q125,MIN(P125*Inputs!$B$3/(R125-AE124),P125*Inputs!$B$11/R125),0)</f>
        <v>0</v>
      </c>
      <c r="T125" s="11" t="n">
        <f aca="false">IF(Q125,S125,IF(M125,0,Y124))</f>
        <v>515.951204214585</v>
      </c>
      <c r="U125" s="8" t="n">
        <f aca="false">IF(Q125,AE124,AF124)</f>
        <v>0.842594980845593</v>
      </c>
      <c r="V125" s="9" t="b">
        <f aca="false">AND(T125&gt;0,D125&lt;=U125)</f>
        <v>0</v>
      </c>
      <c r="W125" s="10" t="n">
        <f aca="false">IF(V125,T125*(AK125-AB125)-Inputs!$B$9-T125*AD125*Inputs!$B$13*(A125-AC125),0)</f>
        <v>0</v>
      </c>
      <c r="X125" s="10" t="n">
        <f aca="false">P125-IF(Q125,Inputs!$B$9,0)+W125</f>
        <v>999</v>
      </c>
      <c r="Y125" s="11" t="n">
        <f aca="false">IF(V125,0,T125)</f>
        <v>515.951204214585</v>
      </c>
      <c r="Z125" s="9" t="b">
        <f aca="false">AND(Y125&gt;0,K125)</f>
        <v>0</v>
      </c>
      <c r="AA125" s="9" t="b">
        <f aca="false">AND(Y125=0,J125,ISNUMBER(L125))</f>
        <v>0</v>
      </c>
      <c r="AB125" s="8" t="n">
        <f aca="false">IF(Q125,R125,AB124)</f>
        <v>0.861976658644412</v>
      </c>
      <c r="AC125" s="12" t="n">
        <f aca="false">IF(Q125,A125,AC124)</f>
        <v>44890</v>
      </c>
      <c r="AD125" s="8" t="n">
        <f aca="false">IF(Q125,B125,AD124)</f>
        <v>0.861804297784855</v>
      </c>
      <c r="AE125" s="8" t="str">
        <f aca="false">IF(AA125,L125,"")</f>
        <v/>
      </c>
      <c r="AF125" s="8" t="n">
        <f aca="false">U125</f>
        <v>0.842594980845593</v>
      </c>
      <c r="AG125" s="2" t="n">
        <f aca="false">AG124+IF(Q125,1,0)</f>
        <v>1</v>
      </c>
      <c r="AH125" s="2" t="n">
        <f aca="false">AG124</f>
        <v>1</v>
      </c>
      <c r="AI125" s="10" t="n">
        <f aca="false">X125+Y125*(E125-AB125)-Y125*AD125*Inputs!$B$13*(A125-AC125)</f>
        <v>998.313521264394</v>
      </c>
      <c r="AJ125" s="10" t="n">
        <v>0</v>
      </c>
      <c r="AK125" s="8" t="n">
        <f aca="false">IF(AND(B125&lt;=U125,NOT(Q125)),B125,U125)*(1-Inputs!$B$12)</f>
        <v>0.842426461849423</v>
      </c>
    </row>
    <row r="126" customFormat="false" ht="15" hidden="false" customHeight="false" outlineLevel="0" collapsed="false">
      <c r="A126" s="6" t="n">
        <v>44910</v>
      </c>
      <c r="B126" s="7" t="n">
        <v>0.863562115643963</v>
      </c>
      <c r="C126" s="7" t="n">
        <v>0.867985579423277</v>
      </c>
      <c r="D126" s="7" t="n">
        <v>0.86032307425707</v>
      </c>
      <c r="E126" s="7" t="n">
        <v>0.861727475916526</v>
      </c>
      <c r="F126" s="8" t="n">
        <f aca="true">IF(ROW()-2&gt;=Inputs!$B$4,AVERAGE(OFFSET(E126,1-Inputs!$B$4,0,Inputs!$B$4,1)),"")</f>
        <v>0.85941012772867</v>
      </c>
      <c r="G126" s="8" t="n">
        <f aca="true">IF(ROW()-2&gt;=Inputs!$B$5,AVERAGE(OFFSET(E126,1-Inputs!$B$5,0,Inputs!$B$5,1)),"")</f>
        <v>0.844686838580844</v>
      </c>
      <c r="H126" s="8" t="n">
        <f aca="false">MAX(C126-D126,ABS(C126-E125),ABS(D126-E125))</f>
        <v>0.0076625051662067</v>
      </c>
      <c r="I126" s="8" t="n">
        <f aca="true">IF(ROW()-2&lt;14,"",IF(ROW()-2=14,AVERAGE(OFFSET(H126,-13,0,14,1)),(I125*13+H126)/14))</f>
        <v>0.00914912415738119</v>
      </c>
      <c r="J126" s="9" t="b">
        <f aca="false">IF(AND(ISNUMBER(F126),ISNUMBER(G126),ISNUMBER(F125),ISNUMBER(G125)),AND(F126&gt;G126,F125&lt;=G125),FALSE())</f>
        <v>0</v>
      </c>
      <c r="K126" s="9" t="b">
        <f aca="false">IF(AND(ISNUMBER(F126),ISNUMBER(G126),ISNUMBER(F125),ISNUMBER(G125)),AND(F126&lt;G126,F125&gt;=G125),FALSE())</f>
        <v>0</v>
      </c>
      <c r="L126" s="8" t="n">
        <f aca="false">IF(ISNUMBER(I126),E126-Inputs!$B$6*I126,"")</f>
        <v>0.843429227601764</v>
      </c>
      <c r="M126" s="9" t="b">
        <f aca="false">AND(Y125&gt;0,Z125)</f>
        <v>0</v>
      </c>
      <c r="N126" s="8" t="n">
        <f aca="false">B126*(1-Inputs!$B$12)</f>
        <v>0.863389403220834</v>
      </c>
      <c r="O126" s="10" t="n">
        <f aca="false">IF(M126,Y125*(N126-AB125)-Inputs!$B$9-Y125*AD125*Inputs!$B$13*(A126-AC125),0)</f>
        <v>0</v>
      </c>
      <c r="P126" s="10" t="n">
        <f aca="false">X125+O126</f>
        <v>999</v>
      </c>
      <c r="Q126" s="9" t="b">
        <f aca="false">AND(IF(M126,0,Y125)=0,AA125,IF(ISNUMBER(AE125),B126&gt;AE125,FALSE()))</f>
        <v>0</v>
      </c>
      <c r="R126" s="8" t="n">
        <f aca="false">B126*(1+Inputs!$B$12)</f>
        <v>0.863734828067092</v>
      </c>
      <c r="S126" s="11" t="n">
        <f aca="false">IF(Q126,MIN(P126*Inputs!$B$3/(R126-AE125),P126*Inputs!$B$11/R126),0)</f>
        <v>0</v>
      </c>
      <c r="T126" s="11" t="n">
        <f aca="false">IF(Q126,S126,IF(M126,0,Y125))</f>
        <v>515.951204214585</v>
      </c>
      <c r="U126" s="8" t="n">
        <f aca="false">IF(Q126,AE125,AF125)</f>
        <v>0.842594980845593</v>
      </c>
      <c r="V126" s="9" t="b">
        <f aca="false">AND(T126&gt;0,D126&lt;=U126)</f>
        <v>0</v>
      </c>
      <c r="W126" s="10" t="n">
        <f aca="false">IF(V126,T126*(AK126-AB126)-Inputs!$B$9-T126*AD126*Inputs!$B$13*(A126-AC126),0)</f>
        <v>0</v>
      </c>
      <c r="X126" s="10" t="n">
        <f aca="false">P126-IF(Q126,Inputs!$B$9,0)+W126</f>
        <v>999</v>
      </c>
      <c r="Y126" s="11" t="n">
        <f aca="false">IF(V126,0,T126)</f>
        <v>515.951204214585</v>
      </c>
      <c r="Z126" s="9" t="b">
        <f aca="false">AND(Y126&gt;0,K126)</f>
        <v>0</v>
      </c>
      <c r="AA126" s="9" t="b">
        <f aca="false">AND(Y126=0,J126,ISNUMBER(L126))</f>
        <v>0</v>
      </c>
      <c r="AB126" s="8" t="n">
        <f aca="false">IF(Q126,R126,AB125)</f>
        <v>0.861976658644412</v>
      </c>
      <c r="AC126" s="12" t="n">
        <f aca="false">IF(Q126,A126,AC125)</f>
        <v>44890</v>
      </c>
      <c r="AD126" s="8" t="n">
        <f aca="false">IF(Q126,B126,AD125)</f>
        <v>0.861804297784855</v>
      </c>
      <c r="AE126" s="8" t="str">
        <f aca="false">IF(AA126,L126,"")</f>
        <v/>
      </c>
      <c r="AF126" s="8" t="n">
        <f aca="false">U126</f>
        <v>0.842594980845593</v>
      </c>
      <c r="AG126" s="2" t="n">
        <f aca="false">AG125+IF(Q126,1,0)</f>
        <v>1</v>
      </c>
      <c r="AH126" s="2" t="n">
        <f aca="false">AG125</f>
        <v>1</v>
      </c>
      <c r="AI126" s="10" t="n">
        <f aca="false">X126+Y126*(E126-AB126)-Y126*AD126*Inputs!$B$13*(A126-AC126)</f>
        <v>997.28775262542</v>
      </c>
      <c r="AJ126" s="10" t="n">
        <v>0</v>
      </c>
      <c r="AK126" s="8" t="n">
        <f aca="false">IF(AND(B126&lt;=U126,NOT(Q126)),B126,U126)*(1-Inputs!$B$12)</f>
        <v>0.842426461849423</v>
      </c>
    </row>
    <row r="127" customFormat="false" ht="15" hidden="false" customHeight="false" outlineLevel="0" collapsed="false">
      <c r="A127" s="6" t="n">
        <v>44911</v>
      </c>
      <c r="B127" s="7" t="n">
        <v>0.861727475916526</v>
      </c>
      <c r="C127" s="7" t="n">
        <v>0.869079031076396</v>
      </c>
      <c r="D127" s="7" t="n">
        <v>0.8540888952966</v>
      </c>
      <c r="E127" s="7" t="n">
        <v>0.866655868587057</v>
      </c>
      <c r="F127" s="8" t="n">
        <f aca="true">IF(ROW()-2&gt;=Inputs!$B$4,AVERAGE(OFFSET(E127,1-Inputs!$B$4,0,Inputs!$B$4,1)),"")</f>
        <v>0.860090563882097</v>
      </c>
      <c r="G127" s="8" t="n">
        <f aca="true">IF(ROW()-2&gt;=Inputs!$B$5,AVERAGE(OFFSET(E127,1-Inputs!$B$5,0,Inputs!$B$5,1)),"")</f>
        <v>0.845280926187861</v>
      </c>
      <c r="H127" s="8" t="n">
        <f aca="false">MAX(C127-D127,ABS(C127-E126),ABS(D127-E126))</f>
        <v>0.0149901357797969</v>
      </c>
      <c r="I127" s="8" t="n">
        <f aca="true">IF(ROW()-2&lt;14,"",IF(ROW()-2=14,AVERAGE(OFFSET(H127,-13,0,14,1)),(I126*13+H127)/14))</f>
        <v>0.00956633927326802</v>
      </c>
      <c r="J127" s="9" t="b">
        <f aca="false">IF(AND(ISNUMBER(F127),ISNUMBER(G127),ISNUMBER(F126),ISNUMBER(G126)),AND(F127&gt;G127,F126&lt;=G126),FALSE())</f>
        <v>0</v>
      </c>
      <c r="K127" s="9" t="b">
        <f aca="false">IF(AND(ISNUMBER(F127),ISNUMBER(G127),ISNUMBER(F126),ISNUMBER(G126)),AND(F127&lt;G127,F126&gt;=G126),FALSE())</f>
        <v>0</v>
      </c>
      <c r="L127" s="8" t="n">
        <f aca="false">IF(ISNUMBER(I127),E127-Inputs!$B$6*I127,"")</f>
        <v>0.847523190040521</v>
      </c>
      <c r="M127" s="9" t="b">
        <f aca="false">AND(Y126&gt;0,Z126)</f>
        <v>0</v>
      </c>
      <c r="N127" s="8" t="n">
        <f aca="false">B127*(1-Inputs!$B$12)</f>
        <v>0.861555130421343</v>
      </c>
      <c r="O127" s="10" t="n">
        <f aca="false">IF(M127,Y126*(N127-AB126)-Inputs!$B$9-Y126*AD126*Inputs!$B$13*(A127-AC126),0)</f>
        <v>0</v>
      </c>
      <c r="P127" s="10" t="n">
        <f aca="false">X126+O127</f>
        <v>999</v>
      </c>
      <c r="Q127" s="9" t="b">
        <f aca="false">AND(IF(M127,0,Y126)=0,AA126,IF(ISNUMBER(AE126),B127&gt;AE126,FALSE()))</f>
        <v>0</v>
      </c>
      <c r="R127" s="8" t="n">
        <f aca="false">B127*(1+Inputs!$B$12)</f>
        <v>0.86189982141171</v>
      </c>
      <c r="S127" s="11" t="n">
        <f aca="false">IF(Q127,MIN(P127*Inputs!$B$3/(R127-AE126),P127*Inputs!$B$11/R127),0)</f>
        <v>0</v>
      </c>
      <c r="T127" s="11" t="n">
        <f aca="false">IF(Q127,S127,IF(M127,0,Y126))</f>
        <v>515.951204214585</v>
      </c>
      <c r="U127" s="8" t="n">
        <f aca="false">IF(Q127,AE126,AF126)</f>
        <v>0.842594980845593</v>
      </c>
      <c r="V127" s="9" t="b">
        <f aca="false">AND(T127&gt;0,D127&lt;=U127)</f>
        <v>0</v>
      </c>
      <c r="W127" s="10" t="n">
        <f aca="false">IF(V127,T127*(AK127-AB127)-Inputs!$B$9-T127*AD127*Inputs!$B$13*(A127-AC127),0)</f>
        <v>0</v>
      </c>
      <c r="X127" s="10" t="n">
        <f aca="false">P127-IF(Q127,Inputs!$B$9,0)+W127</f>
        <v>999</v>
      </c>
      <c r="Y127" s="11" t="n">
        <f aca="false">IF(V127,0,T127)</f>
        <v>515.951204214585</v>
      </c>
      <c r="Z127" s="9" t="b">
        <f aca="false">AND(Y127&gt;0,K127)</f>
        <v>0</v>
      </c>
      <c r="AA127" s="9" t="b">
        <f aca="false">AND(Y127=0,J127,ISNUMBER(L127))</f>
        <v>0</v>
      </c>
      <c r="AB127" s="8" t="n">
        <f aca="false">IF(Q127,R127,AB126)</f>
        <v>0.861976658644412</v>
      </c>
      <c r="AC127" s="12" t="n">
        <f aca="false">IF(Q127,A127,AC126)</f>
        <v>44890</v>
      </c>
      <c r="AD127" s="8" t="n">
        <f aca="false">IF(Q127,B127,AD126)</f>
        <v>0.861804297784855</v>
      </c>
      <c r="AE127" s="8" t="str">
        <f aca="false">IF(AA127,L127,"")</f>
        <v/>
      </c>
      <c r="AF127" s="8" t="n">
        <f aca="false">U127</f>
        <v>0.842594980845593</v>
      </c>
      <c r="AG127" s="2" t="n">
        <f aca="false">AG126+IF(Q127,1,0)</f>
        <v>1</v>
      </c>
      <c r="AH127" s="2" t="n">
        <f aca="false">AG126</f>
        <v>1</v>
      </c>
      <c r="AI127" s="10" t="n">
        <f aca="false">X127+Y127*(E127-AB127)-Y127*AD127*Inputs!$B$13*(A127-AC127)</f>
        <v>999.75137869632</v>
      </c>
      <c r="AJ127" s="10" t="n">
        <v>0</v>
      </c>
      <c r="AK127" s="8" t="n">
        <f aca="false">IF(AND(B127&lt;=U127,NOT(Q127)),B127,U127)*(1-Inputs!$B$12)</f>
        <v>0.842426461849423</v>
      </c>
    </row>
    <row r="128" customFormat="false" ht="15" hidden="false" customHeight="false" outlineLevel="0" collapsed="false">
      <c r="A128" s="6" t="n">
        <v>44912</v>
      </c>
      <c r="B128" s="7" t="n">
        <v>0.866655868587057</v>
      </c>
      <c r="C128" s="7" t="n">
        <v>0.87143817430269</v>
      </c>
      <c r="D128" s="7" t="n">
        <v>0.857296993893371</v>
      </c>
      <c r="E128" s="7" t="n">
        <v>0.867827365374824</v>
      </c>
      <c r="F128" s="8" t="n">
        <f aca="true">IF(ROW()-2&gt;=Inputs!$B$4,AVERAGE(OFFSET(E128,1-Inputs!$B$4,0,Inputs!$B$4,1)),"")</f>
        <v>0.860720626181384</v>
      </c>
      <c r="G128" s="8" t="n">
        <f aca="true">IF(ROW()-2&gt;=Inputs!$B$5,AVERAGE(OFFSET(E128,1-Inputs!$B$5,0,Inputs!$B$5,1)),"")</f>
        <v>0.845966292659429</v>
      </c>
      <c r="H128" s="8" t="n">
        <f aca="false">MAX(C128-D128,ABS(C128-E127),ABS(D128-E127))</f>
        <v>0.014141180409319</v>
      </c>
      <c r="I128" s="8" t="n">
        <f aca="true">IF(ROW()-2&lt;14,"",IF(ROW()-2=14,AVERAGE(OFFSET(H128,-13,0,14,1)),(I127*13+H128)/14))</f>
        <v>0.00989311364012881</v>
      </c>
      <c r="J128" s="9" t="b">
        <f aca="false">IF(AND(ISNUMBER(F128),ISNUMBER(G128),ISNUMBER(F127),ISNUMBER(G127)),AND(F128&gt;G128,F127&lt;=G127),FALSE())</f>
        <v>0</v>
      </c>
      <c r="K128" s="9" t="b">
        <f aca="false">IF(AND(ISNUMBER(F128),ISNUMBER(G128),ISNUMBER(F127),ISNUMBER(G127)),AND(F128&lt;G128,F127&gt;=G127),FALSE())</f>
        <v>0</v>
      </c>
      <c r="L128" s="8" t="n">
        <f aca="false">IF(ISNUMBER(I128),E128-Inputs!$B$6*I128,"")</f>
        <v>0.848041138094566</v>
      </c>
      <c r="M128" s="9" t="b">
        <f aca="false">AND(Y127&gt;0,Z127)</f>
        <v>0</v>
      </c>
      <c r="N128" s="8" t="n">
        <f aca="false">B128*(1-Inputs!$B$12)</f>
        <v>0.86648253741334</v>
      </c>
      <c r="O128" s="10" t="n">
        <f aca="false">IF(M128,Y127*(N128-AB127)-Inputs!$B$9-Y127*AD127*Inputs!$B$13*(A128-AC127),0)</f>
        <v>0</v>
      </c>
      <c r="P128" s="10" t="n">
        <f aca="false">X127+O128</f>
        <v>999</v>
      </c>
      <c r="Q128" s="9" t="b">
        <f aca="false">AND(IF(M128,0,Y127)=0,AA127,IF(ISNUMBER(AE127),B128&gt;AE127,FALSE()))</f>
        <v>0</v>
      </c>
      <c r="R128" s="8" t="n">
        <f aca="false">B128*(1+Inputs!$B$12)</f>
        <v>0.866829199760775</v>
      </c>
      <c r="S128" s="11" t="n">
        <f aca="false">IF(Q128,MIN(P128*Inputs!$B$3/(R128-AE127),P128*Inputs!$B$11/R128),0)</f>
        <v>0</v>
      </c>
      <c r="T128" s="11" t="n">
        <f aca="false">IF(Q128,S128,IF(M128,0,Y127))</f>
        <v>515.951204214585</v>
      </c>
      <c r="U128" s="8" t="n">
        <f aca="false">IF(Q128,AE127,AF127)</f>
        <v>0.842594980845593</v>
      </c>
      <c r="V128" s="9" t="b">
        <f aca="false">AND(T128&gt;0,D128&lt;=U128)</f>
        <v>0</v>
      </c>
      <c r="W128" s="10" t="n">
        <f aca="false">IF(V128,T128*(AK128-AB128)-Inputs!$B$9-T128*AD128*Inputs!$B$13*(A128-AC128),0)</f>
        <v>0</v>
      </c>
      <c r="X128" s="10" t="n">
        <f aca="false">P128-IF(Q128,Inputs!$B$9,0)+W128</f>
        <v>999</v>
      </c>
      <c r="Y128" s="11" t="n">
        <f aca="false">IF(V128,0,T128)</f>
        <v>515.951204214585</v>
      </c>
      <c r="Z128" s="9" t="b">
        <f aca="false">AND(Y128&gt;0,K128)</f>
        <v>0</v>
      </c>
      <c r="AA128" s="9" t="b">
        <f aca="false">AND(Y128=0,J128,ISNUMBER(L128))</f>
        <v>0</v>
      </c>
      <c r="AB128" s="8" t="n">
        <f aca="false">IF(Q128,R128,AB127)</f>
        <v>0.861976658644412</v>
      </c>
      <c r="AC128" s="12" t="n">
        <f aca="false">IF(Q128,A128,AC127)</f>
        <v>44890</v>
      </c>
      <c r="AD128" s="8" t="n">
        <f aca="false">IF(Q128,B128,AD127)</f>
        <v>0.861804297784855</v>
      </c>
      <c r="AE128" s="8" t="str">
        <f aca="false">IF(AA128,L128,"")</f>
        <v/>
      </c>
      <c r="AF128" s="8" t="n">
        <f aca="false">U128</f>
        <v>0.842594980845593</v>
      </c>
      <c r="AG128" s="2" t="n">
        <f aca="false">AG127+IF(Q128,1,0)</f>
        <v>1</v>
      </c>
      <c r="AH128" s="2" t="n">
        <f aca="false">AG127</f>
        <v>1</v>
      </c>
      <c r="AI128" s="10" t="n">
        <f aca="false">X128+Y128*(E128-AB128)-Y128*AD128*Inputs!$B$13*(A128-AC128)</f>
        <v>1000.2766298124</v>
      </c>
      <c r="AJ128" s="10" t="n">
        <v>0</v>
      </c>
      <c r="AK128" s="8" t="n">
        <f aca="false">IF(AND(B128&lt;=U128,NOT(Q128)),B128,U128)*(1-Inputs!$B$12)</f>
        <v>0.842426461849423</v>
      </c>
    </row>
    <row r="129" customFormat="false" ht="15" hidden="false" customHeight="false" outlineLevel="0" collapsed="false">
      <c r="A129" s="6" t="n">
        <v>44913</v>
      </c>
      <c r="B129" s="7" t="n">
        <v>0.867827365374824</v>
      </c>
      <c r="C129" s="7" t="n">
        <v>0.869180805788479</v>
      </c>
      <c r="D129" s="7" t="n">
        <v>0.861491314205435</v>
      </c>
      <c r="E129" s="7" t="n">
        <v>0.863128151478153</v>
      </c>
      <c r="F129" s="8" t="n">
        <f aca="true">IF(ROW()-2&gt;=Inputs!$B$4,AVERAGE(OFFSET(E129,1-Inputs!$B$4,0,Inputs!$B$4,1)),"")</f>
        <v>0.861140086224937</v>
      </c>
      <c r="G129" s="8" t="n">
        <f aca="true">IF(ROW()-2&gt;=Inputs!$B$5,AVERAGE(OFFSET(E129,1-Inputs!$B$5,0,Inputs!$B$5,1)),"")</f>
        <v>0.846452084557348</v>
      </c>
      <c r="H129" s="8" t="n">
        <f aca="false">MAX(C129-D129,ABS(C129-E128),ABS(D129-E128))</f>
        <v>0.00768949158304388</v>
      </c>
      <c r="I129" s="8" t="n">
        <f aca="true">IF(ROW()-2&lt;14,"",IF(ROW()-2=14,AVERAGE(OFFSET(H129,-13,0,14,1)),(I128*13+H129)/14))</f>
        <v>0.00973571206462274</v>
      </c>
      <c r="J129" s="9" t="b">
        <f aca="false">IF(AND(ISNUMBER(F129),ISNUMBER(G129),ISNUMBER(F128),ISNUMBER(G128)),AND(F129&gt;G129,F128&lt;=G128),FALSE())</f>
        <v>0</v>
      </c>
      <c r="K129" s="9" t="b">
        <f aca="false">IF(AND(ISNUMBER(F129),ISNUMBER(G129),ISNUMBER(F128),ISNUMBER(G128)),AND(F129&lt;G129,F128&gt;=G128),FALSE())</f>
        <v>0</v>
      </c>
      <c r="L129" s="8" t="n">
        <f aca="false">IF(ISNUMBER(I129),E129-Inputs!$B$6*I129,"")</f>
        <v>0.843656727348907</v>
      </c>
      <c r="M129" s="9" t="b">
        <f aca="false">AND(Y128&gt;0,Z128)</f>
        <v>0</v>
      </c>
      <c r="N129" s="8" t="n">
        <f aca="false">B129*(1-Inputs!$B$12)</f>
        <v>0.867653799901749</v>
      </c>
      <c r="O129" s="10" t="n">
        <f aca="false">IF(M129,Y128*(N129-AB128)-Inputs!$B$9-Y128*AD128*Inputs!$B$13*(A129-AC128),0)</f>
        <v>0</v>
      </c>
      <c r="P129" s="10" t="n">
        <f aca="false">X128+O129</f>
        <v>999</v>
      </c>
      <c r="Q129" s="9" t="b">
        <f aca="false">AND(IF(M129,0,Y128)=0,AA128,IF(ISNUMBER(AE128),B129&gt;AE128,FALSE()))</f>
        <v>0</v>
      </c>
      <c r="R129" s="8" t="n">
        <f aca="false">B129*(1+Inputs!$B$12)</f>
        <v>0.868000930847899</v>
      </c>
      <c r="S129" s="11" t="n">
        <f aca="false">IF(Q129,MIN(P129*Inputs!$B$3/(R129-AE128),P129*Inputs!$B$11/R129),0)</f>
        <v>0</v>
      </c>
      <c r="T129" s="11" t="n">
        <f aca="false">IF(Q129,S129,IF(M129,0,Y128))</f>
        <v>515.951204214585</v>
      </c>
      <c r="U129" s="8" t="n">
        <f aca="false">IF(Q129,AE128,AF128)</f>
        <v>0.842594980845593</v>
      </c>
      <c r="V129" s="9" t="b">
        <f aca="false">AND(T129&gt;0,D129&lt;=U129)</f>
        <v>0</v>
      </c>
      <c r="W129" s="10" t="n">
        <f aca="false">IF(V129,T129*(AK129-AB129)-Inputs!$B$9-T129*AD129*Inputs!$B$13*(A129-AC129),0)</f>
        <v>0</v>
      </c>
      <c r="X129" s="10" t="n">
        <f aca="false">P129-IF(Q129,Inputs!$B$9,0)+W129</f>
        <v>999</v>
      </c>
      <c r="Y129" s="11" t="n">
        <f aca="false">IF(V129,0,T129)</f>
        <v>515.951204214585</v>
      </c>
      <c r="Z129" s="9" t="b">
        <f aca="false">AND(Y129&gt;0,K129)</f>
        <v>0</v>
      </c>
      <c r="AA129" s="9" t="b">
        <f aca="false">AND(Y129=0,J129,ISNUMBER(L129))</f>
        <v>0</v>
      </c>
      <c r="AB129" s="8" t="n">
        <f aca="false">IF(Q129,R129,AB128)</f>
        <v>0.861976658644412</v>
      </c>
      <c r="AC129" s="12" t="n">
        <f aca="false">IF(Q129,A129,AC128)</f>
        <v>44890</v>
      </c>
      <c r="AD129" s="8" t="n">
        <f aca="false">IF(Q129,B129,AD128)</f>
        <v>0.861804297784855</v>
      </c>
      <c r="AE129" s="8" t="str">
        <f aca="false">IF(AA129,L129,"")</f>
        <v/>
      </c>
      <c r="AF129" s="8" t="n">
        <f aca="false">U129</f>
        <v>0.842594980845593</v>
      </c>
      <c r="AG129" s="2" t="n">
        <f aca="false">AG128+IF(Q129,1,0)</f>
        <v>1</v>
      </c>
      <c r="AH129" s="2" t="n">
        <f aca="false">AG128</f>
        <v>1</v>
      </c>
      <c r="AI129" s="10" t="n">
        <f aca="false">X129+Y129*(E129-AB129)-Y129*AD129*Inputs!$B$13*(A129-AC129)</f>
        <v>997.772880681246</v>
      </c>
      <c r="AJ129" s="10" t="n">
        <v>0</v>
      </c>
      <c r="AK129" s="8" t="n">
        <f aca="false">IF(AND(B129&lt;=U129,NOT(Q129)),B129,U129)*(1-Inputs!$B$12)</f>
        <v>0.842426461849423</v>
      </c>
    </row>
    <row r="130" customFormat="false" ht="15" hidden="false" customHeight="false" outlineLevel="0" collapsed="false">
      <c r="A130" s="6" t="n">
        <v>44914</v>
      </c>
      <c r="B130" s="7" t="n">
        <v>0.863128151478153</v>
      </c>
      <c r="C130" s="7" t="n">
        <v>0.866967319807861</v>
      </c>
      <c r="D130" s="7" t="n">
        <v>0.861596066749642</v>
      </c>
      <c r="E130" s="7" t="n">
        <v>0.863215932772622</v>
      </c>
      <c r="F130" s="8" t="n">
        <f aca="true">IF(ROW()-2&gt;=Inputs!$B$4,AVERAGE(OFFSET(E130,1-Inputs!$B$4,0,Inputs!$B$4,1)),"")</f>
        <v>0.861248234399445</v>
      </c>
      <c r="G130" s="8" t="n">
        <f aca="true">IF(ROW()-2&gt;=Inputs!$B$5,AVERAGE(OFFSET(E130,1-Inputs!$B$5,0,Inputs!$B$5,1)),"")</f>
        <v>0.846981172151947</v>
      </c>
      <c r="H130" s="8" t="n">
        <f aca="false">MAX(C130-D130,ABS(C130-E129),ABS(D130-E129))</f>
        <v>0.00537125305821884</v>
      </c>
      <c r="I130" s="8" t="n">
        <f aca="true">IF(ROW()-2&lt;14,"",IF(ROW()-2=14,AVERAGE(OFFSET(H130,-13,0,14,1)),(I129*13+H130)/14))</f>
        <v>0.00942396499273675</v>
      </c>
      <c r="J130" s="9" t="b">
        <f aca="false">IF(AND(ISNUMBER(F130),ISNUMBER(G130),ISNUMBER(F129),ISNUMBER(G129)),AND(F130&gt;G130,F129&lt;=G129),FALSE())</f>
        <v>0</v>
      </c>
      <c r="K130" s="9" t="b">
        <f aca="false">IF(AND(ISNUMBER(F130),ISNUMBER(G130),ISNUMBER(F129),ISNUMBER(G129)),AND(F130&lt;G130,F129&gt;=G129),FALSE())</f>
        <v>0</v>
      </c>
      <c r="L130" s="8" t="n">
        <f aca="false">IF(ISNUMBER(I130),E130-Inputs!$B$6*I130,"")</f>
        <v>0.844368002787149</v>
      </c>
      <c r="M130" s="9" t="b">
        <f aca="false">AND(Y129&gt;0,Z129)</f>
        <v>0</v>
      </c>
      <c r="N130" s="8" t="n">
        <f aca="false">B130*(1-Inputs!$B$12)</f>
        <v>0.862955525847857</v>
      </c>
      <c r="O130" s="10" t="n">
        <f aca="false">IF(M130,Y129*(N130-AB129)-Inputs!$B$9-Y129*AD129*Inputs!$B$13*(A130-AC129),0)</f>
        <v>0</v>
      </c>
      <c r="P130" s="10" t="n">
        <f aca="false">X129+O130</f>
        <v>999</v>
      </c>
      <c r="Q130" s="9" t="b">
        <f aca="false">AND(IF(M130,0,Y129)=0,AA129,IF(ISNUMBER(AE129),B130&gt;AE129,FALSE()))</f>
        <v>0</v>
      </c>
      <c r="R130" s="8" t="n">
        <f aca="false">B130*(1+Inputs!$B$12)</f>
        <v>0.863300777108448</v>
      </c>
      <c r="S130" s="11" t="n">
        <f aca="false">IF(Q130,MIN(P130*Inputs!$B$3/(R130-AE129),P130*Inputs!$B$11/R130),0)</f>
        <v>0</v>
      </c>
      <c r="T130" s="11" t="n">
        <f aca="false">IF(Q130,S130,IF(M130,0,Y129))</f>
        <v>515.951204214585</v>
      </c>
      <c r="U130" s="8" t="n">
        <f aca="false">IF(Q130,AE129,AF129)</f>
        <v>0.842594980845593</v>
      </c>
      <c r="V130" s="9" t="b">
        <f aca="false">AND(T130&gt;0,D130&lt;=U130)</f>
        <v>0</v>
      </c>
      <c r="W130" s="10" t="n">
        <f aca="false">IF(V130,T130*(AK130-AB130)-Inputs!$B$9-T130*AD130*Inputs!$B$13*(A130-AC130),0)</f>
        <v>0</v>
      </c>
      <c r="X130" s="10" t="n">
        <f aca="false">P130-IF(Q130,Inputs!$B$9,0)+W130</f>
        <v>999</v>
      </c>
      <c r="Y130" s="11" t="n">
        <f aca="false">IF(V130,0,T130)</f>
        <v>515.951204214585</v>
      </c>
      <c r="Z130" s="9" t="b">
        <f aca="false">AND(Y130&gt;0,K130)</f>
        <v>0</v>
      </c>
      <c r="AA130" s="9" t="b">
        <f aca="false">AND(Y130=0,J130,ISNUMBER(L130))</f>
        <v>0</v>
      </c>
      <c r="AB130" s="8" t="n">
        <f aca="false">IF(Q130,R130,AB129)</f>
        <v>0.861976658644412</v>
      </c>
      <c r="AC130" s="12" t="n">
        <f aca="false">IF(Q130,A130,AC129)</f>
        <v>44890</v>
      </c>
      <c r="AD130" s="8" t="n">
        <f aca="false">IF(Q130,B130,AD129)</f>
        <v>0.861804297784855</v>
      </c>
      <c r="AE130" s="8" t="str">
        <f aca="false">IF(AA130,L130,"")</f>
        <v/>
      </c>
      <c r="AF130" s="8" t="n">
        <f aca="false">U130</f>
        <v>0.842594980845593</v>
      </c>
      <c r="AG130" s="2" t="n">
        <f aca="false">AG129+IF(Q130,1,0)</f>
        <v>1</v>
      </c>
      <c r="AH130" s="2" t="n">
        <f aca="false">AG129</f>
        <v>1</v>
      </c>
      <c r="AI130" s="10" t="n">
        <f aca="false">X130+Y130*(E130-AB130)-Y130*AD130*Inputs!$B$13*(A130-AC130)</f>
        <v>997.738987483532</v>
      </c>
      <c r="AJ130" s="10" t="n">
        <v>0</v>
      </c>
      <c r="AK130" s="8" t="n">
        <f aca="false">IF(AND(B130&lt;=U130,NOT(Q130)),B130,U130)*(1-Inputs!$B$12)</f>
        <v>0.842426461849423</v>
      </c>
    </row>
    <row r="131" customFormat="false" ht="15" hidden="false" customHeight="false" outlineLevel="0" collapsed="false">
      <c r="A131" s="6" t="n">
        <v>44915</v>
      </c>
      <c r="B131" s="7" t="n">
        <v>0.863215932772622</v>
      </c>
      <c r="C131" s="7" t="n">
        <v>0.867792865243871</v>
      </c>
      <c r="D131" s="7" t="n">
        <v>0.861309341669103</v>
      </c>
      <c r="E131" s="7" t="n">
        <v>0.865649709563232</v>
      </c>
      <c r="F131" s="8" t="n">
        <f aca="true">IF(ROW()-2&gt;=Inputs!$B$4,AVERAGE(OFFSET(E131,1-Inputs!$B$4,0,Inputs!$B$4,1)),"")</f>
        <v>0.861711600881277</v>
      </c>
      <c r="G131" s="8" t="n">
        <f aca="true">IF(ROW()-2&gt;=Inputs!$B$5,AVERAGE(OFFSET(E131,1-Inputs!$B$5,0,Inputs!$B$5,1)),"")</f>
        <v>0.847515008391597</v>
      </c>
      <c r="H131" s="8" t="n">
        <f aca="false">MAX(C131-D131,ABS(C131-E130),ABS(D131-E130))</f>
        <v>0.006483523574768</v>
      </c>
      <c r="I131" s="8" t="n">
        <f aca="true">IF(ROW()-2&lt;14,"",IF(ROW()-2=14,AVERAGE(OFFSET(H131,-13,0,14,1)),(I130*13+H131)/14))</f>
        <v>0.00921393346288184</v>
      </c>
      <c r="J131" s="9" t="b">
        <f aca="false">IF(AND(ISNUMBER(F131),ISNUMBER(G131),ISNUMBER(F130),ISNUMBER(G130)),AND(F131&gt;G131,F130&lt;=G130),FALSE())</f>
        <v>0</v>
      </c>
      <c r="K131" s="9" t="b">
        <f aca="false">IF(AND(ISNUMBER(F131),ISNUMBER(G131),ISNUMBER(F130),ISNUMBER(G130)),AND(F131&lt;G131,F130&gt;=G130),FALSE())</f>
        <v>0</v>
      </c>
      <c r="L131" s="8" t="n">
        <f aca="false">IF(ISNUMBER(I131),E131-Inputs!$B$6*I131,"")</f>
        <v>0.847221842637469</v>
      </c>
      <c r="M131" s="9" t="b">
        <f aca="false">AND(Y130&gt;0,Z130)</f>
        <v>0</v>
      </c>
      <c r="N131" s="8" t="n">
        <f aca="false">B131*(1-Inputs!$B$12)</f>
        <v>0.863043289586068</v>
      </c>
      <c r="O131" s="10" t="n">
        <f aca="false">IF(M131,Y130*(N131-AB130)-Inputs!$B$9-Y130*AD130*Inputs!$B$13*(A131-AC130),0)</f>
        <v>0</v>
      </c>
      <c r="P131" s="10" t="n">
        <f aca="false">X130+O131</f>
        <v>999</v>
      </c>
      <c r="Q131" s="9" t="b">
        <f aca="false">AND(IF(M131,0,Y130)=0,AA130,IF(ISNUMBER(AE130),B131&gt;AE130,FALSE()))</f>
        <v>0</v>
      </c>
      <c r="R131" s="8" t="n">
        <f aca="false">B131*(1+Inputs!$B$12)</f>
        <v>0.863388575959177</v>
      </c>
      <c r="S131" s="11" t="n">
        <f aca="false">IF(Q131,MIN(P131*Inputs!$B$3/(R131-AE130),P131*Inputs!$B$11/R131),0)</f>
        <v>0</v>
      </c>
      <c r="T131" s="11" t="n">
        <f aca="false">IF(Q131,S131,IF(M131,0,Y130))</f>
        <v>515.951204214585</v>
      </c>
      <c r="U131" s="8" t="n">
        <f aca="false">IF(Q131,AE130,AF130)</f>
        <v>0.842594980845593</v>
      </c>
      <c r="V131" s="9" t="b">
        <f aca="false">AND(T131&gt;0,D131&lt;=U131)</f>
        <v>0</v>
      </c>
      <c r="W131" s="10" t="n">
        <f aca="false">IF(V131,T131*(AK131-AB131)-Inputs!$B$9-T131*AD131*Inputs!$B$13*(A131-AC131),0)</f>
        <v>0</v>
      </c>
      <c r="X131" s="10" t="n">
        <f aca="false">P131-IF(Q131,Inputs!$B$9,0)+W131</f>
        <v>999</v>
      </c>
      <c r="Y131" s="11" t="n">
        <f aca="false">IF(V131,0,T131)</f>
        <v>515.951204214585</v>
      </c>
      <c r="Z131" s="9" t="b">
        <f aca="false">AND(Y131&gt;0,K131)</f>
        <v>0</v>
      </c>
      <c r="AA131" s="9" t="b">
        <f aca="false">AND(Y131=0,J131,ISNUMBER(L131))</f>
        <v>0</v>
      </c>
      <c r="AB131" s="8" t="n">
        <f aca="false">IF(Q131,R131,AB130)</f>
        <v>0.861976658644412</v>
      </c>
      <c r="AC131" s="12" t="n">
        <f aca="false">IF(Q131,A131,AC130)</f>
        <v>44890</v>
      </c>
      <c r="AD131" s="8" t="n">
        <f aca="false">IF(Q131,B131,AD130)</f>
        <v>0.861804297784855</v>
      </c>
      <c r="AE131" s="8" t="str">
        <f aca="false">IF(AA131,L131,"")</f>
        <v/>
      </c>
      <c r="AF131" s="8" t="n">
        <f aca="false">U131</f>
        <v>0.842594980845593</v>
      </c>
      <c r="AG131" s="2" t="n">
        <f aca="false">AG130+IF(Q131,1,0)</f>
        <v>1</v>
      </c>
      <c r="AH131" s="2" t="n">
        <f aca="false">AG130</f>
        <v>1</v>
      </c>
      <c r="AI131" s="10" t="n">
        <f aca="false">X131+Y131*(E131-AB131)-Y131*AD131*Inputs!$B$13*(A131-AC131)</f>
        <v>998.915513487134</v>
      </c>
      <c r="AJ131" s="10" t="n">
        <v>0</v>
      </c>
      <c r="AK131" s="8" t="n">
        <f aca="false">IF(AND(B131&lt;=U131,NOT(Q131)),B131,U131)*(1-Inputs!$B$12)</f>
        <v>0.842426461849423</v>
      </c>
    </row>
    <row r="132" customFormat="false" ht="15" hidden="false" customHeight="false" outlineLevel="0" collapsed="false">
      <c r="A132" s="6" t="n">
        <v>44916</v>
      </c>
      <c r="B132" s="7" t="n">
        <v>0.865649709563232</v>
      </c>
      <c r="C132" s="7" t="n">
        <v>0.876443562237215</v>
      </c>
      <c r="D132" s="7" t="n">
        <v>0.864499016748054</v>
      </c>
      <c r="E132" s="7" t="n">
        <v>0.871566011571551</v>
      </c>
      <c r="F132" s="8" t="n">
        <f aca="true">IF(ROW()-2&gt;=Inputs!$B$4,AVERAGE(OFFSET(E132,1-Inputs!$B$4,0,Inputs!$B$4,1)),"")</f>
        <v>0.862639802876776</v>
      </c>
      <c r="G132" s="8" t="n">
        <f aca="true">IF(ROW()-2&gt;=Inputs!$B$5,AVERAGE(OFFSET(E132,1-Inputs!$B$5,0,Inputs!$B$5,1)),"")</f>
        <v>0.848412883730222</v>
      </c>
      <c r="H132" s="8" t="n">
        <f aca="false">MAX(C132-D132,ABS(C132-E131),ABS(D132-E131))</f>
        <v>0.0119445454891611</v>
      </c>
      <c r="I132" s="8" t="n">
        <f aca="true">IF(ROW()-2&lt;14,"",IF(ROW()-2=14,AVERAGE(OFFSET(H132,-13,0,14,1)),(I131*13+H132)/14))</f>
        <v>0.00940897717904464</v>
      </c>
      <c r="J132" s="9" t="b">
        <f aca="false">IF(AND(ISNUMBER(F132),ISNUMBER(G132),ISNUMBER(F131),ISNUMBER(G131)),AND(F132&gt;G132,F131&lt;=G131),FALSE())</f>
        <v>0</v>
      </c>
      <c r="K132" s="9" t="b">
        <f aca="false">IF(AND(ISNUMBER(F132),ISNUMBER(G132),ISNUMBER(F131),ISNUMBER(G131)),AND(F132&lt;G132,F131&gt;=G131),FALSE())</f>
        <v>0</v>
      </c>
      <c r="L132" s="8" t="n">
        <f aca="false">IF(ISNUMBER(I132),E132-Inputs!$B$6*I132,"")</f>
        <v>0.852748057213462</v>
      </c>
      <c r="M132" s="9" t="b">
        <f aca="false">AND(Y131&gt;0,Z131)</f>
        <v>0</v>
      </c>
      <c r="N132" s="8" t="n">
        <f aca="false">B132*(1-Inputs!$B$12)</f>
        <v>0.86547657962132</v>
      </c>
      <c r="O132" s="10" t="n">
        <f aca="false">IF(M132,Y131*(N132-AB131)-Inputs!$B$9-Y131*AD131*Inputs!$B$13*(A132-AC131),0)</f>
        <v>0</v>
      </c>
      <c r="P132" s="10" t="n">
        <f aca="false">X131+O132</f>
        <v>999</v>
      </c>
      <c r="Q132" s="9" t="b">
        <f aca="false">AND(IF(M132,0,Y131)=0,AA131,IF(ISNUMBER(AE131),B132&gt;AE131,FALSE()))</f>
        <v>0</v>
      </c>
      <c r="R132" s="8" t="n">
        <f aca="false">B132*(1+Inputs!$B$12)</f>
        <v>0.865822839505145</v>
      </c>
      <c r="S132" s="11" t="n">
        <f aca="false">IF(Q132,MIN(P132*Inputs!$B$3/(R132-AE131),P132*Inputs!$B$11/R132),0)</f>
        <v>0</v>
      </c>
      <c r="T132" s="11" t="n">
        <f aca="false">IF(Q132,S132,IF(M132,0,Y131))</f>
        <v>515.951204214585</v>
      </c>
      <c r="U132" s="8" t="n">
        <f aca="false">IF(Q132,AE131,AF131)</f>
        <v>0.842594980845593</v>
      </c>
      <c r="V132" s="9" t="b">
        <f aca="false">AND(T132&gt;0,D132&lt;=U132)</f>
        <v>0</v>
      </c>
      <c r="W132" s="10" t="n">
        <f aca="false">IF(V132,T132*(AK132-AB132)-Inputs!$B$9-T132*AD132*Inputs!$B$13*(A132-AC132),0)</f>
        <v>0</v>
      </c>
      <c r="X132" s="10" t="n">
        <f aca="false">P132-IF(Q132,Inputs!$B$9,0)+W132</f>
        <v>999</v>
      </c>
      <c r="Y132" s="11" t="n">
        <f aca="false">IF(V132,0,T132)</f>
        <v>515.951204214585</v>
      </c>
      <c r="Z132" s="9" t="b">
        <f aca="false">AND(Y132&gt;0,K132)</f>
        <v>0</v>
      </c>
      <c r="AA132" s="9" t="b">
        <f aca="false">AND(Y132=0,J132,ISNUMBER(L132))</f>
        <v>0</v>
      </c>
      <c r="AB132" s="8" t="n">
        <f aca="false">IF(Q132,R132,AB131)</f>
        <v>0.861976658644412</v>
      </c>
      <c r="AC132" s="12" t="n">
        <f aca="false">IF(Q132,A132,AC131)</f>
        <v>44890</v>
      </c>
      <c r="AD132" s="8" t="n">
        <f aca="false">IF(Q132,B132,AD131)</f>
        <v>0.861804297784855</v>
      </c>
      <c r="AE132" s="8" t="str">
        <f aca="false">IF(AA132,L132,"")</f>
        <v/>
      </c>
      <c r="AF132" s="8" t="n">
        <f aca="false">U132</f>
        <v>0.842594980845593</v>
      </c>
      <c r="AG132" s="2" t="n">
        <f aca="false">AG131+IF(Q132,1,0)</f>
        <v>1</v>
      </c>
      <c r="AH132" s="2" t="n">
        <f aca="false">AG131</f>
        <v>1</v>
      </c>
      <c r="AI132" s="10" t="n">
        <f aca="false">X132+Y132*(E132-AB132)-Y132*AD132*Inputs!$B$13*(A132-AC132)</f>
        <v>1001.88885257052</v>
      </c>
      <c r="AJ132" s="10" t="n">
        <v>0</v>
      </c>
      <c r="AK132" s="8" t="n">
        <f aca="false">IF(AND(B132&lt;=U132,NOT(Q132)),B132,U132)*(1-Inputs!$B$12)</f>
        <v>0.842426461849423</v>
      </c>
    </row>
    <row r="133" customFormat="false" ht="15" hidden="false" customHeight="false" outlineLevel="0" collapsed="false">
      <c r="A133" s="6" t="n">
        <v>44917</v>
      </c>
      <c r="B133" s="7" t="n">
        <v>0.871566011571551</v>
      </c>
      <c r="C133" s="7" t="n">
        <v>0.872726753035514</v>
      </c>
      <c r="D133" s="7" t="n">
        <v>0.867447147750491</v>
      </c>
      <c r="E133" s="7" t="n">
        <v>0.868743304004429</v>
      </c>
      <c r="F133" s="8" t="n">
        <f aca="true">IF(ROW()-2&gt;=Inputs!$B$4,AVERAGE(OFFSET(E133,1-Inputs!$B$4,0,Inputs!$B$4,1)),"")</f>
        <v>0.863246915822284</v>
      </c>
      <c r="G133" s="8" t="n">
        <f aca="true">IF(ROW()-2&gt;=Inputs!$B$5,AVERAGE(OFFSET(E133,1-Inputs!$B$5,0,Inputs!$B$5,1)),"")</f>
        <v>0.849209388399062</v>
      </c>
      <c r="H133" s="8" t="n">
        <f aca="false">MAX(C133-D133,ABS(C133-E132),ABS(D133-E132))</f>
        <v>0.00527960528502347</v>
      </c>
      <c r="I133" s="8" t="n">
        <f aca="true">IF(ROW()-2&lt;14,"",IF(ROW()-2=14,AVERAGE(OFFSET(H133,-13,0,14,1)),(I132*13+H133)/14))</f>
        <v>0.00911402204375742</v>
      </c>
      <c r="J133" s="9" t="b">
        <f aca="false">IF(AND(ISNUMBER(F133),ISNUMBER(G133),ISNUMBER(F132),ISNUMBER(G132)),AND(F133&gt;G133,F132&lt;=G132),FALSE())</f>
        <v>0</v>
      </c>
      <c r="K133" s="9" t="b">
        <f aca="false">IF(AND(ISNUMBER(F133),ISNUMBER(G133),ISNUMBER(F132),ISNUMBER(G132)),AND(F133&lt;G133,F132&gt;=G132),FALSE())</f>
        <v>0</v>
      </c>
      <c r="L133" s="8" t="n">
        <f aca="false">IF(ISNUMBER(I133),E133-Inputs!$B$6*I133,"")</f>
        <v>0.850515259916914</v>
      </c>
      <c r="M133" s="9" t="b">
        <f aca="false">AND(Y132&gt;0,Z132)</f>
        <v>0</v>
      </c>
      <c r="N133" s="8" t="n">
        <f aca="false">B133*(1-Inputs!$B$12)</f>
        <v>0.871391698369237</v>
      </c>
      <c r="O133" s="10" t="n">
        <f aca="false">IF(M133,Y132*(N133-AB132)-Inputs!$B$9-Y132*AD132*Inputs!$B$13*(A133-AC132),0)</f>
        <v>0</v>
      </c>
      <c r="P133" s="10" t="n">
        <f aca="false">X132+O133</f>
        <v>999</v>
      </c>
      <c r="Q133" s="9" t="b">
        <f aca="false">AND(IF(M133,0,Y132)=0,AA132,IF(ISNUMBER(AE132),B133&gt;AE132,FALSE()))</f>
        <v>0</v>
      </c>
      <c r="R133" s="8" t="n">
        <f aca="false">B133*(1+Inputs!$B$12)</f>
        <v>0.871740324773866</v>
      </c>
      <c r="S133" s="11" t="n">
        <f aca="false">IF(Q133,MIN(P133*Inputs!$B$3/(R133-AE132),P133*Inputs!$B$11/R133),0)</f>
        <v>0</v>
      </c>
      <c r="T133" s="11" t="n">
        <f aca="false">IF(Q133,S133,IF(M133,0,Y132))</f>
        <v>515.951204214585</v>
      </c>
      <c r="U133" s="8" t="n">
        <f aca="false">IF(Q133,AE132,AF132)</f>
        <v>0.842594980845593</v>
      </c>
      <c r="V133" s="9" t="b">
        <f aca="false">AND(T133&gt;0,D133&lt;=U133)</f>
        <v>0</v>
      </c>
      <c r="W133" s="10" t="n">
        <f aca="false">IF(V133,T133*(AK133-AB133)-Inputs!$B$9-T133*AD133*Inputs!$B$13*(A133-AC133),0)</f>
        <v>0</v>
      </c>
      <c r="X133" s="10" t="n">
        <f aca="false">P133-IF(Q133,Inputs!$B$9,0)+W133</f>
        <v>999</v>
      </c>
      <c r="Y133" s="11" t="n">
        <f aca="false">IF(V133,0,T133)</f>
        <v>515.951204214585</v>
      </c>
      <c r="Z133" s="9" t="b">
        <f aca="false">AND(Y133&gt;0,K133)</f>
        <v>0</v>
      </c>
      <c r="AA133" s="9" t="b">
        <f aca="false">AND(Y133=0,J133,ISNUMBER(L133))</f>
        <v>0</v>
      </c>
      <c r="AB133" s="8" t="n">
        <f aca="false">IF(Q133,R133,AB132)</f>
        <v>0.861976658644412</v>
      </c>
      <c r="AC133" s="12" t="n">
        <f aca="false">IF(Q133,A133,AC132)</f>
        <v>44890</v>
      </c>
      <c r="AD133" s="8" t="n">
        <f aca="false">IF(Q133,B133,AD132)</f>
        <v>0.861804297784855</v>
      </c>
      <c r="AE133" s="8" t="str">
        <f aca="false">IF(AA133,L133,"")</f>
        <v/>
      </c>
      <c r="AF133" s="8" t="n">
        <f aca="false">U133</f>
        <v>0.842594980845593</v>
      </c>
      <c r="AG133" s="2" t="n">
        <f aca="false">AG132+IF(Q133,1,0)</f>
        <v>1</v>
      </c>
      <c r="AH133" s="2" t="n">
        <f aca="false">AG132</f>
        <v>1</v>
      </c>
      <c r="AI133" s="10" t="n">
        <f aca="false">X133+Y133*(E133-AB133)-Y133*AD133*Inputs!$B$13*(A133-AC133)</f>
        <v>1000.35328913982</v>
      </c>
      <c r="AJ133" s="10" t="n">
        <v>0</v>
      </c>
      <c r="AK133" s="8" t="n">
        <f aca="false">IF(AND(B133&lt;=U133,NOT(Q133)),B133,U133)*(1-Inputs!$B$12)</f>
        <v>0.842426461849423</v>
      </c>
    </row>
    <row r="134" customFormat="false" ht="15" hidden="false" customHeight="false" outlineLevel="0" collapsed="false">
      <c r="A134" s="6" t="n">
        <v>44918</v>
      </c>
      <c r="B134" s="7" t="n">
        <v>0.868743304004429</v>
      </c>
      <c r="C134" s="7" t="n">
        <v>0.873825558802292</v>
      </c>
      <c r="D134" s="7" t="n">
        <v>0.868495515659633</v>
      </c>
      <c r="E134" s="7" t="n">
        <v>0.870572967976764</v>
      </c>
      <c r="F134" s="8" t="n">
        <f aca="true">IF(ROW()-2&gt;=Inputs!$B$4,AVERAGE(OFFSET(E134,1-Inputs!$B$4,0,Inputs!$B$4,1)),"")</f>
        <v>0.86397758498539</v>
      </c>
      <c r="G134" s="8" t="n">
        <f aca="true">IF(ROW()-2&gt;=Inputs!$B$5,AVERAGE(OFFSET(E134,1-Inputs!$B$5,0,Inputs!$B$5,1)),"")</f>
        <v>0.850156073611864</v>
      </c>
      <c r="H134" s="8" t="n">
        <f aca="false">MAX(C134-D134,ABS(C134-E133),ABS(D134-E133))</f>
        <v>0.00533004314265895</v>
      </c>
      <c r="I134" s="8" t="n">
        <f aca="true">IF(ROW()-2&lt;14,"",IF(ROW()-2=14,AVERAGE(OFFSET(H134,-13,0,14,1)),(I133*13+H134)/14))</f>
        <v>0.0088437378365361</v>
      </c>
      <c r="J134" s="9" t="b">
        <f aca="false">IF(AND(ISNUMBER(F134),ISNUMBER(G134),ISNUMBER(F133),ISNUMBER(G133)),AND(F134&gt;G134,F133&lt;=G133),FALSE())</f>
        <v>0</v>
      </c>
      <c r="K134" s="9" t="b">
        <f aca="false">IF(AND(ISNUMBER(F134),ISNUMBER(G134),ISNUMBER(F133),ISNUMBER(G133)),AND(F134&lt;G134,F133&gt;=G133),FALSE())</f>
        <v>0</v>
      </c>
      <c r="L134" s="8" t="n">
        <f aca="false">IF(ISNUMBER(I134),E134-Inputs!$B$6*I134,"")</f>
        <v>0.852885492303691</v>
      </c>
      <c r="M134" s="9" t="b">
        <f aca="false">AND(Y133&gt;0,Z133)</f>
        <v>0</v>
      </c>
      <c r="N134" s="8" t="n">
        <f aca="false">B134*(1-Inputs!$B$12)</f>
        <v>0.868569555343628</v>
      </c>
      <c r="O134" s="10" t="n">
        <f aca="false">IF(M134,Y133*(N134-AB133)-Inputs!$B$9-Y133*AD133*Inputs!$B$13*(A134-AC133),0)</f>
        <v>0</v>
      </c>
      <c r="P134" s="10" t="n">
        <f aca="false">X133+O134</f>
        <v>999</v>
      </c>
      <c r="Q134" s="9" t="b">
        <f aca="false">AND(IF(M134,0,Y133)=0,AA133,IF(ISNUMBER(AE133),B134&gt;AE133,FALSE()))</f>
        <v>0</v>
      </c>
      <c r="R134" s="8" t="n">
        <f aca="false">B134*(1+Inputs!$B$12)</f>
        <v>0.86891705266523</v>
      </c>
      <c r="S134" s="11" t="n">
        <f aca="false">IF(Q134,MIN(P134*Inputs!$B$3/(R134-AE133),P134*Inputs!$B$11/R134),0)</f>
        <v>0</v>
      </c>
      <c r="T134" s="11" t="n">
        <f aca="false">IF(Q134,S134,IF(M134,0,Y133))</f>
        <v>515.951204214585</v>
      </c>
      <c r="U134" s="8" t="n">
        <f aca="false">IF(Q134,AE133,AF133)</f>
        <v>0.842594980845593</v>
      </c>
      <c r="V134" s="9" t="b">
        <f aca="false">AND(T134&gt;0,D134&lt;=U134)</f>
        <v>0</v>
      </c>
      <c r="W134" s="10" t="n">
        <f aca="false">IF(V134,T134*(AK134-AB134)-Inputs!$B$9-T134*AD134*Inputs!$B$13*(A134-AC134),0)</f>
        <v>0</v>
      </c>
      <c r="X134" s="10" t="n">
        <f aca="false">P134-IF(Q134,Inputs!$B$9,0)+W134</f>
        <v>999</v>
      </c>
      <c r="Y134" s="11" t="n">
        <f aca="false">IF(V134,0,T134)</f>
        <v>515.951204214585</v>
      </c>
      <c r="Z134" s="9" t="b">
        <f aca="false">AND(Y134&gt;0,K134)</f>
        <v>0</v>
      </c>
      <c r="AA134" s="9" t="b">
        <f aca="false">AND(Y134=0,J134,ISNUMBER(L134))</f>
        <v>0</v>
      </c>
      <c r="AB134" s="8" t="n">
        <f aca="false">IF(Q134,R134,AB133)</f>
        <v>0.861976658644412</v>
      </c>
      <c r="AC134" s="12" t="n">
        <f aca="false">IF(Q134,A134,AC133)</f>
        <v>44890</v>
      </c>
      <c r="AD134" s="8" t="n">
        <f aca="false">IF(Q134,B134,AD133)</f>
        <v>0.861804297784855</v>
      </c>
      <c r="AE134" s="8" t="str">
        <f aca="false">IF(AA134,L134,"")</f>
        <v/>
      </c>
      <c r="AF134" s="8" t="n">
        <f aca="false">U134</f>
        <v>0.842594980845593</v>
      </c>
      <c r="AG134" s="2" t="n">
        <f aca="false">AG133+IF(Q134,1,0)</f>
        <v>1</v>
      </c>
      <c r="AH134" s="2" t="n">
        <f aca="false">AG133</f>
        <v>1</v>
      </c>
      <c r="AI134" s="10" t="n">
        <f aca="false">X134+Y134*(E134-AB134)-Y134*AD134*Inputs!$B$13*(A134-AC134)</f>
        <v>1001.21812240735</v>
      </c>
      <c r="AJ134" s="10" t="n">
        <v>0</v>
      </c>
      <c r="AK134" s="8" t="n">
        <f aca="false">IF(AND(B134&lt;=U134,NOT(Q134)),B134,U134)*(1-Inputs!$B$12)</f>
        <v>0.842426461849423</v>
      </c>
    </row>
    <row r="135" customFormat="false" ht="15" hidden="false" customHeight="false" outlineLevel="0" collapsed="false">
      <c r="A135" s="6" t="n">
        <v>44919</v>
      </c>
      <c r="B135" s="7" t="n">
        <v>0.870572967976764</v>
      </c>
      <c r="C135" s="7" t="n">
        <v>0.880429172370832</v>
      </c>
      <c r="D135" s="7" t="n">
        <v>0.868791616795503</v>
      </c>
      <c r="E135" s="7" t="n">
        <v>0.87621250487013</v>
      </c>
      <c r="F135" s="8" t="n">
        <f aca="true">IF(ROW()-2&gt;=Inputs!$B$4,AVERAGE(OFFSET(E135,1-Inputs!$B$4,0,Inputs!$B$4,1)),"")</f>
        <v>0.864908657158806</v>
      </c>
      <c r="G135" s="8" t="n">
        <f aca="true">IF(ROW()-2&gt;=Inputs!$B$5,AVERAGE(OFFSET(E135,1-Inputs!$B$5,0,Inputs!$B$5,1)),"")</f>
        <v>0.851186744255307</v>
      </c>
      <c r="H135" s="8" t="n">
        <f aca="false">MAX(C135-D135,ABS(C135-E134),ABS(D135-E134))</f>
        <v>0.0116375555753292</v>
      </c>
      <c r="I135" s="8" t="n">
        <f aca="true">IF(ROW()-2&lt;14,"",IF(ROW()-2=14,AVERAGE(OFFSET(H135,-13,0,14,1)),(I134*13+H135)/14))</f>
        <v>0.00904329624644989</v>
      </c>
      <c r="J135" s="9" t="b">
        <f aca="false">IF(AND(ISNUMBER(F135),ISNUMBER(G135),ISNUMBER(F134),ISNUMBER(G134)),AND(F135&gt;G135,F134&lt;=G134),FALSE())</f>
        <v>0</v>
      </c>
      <c r="K135" s="9" t="b">
        <f aca="false">IF(AND(ISNUMBER(F135),ISNUMBER(G135),ISNUMBER(F134),ISNUMBER(G134)),AND(F135&lt;G135,F134&gt;=G134),FALSE())</f>
        <v>0</v>
      </c>
      <c r="L135" s="8" t="n">
        <f aca="false">IF(ISNUMBER(I135),E135-Inputs!$B$6*I135,"")</f>
        <v>0.85812591237723</v>
      </c>
      <c r="M135" s="9" t="b">
        <f aca="false">AND(Y134&gt;0,Z134)</f>
        <v>0</v>
      </c>
      <c r="N135" s="8" t="n">
        <f aca="false">B135*(1-Inputs!$B$12)</f>
        <v>0.870398853383168</v>
      </c>
      <c r="O135" s="10" t="n">
        <f aca="false">IF(M135,Y134*(N135-AB134)-Inputs!$B$9-Y134*AD134*Inputs!$B$13*(A135-AC134),0)</f>
        <v>0</v>
      </c>
      <c r="P135" s="10" t="n">
        <f aca="false">X134+O135</f>
        <v>999</v>
      </c>
      <c r="Q135" s="9" t="b">
        <f aca="false">AND(IF(M135,0,Y134)=0,AA134,IF(ISNUMBER(AE134),B135&gt;AE134,FALSE()))</f>
        <v>0</v>
      </c>
      <c r="R135" s="8" t="n">
        <f aca="false">B135*(1+Inputs!$B$12)</f>
        <v>0.870747082570359</v>
      </c>
      <c r="S135" s="11" t="n">
        <f aca="false">IF(Q135,MIN(P135*Inputs!$B$3/(R135-AE134),P135*Inputs!$B$11/R135),0)</f>
        <v>0</v>
      </c>
      <c r="T135" s="11" t="n">
        <f aca="false">IF(Q135,S135,IF(M135,0,Y134))</f>
        <v>515.951204214585</v>
      </c>
      <c r="U135" s="8" t="n">
        <f aca="false">IF(Q135,AE134,AF134)</f>
        <v>0.842594980845593</v>
      </c>
      <c r="V135" s="9" t="b">
        <f aca="false">AND(T135&gt;0,D135&lt;=U135)</f>
        <v>0</v>
      </c>
      <c r="W135" s="10" t="n">
        <f aca="false">IF(V135,T135*(AK135-AB135)-Inputs!$B$9-T135*AD135*Inputs!$B$13*(A135-AC135),0)</f>
        <v>0</v>
      </c>
      <c r="X135" s="10" t="n">
        <f aca="false">P135-IF(Q135,Inputs!$B$9,0)+W135</f>
        <v>999</v>
      </c>
      <c r="Y135" s="11" t="n">
        <f aca="false">IF(V135,0,T135)</f>
        <v>515.951204214585</v>
      </c>
      <c r="Z135" s="9" t="b">
        <f aca="false">AND(Y135&gt;0,K135)</f>
        <v>0</v>
      </c>
      <c r="AA135" s="9" t="b">
        <f aca="false">AND(Y135=0,J135,ISNUMBER(L135))</f>
        <v>0</v>
      </c>
      <c r="AB135" s="8" t="n">
        <f aca="false">IF(Q135,R135,AB134)</f>
        <v>0.861976658644412</v>
      </c>
      <c r="AC135" s="12" t="n">
        <f aca="false">IF(Q135,A135,AC134)</f>
        <v>44890</v>
      </c>
      <c r="AD135" s="8" t="n">
        <f aca="false">IF(Q135,B135,AD134)</f>
        <v>0.861804297784855</v>
      </c>
      <c r="AE135" s="8" t="str">
        <f aca="false">IF(AA135,L135,"")</f>
        <v/>
      </c>
      <c r="AF135" s="8" t="n">
        <f aca="false">U135</f>
        <v>0.842594980845593</v>
      </c>
      <c r="AG135" s="2" t="n">
        <f aca="false">AG134+IF(Q135,1,0)</f>
        <v>1</v>
      </c>
      <c r="AH135" s="2" t="n">
        <f aca="false">AG134</f>
        <v>1</v>
      </c>
      <c r="AI135" s="10" t="n">
        <f aca="false">X135+Y135*(E135-AB135)-Y135*AD135*Inputs!$B$13*(A135-AC135)</f>
        <v>1004.04866419639</v>
      </c>
      <c r="AJ135" s="10" t="n">
        <v>0</v>
      </c>
      <c r="AK135" s="8" t="n">
        <f aca="false">IF(AND(B135&lt;=U135,NOT(Q135)),B135,U135)*(1-Inputs!$B$12)</f>
        <v>0.842426461849423</v>
      </c>
    </row>
    <row r="136" customFormat="false" ht="15" hidden="false" customHeight="false" outlineLevel="0" collapsed="false">
      <c r="A136" s="6" t="n">
        <v>44920</v>
      </c>
      <c r="B136" s="7" t="n">
        <v>0.87621250487013</v>
      </c>
      <c r="C136" s="7" t="n">
        <v>0.879818254958864</v>
      </c>
      <c r="D136" s="7" t="n">
        <v>0.868869547541214</v>
      </c>
      <c r="E136" s="7" t="n">
        <v>0.879507112423772</v>
      </c>
      <c r="F136" s="8" t="n">
        <f aca="true">IF(ROW()-2&gt;=Inputs!$B$4,AVERAGE(OFFSET(E136,1-Inputs!$B$4,0,Inputs!$B$4,1)),"")</f>
        <v>0.866108377775332</v>
      </c>
      <c r="G136" s="8" t="n">
        <f aca="true">IF(ROW()-2&gt;=Inputs!$B$5,AVERAGE(OFFSET(E136,1-Inputs!$B$5,0,Inputs!$B$5,1)),"")</f>
        <v>0.852330866747233</v>
      </c>
      <c r="H136" s="8" t="n">
        <f aca="false">MAX(C136-D136,ABS(C136-E135),ABS(D136-E135))</f>
        <v>0.0109487074176494</v>
      </c>
      <c r="I136" s="8" t="n">
        <f aca="true">IF(ROW()-2&lt;14,"",IF(ROW()-2=14,AVERAGE(OFFSET(H136,-13,0,14,1)),(I135*13+H136)/14))</f>
        <v>0.00917939704439271</v>
      </c>
      <c r="J136" s="9" t="b">
        <f aca="false">IF(AND(ISNUMBER(F136),ISNUMBER(G136),ISNUMBER(F135),ISNUMBER(G135)),AND(F136&gt;G136,F135&lt;=G135),FALSE())</f>
        <v>0</v>
      </c>
      <c r="K136" s="9" t="b">
        <f aca="false">IF(AND(ISNUMBER(F136),ISNUMBER(G136),ISNUMBER(F135),ISNUMBER(G135)),AND(F136&lt;G136,F135&gt;=G135),FALSE())</f>
        <v>0</v>
      </c>
      <c r="L136" s="8" t="n">
        <f aca="false">IF(ISNUMBER(I136),E136-Inputs!$B$6*I136,"")</f>
        <v>0.861148318334986</v>
      </c>
      <c r="M136" s="9" t="b">
        <f aca="false">AND(Y135&gt;0,Z135)</f>
        <v>0</v>
      </c>
      <c r="N136" s="8" t="n">
        <f aca="false">B136*(1-Inputs!$B$12)</f>
        <v>0.876037262369156</v>
      </c>
      <c r="O136" s="10" t="n">
        <f aca="false">IF(M136,Y135*(N136-AB135)-Inputs!$B$9-Y135*AD135*Inputs!$B$13*(A136-AC135),0)</f>
        <v>0</v>
      </c>
      <c r="P136" s="10" t="n">
        <f aca="false">X135+O136</f>
        <v>999</v>
      </c>
      <c r="Q136" s="9" t="b">
        <f aca="false">AND(IF(M136,0,Y135)=0,AA135,IF(ISNUMBER(AE135),B136&gt;AE135,FALSE()))</f>
        <v>0</v>
      </c>
      <c r="R136" s="8" t="n">
        <f aca="false">B136*(1+Inputs!$B$12)</f>
        <v>0.876387747371104</v>
      </c>
      <c r="S136" s="11" t="n">
        <f aca="false">IF(Q136,MIN(P136*Inputs!$B$3/(R136-AE135),P136*Inputs!$B$11/R136),0)</f>
        <v>0</v>
      </c>
      <c r="T136" s="11" t="n">
        <f aca="false">IF(Q136,S136,IF(M136,0,Y135))</f>
        <v>515.951204214585</v>
      </c>
      <c r="U136" s="8" t="n">
        <f aca="false">IF(Q136,AE135,AF135)</f>
        <v>0.842594980845593</v>
      </c>
      <c r="V136" s="9" t="b">
        <f aca="false">AND(T136&gt;0,D136&lt;=U136)</f>
        <v>0</v>
      </c>
      <c r="W136" s="10" t="n">
        <f aca="false">IF(V136,T136*(AK136-AB136)-Inputs!$B$9-T136*AD136*Inputs!$B$13*(A136-AC136),0)</f>
        <v>0</v>
      </c>
      <c r="X136" s="10" t="n">
        <f aca="false">P136-IF(Q136,Inputs!$B$9,0)+W136</f>
        <v>999</v>
      </c>
      <c r="Y136" s="11" t="n">
        <f aca="false">IF(V136,0,T136)</f>
        <v>515.951204214585</v>
      </c>
      <c r="Z136" s="9" t="b">
        <f aca="false">AND(Y136&gt;0,K136)</f>
        <v>0</v>
      </c>
      <c r="AA136" s="9" t="b">
        <f aca="false">AND(Y136=0,J136,ISNUMBER(L136))</f>
        <v>0</v>
      </c>
      <c r="AB136" s="8" t="n">
        <f aca="false">IF(Q136,R136,AB135)</f>
        <v>0.861976658644412</v>
      </c>
      <c r="AC136" s="12" t="n">
        <f aca="false">IF(Q136,A136,AC135)</f>
        <v>44890</v>
      </c>
      <c r="AD136" s="8" t="n">
        <f aca="false">IF(Q136,B136,AD135)</f>
        <v>0.861804297784855</v>
      </c>
      <c r="AE136" s="8" t="str">
        <f aca="false">IF(AA136,L136,"")</f>
        <v/>
      </c>
      <c r="AF136" s="8" t="n">
        <f aca="false">U136</f>
        <v>0.842594980845593</v>
      </c>
      <c r="AG136" s="2" t="n">
        <f aca="false">AG135+IF(Q136,1,0)</f>
        <v>1</v>
      </c>
      <c r="AH136" s="2" t="n">
        <f aca="false">AG135</f>
        <v>1</v>
      </c>
      <c r="AI136" s="10" t="n">
        <f aca="false">X136+Y136*(E136-AB136)-Y136*AD136*Inputs!$B$13*(A136-AC136)</f>
        <v>1005.6693368688</v>
      </c>
      <c r="AJ136" s="10" t="n">
        <v>0</v>
      </c>
      <c r="AK136" s="8" t="n">
        <f aca="false">IF(AND(B136&lt;=U136,NOT(Q136)),B136,U136)*(1-Inputs!$B$12)</f>
        <v>0.842426461849423</v>
      </c>
    </row>
    <row r="137" customFormat="false" ht="15" hidden="false" customHeight="false" outlineLevel="0" collapsed="false">
      <c r="A137" s="6" t="n">
        <v>44921</v>
      </c>
      <c r="B137" s="7" t="n">
        <v>0.879507112423772</v>
      </c>
      <c r="C137" s="7" t="n">
        <v>0.87960255417599</v>
      </c>
      <c r="D137" s="7" t="n">
        <v>0.872784767079415</v>
      </c>
      <c r="E137" s="7" t="n">
        <v>0.877240183393193</v>
      </c>
      <c r="F137" s="8" t="n">
        <f aca="true">IF(ROW()-2&gt;=Inputs!$B$4,AVERAGE(OFFSET(E137,1-Inputs!$B$4,0,Inputs!$B$4,1)),"")</f>
        <v>0.867079403096822</v>
      </c>
      <c r="G137" s="8" t="n">
        <f aca="true">IF(ROW()-2&gt;=Inputs!$B$5,AVERAGE(OFFSET(E137,1-Inputs!$B$5,0,Inputs!$B$5,1)),"")</f>
        <v>0.853482204728682</v>
      </c>
      <c r="H137" s="8" t="n">
        <f aca="false">MAX(C137-D137,ABS(C137-E136),ABS(D137-E136))</f>
        <v>0.00681778709657488</v>
      </c>
      <c r="I137" s="8" t="n">
        <f aca="true">IF(ROW()-2&lt;14,"",IF(ROW()-2=14,AVERAGE(OFFSET(H137,-13,0,14,1)),(I136*13+H137)/14))</f>
        <v>0.00901071061954858</v>
      </c>
      <c r="J137" s="9" t="b">
        <f aca="false">IF(AND(ISNUMBER(F137),ISNUMBER(G137),ISNUMBER(F136),ISNUMBER(G136)),AND(F137&gt;G137,F136&lt;=G136),FALSE())</f>
        <v>0</v>
      </c>
      <c r="K137" s="9" t="b">
        <f aca="false">IF(AND(ISNUMBER(F137),ISNUMBER(G137),ISNUMBER(F136),ISNUMBER(G136)),AND(F137&lt;G137,F136&gt;=G136),FALSE())</f>
        <v>0</v>
      </c>
      <c r="L137" s="8" t="n">
        <f aca="false">IF(ISNUMBER(I137),E137-Inputs!$B$6*I137,"")</f>
        <v>0.859218762154095</v>
      </c>
      <c r="M137" s="9" t="b">
        <f aca="false">AND(Y136&gt;0,Z136)</f>
        <v>0</v>
      </c>
      <c r="N137" s="8" t="n">
        <f aca="false">B137*(1-Inputs!$B$12)</f>
        <v>0.879331211001287</v>
      </c>
      <c r="O137" s="10" t="n">
        <f aca="false">IF(M137,Y136*(N137-AB136)-Inputs!$B$9-Y136*AD136*Inputs!$B$13*(A137-AC136),0)</f>
        <v>0</v>
      </c>
      <c r="P137" s="10" t="n">
        <f aca="false">X136+O137</f>
        <v>999</v>
      </c>
      <c r="Q137" s="9" t="b">
        <f aca="false">AND(IF(M137,0,Y136)=0,AA136,IF(ISNUMBER(AE136),B137&gt;AE136,FALSE()))</f>
        <v>0</v>
      </c>
      <c r="R137" s="8" t="n">
        <f aca="false">B137*(1+Inputs!$B$12)</f>
        <v>0.879683013846256</v>
      </c>
      <c r="S137" s="11" t="n">
        <f aca="false">IF(Q137,MIN(P137*Inputs!$B$3/(R137-AE136),P137*Inputs!$B$11/R137),0)</f>
        <v>0</v>
      </c>
      <c r="T137" s="11" t="n">
        <f aca="false">IF(Q137,S137,IF(M137,0,Y136))</f>
        <v>515.951204214585</v>
      </c>
      <c r="U137" s="8" t="n">
        <f aca="false">IF(Q137,AE136,AF136)</f>
        <v>0.842594980845593</v>
      </c>
      <c r="V137" s="9" t="b">
        <f aca="false">AND(T137&gt;0,D137&lt;=U137)</f>
        <v>0</v>
      </c>
      <c r="W137" s="10" t="n">
        <f aca="false">IF(V137,T137*(AK137-AB137)-Inputs!$B$9-T137*AD137*Inputs!$B$13*(A137-AC137),0)</f>
        <v>0</v>
      </c>
      <c r="X137" s="10" t="n">
        <f aca="false">P137-IF(Q137,Inputs!$B$9,0)+W137</f>
        <v>999</v>
      </c>
      <c r="Y137" s="11" t="n">
        <f aca="false">IF(V137,0,T137)</f>
        <v>515.951204214585</v>
      </c>
      <c r="Z137" s="9" t="b">
        <f aca="false">AND(Y137&gt;0,K137)</f>
        <v>0</v>
      </c>
      <c r="AA137" s="9" t="b">
        <f aca="false">AND(Y137=0,J137,ISNUMBER(L137))</f>
        <v>0</v>
      </c>
      <c r="AB137" s="8" t="n">
        <f aca="false">IF(Q137,R137,AB136)</f>
        <v>0.861976658644412</v>
      </c>
      <c r="AC137" s="12" t="n">
        <f aca="false">IF(Q137,A137,AC136)</f>
        <v>44890</v>
      </c>
      <c r="AD137" s="8" t="n">
        <f aca="false">IF(Q137,B137,AD136)</f>
        <v>0.861804297784855</v>
      </c>
      <c r="AE137" s="8" t="str">
        <f aca="false">IF(AA137,L137,"")</f>
        <v/>
      </c>
      <c r="AF137" s="8" t="n">
        <f aca="false">U137</f>
        <v>0.842594980845593</v>
      </c>
      <c r="AG137" s="2" t="n">
        <f aca="false">AG136+IF(Q137,1,0)</f>
        <v>1</v>
      </c>
      <c r="AH137" s="2" t="n">
        <f aca="false">AG136</f>
        <v>1</v>
      </c>
      <c r="AI137" s="10" t="n">
        <f aca="false">X137+Y137*(E137-AB137)-Y137*AD137*Inputs!$B$13*(A137-AC137)</f>
        <v>1004.4205280433</v>
      </c>
      <c r="AJ137" s="10" t="n">
        <v>0</v>
      </c>
      <c r="AK137" s="8" t="n">
        <f aca="false">IF(AND(B137&lt;=U137,NOT(Q137)),B137,U137)*(1-Inputs!$B$12)</f>
        <v>0.842426461849423</v>
      </c>
    </row>
    <row r="138" customFormat="false" ht="15" hidden="false" customHeight="false" outlineLevel="0" collapsed="false">
      <c r="A138" s="6" t="n">
        <v>44922</v>
      </c>
      <c r="B138" s="7" t="n">
        <v>0.877240183393193</v>
      </c>
      <c r="C138" s="7" t="n">
        <v>0.88631818461694</v>
      </c>
      <c r="D138" s="7" t="n">
        <v>0.875641952521413</v>
      </c>
      <c r="E138" s="7" t="n">
        <v>0.881292095179027</v>
      </c>
      <c r="F138" s="8" t="n">
        <f aca="true">IF(ROW()-2&gt;=Inputs!$B$4,AVERAGE(OFFSET(E138,1-Inputs!$B$4,0,Inputs!$B$4,1)),"")</f>
        <v>0.868163049720094</v>
      </c>
      <c r="G138" s="8" t="n">
        <f aca="true">IF(ROW()-2&gt;=Inputs!$B$5,AVERAGE(OFFSET(E138,1-Inputs!$B$5,0,Inputs!$B$5,1)),"")</f>
        <v>0.854640655931415</v>
      </c>
      <c r="H138" s="8" t="n">
        <f aca="false">MAX(C138-D138,ABS(C138-E137),ABS(D138-E137))</f>
        <v>0.0106762320955263</v>
      </c>
      <c r="I138" s="8" t="n">
        <f aca="true">IF(ROW()-2&lt;14,"",IF(ROW()-2=14,AVERAGE(OFFSET(H138,-13,0,14,1)),(I137*13+H138)/14))</f>
        <v>0.00912967643926128</v>
      </c>
      <c r="J138" s="9" t="b">
        <f aca="false">IF(AND(ISNUMBER(F138),ISNUMBER(G138),ISNUMBER(F137),ISNUMBER(G137)),AND(F138&gt;G138,F137&lt;=G137),FALSE())</f>
        <v>0</v>
      </c>
      <c r="K138" s="9" t="b">
        <f aca="false">IF(AND(ISNUMBER(F138),ISNUMBER(G138),ISNUMBER(F137),ISNUMBER(G137)),AND(F138&lt;G138,F137&gt;=G137),FALSE())</f>
        <v>0</v>
      </c>
      <c r="L138" s="8" t="n">
        <f aca="false">IF(ISNUMBER(I138),E138-Inputs!$B$6*I138,"")</f>
        <v>0.863032742300504</v>
      </c>
      <c r="M138" s="9" t="b">
        <f aca="false">AND(Y137&gt;0,Z137)</f>
        <v>0</v>
      </c>
      <c r="N138" s="8" t="n">
        <f aca="false">B138*(1-Inputs!$B$12)</f>
        <v>0.877064735356514</v>
      </c>
      <c r="O138" s="10" t="n">
        <f aca="false">IF(M138,Y137*(N138-AB137)-Inputs!$B$9-Y137*AD137*Inputs!$B$13*(A138-AC137),0)</f>
        <v>0</v>
      </c>
      <c r="P138" s="10" t="n">
        <f aca="false">X137+O138</f>
        <v>999</v>
      </c>
      <c r="Q138" s="9" t="b">
        <f aca="false">AND(IF(M138,0,Y137)=0,AA137,IF(ISNUMBER(AE137),B138&gt;AE137,FALSE()))</f>
        <v>0</v>
      </c>
      <c r="R138" s="8" t="n">
        <f aca="false">B138*(1+Inputs!$B$12)</f>
        <v>0.877415631429871</v>
      </c>
      <c r="S138" s="11" t="n">
        <f aca="false">IF(Q138,MIN(P138*Inputs!$B$3/(R138-AE137),P138*Inputs!$B$11/R138),0)</f>
        <v>0</v>
      </c>
      <c r="T138" s="11" t="n">
        <f aca="false">IF(Q138,S138,IF(M138,0,Y137))</f>
        <v>515.951204214585</v>
      </c>
      <c r="U138" s="8" t="n">
        <f aca="false">IF(Q138,AE137,AF137)</f>
        <v>0.842594980845593</v>
      </c>
      <c r="V138" s="9" t="b">
        <f aca="false">AND(T138&gt;0,D138&lt;=U138)</f>
        <v>0</v>
      </c>
      <c r="W138" s="10" t="n">
        <f aca="false">IF(V138,T138*(AK138-AB138)-Inputs!$B$9-T138*AD138*Inputs!$B$13*(A138-AC138),0)</f>
        <v>0</v>
      </c>
      <c r="X138" s="10" t="n">
        <f aca="false">P138-IF(Q138,Inputs!$B$9,0)+W138</f>
        <v>999</v>
      </c>
      <c r="Y138" s="11" t="n">
        <f aca="false">IF(V138,0,T138)</f>
        <v>515.951204214585</v>
      </c>
      <c r="Z138" s="9" t="b">
        <f aca="false">AND(Y138&gt;0,K138)</f>
        <v>0</v>
      </c>
      <c r="AA138" s="9" t="b">
        <f aca="false">AND(Y138=0,J138,ISNUMBER(L138))</f>
        <v>0</v>
      </c>
      <c r="AB138" s="8" t="n">
        <f aca="false">IF(Q138,R138,AB137)</f>
        <v>0.861976658644412</v>
      </c>
      <c r="AC138" s="12" t="n">
        <f aca="false">IF(Q138,A138,AC137)</f>
        <v>44890</v>
      </c>
      <c r="AD138" s="8" t="n">
        <f aca="false">IF(Q138,B138,AD137)</f>
        <v>0.861804297784855</v>
      </c>
      <c r="AE138" s="8" t="str">
        <f aca="false">IF(AA138,L138,"")</f>
        <v/>
      </c>
      <c r="AF138" s="8" t="n">
        <f aca="false">U138</f>
        <v>0.842594980845593</v>
      </c>
      <c r="AG138" s="2" t="n">
        <f aca="false">AG137+IF(Q138,1,0)</f>
        <v>1</v>
      </c>
      <c r="AH138" s="2" t="n">
        <f aca="false">AG137</f>
        <v>1</v>
      </c>
      <c r="AI138" s="10" t="n">
        <f aca="false">X138+Y138*(E138-AB138)-Y138*AD138*Inputs!$B$13*(A138-AC138)</f>
        <v>1006.43193274627</v>
      </c>
      <c r="AJ138" s="10" t="n">
        <v>0</v>
      </c>
      <c r="AK138" s="8" t="n">
        <f aca="false">IF(AND(B138&lt;=U138,NOT(Q138)),B138,U138)*(1-Inputs!$B$12)</f>
        <v>0.842426461849423</v>
      </c>
    </row>
    <row r="139" customFormat="false" ht="15" hidden="false" customHeight="false" outlineLevel="0" collapsed="false">
      <c r="A139" s="6" t="n">
        <v>44923</v>
      </c>
      <c r="B139" s="7" t="n">
        <v>0.881292095179027</v>
      </c>
      <c r="C139" s="7" t="n">
        <v>0.887676461639485</v>
      </c>
      <c r="D139" s="7" t="n">
        <v>0.876487972123267</v>
      </c>
      <c r="E139" s="7" t="n">
        <v>0.886850194375728</v>
      </c>
      <c r="F139" s="8" t="n">
        <f aca="true">IF(ROW()-2&gt;=Inputs!$B$4,AVERAGE(OFFSET(E139,1-Inputs!$B$4,0,Inputs!$B$4,1)),"")</f>
        <v>0.86981707409251</v>
      </c>
      <c r="G139" s="8" t="n">
        <f aca="true">IF(ROW()-2&gt;=Inputs!$B$5,AVERAGE(OFFSET(E139,1-Inputs!$B$5,0,Inputs!$B$5,1)),"")</f>
        <v>0.856060755900047</v>
      </c>
      <c r="H139" s="8" t="n">
        <f aca="false">MAX(C139-D139,ABS(C139-E138),ABS(D139-E138))</f>
        <v>0.0111884895162182</v>
      </c>
      <c r="I139" s="8" t="n">
        <f aca="true">IF(ROW()-2&lt;14,"",IF(ROW()-2=14,AVERAGE(OFFSET(H139,-13,0,14,1)),(I138*13+H139)/14))</f>
        <v>0.00927673451618677</v>
      </c>
      <c r="J139" s="9" t="b">
        <f aca="false">IF(AND(ISNUMBER(F139),ISNUMBER(G139),ISNUMBER(F138),ISNUMBER(G138)),AND(F139&gt;G139,F138&lt;=G138),FALSE())</f>
        <v>0</v>
      </c>
      <c r="K139" s="9" t="b">
        <f aca="false">IF(AND(ISNUMBER(F139),ISNUMBER(G139),ISNUMBER(F138),ISNUMBER(G138)),AND(F139&lt;G139,F138&gt;=G138),FALSE())</f>
        <v>0</v>
      </c>
      <c r="L139" s="8" t="n">
        <f aca="false">IF(ISNUMBER(I139),E139-Inputs!$B$6*I139,"")</f>
        <v>0.868296725343354</v>
      </c>
      <c r="M139" s="9" t="b">
        <f aca="false">AND(Y138&gt;0,Z138)</f>
        <v>0</v>
      </c>
      <c r="N139" s="8" t="n">
        <f aca="false">B139*(1-Inputs!$B$12)</f>
        <v>0.881115836759991</v>
      </c>
      <c r="O139" s="10" t="n">
        <f aca="false">IF(M139,Y138*(N139-AB138)-Inputs!$B$9-Y138*AD138*Inputs!$B$13*(A139-AC138),0)</f>
        <v>0</v>
      </c>
      <c r="P139" s="10" t="n">
        <f aca="false">X138+O139</f>
        <v>999</v>
      </c>
      <c r="Q139" s="9" t="b">
        <f aca="false">AND(IF(M139,0,Y138)=0,AA138,IF(ISNUMBER(AE138),B139&gt;AE138,FALSE()))</f>
        <v>0</v>
      </c>
      <c r="R139" s="8" t="n">
        <f aca="false">B139*(1+Inputs!$B$12)</f>
        <v>0.881468353598063</v>
      </c>
      <c r="S139" s="11" t="n">
        <f aca="false">IF(Q139,MIN(P139*Inputs!$B$3/(R139-AE138),P139*Inputs!$B$11/R139),0)</f>
        <v>0</v>
      </c>
      <c r="T139" s="11" t="n">
        <f aca="false">IF(Q139,S139,IF(M139,0,Y138))</f>
        <v>515.951204214585</v>
      </c>
      <c r="U139" s="8" t="n">
        <f aca="false">IF(Q139,AE138,AF138)</f>
        <v>0.842594980845593</v>
      </c>
      <c r="V139" s="9" t="b">
        <f aca="false">AND(T139&gt;0,D139&lt;=U139)</f>
        <v>0</v>
      </c>
      <c r="W139" s="10" t="n">
        <f aca="false">IF(V139,T139*(AK139-AB139)-Inputs!$B$9-T139*AD139*Inputs!$B$13*(A139-AC139),0)</f>
        <v>0</v>
      </c>
      <c r="X139" s="10" t="n">
        <f aca="false">P139-IF(Q139,Inputs!$B$9,0)+W139</f>
        <v>999</v>
      </c>
      <c r="Y139" s="11" t="n">
        <f aca="false">IF(V139,0,T139)</f>
        <v>515.951204214585</v>
      </c>
      <c r="Z139" s="9" t="b">
        <f aca="false">AND(Y139&gt;0,K139)</f>
        <v>0</v>
      </c>
      <c r="AA139" s="9" t="b">
        <f aca="false">AND(Y139=0,J139,ISNUMBER(L139))</f>
        <v>0</v>
      </c>
      <c r="AB139" s="8" t="n">
        <f aca="false">IF(Q139,R139,AB138)</f>
        <v>0.861976658644412</v>
      </c>
      <c r="AC139" s="12" t="n">
        <f aca="false">IF(Q139,A139,AC138)</f>
        <v>44890</v>
      </c>
      <c r="AD139" s="8" t="n">
        <f aca="false">IF(Q139,B139,AD138)</f>
        <v>0.861804297784855</v>
      </c>
      <c r="AE139" s="8" t="str">
        <f aca="false">IF(AA139,L139,"")</f>
        <v/>
      </c>
      <c r="AF139" s="8" t="n">
        <f aca="false">U139</f>
        <v>0.842594980845593</v>
      </c>
      <c r="AG139" s="2" t="n">
        <f aca="false">AG138+IF(Q139,1,0)</f>
        <v>1</v>
      </c>
      <c r="AH139" s="2" t="n">
        <f aca="false">AG138</f>
        <v>1</v>
      </c>
      <c r="AI139" s="10" t="n">
        <f aca="false">X139+Y139*(E139-AB139)-Y139*AD139*Inputs!$B$13*(A139-AC139)</f>
        <v>1009.22045665765</v>
      </c>
      <c r="AJ139" s="10" t="n">
        <v>0</v>
      </c>
      <c r="AK139" s="8" t="n">
        <f aca="false">IF(AND(B139&lt;=U139,NOT(Q139)),B139,U139)*(1-Inputs!$B$12)</f>
        <v>0.842426461849423</v>
      </c>
    </row>
    <row r="140" customFormat="false" ht="15" hidden="false" customHeight="false" outlineLevel="0" collapsed="false">
      <c r="A140" s="6" t="n">
        <v>44924</v>
      </c>
      <c r="B140" s="7" t="n">
        <v>0.886850194375728</v>
      </c>
      <c r="C140" s="7" t="n">
        <v>0.891249738502793</v>
      </c>
      <c r="D140" s="7" t="n">
        <v>0.878682893942674</v>
      </c>
      <c r="E140" s="7" t="n">
        <v>0.880385438654669</v>
      </c>
      <c r="F140" s="8" t="n">
        <f aca="true">IF(ROW()-2&gt;=Inputs!$B$4,AVERAGE(OFFSET(E140,1-Inputs!$B$4,0,Inputs!$B$4,1)),"")</f>
        <v>0.870572762145043</v>
      </c>
      <c r="G140" s="8" t="n">
        <f aca="true">IF(ROW()-2&gt;=Inputs!$B$5,AVERAGE(OFFSET(E140,1-Inputs!$B$5,0,Inputs!$B$5,1)),"")</f>
        <v>0.857293335859552</v>
      </c>
      <c r="H140" s="8" t="n">
        <f aca="false">MAX(C140-D140,ABS(C140-E139),ABS(D140-E139))</f>
        <v>0.012566844560119</v>
      </c>
      <c r="I140" s="8" t="n">
        <f aca="true">IF(ROW()-2&lt;14,"",IF(ROW()-2=14,AVERAGE(OFFSET(H140,-13,0,14,1)),(I139*13+H140)/14))</f>
        <v>0.00951174237646764</v>
      </c>
      <c r="J140" s="9" t="b">
        <f aca="false">IF(AND(ISNUMBER(F140),ISNUMBER(G140),ISNUMBER(F139),ISNUMBER(G139)),AND(F140&gt;G140,F139&lt;=G139),FALSE())</f>
        <v>0</v>
      </c>
      <c r="K140" s="9" t="b">
        <f aca="false">IF(AND(ISNUMBER(F140),ISNUMBER(G140),ISNUMBER(F139),ISNUMBER(G139)),AND(F140&lt;G140,F139&gt;=G139),FALSE())</f>
        <v>0</v>
      </c>
      <c r="L140" s="8" t="n">
        <f aca="false">IF(ISNUMBER(I140),E140-Inputs!$B$6*I140,"")</f>
        <v>0.861361953901734</v>
      </c>
      <c r="M140" s="9" t="b">
        <f aca="false">AND(Y139&gt;0,Z139)</f>
        <v>0</v>
      </c>
      <c r="N140" s="8" t="n">
        <f aca="false">B140*(1-Inputs!$B$12)</f>
        <v>0.886672824336853</v>
      </c>
      <c r="O140" s="10" t="n">
        <f aca="false">IF(M140,Y139*(N140-AB139)-Inputs!$B$9-Y139*AD139*Inputs!$B$13*(A140-AC139),0)</f>
        <v>0</v>
      </c>
      <c r="P140" s="10" t="n">
        <f aca="false">X139+O140</f>
        <v>999</v>
      </c>
      <c r="Q140" s="9" t="b">
        <f aca="false">AND(IF(M140,0,Y139)=0,AA139,IF(ISNUMBER(AE139),B140&gt;AE139,FALSE()))</f>
        <v>0</v>
      </c>
      <c r="R140" s="8" t="n">
        <f aca="false">B140*(1+Inputs!$B$12)</f>
        <v>0.887027564414603</v>
      </c>
      <c r="S140" s="11" t="n">
        <f aca="false">IF(Q140,MIN(P140*Inputs!$B$3/(R140-AE139),P140*Inputs!$B$11/R140),0)</f>
        <v>0</v>
      </c>
      <c r="T140" s="11" t="n">
        <f aca="false">IF(Q140,S140,IF(M140,0,Y139))</f>
        <v>515.951204214585</v>
      </c>
      <c r="U140" s="8" t="n">
        <f aca="false">IF(Q140,AE139,AF139)</f>
        <v>0.842594980845593</v>
      </c>
      <c r="V140" s="9" t="b">
        <f aca="false">AND(T140&gt;0,D140&lt;=U140)</f>
        <v>0</v>
      </c>
      <c r="W140" s="10" t="n">
        <f aca="false">IF(V140,T140*(AK140-AB140)-Inputs!$B$9-T140*AD140*Inputs!$B$13*(A140-AC140),0)</f>
        <v>0</v>
      </c>
      <c r="X140" s="10" t="n">
        <f aca="false">P140-IF(Q140,Inputs!$B$9,0)+W140</f>
        <v>999</v>
      </c>
      <c r="Y140" s="11" t="n">
        <f aca="false">IF(V140,0,T140)</f>
        <v>515.951204214585</v>
      </c>
      <c r="Z140" s="9" t="b">
        <f aca="false">AND(Y140&gt;0,K140)</f>
        <v>0</v>
      </c>
      <c r="AA140" s="9" t="b">
        <f aca="false">AND(Y140=0,J140,ISNUMBER(L140))</f>
        <v>0</v>
      </c>
      <c r="AB140" s="8" t="n">
        <f aca="false">IF(Q140,R140,AB139)</f>
        <v>0.861976658644412</v>
      </c>
      <c r="AC140" s="12" t="n">
        <f aca="false">IF(Q140,A140,AC139)</f>
        <v>44890</v>
      </c>
      <c r="AD140" s="8" t="n">
        <f aca="false">IF(Q140,B140,AD139)</f>
        <v>0.861804297784855</v>
      </c>
      <c r="AE140" s="8" t="str">
        <f aca="false">IF(AA140,L140,"")</f>
        <v/>
      </c>
      <c r="AF140" s="8" t="n">
        <f aca="false">U140</f>
        <v>0.842594980845593</v>
      </c>
      <c r="AG140" s="2" t="n">
        <f aca="false">AG139+IF(Q140,1,0)</f>
        <v>1</v>
      </c>
      <c r="AH140" s="2" t="n">
        <f aca="false">AG139</f>
        <v>1</v>
      </c>
      <c r="AI140" s="10" t="n">
        <f aca="false">X140+Y140*(E140-AB140)-Y140*AD140*Inputs!$B$13*(A140-AC140)</f>
        <v>1005.80577409611</v>
      </c>
      <c r="AJ140" s="10" t="n">
        <v>0</v>
      </c>
      <c r="AK140" s="8" t="n">
        <f aca="false">IF(AND(B140&lt;=U140,NOT(Q140)),B140,U140)*(1-Inputs!$B$12)</f>
        <v>0.842426461849423</v>
      </c>
    </row>
    <row r="141" customFormat="false" ht="15" hidden="false" customHeight="false" outlineLevel="0" collapsed="false">
      <c r="A141" s="6" t="n">
        <v>44925</v>
      </c>
      <c r="B141" s="7" t="n">
        <v>0.880385438654669</v>
      </c>
      <c r="C141" s="7" t="n">
        <v>0.885132680578126</v>
      </c>
      <c r="D141" s="7" t="n">
        <v>0.878468921364557</v>
      </c>
      <c r="E141" s="7" t="n">
        <v>0.881808089417585</v>
      </c>
      <c r="F141" s="8" t="n">
        <f aca="true">IF(ROW()-2&gt;=Inputs!$B$4,AVERAGE(OFFSET(E141,1-Inputs!$B$4,0,Inputs!$B$4,1)),"")</f>
        <v>0.871366733235219</v>
      </c>
      <c r="G141" s="8" t="n">
        <f aca="true">IF(ROW()-2&gt;=Inputs!$B$5,AVERAGE(OFFSET(E141,1-Inputs!$B$5,0,Inputs!$B$5,1)),"")</f>
        <v>0.858467207080867</v>
      </c>
      <c r="H141" s="8" t="n">
        <f aca="false">MAX(C141-D141,ABS(C141-E140),ABS(D141-E140))</f>
        <v>0.00666375921356888</v>
      </c>
      <c r="I141" s="8" t="n">
        <f aca="true">IF(ROW()-2&lt;14,"",IF(ROW()-2=14,AVERAGE(OFFSET(H141,-13,0,14,1)),(I140*13+H141)/14))</f>
        <v>0.00930831500768916</v>
      </c>
      <c r="J141" s="9" t="b">
        <f aca="false">IF(AND(ISNUMBER(F141),ISNUMBER(G141),ISNUMBER(F140),ISNUMBER(G140)),AND(F141&gt;G141,F140&lt;=G140),FALSE())</f>
        <v>0</v>
      </c>
      <c r="K141" s="9" t="b">
        <f aca="false">IF(AND(ISNUMBER(F141),ISNUMBER(G141),ISNUMBER(F140),ISNUMBER(G140)),AND(F141&lt;G141,F140&gt;=G140),FALSE())</f>
        <v>0</v>
      </c>
      <c r="L141" s="8" t="n">
        <f aca="false">IF(ISNUMBER(I141),E141-Inputs!$B$6*I141,"")</f>
        <v>0.863191459402206</v>
      </c>
      <c r="M141" s="9" t="b">
        <f aca="false">AND(Y140&gt;0,Z140)</f>
        <v>0</v>
      </c>
      <c r="N141" s="8" t="n">
        <f aca="false">B141*(1-Inputs!$B$12)</f>
        <v>0.880209361566938</v>
      </c>
      <c r="O141" s="10" t="n">
        <f aca="false">IF(M141,Y140*(N141-AB140)-Inputs!$B$9-Y140*AD140*Inputs!$B$13*(A141-AC140),0)</f>
        <v>0</v>
      </c>
      <c r="P141" s="10" t="n">
        <f aca="false">X140+O141</f>
        <v>999</v>
      </c>
      <c r="Q141" s="9" t="b">
        <f aca="false">AND(IF(M141,0,Y140)=0,AA140,IF(ISNUMBER(AE140),B141&gt;AE140,FALSE()))</f>
        <v>0</v>
      </c>
      <c r="R141" s="8" t="n">
        <f aca="false">B141*(1+Inputs!$B$12)</f>
        <v>0.8805615157424</v>
      </c>
      <c r="S141" s="11" t="n">
        <f aca="false">IF(Q141,MIN(P141*Inputs!$B$3/(R141-AE140),P141*Inputs!$B$11/R141),0)</f>
        <v>0</v>
      </c>
      <c r="T141" s="11" t="n">
        <f aca="false">IF(Q141,S141,IF(M141,0,Y140))</f>
        <v>515.951204214585</v>
      </c>
      <c r="U141" s="8" t="n">
        <f aca="false">IF(Q141,AE140,AF140)</f>
        <v>0.842594980845593</v>
      </c>
      <c r="V141" s="9" t="b">
        <f aca="false">AND(T141&gt;0,D141&lt;=U141)</f>
        <v>0</v>
      </c>
      <c r="W141" s="10" t="n">
        <f aca="false">IF(V141,T141*(AK141-AB141)-Inputs!$B$9-T141*AD141*Inputs!$B$13*(A141-AC141),0)</f>
        <v>0</v>
      </c>
      <c r="X141" s="10" t="n">
        <f aca="false">P141-IF(Q141,Inputs!$B$9,0)+W141</f>
        <v>999</v>
      </c>
      <c r="Y141" s="11" t="n">
        <f aca="false">IF(V141,0,T141)</f>
        <v>515.951204214585</v>
      </c>
      <c r="Z141" s="9" t="b">
        <f aca="false">AND(Y141&gt;0,K141)</f>
        <v>0</v>
      </c>
      <c r="AA141" s="9" t="b">
        <f aca="false">AND(Y141=0,J141,ISNUMBER(L141))</f>
        <v>0</v>
      </c>
      <c r="AB141" s="8" t="n">
        <f aca="false">IF(Q141,R141,AB140)</f>
        <v>0.861976658644412</v>
      </c>
      <c r="AC141" s="12" t="n">
        <f aca="false">IF(Q141,A141,AC140)</f>
        <v>44890</v>
      </c>
      <c r="AD141" s="8" t="n">
        <f aca="false">IF(Q141,B141,AD140)</f>
        <v>0.861804297784855</v>
      </c>
      <c r="AE141" s="8" t="str">
        <f aca="false">IF(AA141,L141,"")</f>
        <v/>
      </c>
      <c r="AF141" s="8" t="n">
        <f aca="false">U141</f>
        <v>0.842594980845593</v>
      </c>
      <c r="AG141" s="2" t="n">
        <f aca="false">AG140+IF(Q141,1,0)</f>
        <v>1</v>
      </c>
      <c r="AH141" s="2" t="n">
        <f aca="false">AG140</f>
        <v>1</v>
      </c>
      <c r="AI141" s="10" t="n">
        <f aca="false">X141+Y141*(E141-AB141)-Y141*AD141*Inputs!$B$13*(A141-AC141)</f>
        <v>1006.46060840811</v>
      </c>
      <c r="AJ141" s="10" t="n">
        <v>0</v>
      </c>
      <c r="AK141" s="8" t="n">
        <f aca="false">IF(AND(B141&lt;=U141,NOT(Q141)),B141,U141)*(1-Inputs!$B$12)</f>
        <v>0.842426461849423</v>
      </c>
    </row>
    <row r="142" customFormat="false" ht="15" hidden="false" customHeight="false" outlineLevel="0" collapsed="false">
      <c r="A142" s="6" t="n">
        <v>44926</v>
      </c>
      <c r="B142" s="7" t="n">
        <v>0.881808089417585</v>
      </c>
      <c r="C142" s="7" t="n">
        <v>0.895139012235282</v>
      </c>
      <c r="D142" s="7" t="n">
        <v>0.879657755873667</v>
      </c>
      <c r="E142" s="7" t="n">
        <v>0.890563139958187</v>
      </c>
      <c r="F142" s="8" t="n">
        <f aca="true">IF(ROW()-2&gt;=Inputs!$B$4,AVERAGE(OFFSET(E142,1-Inputs!$B$4,0,Inputs!$B$4,1)),"")</f>
        <v>0.872372877498686</v>
      </c>
      <c r="G142" s="8" t="n">
        <f aca="true">IF(ROW()-2&gt;=Inputs!$B$5,AVERAGE(OFFSET(E142,1-Inputs!$B$5,0,Inputs!$B$5,1)),"")</f>
        <v>0.859835522921539</v>
      </c>
      <c r="H142" s="8" t="n">
        <f aca="false">MAX(C142-D142,ABS(C142-E141),ABS(D142-E141))</f>
        <v>0.0154812563616151</v>
      </c>
      <c r="I142" s="8" t="n">
        <f aca="true">IF(ROW()-2&lt;14,"",IF(ROW()-2=14,AVERAGE(OFFSET(H142,-13,0,14,1)),(I141*13+H142)/14))</f>
        <v>0.00974923939011244</v>
      </c>
      <c r="J142" s="9" t="b">
        <f aca="false">IF(AND(ISNUMBER(F142),ISNUMBER(G142),ISNUMBER(F141),ISNUMBER(G141)),AND(F142&gt;G142,F141&lt;=G141),FALSE())</f>
        <v>0</v>
      </c>
      <c r="K142" s="9" t="b">
        <f aca="false">IF(AND(ISNUMBER(F142),ISNUMBER(G142),ISNUMBER(F141),ISNUMBER(G141)),AND(F142&lt;G142,F141&gt;=G141),FALSE())</f>
        <v>0</v>
      </c>
      <c r="L142" s="8" t="n">
        <f aca="false">IF(ISNUMBER(I142),E142-Inputs!$B$6*I142,"")</f>
        <v>0.871064661177962</v>
      </c>
      <c r="M142" s="9" t="b">
        <f aca="false">AND(Y141&gt;0,Z141)</f>
        <v>0</v>
      </c>
      <c r="N142" s="8" t="n">
        <f aca="false">B142*(1-Inputs!$B$12)</f>
        <v>0.881631727799701</v>
      </c>
      <c r="O142" s="10" t="n">
        <f aca="false">IF(M142,Y141*(N142-AB141)-Inputs!$B$9-Y141*AD141*Inputs!$B$13*(A142-AC141),0)</f>
        <v>0</v>
      </c>
      <c r="P142" s="10" t="n">
        <f aca="false">X141+O142</f>
        <v>999</v>
      </c>
      <c r="Q142" s="9" t="b">
        <f aca="false">AND(IF(M142,0,Y141)=0,AA141,IF(ISNUMBER(AE141),B142&gt;AE141,FALSE()))</f>
        <v>0</v>
      </c>
      <c r="R142" s="8" t="n">
        <f aca="false">B142*(1+Inputs!$B$12)</f>
        <v>0.881984451035468</v>
      </c>
      <c r="S142" s="11" t="n">
        <f aca="false">IF(Q142,MIN(P142*Inputs!$B$3/(R142-AE141),P142*Inputs!$B$11/R142),0)</f>
        <v>0</v>
      </c>
      <c r="T142" s="11" t="n">
        <f aca="false">IF(Q142,S142,IF(M142,0,Y141))</f>
        <v>515.951204214585</v>
      </c>
      <c r="U142" s="8" t="n">
        <f aca="false">IF(Q142,AE141,AF141)</f>
        <v>0.842594980845593</v>
      </c>
      <c r="V142" s="9" t="b">
        <f aca="false">AND(T142&gt;0,D142&lt;=U142)</f>
        <v>0</v>
      </c>
      <c r="W142" s="10" t="n">
        <f aca="false">IF(V142,T142*(AK142-AB142)-Inputs!$B$9-T142*AD142*Inputs!$B$13*(A142-AC142),0)</f>
        <v>0</v>
      </c>
      <c r="X142" s="10" t="n">
        <f aca="false">P142-IF(Q142,Inputs!$B$9,0)+W142</f>
        <v>999</v>
      </c>
      <c r="Y142" s="11" t="n">
        <f aca="false">IF(V142,0,T142)</f>
        <v>515.951204214585</v>
      </c>
      <c r="Z142" s="9" t="b">
        <f aca="false">AND(Y142&gt;0,K142)</f>
        <v>0</v>
      </c>
      <c r="AA142" s="9" t="b">
        <f aca="false">AND(Y142=0,J142,ISNUMBER(L142))</f>
        <v>0</v>
      </c>
      <c r="AB142" s="8" t="n">
        <f aca="false">IF(Q142,R142,AB141)</f>
        <v>0.861976658644412</v>
      </c>
      <c r="AC142" s="12" t="n">
        <f aca="false">IF(Q142,A142,AC141)</f>
        <v>44890</v>
      </c>
      <c r="AD142" s="8" t="n">
        <f aca="false">IF(Q142,B142,AD141)</f>
        <v>0.861804297784855</v>
      </c>
      <c r="AE142" s="8" t="str">
        <f aca="false">IF(AA142,L142,"")</f>
        <v/>
      </c>
      <c r="AF142" s="8" t="n">
        <f aca="false">U142</f>
        <v>0.842594980845593</v>
      </c>
      <c r="AG142" s="2" t="n">
        <f aca="false">AG141+IF(Q142,1,0)</f>
        <v>1</v>
      </c>
      <c r="AH142" s="2" t="n">
        <f aca="false">AG141</f>
        <v>1</v>
      </c>
      <c r="AI142" s="10" t="n">
        <f aca="false">X142+Y142*(E142-AB142)-Y142*AD142*Inputs!$B$13*(A142-AC142)</f>
        <v>1010.8986032152</v>
      </c>
      <c r="AJ142" s="10" t="n">
        <v>0</v>
      </c>
      <c r="AK142" s="8" t="n">
        <f aca="false">IF(AND(B142&lt;=U142,NOT(Q142)),B142,U142)*(1-Inputs!$B$12)</f>
        <v>0.842426461849423</v>
      </c>
    </row>
    <row r="143" customFormat="false" ht="15" hidden="false" customHeight="false" outlineLevel="0" collapsed="false">
      <c r="A143" s="6" t="n">
        <v>44927</v>
      </c>
      <c r="B143" s="7" t="n">
        <v>0.890563139958187</v>
      </c>
      <c r="C143" s="7" t="n">
        <v>0.890967344139913</v>
      </c>
      <c r="D143" s="7" t="n">
        <v>0.886251039686457</v>
      </c>
      <c r="E143" s="7" t="n">
        <v>0.888924091219628</v>
      </c>
      <c r="F143" s="8" t="n">
        <f aca="true">IF(ROW()-2&gt;=Inputs!$B$4,AVERAGE(OFFSET(E143,1-Inputs!$B$4,0,Inputs!$B$4,1)),"")</f>
        <v>0.8736470858188</v>
      </c>
      <c r="G143" s="8" t="n">
        <f aca="true">IF(ROW()-2&gt;=Inputs!$B$5,AVERAGE(OFFSET(E143,1-Inputs!$B$5,0,Inputs!$B$5,1)),"")</f>
        <v>0.861139466671045</v>
      </c>
      <c r="H143" s="8" t="n">
        <f aca="false">MAX(C143-D143,ABS(C143-E142),ABS(D143-E142))</f>
        <v>0.00471630445345572</v>
      </c>
      <c r="I143" s="8" t="n">
        <f aca="true">IF(ROW()-2&lt;14,"",IF(ROW()-2=14,AVERAGE(OFFSET(H143,-13,0,14,1)),(I142*13+H143)/14))</f>
        <v>0.00938974403749411</v>
      </c>
      <c r="J143" s="9" t="b">
        <f aca="false">IF(AND(ISNUMBER(F143),ISNUMBER(G143),ISNUMBER(F142),ISNUMBER(G142)),AND(F143&gt;G143,F142&lt;=G142),FALSE())</f>
        <v>0</v>
      </c>
      <c r="K143" s="9" t="b">
        <f aca="false">IF(AND(ISNUMBER(F143),ISNUMBER(G143),ISNUMBER(F142),ISNUMBER(G142)),AND(F143&lt;G143,F142&gt;=G142),FALSE())</f>
        <v>0</v>
      </c>
      <c r="L143" s="8" t="n">
        <f aca="false">IF(ISNUMBER(I143),E143-Inputs!$B$6*I143,"")</f>
        <v>0.87014460314464</v>
      </c>
      <c r="M143" s="9" t="b">
        <f aca="false">AND(Y142&gt;0,Z142)</f>
        <v>0</v>
      </c>
      <c r="N143" s="8" t="n">
        <f aca="false">B143*(1-Inputs!$B$12)</f>
        <v>0.890385027330195</v>
      </c>
      <c r="O143" s="10" t="n">
        <f aca="false">IF(M143,Y142*(N143-AB142)-Inputs!$B$9-Y142*AD142*Inputs!$B$13*(A143-AC142),0)</f>
        <v>0</v>
      </c>
      <c r="P143" s="10" t="n">
        <f aca="false">X142+O143</f>
        <v>999</v>
      </c>
      <c r="Q143" s="9" t="b">
        <f aca="false">AND(IF(M143,0,Y142)=0,AA142,IF(ISNUMBER(AE142),B143&gt;AE142,FALSE()))</f>
        <v>0</v>
      </c>
      <c r="R143" s="8" t="n">
        <f aca="false">B143*(1+Inputs!$B$12)</f>
        <v>0.890741252586178</v>
      </c>
      <c r="S143" s="11" t="n">
        <f aca="false">IF(Q143,MIN(P143*Inputs!$B$3/(R143-AE142),P143*Inputs!$B$11/R143),0)</f>
        <v>0</v>
      </c>
      <c r="T143" s="11" t="n">
        <f aca="false">IF(Q143,S143,IF(M143,0,Y142))</f>
        <v>515.951204214585</v>
      </c>
      <c r="U143" s="8" t="n">
        <f aca="false">IF(Q143,AE142,AF142)</f>
        <v>0.842594980845593</v>
      </c>
      <c r="V143" s="9" t="b">
        <f aca="false">AND(T143&gt;0,D143&lt;=U143)</f>
        <v>0</v>
      </c>
      <c r="W143" s="10" t="n">
        <f aca="false">IF(V143,T143*(AK143-AB143)-Inputs!$B$9-T143*AD143*Inputs!$B$13*(A143-AC143),0)</f>
        <v>0</v>
      </c>
      <c r="X143" s="10" t="n">
        <f aca="false">P143-IF(Q143,Inputs!$B$9,0)+W143</f>
        <v>999</v>
      </c>
      <c r="Y143" s="11" t="n">
        <f aca="false">IF(V143,0,T143)</f>
        <v>515.951204214585</v>
      </c>
      <c r="Z143" s="9" t="b">
        <f aca="false">AND(Y143&gt;0,K143)</f>
        <v>0</v>
      </c>
      <c r="AA143" s="9" t="b">
        <f aca="false">AND(Y143=0,J143,ISNUMBER(L143))</f>
        <v>0</v>
      </c>
      <c r="AB143" s="8" t="n">
        <f aca="false">IF(Q143,R143,AB142)</f>
        <v>0.861976658644412</v>
      </c>
      <c r="AC143" s="12" t="n">
        <f aca="false">IF(Q143,A143,AC142)</f>
        <v>44890</v>
      </c>
      <c r="AD143" s="8" t="n">
        <f aca="false">IF(Q143,B143,AD142)</f>
        <v>0.861804297784855</v>
      </c>
      <c r="AE143" s="8" t="str">
        <f aca="false">IF(AA143,L143,"")</f>
        <v/>
      </c>
      <c r="AF143" s="8" t="n">
        <f aca="false">U143</f>
        <v>0.842594980845593</v>
      </c>
      <c r="AG143" s="2" t="n">
        <f aca="false">AG142+IF(Q143,1,0)</f>
        <v>1</v>
      </c>
      <c r="AH143" s="2" t="n">
        <f aca="false">AG142</f>
        <v>1</v>
      </c>
      <c r="AI143" s="10" t="n">
        <f aca="false">X143+Y143*(E143-AB143)-Y143*AD143*Inputs!$B$13*(A143-AC143)</f>
        <v>1009.97374998247</v>
      </c>
      <c r="AJ143" s="10" t="n">
        <v>0</v>
      </c>
      <c r="AK143" s="8" t="n">
        <f aca="false">IF(AND(B143&lt;=U143,NOT(Q143)),B143,U143)*(1-Inputs!$B$12)</f>
        <v>0.842426461849423</v>
      </c>
    </row>
    <row r="144" customFormat="false" ht="15" hidden="false" customHeight="false" outlineLevel="0" collapsed="false">
      <c r="A144" s="6" t="n">
        <v>44928</v>
      </c>
      <c r="B144" s="7" t="n">
        <v>0.888924091219628</v>
      </c>
      <c r="C144" s="7" t="n">
        <v>0.891701544336695</v>
      </c>
      <c r="D144" s="7" t="n">
        <v>0.888773507646971</v>
      </c>
      <c r="E144" s="7" t="n">
        <v>0.889688567144874</v>
      </c>
      <c r="F144" s="8" t="n">
        <f aca="true">IF(ROW()-2&gt;=Inputs!$B$4,AVERAGE(OFFSET(E144,1-Inputs!$B$4,0,Inputs!$B$4,1)),"")</f>
        <v>0.874756015976296</v>
      </c>
      <c r="G144" s="8" t="n">
        <f aca="true">IF(ROW()-2&gt;=Inputs!$B$5,AVERAGE(OFFSET(E144,1-Inputs!$B$5,0,Inputs!$B$5,1)),"")</f>
        <v>0.862523001383222</v>
      </c>
      <c r="H144" s="8" t="n">
        <f aca="false">MAX(C144-D144,ABS(C144-E143),ABS(D144-E143))</f>
        <v>0.00292803668972363</v>
      </c>
      <c r="I144" s="8" t="n">
        <f aca="true">IF(ROW()-2&lt;14,"",IF(ROW()-2=14,AVERAGE(OFFSET(H144,-13,0,14,1)),(I143*13+H144)/14))</f>
        <v>0.00892819351265336</v>
      </c>
      <c r="J144" s="9" t="b">
        <f aca="false">IF(AND(ISNUMBER(F144),ISNUMBER(G144),ISNUMBER(F143),ISNUMBER(G143)),AND(F144&gt;G144,F143&lt;=G143),FALSE())</f>
        <v>0</v>
      </c>
      <c r="K144" s="9" t="b">
        <f aca="false">IF(AND(ISNUMBER(F144),ISNUMBER(G144),ISNUMBER(F143),ISNUMBER(G143)),AND(F144&lt;G144,F143&gt;=G143),FALSE())</f>
        <v>0</v>
      </c>
      <c r="L144" s="8" t="n">
        <f aca="false">IF(ISNUMBER(I144),E144-Inputs!$B$6*I144,"")</f>
        <v>0.871832180119567</v>
      </c>
      <c r="M144" s="9" t="b">
        <f aca="false">AND(Y143&gt;0,Z143)</f>
        <v>0</v>
      </c>
      <c r="N144" s="8" t="n">
        <f aca="false">B144*(1-Inputs!$B$12)</f>
        <v>0.888746306401384</v>
      </c>
      <c r="O144" s="10" t="n">
        <f aca="false">IF(M144,Y143*(N144-AB143)-Inputs!$B$9-Y143*AD143*Inputs!$B$13*(A144-AC143),0)</f>
        <v>0</v>
      </c>
      <c r="P144" s="10" t="n">
        <f aca="false">X143+O144</f>
        <v>999</v>
      </c>
      <c r="Q144" s="9" t="b">
        <f aca="false">AND(IF(M144,0,Y143)=0,AA143,IF(ISNUMBER(AE143),B144&gt;AE143,FALSE()))</f>
        <v>0</v>
      </c>
      <c r="R144" s="8" t="n">
        <f aca="false">B144*(1+Inputs!$B$12)</f>
        <v>0.889101876037872</v>
      </c>
      <c r="S144" s="11" t="n">
        <f aca="false">IF(Q144,MIN(P144*Inputs!$B$3/(R144-AE143),P144*Inputs!$B$11/R144),0)</f>
        <v>0</v>
      </c>
      <c r="T144" s="11" t="n">
        <f aca="false">IF(Q144,S144,IF(M144,0,Y143))</f>
        <v>515.951204214585</v>
      </c>
      <c r="U144" s="8" t="n">
        <f aca="false">IF(Q144,AE143,AF143)</f>
        <v>0.842594980845593</v>
      </c>
      <c r="V144" s="9" t="b">
        <f aca="false">AND(T144&gt;0,D144&lt;=U144)</f>
        <v>0</v>
      </c>
      <c r="W144" s="10" t="n">
        <f aca="false">IF(V144,T144*(AK144-AB144)-Inputs!$B$9-T144*AD144*Inputs!$B$13*(A144-AC144),0)</f>
        <v>0</v>
      </c>
      <c r="X144" s="10" t="n">
        <f aca="false">P144-IF(Q144,Inputs!$B$9,0)+W144</f>
        <v>999</v>
      </c>
      <c r="Y144" s="11" t="n">
        <f aca="false">IF(V144,0,T144)</f>
        <v>515.951204214585</v>
      </c>
      <c r="Z144" s="9" t="b">
        <f aca="false">AND(Y144&gt;0,K144)</f>
        <v>0</v>
      </c>
      <c r="AA144" s="9" t="b">
        <f aca="false">AND(Y144=0,J144,ISNUMBER(L144))</f>
        <v>0</v>
      </c>
      <c r="AB144" s="8" t="n">
        <f aca="false">IF(Q144,R144,AB143)</f>
        <v>0.861976658644412</v>
      </c>
      <c r="AC144" s="12" t="n">
        <f aca="false">IF(Q144,A144,AC143)</f>
        <v>44890</v>
      </c>
      <c r="AD144" s="8" t="n">
        <f aca="false">IF(Q144,B144,AD143)</f>
        <v>0.861804297784855</v>
      </c>
      <c r="AE144" s="8" t="str">
        <f aca="false">IF(AA144,L144,"")</f>
        <v/>
      </c>
      <c r="AF144" s="8" t="n">
        <f aca="false">U144</f>
        <v>0.842594980845593</v>
      </c>
      <c r="AG144" s="2" t="n">
        <f aca="false">AG143+IF(Q144,1,0)</f>
        <v>1</v>
      </c>
      <c r="AH144" s="2" t="n">
        <f aca="false">AG143</f>
        <v>1</v>
      </c>
      <c r="AI144" s="10" t="n">
        <f aca="false">X144+Y144*(E144-AB144)-Y144*AD144*Inputs!$B$13*(A144-AC144)</f>
        <v>1010.28899819439</v>
      </c>
      <c r="AJ144" s="10" t="n">
        <v>0</v>
      </c>
      <c r="AK144" s="8" t="n">
        <f aca="false">IF(AND(B144&lt;=U144,NOT(Q144)),B144,U144)*(1-Inputs!$B$12)</f>
        <v>0.842426461849423</v>
      </c>
    </row>
    <row r="145" customFormat="false" ht="15" hidden="false" customHeight="false" outlineLevel="0" collapsed="false">
      <c r="A145" s="6" t="n">
        <v>44929</v>
      </c>
      <c r="B145" s="7" t="n">
        <v>0.889688567144874</v>
      </c>
      <c r="C145" s="7" t="n">
        <v>0.894927412443136</v>
      </c>
      <c r="D145" s="7" t="n">
        <v>0.878967540936151</v>
      </c>
      <c r="E145" s="7" t="n">
        <v>0.880507437597756</v>
      </c>
      <c r="F145" s="8" t="n">
        <f aca="true">IF(ROW()-2&gt;=Inputs!$B$4,AVERAGE(OFFSET(E145,1-Inputs!$B$4,0,Inputs!$B$4,1)),"")</f>
        <v>0.875603282073985</v>
      </c>
      <c r="G145" s="8" t="n">
        <f aca="true">IF(ROW()-2&gt;=Inputs!$B$5,AVERAGE(OFFSET(E145,1-Inputs!$B$5,0,Inputs!$B$5,1)),"")</f>
        <v>0.863661825643619</v>
      </c>
      <c r="H145" s="8" t="n">
        <f aca="false">MAX(C145-D145,ABS(C145-E144),ABS(D145-E144))</f>
        <v>0.0159598715069846</v>
      </c>
      <c r="I145" s="8" t="n">
        <f aca="true">IF(ROW()-2&lt;14,"",IF(ROW()-2=14,AVERAGE(OFFSET(H145,-13,0,14,1)),(I144*13+H145)/14))</f>
        <v>0.00943045622653417</v>
      </c>
      <c r="J145" s="9" t="b">
        <f aca="false">IF(AND(ISNUMBER(F145),ISNUMBER(G145),ISNUMBER(F144),ISNUMBER(G144)),AND(F145&gt;G145,F144&lt;=G144),FALSE())</f>
        <v>0</v>
      </c>
      <c r="K145" s="9" t="b">
        <f aca="false">IF(AND(ISNUMBER(F145),ISNUMBER(G145),ISNUMBER(F144),ISNUMBER(G144)),AND(F145&lt;G145,F144&gt;=G144),FALSE())</f>
        <v>0</v>
      </c>
      <c r="L145" s="8" t="n">
        <f aca="false">IF(ISNUMBER(I145),E145-Inputs!$B$6*I145,"")</f>
        <v>0.861646525144688</v>
      </c>
      <c r="M145" s="9" t="b">
        <f aca="false">AND(Y144&gt;0,Z144)</f>
        <v>0</v>
      </c>
      <c r="N145" s="8" t="n">
        <f aca="false">B145*(1-Inputs!$B$12)</f>
        <v>0.889510629431445</v>
      </c>
      <c r="O145" s="10" t="n">
        <f aca="false">IF(M145,Y144*(N145-AB144)-Inputs!$B$9-Y144*AD144*Inputs!$B$13*(A145-AC144),0)</f>
        <v>0</v>
      </c>
      <c r="P145" s="10" t="n">
        <f aca="false">X144+O145</f>
        <v>999</v>
      </c>
      <c r="Q145" s="9" t="b">
        <f aca="false">AND(IF(M145,0,Y144)=0,AA144,IF(ISNUMBER(AE144),B145&gt;AE144,FALSE()))</f>
        <v>0</v>
      </c>
      <c r="R145" s="8" t="n">
        <f aca="false">B145*(1+Inputs!$B$12)</f>
        <v>0.889866504858303</v>
      </c>
      <c r="S145" s="11" t="n">
        <f aca="false">IF(Q145,MIN(P145*Inputs!$B$3/(R145-AE144),P145*Inputs!$B$11/R145),0)</f>
        <v>0</v>
      </c>
      <c r="T145" s="11" t="n">
        <f aca="false">IF(Q145,S145,IF(M145,0,Y144))</f>
        <v>515.951204214585</v>
      </c>
      <c r="U145" s="8" t="n">
        <f aca="false">IF(Q145,AE144,AF144)</f>
        <v>0.842594980845593</v>
      </c>
      <c r="V145" s="9" t="b">
        <f aca="false">AND(T145&gt;0,D145&lt;=U145)</f>
        <v>0</v>
      </c>
      <c r="W145" s="10" t="n">
        <f aca="false">IF(V145,T145*(AK145-AB145)-Inputs!$B$9-T145*AD145*Inputs!$B$13*(A145-AC145),0)</f>
        <v>0</v>
      </c>
      <c r="X145" s="10" t="n">
        <f aca="false">P145-IF(Q145,Inputs!$B$9,0)+W145</f>
        <v>999</v>
      </c>
      <c r="Y145" s="11" t="n">
        <f aca="false">IF(V145,0,T145)</f>
        <v>515.951204214585</v>
      </c>
      <c r="Z145" s="9" t="b">
        <f aca="false">AND(Y145&gt;0,K145)</f>
        <v>0</v>
      </c>
      <c r="AA145" s="9" t="b">
        <f aca="false">AND(Y145=0,J145,ISNUMBER(L145))</f>
        <v>0</v>
      </c>
      <c r="AB145" s="8" t="n">
        <f aca="false">IF(Q145,R145,AB144)</f>
        <v>0.861976658644412</v>
      </c>
      <c r="AC145" s="12" t="n">
        <f aca="false">IF(Q145,A145,AC144)</f>
        <v>44890</v>
      </c>
      <c r="AD145" s="8" t="n">
        <f aca="false">IF(Q145,B145,AD144)</f>
        <v>0.861804297784855</v>
      </c>
      <c r="AE145" s="8" t="str">
        <f aca="false">IF(AA145,L145,"")</f>
        <v/>
      </c>
      <c r="AF145" s="8" t="n">
        <f aca="false">U145</f>
        <v>0.842594980845593</v>
      </c>
      <c r="AG145" s="2" t="n">
        <f aca="false">AG144+IF(Q145,1,0)</f>
        <v>1</v>
      </c>
      <c r="AH145" s="2" t="n">
        <f aca="false">AG144</f>
        <v>1</v>
      </c>
      <c r="AI145" s="10" t="n">
        <f aca="false">X145+Y145*(E145-AB145)-Y145*AD145*Inputs!$B$13*(A145-AC145)</f>
        <v>1005.4727992862</v>
      </c>
      <c r="AJ145" s="10" t="n">
        <v>0</v>
      </c>
      <c r="AK145" s="8" t="n">
        <f aca="false">IF(AND(B145&lt;=U145,NOT(Q145)),B145,U145)*(1-Inputs!$B$12)</f>
        <v>0.842426461849423</v>
      </c>
    </row>
    <row r="146" customFormat="false" ht="15" hidden="false" customHeight="false" outlineLevel="0" collapsed="false">
      <c r="A146" s="6" t="n">
        <v>44930</v>
      </c>
      <c r="B146" s="7" t="n">
        <v>0.880507437597756</v>
      </c>
      <c r="C146" s="7" t="n">
        <v>0.880677819005723</v>
      </c>
      <c r="D146" s="7" t="n">
        <v>0.878344368856559</v>
      </c>
      <c r="E146" s="7" t="n">
        <v>0.878703121849582</v>
      </c>
      <c r="F146" s="8" t="n">
        <f aca="true">IF(ROW()-2&gt;=Inputs!$B$4,AVERAGE(OFFSET(E146,1-Inputs!$B$4,0,Inputs!$B$4,1)),"")</f>
        <v>0.876452064370638</v>
      </c>
      <c r="G146" s="8" t="n">
        <f aca="true">IF(ROW()-2&gt;=Inputs!$B$5,AVERAGE(OFFSET(E146,1-Inputs!$B$5,0,Inputs!$B$5,1)),"")</f>
        <v>0.864578229795463</v>
      </c>
      <c r="H146" s="8" t="n">
        <f aca="false">MAX(C146-D146,ABS(C146-E145),ABS(D146-E145))</f>
        <v>0.00233345014916353</v>
      </c>
      <c r="I146" s="8" t="n">
        <f aca="true">IF(ROW()-2&lt;14,"",IF(ROW()-2=14,AVERAGE(OFFSET(H146,-13,0,14,1)),(I145*13+H146)/14))</f>
        <v>0.00892352722100769</v>
      </c>
      <c r="J146" s="9" t="b">
        <f aca="false">IF(AND(ISNUMBER(F146),ISNUMBER(G146),ISNUMBER(F145),ISNUMBER(G145)),AND(F146&gt;G146,F145&lt;=G145),FALSE())</f>
        <v>0</v>
      </c>
      <c r="K146" s="9" t="b">
        <f aca="false">IF(AND(ISNUMBER(F146),ISNUMBER(G146),ISNUMBER(F145),ISNUMBER(G145)),AND(F146&lt;G146,F145&gt;=G145),FALSE())</f>
        <v>0</v>
      </c>
      <c r="L146" s="8" t="n">
        <f aca="false">IF(ISNUMBER(I146),E146-Inputs!$B$6*I146,"")</f>
        <v>0.860856067407567</v>
      </c>
      <c r="M146" s="9" t="b">
        <f aca="false">AND(Y145&gt;0,Z145)</f>
        <v>0</v>
      </c>
      <c r="N146" s="8" t="n">
        <f aca="false">B146*(1-Inputs!$B$12)</f>
        <v>0.880331336110236</v>
      </c>
      <c r="O146" s="10" t="n">
        <f aca="false">IF(M146,Y145*(N146-AB145)-Inputs!$B$9-Y145*AD145*Inputs!$B$13*(A146-AC145),0)</f>
        <v>0</v>
      </c>
      <c r="P146" s="10" t="n">
        <f aca="false">X145+O146</f>
        <v>999</v>
      </c>
      <c r="Q146" s="9" t="b">
        <f aca="false">AND(IF(M146,0,Y145)=0,AA145,IF(ISNUMBER(AE145),B146&gt;AE145,FALSE()))</f>
        <v>0</v>
      </c>
      <c r="R146" s="8" t="n">
        <f aca="false">B146*(1+Inputs!$B$12)</f>
        <v>0.880683539085275</v>
      </c>
      <c r="S146" s="11" t="n">
        <f aca="false">IF(Q146,MIN(P146*Inputs!$B$3/(R146-AE145),P146*Inputs!$B$11/R146),0)</f>
        <v>0</v>
      </c>
      <c r="T146" s="11" t="n">
        <f aca="false">IF(Q146,S146,IF(M146,0,Y145))</f>
        <v>515.951204214585</v>
      </c>
      <c r="U146" s="8" t="n">
        <f aca="false">IF(Q146,AE145,AF145)</f>
        <v>0.842594980845593</v>
      </c>
      <c r="V146" s="9" t="b">
        <f aca="false">AND(T146&gt;0,D146&lt;=U146)</f>
        <v>0</v>
      </c>
      <c r="W146" s="10" t="n">
        <f aca="false">IF(V146,T146*(AK146-AB146)-Inputs!$B$9-T146*AD146*Inputs!$B$13*(A146-AC146),0)</f>
        <v>0</v>
      </c>
      <c r="X146" s="10" t="n">
        <f aca="false">P146-IF(Q146,Inputs!$B$9,0)+W146</f>
        <v>999</v>
      </c>
      <c r="Y146" s="11" t="n">
        <f aca="false">IF(V146,0,T146)</f>
        <v>515.951204214585</v>
      </c>
      <c r="Z146" s="9" t="b">
        <f aca="false">AND(Y146&gt;0,K146)</f>
        <v>0</v>
      </c>
      <c r="AA146" s="9" t="b">
        <f aca="false">AND(Y146=0,J146,ISNUMBER(L146))</f>
        <v>0</v>
      </c>
      <c r="AB146" s="8" t="n">
        <f aca="false">IF(Q146,R146,AB145)</f>
        <v>0.861976658644412</v>
      </c>
      <c r="AC146" s="12" t="n">
        <f aca="false">IF(Q146,A146,AC145)</f>
        <v>44890</v>
      </c>
      <c r="AD146" s="8" t="n">
        <f aca="false">IF(Q146,B146,AD145)</f>
        <v>0.861804297784855</v>
      </c>
      <c r="AE146" s="8" t="str">
        <f aca="false">IF(AA146,L146,"")</f>
        <v/>
      </c>
      <c r="AF146" s="8" t="n">
        <f aca="false">U146</f>
        <v>0.842594980845593</v>
      </c>
      <c r="AG146" s="2" t="n">
        <f aca="false">AG145+IF(Q146,1,0)</f>
        <v>1</v>
      </c>
      <c r="AH146" s="2" t="n">
        <f aca="false">AG145</f>
        <v>1</v>
      </c>
      <c r="AI146" s="10" t="n">
        <f aca="false">X146+Y146*(E146-AB146)-Y146*AD146*Inputs!$B$13*(A146-AC146)</f>
        <v>1004.46267634084</v>
      </c>
      <c r="AJ146" s="10" t="n">
        <v>0</v>
      </c>
      <c r="AK146" s="8" t="n">
        <f aca="false">IF(AND(B146&lt;=U146,NOT(Q146)),B146,U146)*(1-Inputs!$B$12)</f>
        <v>0.842426461849423</v>
      </c>
    </row>
    <row r="147" customFormat="false" ht="15" hidden="false" customHeight="false" outlineLevel="0" collapsed="false">
      <c r="A147" s="6" t="n">
        <v>44931</v>
      </c>
      <c r="B147" s="7" t="n">
        <v>0.878703121849582</v>
      </c>
      <c r="C147" s="7" t="n">
        <v>0.88436311825152</v>
      </c>
      <c r="D147" s="7" t="n">
        <v>0.877485756289448</v>
      </c>
      <c r="E147" s="7" t="n">
        <v>0.880879840623163</v>
      </c>
      <c r="F147" s="8" t="n">
        <f aca="true">IF(ROW()-2&gt;=Inputs!$B$4,AVERAGE(OFFSET(E147,1-Inputs!$B$4,0,Inputs!$B$4,1)),"")</f>
        <v>0.877163262972444</v>
      </c>
      <c r="G147" s="8" t="n">
        <f aca="true">IF(ROW()-2&gt;=Inputs!$B$5,AVERAGE(OFFSET(E147,1-Inputs!$B$5,0,Inputs!$B$5,1)),"")</f>
        <v>0.865484657514993</v>
      </c>
      <c r="H147" s="8" t="n">
        <f aca="false">MAX(C147-D147,ABS(C147-E146),ABS(D147-E146))</f>
        <v>0.006877361962072</v>
      </c>
      <c r="I147" s="8" t="n">
        <f aca="true">IF(ROW()-2&lt;14,"",IF(ROW()-2=14,AVERAGE(OFFSET(H147,-13,0,14,1)),(I146*13+H147)/14))</f>
        <v>0.00877737255965514</v>
      </c>
      <c r="J147" s="9" t="b">
        <f aca="false">IF(AND(ISNUMBER(F147),ISNUMBER(G147),ISNUMBER(F146),ISNUMBER(G146)),AND(F147&gt;G147,F146&lt;=G146),FALSE())</f>
        <v>0</v>
      </c>
      <c r="K147" s="9" t="b">
        <f aca="false">IF(AND(ISNUMBER(F147),ISNUMBER(G147),ISNUMBER(F146),ISNUMBER(G146)),AND(F147&lt;G147,F146&gt;=G146),FALSE())</f>
        <v>0</v>
      </c>
      <c r="L147" s="8" t="n">
        <f aca="false">IF(ISNUMBER(I147),E147-Inputs!$B$6*I147,"")</f>
        <v>0.863325095503853</v>
      </c>
      <c r="M147" s="9" t="b">
        <f aca="false">AND(Y146&gt;0,Z146)</f>
        <v>0</v>
      </c>
      <c r="N147" s="8" t="n">
        <f aca="false">B147*(1-Inputs!$B$12)</f>
        <v>0.878527381225213</v>
      </c>
      <c r="O147" s="10" t="n">
        <f aca="false">IF(M147,Y146*(N147-AB146)-Inputs!$B$9-Y146*AD146*Inputs!$B$13*(A147-AC146),0)</f>
        <v>0</v>
      </c>
      <c r="P147" s="10" t="n">
        <f aca="false">X146+O147</f>
        <v>999</v>
      </c>
      <c r="Q147" s="9" t="b">
        <f aca="false">AND(IF(M147,0,Y146)=0,AA146,IF(ISNUMBER(AE146),B147&gt;AE146,FALSE()))</f>
        <v>0</v>
      </c>
      <c r="R147" s="8" t="n">
        <f aca="false">B147*(1+Inputs!$B$12)</f>
        <v>0.878878862473952</v>
      </c>
      <c r="S147" s="11" t="n">
        <f aca="false">IF(Q147,MIN(P147*Inputs!$B$3/(R147-AE146),P147*Inputs!$B$11/R147),0)</f>
        <v>0</v>
      </c>
      <c r="T147" s="11" t="n">
        <f aca="false">IF(Q147,S147,IF(M147,0,Y146))</f>
        <v>515.951204214585</v>
      </c>
      <c r="U147" s="8" t="n">
        <f aca="false">IF(Q147,AE146,AF146)</f>
        <v>0.842594980845593</v>
      </c>
      <c r="V147" s="9" t="b">
        <f aca="false">AND(T147&gt;0,D147&lt;=U147)</f>
        <v>0</v>
      </c>
      <c r="W147" s="10" t="n">
        <f aca="false">IF(V147,T147*(AK147-AB147)-Inputs!$B$9-T147*AD147*Inputs!$B$13*(A147-AC147),0)</f>
        <v>0</v>
      </c>
      <c r="X147" s="10" t="n">
        <f aca="false">P147-IF(Q147,Inputs!$B$9,0)+W147</f>
        <v>999</v>
      </c>
      <c r="Y147" s="11" t="n">
        <f aca="false">IF(V147,0,T147)</f>
        <v>515.951204214585</v>
      </c>
      <c r="Z147" s="9" t="b">
        <f aca="false">AND(Y147&gt;0,K147)</f>
        <v>0</v>
      </c>
      <c r="AA147" s="9" t="b">
        <f aca="false">AND(Y147=0,J147,ISNUMBER(L147))</f>
        <v>0</v>
      </c>
      <c r="AB147" s="8" t="n">
        <f aca="false">IF(Q147,R147,AB146)</f>
        <v>0.861976658644412</v>
      </c>
      <c r="AC147" s="12" t="n">
        <f aca="false">IF(Q147,A147,AC146)</f>
        <v>44890</v>
      </c>
      <c r="AD147" s="8" t="n">
        <f aca="false">IF(Q147,B147,AD146)</f>
        <v>0.861804297784855</v>
      </c>
      <c r="AE147" s="8" t="str">
        <f aca="false">IF(AA147,L147,"")</f>
        <v/>
      </c>
      <c r="AF147" s="8" t="n">
        <f aca="false">U147</f>
        <v>0.842594980845593</v>
      </c>
      <c r="AG147" s="2" t="n">
        <f aca="false">AG146+IF(Q147,1,0)</f>
        <v>1</v>
      </c>
      <c r="AH147" s="2" t="n">
        <f aca="false">AG146</f>
        <v>1</v>
      </c>
      <c r="AI147" s="10" t="n">
        <f aca="false">X147+Y147*(E147-AB147)-Y147*AD147*Inputs!$B$13*(A147-AC147)</f>
        <v>1005.50657295101</v>
      </c>
      <c r="AJ147" s="10" t="n">
        <v>0</v>
      </c>
      <c r="AK147" s="8" t="n">
        <f aca="false">IF(AND(B147&lt;=U147,NOT(Q147)),B147,U147)*(1-Inputs!$B$12)</f>
        <v>0.842426461849423</v>
      </c>
    </row>
    <row r="148" customFormat="false" ht="15" hidden="false" customHeight="false" outlineLevel="0" collapsed="false">
      <c r="A148" s="6" t="n">
        <v>44932</v>
      </c>
      <c r="B148" s="7" t="n">
        <v>0.880879840623163</v>
      </c>
      <c r="C148" s="7" t="n">
        <v>0.885760924398691</v>
      </c>
      <c r="D148" s="7" t="n">
        <v>0.880644196399863</v>
      </c>
      <c r="E148" s="7" t="n">
        <v>0.88190766547946</v>
      </c>
      <c r="F148" s="8" t="n">
        <f aca="true">IF(ROW()-2&gt;=Inputs!$B$4,AVERAGE(OFFSET(E148,1-Inputs!$B$4,0,Inputs!$B$4,1)),"")</f>
        <v>0.877867277977675</v>
      </c>
      <c r="G148" s="8" t="n">
        <f aca="true">IF(ROW()-2&gt;=Inputs!$B$5,AVERAGE(OFFSET(E148,1-Inputs!$B$5,0,Inputs!$B$5,1)),"")</f>
        <v>0.866448229661723</v>
      </c>
      <c r="H148" s="8" t="n">
        <f aca="false">MAX(C148-D148,ABS(C148-E147),ABS(D148-E147))</f>
        <v>0.00511672799882801</v>
      </c>
      <c r="I148" s="8" t="n">
        <f aca="true">IF(ROW()-2&lt;14,"",IF(ROW()-2=14,AVERAGE(OFFSET(H148,-13,0,14,1)),(I147*13+H148)/14))</f>
        <v>0.00851589794816749</v>
      </c>
      <c r="J148" s="9" t="b">
        <f aca="false">IF(AND(ISNUMBER(F148),ISNUMBER(G148),ISNUMBER(F147),ISNUMBER(G147)),AND(F148&gt;G148,F147&lt;=G147),FALSE())</f>
        <v>0</v>
      </c>
      <c r="K148" s="9" t="b">
        <f aca="false">IF(AND(ISNUMBER(F148),ISNUMBER(G148),ISNUMBER(F147),ISNUMBER(G147)),AND(F148&lt;G148,F147&gt;=G147),FALSE())</f>
        <v>0</v>
      </c>
      <c r="L148" s="8" t="n">
        <f aca="false">IF(ISNUMBER(I148),E148-Inputs!$B$6*I148,"")</f>
        <v>0.864875869583125</v>
      </c>
      <c r="M148" s="9" t="b">
        <f aca="false">AND(Y147&gt;0,Z147)</f>
        <v>0</v>
      </c>
      <c r="N148" s="8" t="n">
        <f aca="false">B148*(1-Inputs!$B$12)</f>
        <v>0.880703664655039</v>
      </c>
      <c r="O148" s="10" t="n">
        <f aca="false">IF(M148,Y147*(N148-AB147)-Inputs!$B$9-Y147*AD147*Inputs!$B$13*(A148-AC147),0)</f>
        <v>0</v>
      </c>
      <c r="P148" s="10" t="n">
        <f aca="false">X147+O148</f>
        <v>999</v>
      </c>
      <c r="Q148" s="9" t="b">
        <f aca="false">AND(IF(M148,0,Y147)=0,AA147,IF(ISNUMBER(AE147),B148&gt;AE147,FALSE()))</f>
        <v>0</v>
      </c>
      <c r="R148" s="8" t="n">
        <f aca="false">B148*(1+Inputs!$B$12)</f>
        <v>0.881056016591288</v>
      </c>
      <c r="S148" s="11" t="n">
        <f aca="false">IF(Q148,MIN(P148*Inputs!$B$3/(R148-AE147),P148*Inputs!$B$11/R148),0)</f>
        <v>0</v>
      </c>
      <c r="T148" s="11" t="n">
        <f aca="false">IF(Q148,S148,IF(M148,0,Y147))</f>
        <v>515.951204214585</v>
      </c>
      <c r="U148" s="8" t="n">
        <f aca="false">IF(Q148,AE147,AF147)</f>
        <v>0.842594980845593</v>
      </c>
      <c r="V148" s="9" t="b">
        <f aca="false">AND(T148&gt;0,D148&lt;=U148)</f>
        <v>0</v>
      </c>
      <c r="W148" s="10" t="n">
        <f aca="false">IF(V148,T148*(AK148-AB148)-Inputs!$B$9-T148*AD148*Inputs!$B$13*(A148-AC148),0)</f>
        <v>0</v>
      </c>
      <c r="X148" s="10" t="n">
        <f aca="false">P148-IF(Q148,Inputs!$B$9,0)+W148</f>
        <v>999</v>
      </c>
      <c r="Y148" s="11" t="n">
        <f aca="false">IF(V148,0,T148)</f>
        <v>515.951204214585</v>
      </c>
      <c r="Z148" s="9" t="b">
        <f aca="false">AND(Y148&gt;0,K148)</f>
        <v>0</v>
      </c>
      <c r="AA148" s="9" t="b">
        <f aca="false">AND(Y148=0,J148,ISNUMBER(L148))</f>
        <v>0</v>
      </c>
      <c r="AB148" s="8" t="n">
        <f aca="false">IF(Q148,R148,AB147)</f>
        <v>0.861976658644412</v>
      </c>
      <c r="AC148" s="12" t="n">
        <f aca="false">IF(Q148,A148,AC147)</f>
        <v>44890</v>
      </c>
      <c r="AD148" s="8" t="n">
        <f aca="false">IF(Q148,B148,AD147)</f>
        <v>0.861804297784855</v>
      </c>
      <c r="AE148" s="8" t="str">
        <f aca="false">IF(AA148,L148,"")</f>
        <v/>
      </c>
      <c r="AF148" s="8" t="n">
        <f aca="false">U148</f>
        <v>0.842594980845593</v>
      </c>
      <c r="AG148" s="2" t="n">
        <f aca="false">AG147+IF(Q148,1,0)</f>
        <v>1</v>
      </c>
      <c r="AH148" s="2" t="n">
        <f aca="false">AG147</f>
        <v>1</v>
      </c>
      <c r="AI148" s="10" t="n">
        <f aca="false">X148+Y148*(E148-AB148)-Y148*AD148*Inputs!$B$13*(A148-AC148)</f>
        <v>1005.95769636103</v>
      </c>
      <c r="AJ148" s="10" t="n">
        <v>0</v>
      </c>
      <c r="AK148" s="8" t="n">
        <f aca="false">IF(AND(B148&lt;=U148,NOT(Q148)),B148,U148)*(1-Inputs!$B$12)</f>
        <v>0.842426461849423</v>
      </c>
    </row>
    <row r="149" customFormat="false" ht="15" hidden="false" customHeight="false" outlineLevel="0" collapsed="false">
      <c r="A149" s="6" t="n">
        <v>44933</v>
      </c>
      <c r="B149" s="7" t="n">
        <v>0.88190766547946</v>
      </c>
      <c r="C149" s="7" t="n">
        <v>0.881952548171382</v>
      </c>
      <c r="D149" s="7" t="n">
        <v>0.874326926799236</v>
      </c>
      <c r="E149" s="7" t="n">
        <v>0.876888990461387</v>
      </c>
      <c r="F149" s="8" t="n">
        <f aca="true">IF(ROW()-2&gt;=Inputs!$B$4,AVERAGE(OFFSET(E149,1-Inputs!$B$4,0,Inputs!$B$4,1)),"")</f>
        <v>0.878555319926837</v>
      </c>
      <c r="G149" s="8" t="n">
        <f aca="true">IF(ROW()-2&gt;=Inputs!$B$5,AVERAGE(OFFSET(E149,1-Inputs!$B$5,0,Inputs!$B$5,1)),"")</f>
        <v>0.867105421626559</v>
      </c>
      <c r="H149" s="8" t="n">
        <f aca="false">MAX(C149-D149,ABS(C149-E148),ABS(D149-E148))</f>
        <v>0.00762562137214584</v>
      </c>
      <c r="I149" s="8" t="n">
        <f aca="true">IF(ROW()-2&lt;14,"",IF(ROW()-2=14,AVERAGE(OFFSET(H149,-13,0,14,1)),(I148*13+H149)/14))</f>
        <v>0.00845230676416594</v>
      </c>
      <c r="J149" s="9" t="b">
        <f aca="false">IF(AND(ISNUMBER(F149),ISNUMBER(G149),ISNUMBER(F148),ISNUMBER(G148)),AND(F149&gt;G149,F148&lt;=G148),FALSE())</f>
        <v>0</v>
      </c>
      <c r="K149" s="9" t="b">
        <f aca="false">IF(AND(ISNUMBER(F149),ISNUMBER(G149),ISNUMBER(F148),ISNUMBER(G148)),AND(F149&lt;G149,F148&gt;=G148),FALSE())</f>
        <v>0</v>
      </c>
      <c r="L149" s="8" t="n">
        <f aca="false">IF(ISNUMBER(I149),E149-Inputs!$B$6*I149,"")</f>
        <v>0.859984376933055</v>
      </c>
      <c r="M149" s="9" t="b">
        <f aca="false">AND(Y148&gt;0,Z148)</f>
        <v>0</v>
      </c>
      <c r="N149" s="8" t="n">
        <f aca="false">B149*(1-Inputs!$B$12)</f>
        <v>0.881731283946365</v>
      </c>
      <c r="O149" s="10" t="n">
        <f aca="false">IF(M149,Y148*(N149-AB148)-Inputs!$B$9-Y148*AD148*Inputs!$B$13*(A149-AC148),0)</f>
        <v>0</v>
      </c>
      <c r="P149" s="10" t="n">
        <f aca="false">X148+O149</f>
        <v>999</v>
      </c>
      <c r="Q149" s="9" t="b">
        <f aca="false">AND(IF(M149,0,Y148)=0,AA148,IF(ISNUMBER(AE148),B149&gt;AE148,FALSE()))</f>
        <v>0</v>
      </c>
      <c r="R149" s="8" t="n">
        <f aca="false">B149*(1+Inputs!$B$12)</f>
        <v>0.882084047012556</v>
      </c>
      <c r="S149" s="11" t="n">
        <f aca="false">IF(Q149,MIN(P149*Inputs!$B$3/(R149-AE148),P149*Inputs!$B$11/R149),0)</f>
        <v>0</v>
      </c>
      <c r="T149" s="11" t="n">
        <f aca="false">IF(Q149,S149,IF(M149,0,Y148))</f>
        <v>515.951204214585</v>
      </c>
      <c r="U149" s="8" t="n">
        <f aca="false">IF(Q149,AE148,AF148)</f>
        <v>0.842594980845593</v>
      </c>
      <c r="V149" s="9" t="b">
        <f aca="false">AND(T149&gt;0,D149&lt;=U149)</f>
        <v>0</v>
      </c>
      <c r="W149" s="10" t="n">
        <f aca="false">IF(V149,T149*(AK149-AB149)-Inputs!$B$9-T149*AD149*Inputs!$B$13*(A149-AC149),0)</f>
        <v>0</v>
      </c>
      <c r="X149" s="10" t="n">
        <f aca="false">P149-IF(Q149,Inputs!$B$9,0)+W149</f>
        <v>999</v>
      </c>
      <c r="Y149" s="11" t="n">
        <f aca="false">IF(V149,0,T149)</f>
        <v>515.951204214585</v>
      </c>
      <c r="Z149" s="9" t="b">
        <f aca="false">AND(Y149&gt;0,K149)</f>
        <v>0</v>
      </c>
      <c r="AA149" s="9" t="b">
        <f aca="false">AND(Y149=0,J149,ISNUMBER(L149))</f>
        <v>0</v>
      </c>
      <c r="AB149" s="8" t="n">
        <f aca="false">IF(Q149,R149,AB148)</f>
        <v>0.861976658644412</v>
      </c>
      <c r="AC149" s="12" t="n">
        <f aca="false">IF(Q149,A149,AC148)</f>
        <v>44890</v>
      </c>
      <c r="AD149" s="8" t="n">
        <f aca="false">IF(Q149,B149,AD148)</f>
        <v>0.861804297784855</v>
      </c>
      <c r="AE149" s="8" t="str">
        <f aca="false">IF(AA149,L149,"")</f>
        <v/>
      </c>
      <c r="AF149" s="8" t="n">
        <f aca="false">U149</f>
        <v>0.842594980845593</v>
      </c>
      <c r="AG149" s="2" t="n">
        <f aca="false">AG148+IF(Q149,1,0)</f>
        <v>1</v>
      </c>
      <c r="AH149" s="2" t="n">
        <f aca="false">AG148</f>
        <v>1</v>
      </c>
      <c r="AI149" s="10" t="n">
        <f aca="false">X149+Y149*(E149-AB149)-Y149*AD149*Inputs!$B$13*(A149-AC149)</f>
        <v>1003.28912087959</v>
      </c>
      <c r="AJ149" s="10" t="n">
        <v>0</v>
      </c>
      <c r="AK149" s="8" t="n">
        <f aca="false">IF(AND(B149&lt;=U149,NOT(Q149)),B149,U149)*(1-Inputs!$B$12)</f>
        <v>0.842426461849423</v>
      </c>
    </row>
    <row r="150" customFormat="false" ht="15" hidden="false" customHeight="false" outlineLevel="0" collapsed="false">
      <c r="A150" s="6" t="n">
        <v>44934</v>
      </c>
      <c r="B150" s="7" t="n">
        <v>0.876888990461387</v>
      </c>
      <c r="C150" s="7" t="n">
        <v>0.877033175850778</v>
      </c>
      <c r="D150" s="7" t="n">
        <v>0.875289367753335</v>
      </c>
      <c r="E150" s="7" t="n">
        <v>0.875496265813402</v>
      </c>
      <c r="F150" s="8" t="n">
        <f aca="true">IF(ROW()-2&gt;=Inputs!$B$4,AVERAGE(OFFSET(E150,1-Inputs!$B$4,0,Inputs!$B$4,1)),"")</f>
        <v>0.879169336578876</v>
      </c>
      <c r="G150" s="8" t="n">
        <f aca="true">IF(ROW()-2&gt;=Inputs!$B$5,AVERAGE(OFFSET(E150,1-Inputs!$B$5,0,Inputs!$B$5,1)),"")</f>
        <v>0.867627484712415</v>
      </c>
      <c r="H150" s="8" t="n">
        <f aca="false">MAX(C150-D150,ABS(C150-E149),ABS(D150-E149))</f>
        <v>0.00174380809744246</v>
      </c>
      <c r="I150" s="8" t="n">
        <f aca="true">IF(ROW()-2&lt;14,"",IF(ROW()-2=14,AVERAGE(OFFSET(H150,-13,0,14,1)),(I149*13+H150)/14))</f>
        <v>0.00797312828797141</v>
      </c>
      <c r="J150" s="9" t="b">
        <f aca="false">IF(AND(ISNUMBER(F150),ISNUMBER(G150),ISNUMBER(F149),ISNUMBER(G149)),AND(F150&gt;G150,F149&lt;=G149),FALSE())</f>
        <v>0</v>
      </c>
      <c r="K150" s="9" t="b">
        <f aca="false">IF(AND(ISNUMBER(F150),ISNUMBER(G150),ISNUMBER(F149),ISNUMBER(G149)),AND(F150&lt;G150,F149&gt;=G149),FALSE())</f>
        <v>0</v>
      </c>
      <c r="L150" s="8" t="n">
        <f aca="false">IF(ISNUMBER(I150),E150-Inputs!$B$6*I150,"")</f>
        <v>0.859550009237459</v>
      </c>
      <c r="M150" s="9" t="b">
        <f aca="false">AND(Y149&gt;0,Z149)</f>
        <v>0</v>
      </c>
      <c r="N150" s="8" t="n">
        <f aca="false">B150*(1-Inputs!$B$12)</f>
        <v>0.876713612663294</v>
      </c>
      <c r="O150" s="10" t="n">
        <f aca="false">IF(M150,Y149*(N150-AB149)-Inputs!$B$9-Y149*AD149*Inputs!$B$13*(A150-AC149),0)</f>
        <v>0</v>
      </c>
      <c r="P150" s="10" t="n">
        <f aca="false">X149+O150</f>
        <v>999</v>
      </c>
      <c r="Q150" s="9" t="b">
        <f aca="false">AND(IF(M150,0,Y149)=0,AA149,IF(ISNUMBER(AE149),B150&gt;AE149,FALSE()))</f>
        <v>0</v>
      </c>
      <c r="R150" s="8" t="n">
        <f aca="false">B150*(1+Inputs!$B$12)</f>
        <v>0.877064368259479</v>
      </c>
      <c r="S150" s="11" t="n">
        <f aca="false">IF(Q150,MIN(P150*Inputs!$B$3/(R150-AE149),P150*Inputs!$B$11/R150),0)</f>
        <v>0</v>
      </c>
      <c r="T150" s="11" t="n">
        <f aca="false">IF(Q150,S150,IF(M150,0,Y149))</f>
        <v>515.951204214585</v>
      </c>
      <c r="U150" s="8" t="n">
        <f aca="false">IF(Q150,AE149,AF149)</f>
        <v>0.842594980845593</v>
      </c>
      <c r="V150" s="9" t="b">
        <f aca="false">AND(T150&gt;0,D150&lt;=U150)</f>
        <v>0</v>
      </c>
      <c r="W150" s="10" t="n">
        <f aca="false">IF(V150,T150*(AK150-AB150)-Inputs!$B$9-T150*AD150*Inputs!$B$13*(A150-AC150),0)</f>
        <v>0</v>
      </c>
      <c r="X150" s="10" t="n">
        <f aca="false">P150-IF(Q150,Inputs!$B$9,0)+W150</f>
        <v>999</v>
      </c>
      <c r="Y150" s="11" t="n">
        <f aca="false">IF(V150,0,T150)</f>
        <v>515.951204214585</v>
      </c>
      <c r="Z150" s="9" t="b">
        <f aca="false">AND(Y150&gt;0,K150)</f>
        <v>0</v>
      </c>
      <c r="AA150" s="9" t="b">
        <f aca="false">AND(Y150=0,J150,ISNUMBER(L150))</f>
        <v>0</v>
      </c>
      <c r="AB150" s="8" t="n">
        <f aca="false">IF(Q150,R150,AB149)</f>
        <v>0.861976658644412</v>
      </c>
      <c r="AC150" s="12" t="n">
        <f aca="false">IF(Q150,A150,AC149)</f>
        <v>44890</v>
      </c>
      <c r="AD150" s="8" t="n">
        <f aca="false">IF(Q150,B150,AD149)</f>
        <v>0.861804297784855</v>
      </c>
      <c r="AE150" s="8" t="str">
        <f aca="false">IF(AA150,L150,"")</f>
        <v/>
      </c>
      <c r="AF150" s="8" t="n">
        <f aca="false">U150</f>
        <v>0.842594980845593</v>
      </c>
      <c r="AG150" s="2" t="n">
        <f aca="false">AG149+IF(Q150,1,0)</f>
        <v>1</v>
      </c>
      <c r="AH150" s="2" t="n">
        <f aca="false">AG149</f>
        <v>1</v>
      </c>
      <c r="AI150" s="10" t="n">
        <f aca="false">X150+Y150*(E150-AB150)-Y150*AD150*Inputs!$B$13*(A150-AC150)</f>
        <v>1002.49135885802</v>
      </c>
      <c r="AJ150" s="10" t="n">
        <v>0</v>
      </c>
      <c r="AK150" s="8" t="n">
        <f aca="false">IF(AND(B150&lt;=U150,NOT(Q150)),B150,U150)*(1-Inputs!$B$12)</f>
        <v>0.842426461849423</v>
      </c>
    </row>
    <row r="151" customFormat="false" ht="15" hidden="false" customHeight="false" outlineLevel="0" collapsed="false">
      <c r="A151" s="6" t="n">
        <v>44935</v>
      </c>
      <c r="B151" s="7" t="n">
        <v>0.875496265813402</v>
      </c>
      <c r="C151" s="7" t="n">
        <v>0.878813234333566</v>
      </c>
      <c r="D151" s="7" t="n">
        <v>0.874756317275205</v>
      </c>
      <c r="E151" s="7" t="n">
        <v>0.875394150119371</v>
      </c>
      <c r="F151" s="8" t="n">
        <f aca="true">IF(ROW()-2&gt;=Inputs!$B$4,AVERAGE(OFFSET(E151,1-Inputs!$B$4,0,Inputs!$B$4,1)),"")</f>
        <v>0.879656558606683</v>
      </c>
      <c r="G151" s="8" t="n">
        <f aca="true">IF(ROW()-2&gt;=Inputs!$B$5,AVERAGE(OFFSET(E151,1-Inputs!$B$5,0,Inputs!$B$5,1)),"")</f>
        <v>0.868143067483657</v>
      </c>
      <c r="H151" s="8" t="n">
        <f aca="false">MAX(C151-D151,ABS(C151-E150),ABS(D151-E150))</f>
        <v>0.0040569170583612</v>
      </c>
      <c r="I151" s="8" t="n">
        <f aca="true">IF(ROW()-2&lt;14,"",IF(ROW()-2=14,AVERAGE(OFFSET(H151,-13,0,14,1)),(I150*13+H151)/14))</f>
        <v>0.00769339891442782</v>
      </c>
      <c r="J151" s="9" t="b">
        <f aca="false">IF(AND(ISNUMBER(F151),ISNUMBER(G151),ISNUMBER(F150),ISNUMBER(G150)),AND(F151&gt;G151,F150&lt;=G150),FALSE())</f>
        <v>0</v>
      </c>
      <c r="K151" s="9" t="b">
        <f aca="false">IF(AND(ISNUMBER(F151),ISNUMBER(G151),ISNUMBER(F150),ISNUMBER(G150)),AND(F151&lt;G151,F150&gt;=G150),FALSE())</f>
        <v>0</v>
      </c>
      <c r="L151" s="8" t="n">
        <f aca="false">IF(ISNUMBER(I151),E151-Inputs!$B$6*I151,"")</f>
        <v>0.860007352290516</v>
      </c>
      <c r="M151" s="9" t="b">
        <f aca="false">AND(Y150&gt;0,Z150)</f>
        <v>0</v>
      </c>
      <c r="N151" s="8" t="n">
        <f aca="false">B151*(1-Inputs!$B$12)</f>
        <v>0.875321166560239</v>
      </c>
      <c r="O151" s="10" t="n">
        <f aca="false">IF(M151,Y150*(N151-AB150)-Inputs!$B$9-Y150*AD150*Inputs!$B$13*(A151-AC150),0)</f>
        <v>0</v>
      </c>
      <c r="P151" s="10" t="n">
        <f aca="false">X150+O151</f>
        <v>999</v>
      </c>
      <c r="Q151" s="9" t="b">
        <f aca="false">AND(IF(M151,0,Y150)=0,AA150,IF(ISNUMBER(AE150),B151&gt;AE150,FALSE()))</f>
        <v>0</v>
      </c>
      <c r="R151" s="8" t="n">
        <f aca="false">B151*(1+Inputs!$B$12)</f>
        <v>0.875671365066565</v>
      </c>
      <c r="S151" s="11" t="n">
        <f aca="false">IF(Q151,MIN(P151*Inputs!$B$3/(R151-AE150),P151*Inputs!$B$11/R151),0)</f>
        <v>0</v>
      </c>
      <c r="T151" s="11" t="n">
        <f aca="false">IF(Q151,S151,IF(M151,0,Y150))</f>
        <v>515.951204214585</v>
      </c>
      <c r="U151" s="8" t="n">
        <f aca="false">IF(Q151,AE150,AF150)</f>
        <v>0.842594980845593</v>
      </c>
      <c r="V151" s="9" t="b">
        <f aca="false">AND(T151&gt;0,D151&lt;=U151)</f>
        <v>0</v>
      </c>
      <c r="W151" s="10" t="n">
        <f aca="false">IF(V151,T151*(AK151-AB151)-Inputs!$B$9-T151*AD151*Inputs!$B$13*(A151-AC151),0)</f>
        <v>0</v>
      </c>
      <c r="X151" s="10" t="n">
        <f aca="false">P151-IF(Q151,Inputs!$B$9,0)+W151</f>
        <v>999</v>
      </c>
      <c r="Y151" s="11" t="n">
        <f aca="false">IF(V151,0,T151)</f>
        <v>515.951204214585</v>
      </c>
      <c r="Z151" s="9" t="b">
        <f aca="false">AND(Y151&gt;0,K151)</f>
        <v>0</v>
      </c>
      <c r="AA151" s="9" t="b">
        <f aca="false">AND(Y151=0,J151,ISNUMBER(L151))</f>
        <v>0</v>
      </c>
      <c r="AB151" s="8" t="n">
        <f aca="false">IF(Q151,R151,AB150)</f>
        <v>0.861976658644412</v>
      </c>
      <c r="AC151" s="12" t="n">
        <f aca="false">IF(Q151,A151,AC150)</f>
        <v>44890</v>
      </c>
      <c r="AD151" s="8" t="n">
        <f aca="false">IF(Q151,B151,AD150)</f>
        <v>0.861804297784855</v>
      </c>
      <c r="AE151" s="8" t="str">
        <f aca="false">IF(AA151,L151,"")</f>
        <v/>
      </c>
      <c r="AF151" s="8" t="n">
        <f aca="false">U151</f>
        <v>0.842594980845593</v>
      </c>
      <c r="AG151" s="2" t="n">
        <f aca="false">AG150+IF(Q151,1,0)</f>
        <v>1</v>
      </c>
      <c r="AH151" s="2" t="n">
        <f aca="false">AG150</f>
        <v>1</v>
      </c>
      <c r="AI151" s="10" t="n">
        <f aca="false">X151+Y151*(E151-AB151)-Y151*AD151*Inputs!$B$13*(A151-AC151)</f>
        <v>1002.35948808041</v>
      </c>
      <c r="AJ151" s="10" t="n">
        <v>0</v>
      </c>
      <c r="AK151" s="8" t="n">
        <f aca="false">IF(AND(B151&lt;=U151,NOT(Q151)),B151,U151)*(1-Inputs!$B$12)</f>
        <v>0.842426461849423</v>
      </c>
    </row>
    <row r="152" customFormat="false" ht="15" hidden="false" customHeight="false" outlineLevel="0" collapsed="false">
      <c r="A152" s="6" t="n">
        <v>44936</v>
      </c>
      <c r="B152" s="7" t="n">
        <v>0.875394150119371</v>
      </c>
      <c r="C152" s="7" t="n">
        <v>0.886116736617803</v>
      </c>
      <c r="D152" s="7" t="n">
        <v>0.874230752375421</v>
      </c>
      <c r="E152" s="7" t="n">
        <v>0.882985831019865</v>
      </c>
      <c r="F152" s="8" t="n">
        <f aca="true">IF(ROW()-2&gt;=Inputs!$B$4,AVERAGE(OFFSET(E152,1-Inputs!$B$4,0,Inputs!$B$4,1)),"")</f>
        <v>0.880227549579099</v>
      </c>
      <c r="G152" s="8" t="n">
        <f aca="true">IF(ROW()-2&gt;=Inputs!$B$5,AVERAGE(OFFSET(E152,1-Inputs!$B$5,0,Inputs!$B$5,1)),"")</f>
        <v>0.868668425681072</v>
      </c>
      <c r="H152" s="8" t="n">
        <f aca="false">MAX(C152-D152,ABS(C152-E151),ABS(D152-E151))</f>
        <v>0.0118859842423816</v>
      </c>
      <c r="I152" s="8" t="n">
        <f aca="true">IF(ROW()-2&lt;14,"",IF(ROW()-2=14,AVERAGE(OFFSET(H152,-13,0,14,1)),(I151*13+H152)/14))</f>
        <v>0.00799286929499595</v>
      </c>
      <c r="J152" s="9" t="b">
        <f aca="false">IF(AND(ISNUMBER(F152),ISNUMBER(G152),ISNUMBER(F151),ISNUMBER(G151)),AND(F152&gt;G152,F151&lt;=G151),FALSE())</f>
        <v>0</v>
      </c>
      <c r="K152" s="9" t="b">
        <f aca="false">IF(AND(ISNUMBER(F152),ISNUMBER(G152),ISNUMBER(F151),ISNUMBER(G151)),AND(F152&lt;G152,F151&gt;=G151),FALSE())</f>
        <v>0</v>
      </c>
      <c r="L152" s="8" t="n">
        <f aca="false">IF(ISNUMBER(I152),E152-Inputs!$B$6*I152,"")</f>
        <v>0.867000092429873</v>
      </c>
      <c r="M152" s="9" t="b">
        <f aca="false">AND(Y151&gt;0,Z151)</f>
        <v>0</v>
      </c>
      <c r="N152" s="8" t="n">
        <f aca="false">B152*(1-Inputs!$B$12)</f>
        <v>0.875219071289348</v>
      </c>
      <c r="O152" s="10" t="n">
        <f aca="false">IF(M152,Y151*(N152-AB151)-Inputs!$B$9-Y151*AD151*Inputs!$B$13*(A152-AC151),0)</f>
        <v>0</v>
      </c>
      <c r="P152" s="10" t="n">
        <f aca="false">X151+O152</f>
        <v>999</v>
      </c>
      <c r="Q152" s="9" t="b">
        <f aca="false">AND(IF(M152,0,Y151)=0,AA151,IF(ISNUMBER(AE151),B152&gt;AE151,FALSE()))</f>
        <v>0</v>
      </c>
      <c r="R152" s="8" t="n">
        <f aca="false">B152*(1+Inputs!$B$12)</f>
        <v>0.875569228949395</v>
      </c>
      <c r="S152" s="11" t="n">
        <f aca="false">IF(Q152,MIN(P152*Inputs!$B$3/(R152-AE151),P152*Inputs!$B$11/R152),0)</f>
        <v>0</v>
      </c>
      <c r="T152" s="11" t="n">
        <f aca="false">IF(Q152,S152,IF(M152,0,Y151))</f>
        <v>515.951204214585</v>
      </c>
      <c r="U152" s="8" t="n">
        <f aca="false">IF(Q152,AE151,AF151)</f>
        <v>0.842594980845593</v>
      </c>
      <c r="V152" s="9" t="b">
        <f aca="false">AND(T152&gt;0,D152&lt;=U152)</f>
        <v>0</v>
      </c>
      <c r="W152" s="10" t="n">
        <f aca="false">IF(V152,T152*(AK152-AB152)-Inputs!$B$9-T152*AD152*Inputs!$B$13*(A152-AC152),0)</f>
        <v>0</v>
      </c>
      <c r="X152" s="10" t="n">
        <f aca="false">P152-IF(Q152,Inputs!$B$9,0)+W152</f>
        <v>999</v>
      </c>
      <c r="Y152" s="11" t="n">
        <f aca="false">IF(V152,0,T152)</f>
        <v>515.951204214585</v>
      </c>
      <c r="Z152" s="9" t="b">
        <f aca="false">AND(Y152&gt;0,K152)</f>
        <v>0</v>
      </c>
      <c r="AA152" s="9" t="b">
        <f aca="false">AND(Y152=0,J152,ISNUMBER(L152))</f>
        <v>0</v>
      </c>
      <c r="AB152" s="8" t="n">
        <f aca="false">IF(Q152,R152,AB151)</f>
        <v>0.861976658644412</v>
      </c>
      <c r="AC152" s="12" t="n">
        <f aca="false">IF(Q152,A152,AC151)</f>
        <v>44890</v>
      </c>
      <c r="AD152" s="8" t="n">
        <f aca="false">IF(Q152,B152,AD151)</f>
        <v>0.861804297784855</v>
      </c>
      <c r="AE152" s="8" t="str">
        <f aca="false">IF(AA152,L152,"")</f>
        <v/>
      </c>
      <c r="AF152" s="8" t="n">
        <f aca="false">U152</f>
        <v>0.842594980845593</v>
      </c>
      <c r="AG152" s="2" t="n">
        <f aca="false">AG151+IF(Q152,1,0)</f>
        <v>1</v>
      </c>
      <c r="AH152" s="2" t="n">
        <f aca="false">AG151</f>
        <v>1</v>
      </c>
      <c r="AI152" s="10" t="n">
        <f aca="false">X152+Y152*(E152-AB152)-Y152*AD152*Inputs!$B$13*(A152-AC152)</f>
        <v>1006.19724092073</v>
      </c>
      <c r="AJ152" s="10" t="n">
        <v>0</v>
      </c>
      <c r="AK152" s="8" t="n">
        <f aca="false">IF(AND(B152&lt;=U152,NOT(Q152)),B152,U152)*(1-Inputs!$B$12)</f>
        <v>0.842426461849423</v>
      </c>
    </row>
    <row r="153" customFormat="false" ht="15" hidden="false" customHeight="false" outlineLevel="0" collapsed="false">
      <c r="A153" s="6" t="n">
        <v>44937</v>
      </c>
      <c r="B153" s="7" t="n">
        <v>0.882985831019865</v>
      </c>
      <c r="C153" s="7" t="n">
        <v>0.88444494138178</v>
      </c>
      <c r="D153" s="7" t="n">
        <v>0.881239213591355</v>
      </c>
      <c r="E153" s="7" t="n">
        <v>0.882913664706517</v>
      </c>
      <c r="F153" s="8" t="n">
        <f aca="true">IF(ROW()-2&gt;=Inputs!$B$4,AVERAGE(OFFSET(E153,1-Inputs!$B$4,0,Inputs!$B$4,1)),"")</f>
        <v>0.880936067614203</v>
      </c>
      <c r="G153" s="8" t="n">
        <f aca="true">IF(ROW()-2&gt;=Inputs!$B$5,AVERAGE(OFFSET(E153,1-Inputs!$B$5,0,Inputs!$B$5,1)),"")</f>
        <v>0.869145749334948</v>
      </c>
      <c r="H153" s="8" t="n">
        <f aca="false">MAX(C153-D153,ABS(C153-E152),ABS(D153-E152))</f>
        <v>0.00320572779042505</v>
      </c>
      <c r="I153" s="8" t="n">
        <f aca="true">IF(ROW()-2&lt;14,"",IF(ROW()-2=14,AVERAGE(OFFSET(H153,-13,0,14,1)),(I152*13+H153)/14))</f>
        <v>0.00765093061609803</v>
      </c>
      <c r="J153" s="9" t="b">
        <f aca="false">IF(AND(ISNUMBER(F153),ISNUMBER(G153),ISNUMBER(F152),ISNUMBER(G152)),AND(F153&gt;G153,F152&lt;=G152),FALSE())</f>
        <v>0</v>
      </c>
      <c r="K153" s="9" t="b">
        <f aca="false">IF(AND(ISNUMBER(F153),ISNUMBER(G153),ISNUMBER(F152),ISNUMBER(G152)),AND(F153&lt;G153,F152&gt;=G152),FALSE())</f>
        <v>0</v>
      </c>
      <c r="L153" s="8" t="n">
        <f aca="false">IF(ISNUMBER(I153),E153-Inputs!$B$6*I153,"")</f>
        <v>0.867611803474321</v>
      </c>
      <c r="M153" s="9" t="b">
        <f aca="false">AND(Y152&gt;0,Z152)</f>
        <v>0</v>
      </c>
      <c r="N153" s="8" t="n">
        <f aca="false">B153*(1-Inputs!$B$12)</f>
        <v>0.882809233853661</v>
      </c>
      <c r="O153" s="10" t="n">
        <f aca="false">IF(M153,Y152*(N153-AB152)-Inputs!$B$9-Y152*AD152*Inputs!$B$13*(A153-AC152),0)</f>
        <v>0</v>
      </c>
      <c r="P153" s="10" t="n">
        <f aca="false">X152+O153</f>
        <v>999</v>
      </c>
      <c r="Q153" s="9" t="b">
        <f aca="false">AND(IF(M153,0,Y152)=0,AA152,IF(ISNUMBER(AE152),B153&gt;AE152,FALSE()))</f>
        <v>0</v>
      </c>
      <c r="R153" s="8" t="n">
        <f aca="false">B153*(1+Inputs!$B$12)</f>
        <v>0.883162428186069</v>
      </c>
      <c r="S153" s="11" t="n">
        <f aca="false">IF(Q153,MIN(P153*Inputs!$B$3/(R153-AE152),P153*Inputs!$B$11/R153),0)</f>
        <v>0</v>
      </c>
      <c r="T153" s="11" t="n">
        <f aca="false">IF(Q153,S153,IF(M153,0,Y152))</f>
        <v>515.951204214585</v>
      </c>
      <c r="U153" s="8" t="n">
        <f aca="false">IF(Q153,AE152,AF152)</f>
        <v>0.842594980845593</v>
      </c>
      <c r="V153" s="9" t="b">
        <f aca="false">AND(T153&gt;0,D153&lt;=U153)</f>
        <v>0</v>
      </c>
      <c r="W153" s="10" t="n">
        <f aca="false">IF(V153,T153*(AK153-AB153)-Inputs!$B$9-T153*AD153*Inputs!$B$13*(A153-AC153),0)</f>
        <v>0</v>
      </c>
      <c r="X153" s="10" t="n">
        <f aca="false">P153-IF(Q153,Inputs!$B$9,0)+W153</f>
        <v>999</v>
      </c>
      <c r="Y153" s="11" t="n">
        <f aca="false">IF(V153,0,T153)</f>
        <v>515.951204214585</v>
      </c>
      <c r="Z153" s="9" t="b">
        <f aca="false">AND(Y153&gt;0,K153)</f>
        <v>0</v>
      </c>
      <c r="AA153" s="9" t="b">
        <f aca="false">AND(Y153=0,J153,ISNUMBER(L153))</f>
        <v>0</v>
      </c>
      <c r="AB153" s="8" t="n">
        <f aca="false">IF(Q153,R153,AB152)</f>
        <v>0.861976658644412</v>
      </c>
      <c r="AC153" s="12" t="n">
        <f aca="false">IF(Q153,A153,AC152)</f>
        <v>44890</v>
      </c>
      <c r="AD153" s="8" t="n">
        <f aca="false">IF(Q153,B153,AD152)</f>
        <v>0.861804297784855</v>
      </c>
      <c r="AE153" s="8" t="str">
        <f aca="false">IF(AA153,L153,"")</f>
        <v/>
      </c>
      <c r="AF153" s="8" t="n">
        <f aca="false">U153</f>
        <v>0.842594980845593</v>
      </c>
      <c r="AG153" s="2" t="n">
        <f aca="false">AG152+IF(Q153,1,0)</f>
        <v>1</v>
      </c>
      <c r="AH153" s="2" t="n">
        <f aca="false">AG152</f>
        <v>1</v>
      </c>
      <c r="AI153" s="10" t="n">
        <f aca="false">X153+Y153*(E153-AB153)-Y153*AD153*Inputs!$B$13*(A153-AC153)</f>
        <v>1006.08082256215</v>
      </c>
      <c r="AJ153" s="10" t="n">
        <v>0</v>
      </c>
      <c r="AK153" s="8" t="n">
        <f aca="false">IF(AND(B153&lt;=U153,NOT(Q153)),B153,U153)*(1-Inputs!$B$12)</f>
        <v>0.842426461849423</v>
      </c>
    </row>
    <row r="154" customFormat="false" ht="15" hidden="false" customHeight="false" outlineLevel="0" collapsed="false">
      <c r="A154" s="6" t="n">
        <v>44938</v>
      </c>
      <c r="B154" s="7" t="n">
        <v>0.882913664706517</v>
      </c>
      <c r="C154" s="7" t="n">
        <v>0.887645141155634</v>
      </c>
      <c r="D154" s="7" t="n">
        <v>0.879288188060306</v>
      </c>
      <c r="E154" s="7" t="n">
        <v>0.879591422584368</v>
      </c>
      <c r="F154" s="8" t="n">
        <f aca="true">IF(ROW()-2&gt;=Inputs!$B$4,AVERAGE(OFFSET(E154,1-Inputs!$B$4,0,Inputs!$B$4,1)),"")</f>
        <v>0.881386990344583</v>
      </c>
      <c r="G154" s="8" t="n">
        <f aca="true">IF(ROW()-2&gt;=Inputs!$B$5,AVERAGE(OFFSET(E154,1-Inputs!$B$5,0,Inputs!$B$5,1)),"")</f>
        <v>0.869503970925012</v>
      </c>
      <c r="H154" s="8" t="n">
        <f aca="false">MAX(C154-D154,ABS(C154-E153),ABS(D154-E153))</f>
        <v>0.00835695309532869</v>
      </c>
      <c r="I154" s="8" t="n">
        <f aca="true">IF(ROW()-2&lt;14,"",IF(ROW()-2=14,AVERAGE(OFFSET(H154,-13,0,14,1)),(I153*13+H154)/14))</f>
        <v>0.00770136079318594</v>
      </c>
      <c r="J154" s="9" t="b">
        <f aca="false">IF(AND(ISNUMBER(F154),ISNUMBER(G154),ISNUMBER(F153),ISNUMBER(G153)),AND(F154&gt;G154,F153&lt;=G153),FALSE())</f>
        <v>0</v>
      </c>
      <c r="K154" s="9" t="b">
        <f aca="false">IF(AND(ISNUMBER(F154),ISNUMBER(G154),ISNUMBER(F153),ISNUMBER(G153)),AND(F154&lt;G154,F153&gt;=G153),FALSE())</f>
        <v>0</v>
      </c>
      <c r="L154" s="8" t="n">
        <f aca="false">IF(ISNUMBER(I154),E154-Inputs!$B$6*I154,"")</f>
        <v>0.864188700997996</v>
      </c>
      <c r="M154" s="9" t="b">
        <f aca="false">AND(Y153&gt;0,Z153)</f>
        <v>0</v>
      </c>
      <c r="N154" s="8" t="n">
        <f aca="false">B154*(1-Inputs!$B$12)</f>
        <v>0.882737081973576</v>
      </c>
      <c r="O154" s="10" t="n">
        <f aca="false">IF(M154,Y153*(N154-AB153)-Inputs!$B$9-Y153*AD153*Inputs!$B$13*(A154-AC153),0)</f>
        <v>0</v>
      </c>
      <c r="P154" s="10" t="n">
        <f aca="false">X153+O154</f>
        <v>999</v>
      </c>
      <c r="Q154" s="9" t="b">
        <f aca="false">AND(IF(M154,0,Y153)=0,AA153,IF(ISNUMBER(AE153),B154&gt;AE153,FALSE()))</f>
        <v>0</v>
      </c>
      <c r="R154" s="8" t="n">
        <f aca="false">B154*(1+Inputs!$B$12)</f>
        <v>0.883090247439459</v>
      </c>
      <c r="S154" s="11" t="n">
        <f aca="false">IF(Q154,MIN(P154*Inputs!$B$3/(R154-AE153),P154*Inputs!$B$11/R154),0)</f>
        <v>0</v>
      </c>
      <c r="T154" s="11" t="n">
        <f aca="false">IF(Q154,S154,IF(M154,0,Y153))</f>
        <v>515.951204214585</v>
      </c>
      <c r="U154" s="8" t="n">
        <f aca="false">IF(Q154,AE153,AF153)</f>
        <v>0.842594980845593</v>
      </c>
      <c r="V154" s="9" t="b">
        <f aca="false">AND(T154&gt;0,D154&lt;=U154)</f>
        <v>0</v>
      </c>
      <c r="W154" s="10" t="n">
        <f aca="false">IF(V154,T154*(AK154-AB154)-Inputs!$B$9-T154*AD154*Inputs!$B$13*(A154-AC154),0)</f>
        <v>0</v>
      </c>
      <c r="X154" s="10" t="n">
        <f aca="false">P154-IF(Q154,Inputs!$B$9,0)+W154</f>
        <v>999</v>
      </c>
      <c r="Y154" s="11" t="n">
        <f aca="false">IF(V154,0,T154)</f>
        <v>515.951204214585</v>
      </c>
      <c r="Z154" s="9" t="b">
        <f aca="false">AND(Y154&gt;0,K154)</f>
        <v>0</v>
      </c>
      <c r="AA154" s="9" t="b">
        <f aca="false">AND(Y154=0,J154,ISNUMBER(L154))</f>
        <v>0</v>
      </c>
      <c r="AB154" s="8" t="n">
        <f aca="false">IF(Q154,R154,AB153)</f>
        <v>0.861976658644412</v>
      </c>
      <c r="AC154" s="12" t="n">
        <f aca="false">IF(Q154,A154,AC153)</f>
        <v>44890</v>
      </c>
      <c r="AD154" s="8" t="n">
        <f aca="false">IF(Q154,B154,AD153)</f>
        <v>0.861804297784855</v>
      </c>
      <c r="AE154" s="8" t="str">
        <f aca="false">IF(AA154,L154,"")</f>
        <v/>
      </c>
      <c r="AF154" s="8" t="n">
        <f aca="false">U154</f>
        <v>0.842594980845593</v>
      </c>
      <c r="AG154" s="2" t="n">
        <f aca="false">AG153+IF(Q154,1,0)</f>
        <v>1</v>
      </c>
      <c r="AH154" s="2" t="n">
        <f aca="false">AG153</f>
        <v>1</v>
      </c>
      <c r="AI154" s="10" t="n">
        <f aca="false">X154+Y154*(E154-AB154)-Y154*AD154*Inputs!$B$13*(A154-AC154)</f>
        <v>1004.28752367624</v>
      </c>
      <c r="AJ154" s="10" t="n">
        <v>0</v>
      </c>
      <c r="AK154" s="8" t="n">
        <f aca="false">IF(AND(B154&lt;=U154,NOT(Q154)),B154,U154)*(1-Inputs!$B$12)</f>
        <v>0.842426461849423</v>
      </c>
    </row>
    <row r="155" customFormat="false" ht="15" hidden="false" customHeight="false" outlineLevel="0" collapsed="false">
      <c r="A155" s="6" t="n">
        <v>44939</v>
      </c>
      <c r="B155" s="7" t="n">
        <v>0.879591422584368</v>
      </c>
      <c r="C155" s="7" t="n">
        <v>0.887796852843893</v>
      </c>
      <c r="D155" s="7" t="n">
        <v>0.876966861775082</v>
      </c>
      <c r="E155" s="7" t="n">
        <v>0.887708532579801</v>
      </c>
      <c r="F155" s="8" t="n">
        <f aca="true">IF(ROW()-2&gt;=Inputs!$B$4,AVERAGE(OFFSET(E155,1-Inputs!$B$4,0,Inputs!$B$4,1)),"")</f>
        <v>0.881961791730067</v>
      </c>
      <c r="G155" s="8" t="n">
        <f aca="true">IF(ROW()-2&gt;=Inputs!$B$5,AVERAGE(OFFSET(E155,1-Inputs!$B$5,0,Inputs!$B$5,1)),"")</f>
        <v>0.870022055620911</v>
      </c>
      <c r="H155" s="8" t="n">
        <f aca="false">MAX(C155-D155,ABS(C155-E154),ABS(D155-E154))</f>
        <v>0.0108299910688107</v>
      </c>
      <c r="I155" s="8" t="n">
        <f aca="true">IF(ROW()-2&lt;14,"",IF(ROW()-2=14,AVERAGE(OFFSET(H155,-13,0,14,1)),(I154*13+H155)/14))</f>
        <v>0.00792483438430199</v>
      </c>
      <c r="J155" s="9" t="b">
        <f aca="false">IF(AND(ISNUMBER(F155),ISNUMBER(G155),ISNUMBER(F154),ISNUMBER(G154)),AND(F155&gt;G155,F154&lt;=G154),FALSE())</f>
        <v>0</v>
      </c>
      <c r="K155" s="9" t="b">
        <f aca="false">IF(AND(ISNUMBER(F155),ISNUMBER(G155),ISNUMBER(F154),ISNUMBER(G154)),AND(F155&lt;G155,F154&gt;=G154),FALSE())</f>
        <v>0</v>
      </c>
      <c r="L155" s="8" t="n">
        <f aca="false">IF(ISNUMBER(I155),E155-Inputs!$B$6*I155,"")</f>
        <v>0.871858863811197</v>
      </c>
      <c r="M155" s="9" t="b">
        <f aca="false">AND(Y154&gt;0,Z154)</f>
        <v>0</v>
      </c>
      <c r="N155" s="8" t="n">
        <f aca="false">B155*(1-Inputs!$B$12)</f>
        <v>0.879415504299851</v>
      </c>
      <c r="O155" s="10" t="n">
        <f aca="false">IF(M155,Y154*(N155-AB154)-Inputs!$B$9-Y154*AD154*Inputs!$B$13*(A155-AC154),0)</f>
        <v>0</v>
      </c>
      <c r="P155" s="10" t="n">
        <f aca="false">X154+O155</f>
        <v>999</v>
      </c>
      <c r="Q155" s="9" t="b">
        <f aca="false">AND(IF(M155,0,Y154)=0,AA154,IF(ISNUMBER(AE154),B155&gt;AE154,FALSE()))</f>
        <v>0</v>
      </c>
      <c r="R155" s="8" t="n">
        <f aca="false">B155*(1+Inputs!$B$12)</f>
        <v>0.879767340868885</v>
      </c>
      <c r="S155" s="11" t="n">
        <f aca="false">IF(Q155,MIN(P155*Inputs!$B$3/(R155-AE154),P155*Inputs!$B$11/R155),0)</f>
        <v>0</v>
      </c>
      <c r="T155" s="11" t="n">
        <f aca="false">IF(Q155,S155,IF(M155,0,Y154))</f>
        <v>515.951204214585</v>
      </c>
      <c r="U155" s="8" t="n">
        <f aca="false">IF(Q155,AE154,AF154)</f>
        <v>0.842594980845593</v>
      </c>
      <c r="V155" s="9" t="b">
        <f aca="false">AND(T155&gt;0,D155&lt;=U155)</f>
        <v>0</v>
      </c>
      <c r="W155" s="10" t="n">
        <f aca="false">IF(V155,T155*(AK155-AB155)-Inputs!$B$9-T155*AD155*Inputs!$B$13*(A155-AC155),0)</f>
        <v>0</v>
      </c>
      <c r="X155" s="10" t="n">
        <f aca="false">P155-IF(Q155,Inputs!$B$9,0)+W155</f>
        <v>999</v>
      </c>
      <c r="Y155" s="11" t="n">
        <f aca="false">IF(V155,0,T155)</f>
        <v>515.951204214585</v>
      </c>
      <c r="Z155" s="9" t="b">
        <f aca="false">AND(Y155&gt;0,K155)</f>
        <v>0</v>
      </c>
      <c r="AA155" s="9" t="b">
        <f aca="false">AND(Y155=0,J155,ISNUMBER(L155))</f>
        <v>0</v>
      </c>
      <c r="AB155" s="8" t="n">
        <f aca="false">IF(Q155,R155,AB154)</f>
        <v>0.861976658644412</v>
      </c>
      <c r="AC155" s="12" t="n">
        <f aca="false">IF(Q155,A155,AC154)</f>
        <v>44890</v>
      </c>
      <c r="AD155" s="8" t="n">
        <f aca="false">IF(Q155,B155,AD154)</f>
        <v>0.861804297784855</v>
      </c>
      <c r="AE155" s="8" t="str">
        <f aca="false">IF(AA155,L155,"")</f>
        <v/>
      </c>
      <c r="AF155" s="8" t="n">
        <f aca="false">U155</f>
        <v>0.842594980845593</v>
      </c>
      <c r="AG155" s="2" t="n">
        <f aca="false">AG154+IF(Q155,1,0)</f>
        <v>1</v>
      </c>
      <c r="AH155" s="2" t="n">
        <f aca="false">AG154</f>
        <v>1</v>
      </c>
      <c r="AI155" s="10" t="n">
        <f aca="false">X155+Y155*(E155-AB155)-Y155*AD155*Inputs!$B$13*(A155-AC155)</f>
        <v>1008.39637229082</v>
      </c>
      <c r="AJ155" s="10" t="n">
        <v>0</v>
      </c>
      <c r="AK155" s="8" t="n">
        <f aca="false">IF(AND(B155&lt;=U155,NOT(Q155)),B155,U155)*(1-Inputs!$B$12)</f>
        <v>0.842426461849423</v>
      </c>
    </row>
    <row r="156" customFormat="false" ht="15" hidden="false" customHeight="false" outlineLevel="0" collapsed="false">
      <c r="A156" s="6" t="n">
        <v>44940</v>
      </c>
      <c r="B156" s="7" t="n">
        <v>0.887708532579801</v>
      </c>
      <c r="C156" s="7" t="n">
        <v>0.889979886007555</v>
      </c>
      <c r="D156" s="7" t="n">
        <v>0.882816969321154</v>
      </c>
      <c r="E156" s="7" t="n">
        <v>0.884754804781074</v>
      </c>
      <c r="F156" s="8" t="n">
        <f aca="true">IF(ROW()-2&gt;=Inputs!$B$4,AVERAGE(OFFSET(E156,1-Inputs!$B$4,0,Inputs!$B$4,1)),"")</f>
        <v>0.882224176347932</v>
      </c>
      <c r="G156" s="8" t="n">
        <f aca="true">IF(ROW()-2&gt;=Inputs!$B$5,AVERAGE(OFFSET(E156,1-Inputs!$B$5,0,Inputs!$B$5,1)),"")</f>
        <v>0.870515300203091</v>
      </c>
      <c r="H156" s="8" t="n">
        <f aca="false">MAX(C156-D156,ABS(C156-E155),ABS(D156-E155))</f>
        <v>0.00716291668640134</v>
      </c>
      <c r="I156" s="8" t="n">
        <f aca="true">IF(ROW()-2&lt;14,"",IF(ROW()-2=14,AVERAGE(OFFSET(H156,-13,0,14,1)),(I155*13+H156)/14))</f>
        <v>0.0078704116915948</v>
      </c>
      <c r="J156" s="9" t="b">
        <f aca="false">IF(AND(ISNUMBER(F156),ISNUMBER(G156),ISNUMBER(F155),ISNUMBER(G155)),AND(F156&gt;G156,F155&lt;=G155),FALSE())</f>
        <v>0</v>
      </c>
      <c r="K156" s="9" t="b">
        <f aca="false">IF(AND(ISNUMBER(F156),ISNUMBER(G156),ISNUMBER(F155),ISNUMBER(G155)),AND(F156&lt;G156,F155&gt;=G155),FALSE())</f>
        <v>0</v>
      </c>
      <c r="L156" s="8" t="n">
        <f aca="false">IF(ISNUMBER(I156),E156-Inputs!$B$6*I156,"")</f>
        <v>0.869013981397884</v>
      </c>
      <c r="M156" s="9" t="b">
        <f aca="false">AND(Y155&gt;0,Z155)</f>
        <v>0</v>
      </c>
      <c r="N156" s="8" t="n">
        <f aca="false">B156*(1-Inputs!$B$12)</f>
        <v>0.887530990873285</v>
      </c>
      <c r="O156" s="10" t="n">
        <f aca="false">IF(M156,Y155*(N156-AB155)-Inputs!$B$9-Y155*AD155*Inputs!$B$13*(A156-AC155),0)</f>
        <v>0</v>
      </c>
      <c r="P156" s="10" t="n">
        <f aca="false">X155+O156</f>
        <v>999</v>
      </c>
      <c r="Q156" s="9" t="b">
        <f aca="false">AND(IF(M156,0,Y155)=0,AA155,IF(ISNUMBER(AE155),B156&gt;AE155,FALSE()))</f>
        <v>0</v>
      </c>
      <c r="R156" s="8" t="n">
        <f aca="false">B156*(1+Inputs!$B$12)</f>
        <v>0.887886074286317</v>
      </c>
      <c r="S156" s="11" t="n">
        <f aca="false">IF(Q156,MIN(P156*Inputs!$B$3/(R156-AE155),P156*Inputs!$B$11/R156),0)</f>
        <v>0</v>
      </c>
      <c r="T156" s="11" t="n">
        <f aca="false">IF(Q156,S156,IF(M156,0,Y155))</f>
        <v>515.951204214585</v>
      </c>
      <c r="U156" s="8" t="n">
        <f aca="false">IF(Q156,AE155,AF155)</f>
        <v>0.842594980845593</v>
      </c>
      <c r="V156" s="9" t="b">
        <f aca="false">AND(T156&gt;0,D156&lt;=U156)</f>
        <v>0</v>
      </c>
      <c r="W156" s="10" t="n">
        <f aca="false">IF(V156,T156*(AK156-AB156)-Inputs!$B$9-T156*AD156*Inputs!$B$13*(A156-AC156),0)</f>
        <v>0</v>
      </c>
      <c r="X156" s="10" t="n">
        <f aca="false">P156-IF(Q156,Inputs!$B$9,0)+W156</f>
        <v>999</v>
      </c>
      <c r="Y156" s="11" t="n">
        <f aca="false">IF(V156,0,T156)</f>
        <v>515.951204214585</v>
      </c>
      <c r="Z156" s="9" t="b">
        <f aca="false">AND(Y156&gt;0,K156)</f>
        <v>0</v>
      </c>
      <c r="AA156" s="9" t="b">
        <f aca="false">AND(Y156=0,J156,ISNUMBER(L156))</f>
        <v>0</v>
      </c>
      <c r="AB156" s="8" t="n">
        <f aca="false">IF(Q156,R156,AB155)</f>
        <v>0.861976658644412</v>
      </c>
      <c r="AC156" s="12" t="n">
        <f aca="false">IF(Q156,A156,AC155)</f>
        <v>44890</v>
      </c>
      <c r="AD156" s="8" t="n">
        <f aca="false">IF(Q156,B156,AD155)</f>
        <v>0.861804297784855</v>
      </c>
      <c r="AE156" s="8" t="str">
        <f aca="false">IF(AA156,L156,"")</f>
        <v/>
      </c>
      <c r="AF156" s="8" t="n">
        <f aca="false">U156</f>
        <v>0.842594980845593</v>
      </c>
      <c r="AG156" s="2" t="n">
        <f aca="false">AG155+IF(Q156,1,0)</f>
        <v>1</v>
      </c>
      <c r="AH156" s="2" t="n">
        <f aca="false">AG155</f>
        <v>1</v>
      </c>
      <c r="AI156" s="10" t="n">
        <f aca="false">X156+Y156*(E156-AB156)-Y156*AD156*Inputs!$B$13*(A156-AC156)</f>
        <v>1006.79320881384</v>
      </c>
      <c r="AJ156" s="10" t="n">
        <v>0</v>
      </c>
      <c r="AK156" s="8" t="n">
        <f aca="false">IF(AND(B156&lt;=U156,NOT(Q156)),B156,U156)*(1-Inputs!$B$12)</f>
        <v>0.842426461849423</v>
      </c>
    </row>
    <row r="157" customFormat="false" ht="15" hidden="false" customHeight="false" outlineLevel="0" collapsed="false">
      <c r="A157" s="6" t="n">
        <v>44941</v>
      </c>
      <c r="B157" s="7" t="n">
        <v>0.884754804781074</v>
      </c>
      <c r="C157" s="7" t="n">
        <v>0.889161805696586</v>
      </c>
      <c r="D157" s="7" t="n">
        <v>0.879215083842148</v>
      </c>
      <c r="E157" s="7" t="n">
        <v>0.884322105586419</v>
      </c>
      <c r="F157" s="8" t="n">
        <f aca="true">IF(ROW()-2&gt;=Inputs!$B$4,AVERAGE(OFFSET(E157,1-Inputs!$B$4,0,Inputs!$B$4,1)),"")</f>
        <v>0.882578272457593</v>
      </c>
      <c r="G157" s="8" t="n">
        <f aca="true">IF(ROW()-2&gt;=Inputs!$B$5,AVERAGE(OFFSET(E157,1-Inputs!$B$5,0,Inputs!$B$5,1)),"")</f>
        <v>0.871140799404449</v>
      </c>
      <c r="H157" s="8" t="n">
        <f aca="false">MAX(C157-D157,ABS(C157-E156),ABS(D157-E156))</f>
        <v>0.00994672185443779</v>
      </c>
      <c r="I157" s="8" t="n">
        <f aca="true">IF(ROW()-2&lt;14,"",IF(ROW()-2=14,AVERAGE(OFFSET(H157,-13,0,14,1)),(I156*13+H157)/14))</f>
        <v>0.0080187195603693</v>
      </c>
      <c r="J157" s="9" t="b">
        <f aca="false">IF(AND(ISNUMBER(F157),ISNUMBER(G157),ISNUMBER(F156),ISNUMBER(G156)),AND(F157&gt;G157,F156&lt;=G156),FALSE())</f>
        <v>0</v>
      </c>
      <c r="K157" s="9" t="b">
        <f aca="false">IF(AND(ISNUMBER(F157),ISNUMBER(G157),ISNUMBER(F156),ISNUMBER(G156)),AND(F157&lt;G157,F156&gt;=G156),FALSE())</f>
        <v>0</v>
      </c>
      <c r="L157" s="8" t="n">
        <f aca="false">IF(ISNUMBER(I157),E157-Inputs!$B$6*I157,"")</f>
        <v>0.86828466646568</v>
      </c>
      <c r="M157" s="9" t="b">
        <f aca="false">AND(Y156&gt;0,Z156)</f>
        <v>0</v>
      </c>
      <c r="N157" s="8" t="n">
        <f aca="false">B157*(1-Inputs!$B$12)</f>
        <v>0.884577853820118</v>
      </c>
      <c r="O157" s="10" t="n">
        <f aca="false">IF(M157,Y156*(N157-AB156)-Inputs!$B$9-Y156*AD156*Inputs!$B$13*(A157-AC156),0)</f>
        <v>0</v>
      </c>
      <c r="P157" s="10" t="n">
        <f aca="false">X156+O157</f>
        <v>999</v>
      </c>
      <c r="Q157" s="9" t="b">
        <f aca="false">AND(IF(M157,0,Y156)=0,AA156,IF(ISNUMBER(AE156),B157&gt;AE156,FALSE()))</f>
        <v>0</v>
      </c>
      <c r="R157" s="8" t="n">
        <f aca="false">B157*(1+Inputs!$B$12)</f>
        <v>0.88493175574203</v>
      </c>
      <c r="S157" s="11" t="n">
        <f aca="false">IF(Q157,MIN(P157*Inputs!$B$3/(R157-AE156),P157*Inputs!$B$11/R157),0)</f>
        <v>0</v>
      </c>
      <c r="T157" s="11" t="n">
        <f aca="false">IF(Q157,S157,IF(M157,0,Y156))</f>
        <v>515.951204214585</v>
      </c>
      <c r="U157" s="8" t="n">
        <f aca="false">IF(Q157,AE156,AF156)</f>
        <v>0.842594980845593</v>
      </c>
      <c r="V157" s="9" t="b">
        <f aca="false">AND(T157&gt;0,D157&lt;=U157)</f>
        <v>0</v>
      </c>
      <c r="W157" s="10" t="n">
        <f aca="false">IF(V157,T157*(AK157-AB157)-Inputs!$B$9-T157*AD157*Inputs!$B$13*(A157-AC157),0)</f>
        <v>0</v>
      </c>
      <c r="X157" s="10" t="n">
        <f aca="false">P157-IF(Q157,Inputs!$B$9,0)+W157</f>
        <v>999</v>
      </c>
      <c r="Y157" s="11" t="n">
        <f aca="false">IF(V157,0,T157)</f>
        <v>515.951204214585</v>
      </c>
      <c r="Z157" s="9" t="b">
        <f aca="false">AND(Y157&gt;0,K157)</f>
        <v>0</v>
      </c>
      <c r="AA157" s="9" t="b">
        <f aca="false">AND(Y157=0,J157,ISNUMBER(L157))</f>
        <v>0</v>
      </c>
      <c r="AB157" s="8" t="n">
        <f aca="false">IF(Q157,R157,AB156)</f>
        <v>0.861976658644412</v>
      </c>
      <c r="AC157" s="12" t="n">
        <f aca="false">IF(Q157,A157,AC156)</f>
        <v>44890</v>
      </c>
      <c r="AD157" s="8" t="n">
        <f aca="false">IF(Q157,B157,AD156)</f>
        <v>0.861804297784855</v>
      </c>
      <c r="AE157" s="8" t="str">
        <f aca="false">IF(AA157,L157,"")</f>
        <v/>
      </c>
      <c r="AF157" s="8" t="n">
        <f aca="false">U157</f>
        <v>0.842594980845593</v>
      </c>
      <c r="AG157" s="2" t="n">
        <f aca="false">AG156+IF(Q157,1,0)</f>
        <v>1</v>
      </c>
      <c r="AH157" s="2" t="n">
        <f aca="false">AG156</f>
        <v>1</v>
      </c>
      <c r="AI157" s="10" t="n">
        <f aca="false">X157+Y157*(E157-AB157)-Y157*AD157*Inputs!$B$13*(A157-AC157)</f>
        <v>1006.49077308099</v>
      </c>
      <c r="AJ157" s="10" t="n">
        <v>0</v>
      </c>
      <c r="AK157" s="8" t="n">
        <f aca="false">IF(AND(B157&lt;=U157,NOT(Q157)),B157,U157)*(1-Inputs!$B$12)</f>
        <v>0.842426461849423</v>
      </c>
    </row>
    <row r="158" customFormat="false" ht="15" hidden="false" customHeight="false" outlineLevel="0" collapsed="false">
      <c r="A158" s="6" t="n">
        <v>44942</v>
      </c>
      <c r="B158" s="7" t="n">
        <v>0.884322105586419</v>
      </c>
      <c r="C158" s="7" t="n">
        <v>0.887717853970695</v>
      </c>
      <c r="D158" s="7" t="n">
        <v>0.875218494057295</v>
      </c>
      <c r="E158" s="7" t="n">
        <v>0.880661327340007</v>
      </c>
      <c r="F158" s="8" t="n">
        <f aca="true">IF(ROW()-2&gt;=Inputs!$B$4,AVERAGE(OFFSET(E158,1-Inputs!$B$4,0,Inputs!$B$4,1)),"")</f>
        <v>0.882546734065642</v>
      </c>
      <c r="G158" s="8" t="n">
        <f aca="true">IF(ROW()-2&gt;=Inputs!$B$5,AVERAGE(OFFSET(E158,1-Inputs!$B$5,0,Inputs!$B$5,1)),"")</f>
        <v>0.871649503563468</v>
      </c>
      <c r="H158" s="8" t="n">
        <f aca="false">MAX(C158-D158,ABS(C158-E157),ABS(D158-E157))</f>
        <v>0.0124993599133999</v>
      </c>
      <c r="I158" s="8" t="n">
        <f aca="true">IF(ROW()-2&lt;14,"",IF(ROW()-2=14,AVERAGE(OFFSET(H158,-13,0,14,1)),(I157*13+H158)/14))</f>
        <v>0.00833876529987148</v>
      </c>
      <c r="J158" s="9" t="b">
        <f aca="false">IF(AND(ISNUMBER(F158),ISNUMBER(G158),ISNUMBER(F157),ISNUMBER(G157)),AND(F158&gt;G158,F157&lt;=G157),FALSE())</f>
        <v>0</v>
      </c>
      <c r="K158" s="9" t="b">
        <f aca="false">IF(AND(ISNUMBER(F158),ISNUMBER(G158),ISNUMBER(F157),ISNUMBER(G157)),AND(F158&lt;G158,F157&gt;=G157),FALSE())</f>
        <v>0</v>
      </c>
      <c r="L158" s="8" t="n">
        <f aca="false">IF(ISNUMBER(I158),E158-Inputs!$B$6*I158,"")</f>
        <v>0.863983796740264</v>
      </c>
      <c r="M158" s="9" t="b">
        <f aca="false">AND(Y157&gt;0,Z157)</f>
        <v>0</v>
      </c>
      <c r="N158" s="8" t="n">
        <f aca="false">B158*(1-Inputs!$B$12)</f>
        <v>0.884145241165301</v>
      </c>
      <c r="O158" s="10" t="n">
        <f aca="false">IF(M158,Y157*(N158-AB157)-Inputs!$B$9-Y157*AD157*Inputs!$B$13*(A158-AC157),0)</f>
        <v>0</v>
      </c>
      <c r="P158" s="10" t="n">
        <f aca="false">X157+O158</f>
        <v>999</v>
      </c>
      <c r="Q158" s="9" t="b">
        <f aca="false">AND(IF(M158,0,Y157)=0,AA157,IF(ISNUMBER(AE157),B158&gt;AE157,FALSE()))</f>
        <v>0</v>
      </c>
      <c r="R158" s="8" t="n">
        <f aca="false">B158*(1+Inputs!$B$12)</f>
        <v>0.884498970007536</v>
      </c>
      <c r="S158" s="11" t="n">
        <f aca="false">IF(Q158,MIN(P158*Inputs!$B$3/(R158-AE157),P158*Inputs!$B$11/R158),0)</f>
        <v>0</v>
      </c>
      <c r="T158" s="11" t="n">
        <f aca="false">IF(Q158,S158,IF(M158,0,Y157))</f>
        <v>515.951204214585</v>
      </c>
      <c r="U158" s="8" t="n">
        <f aca="false">IF(Q158,AE157,AF157)</f>
        <v>0.842594980845593</v>
      </c>
      <c r="V158" s="9" t="b">
        <f aca="false">AND(T158&gt;0,D158&lt;=U158)</f>
        <v>0</v>
      </c>
      <c r="W158" s="10" t="n">
        <f aca="false">IF(V158,T158*(AK158-AB158)-Inputs!$B$9-T158*AD158*Inputs!$B$13*(A158-AC158),0)</f>
        <v>0</v>
      </c>
      <c r="X158" s="10" t="n">
        <f aca="false">P158-IF(Q158,Inputs!$B$9,0)+W158</f>
        <v>999</v>
      </c>
      <c r="Y158" s="11" t="n">
        <f aca="false">IF(V158,0,T158)</f>
        <v>515.951204214585</v>
      </c>
      <c r="Z158" s="9" t="b">
        <f aca="false">AND(Y158&gt;0,K158)</f>
        <v>0</v>
      </c>
      <c r="AA158" s="9" t="b">
        <f aca="false">AND(Y158=0,J158,ISNUMBER(L158))</f>
        <v>0</v>
      </c>
      <c r="AB158" s="8" t="n">
        <f aca="false">IF(Q158,R158,AB157)</f>
        <v>0.861976658644412</v>
      </c>
      <c r="AC158" s="12" t="n">
        <f aca="false">IF(Q158,A158,AC157)</f>
        <v>44890</v>
      </c>
      <c r="AD158" s="8" t="n">
        <f aca="false">IF(Q158,B158,AD157)</f>
        <v>0.861804297784855</v>
      </c>
      <c r="AE158" s="8" t="str">
        <f aca="false">IF(AA158,L158,"")</f>
        <v/>
      </c>
      <c r="AF158" s="8" t="n">
        <f aca="false">U158</f>
        <v>0.842594980845593</v>
      </c>
      <c r="AG158" s="2" t="n">
        <f aca="false">AG157+IF(Q158,1,0)</f>
        <v>1</v>
      </c>
      <c r="AH158" s="2" t="n">
        <f aca="false">AG157</f>
        <v>1</v>
      </c>
      <c r="AI158" s="10" t="n">
        <f aca="false">X158+Y158*(E158-AB158)-Y158*AD158*Inputs!$B$13*(A158-AC158)</f>
        <v>1004.52280607409</v>
      </c>
      <c r="AJ158" s="10" t="n">
        <v>0</v>
      </c>
      <c r="AK158" s="8" t="n">
        <f aca="false">IF(AND(B158&lt;=U158,NOT(Q158)),B158,U158)*(1-Inputs!$B$12)</f>
        <v>0.842426461849423</v>
      </c>
    </row>
    <row r="159" customFormat="false" ht="15" hidden="false" customHeight="false" outlineLevel="0" collapsed="false">
      <c r="A159" s="6" t="n">
        <v>44943</v>
      </c>
      <c r="B159" s="7" t="n">
        <v>0.880661327340007</v>
      </c>
      <c r="C159" s="7" t="n">
        <v>0.887549565996703</v>
      </c>
      <c r="D159" s="7" t="n">
        <v>0.879615102486617</v>
      </c>
      <c r="E159" s="7" t="n">
        <v>0.884734956764473</v>
      </c>
      <c r="F159" s="8" t="n">
        <f aca="true">IF(ROW()-2&gt;=Inputs!$B$4,AVERAGE(OFFSET(E159,1-Inputs!$B$4,0,Inputs!$B$4,1)),"")</f>
        <v>0.882440972185079</v>
      </c>
      <c r="G159" s="8" t="n">
        <f aca="true">IF(ROW()-2&gt;=Inputs!$B$5,AVERAGE(OFFSET(E159,1-Inputs!$B$5,0,Inputs!$B$5,1)),"")</f>
        <v>0.872249423686616</v>
      </c>
      <c r="H159" s="8" t="n">
        <f aca="false">MAX(C159-D159,ABS(C159-E158),ABS(D159-E158))</f>
        <v>0.00793446351008642</v>
      </c>
      <c r="I159" s="8" t="n">
        <f aca="true">IF(ROW()-2&lt;14,"",IF(ROW()-2=14,AVERAGE(OFFSET(H159,-13,0,14,1)),(I158*13+H159)/14))</f>
        <v>0.00830988660060112</v>
      </c>
      <c r="J159" s="9" t="b">
        <f aca="false">IF(AND(ISNUMBER(F159),ISNUMBER(G159),ISNUMBER(F158),ISNUMBER(G158)),AND(F159&gt;G159,F158&lt;=G158),FALSE())</f>
        <v>0</v>
      </c>
      <c r="K159" s="9" t="b">
        <f aca="false">IF(AND(ISNUMBER(F159),ISNUMBER(G159),ISNUMBER(F158),ISNUMBER(G158)),AND(F159&lt;G159,F158&gt;=G158),FALSE())</f>
        <v>0</v>
      </c>
      <c r="L159" s="8" t="n">
        <f aca="false">IF(ISNUMBER(I159),E159-Inputs!$B$6*I159,"")</f>
        <v>0.868115183563271</v>
      </c>
      <c r="M159" s="9" t="b">
        <f aca="false">AND(Y158&gt;0,Z158)</f>
        <v>0</v>
      </c>
      <c r="N159" s="8" t="n">
        <f aca="false">B159*(1-Inputs!$B$12)</f>
        <v>0.880485195074539</v>
      </c>
      <c r="O159" s="10" t="n">
        <f aca="false">IF(M159,Y158*(N159-AB158)-Inputs!$B$9-Y158*AD158*Inputs!$B$13*(A159-AC158),0)</f>
        <v>0</v>
      </c>
      <c r="P159" s="10" t="n">
        <f aca="false">X158+O159</f>
        <v>999</v>
      </c>
      <c r="Q159" s="9" t="b">
        <f aca="false">AND(IF(M159,0,Y158)=0,AA158,IF(ISNUMBER(AE158),B159&gt;AE158,FALSE()))</f>
        <v>0</v>
      </c>
      <c r="R159" s="8" t="n">
        <f aca="false">B159*(1+Inputs!$B$12)</f>
        <v>0.880837459605475</v>
      </c>
      <c r="S159" s="11" t="n">
        <f aca="false">IF(Q159,MIN(P159*Inputs!$B$3/(R159-AE158),P159*Inputs!$B$11/R159),0)</f>
        <v>0</v>
      </c>
      <c r="T159" s="11" t="n">
        <f aca="false">IF(Q159,S159,IF(M159,0,Y158))</f>
        <v>515.951204214585</v>
      </c>
      <c r="U159" s="8" t="n">
        <f aca="false">IF(Q159,AE158,AF158)</f>
        <v>0.842594980845593</v>
      </c>
      <c r="V159" s="9" t="b">
        <f aca="false">AND(T159&gt;0,D159&lt;=U159)</f>
        <v>0</v>
      </c>
      <c r="W159" s="10" t="n">
        <f aca="false">IF(V159,T159*(AK159-AB159)-Inputs!$B$9-T159*AD159*Inputs!$B$13*(A159-AC159),0)</f>
        <v>0</v>
      </c>
      <c r="X159" s="10" t="n">
        <f aca="false">P159-IF(Q159,Inputs!$B$9,0)+W159</f>
        <v>999</v>
      </c>
      <c r="Y159" s="11" t="n">
        <f aca="false">IF(V159,0,T159)</f>
        <v>515.951204214585</v>
      </c>
      <c r="Z159" s="9" t="b">
        <f aca="false">AND(Y159&gt;0,K159)</f>
        <v>0</v>
      </c>
      <c r="AA159" s="9" t="b">
        <f aca="false">AND(Y159=0,J159,ISNUMBER(L159))</f>
        <v>0</v>
      </c>
      <c r="AB159" s="8" t="n">
        <f aca="false">IF(Q159,R159,AB158)</f>
        <v>0.861976658644412</v>
      </c>
      <c r="AC159" s="12" t="n">
        <f aca="false">IF(Q159,A159,AC158)</f>
        <v>44890</v>
      </c>
      <c r="AD159" s="8" t="n">
        <f aca="false">IF(Q159,B159,AD158)</f>
        <v>0.861804297784855</v>
      </c>
      <c r="AE159" s="8" t="str">
        <f aca="false">IF(AA159,L159,"")</f>
        <v/>
      </c>
      <c r="AF159" s="8" t="n">
        <f aca="false">U159</f>
        <v>0.842594980845593</v>
      </c>
      <c r="AG159" s="2" t="n">
        <f aca="false">AG158+IF(Q159,1,0)</f>
        <v>1</v>
      </c>
      <c r="AH159" s="2" t="n">
        <f aca="false">AG158</f>
        <v>1</v>
      </c>
      <c r="AI159" s="10" t="n">
        <f aca="false">X159+Y159*(E159-AB159)-Y159*AD159*Inputs!$B$13*(A159-AC159)</f>
        <v>1006.54541601887</v>
      </c>
      <c r="AJ159" s="10" t="n">
        <v>0</v>
      </c>
      <c r="AK159" s="8" t="n">
        <f aca="false">IF(AND(B159&lt;=U159,NOT(Q159)),B159,U159)*(1-Inputs!$B$12)</f>
        <v>0.842426461849423</v>
      </c>
    </row>
    <row r="160" customFormat="false" ht="15" hidden="false" customHeight="false" outlineLevel="0" collapsed="false">
      <c r="A160" s="6" t="n">
        <v>44944</v>
      </c>
      <c r="B160" s="7" t="n">
        <v>0.884734956764473</v>
      </c>
      <c r="C160" s="7" t="n">
        <v>0.891556971567118</v>
      </c>
      <c r="D160" s="7" t="n">
        <v>0.883963194232622</v>
      </c>
      <c r="E160" s="7" t="n">
        <v>0.888082551906102</v>
      </c>
      <c r="F160" s="8" t="n">
        <f aca="true">IF(ROW()-2&gt;=Inputs!$B$4,AVERAGE(OFFSET(E160,1-Inputs!$B$4,0,Inputs!$B$4,1)),"")</f>
        <v>0.882825827847651</v>
      </c>
      <c r="G160" s="8" t="n">
        <f aca="true">IF(ROW()-2&gt;=Inputs!$B$5,AVERAGE(OFFSET(E160,1-Inputs!$B$5,0,Inputs!$B$5,1)),"")</f>
        <v>0.872790015339088</v>
      </c>
      <c r="H160" s="8" t="n">
        <f aca="false">MAX(C160-D160,ABS(C160-E159),ABS(D160-E159))</f>
        <v>0.00759377733449596</v>
      </c>
      <c r="I160" s="8" t="n">
        <f aca="true">IF(ROW()-2&lt;14,"",IF(ROW()-2=14,AVERAGE(OFFSET(H160,-13,0,14,1)),(I159*13+H160)/14))</f>
        <v>0.00825873593873647</v>
      </c>
      <c r="J160" s="9" t="b">
        <f aca="false">IF(AND(ISNUMBER(F160),ISNUMBER(G160),ISNUMBER(F159),ISNUMBER(G159)),AND(F160&gt;G160,F159&lt;=G159),FALSE())</f>
        <v>0</v>
      </c>
      <c r="K160" s="9" t="b">
        <f aca="false">IF(AND(ISNUMBER(F160),ISNUMBER(G160),ISNUMBER(F159),ISNUMBER(G159)),AND(F160&lt;G160,F159&gt;=G159),FALSE())</f>
        <v>0</v>
      </c>
      <c r="L160" s="8" t="n">
        <f aca="false">IF(ISNUMBER(I160),E160-Inputs!$B$6*I160,"")</f>
        <v>0.871565080028629</v>
      </c>
      <c r="M160" s="9" t="b">
        <f aca="false">AND(Y159&gt;0,Z159)</f>
        <v>0</v>
      </c>
      <c r="N160" s="8" t="n">
        <f aca="false">B160*(1-Inputs!$B$12)</f>
        <v>0.88455800977312</v>
      </c>
      <c r="O160" s="10" t="n">
        <f aca="false">IF(M160,Y159*(N160-AB159)-Inputs!$B$9-Y159*AD159*Inputs!$B$13*(A160-AC159),0)</f>
        <v>0</v>
      </c>
      <c r="P160" s="10" t="n">
        <f aca="false">X159+O160</f>
        <v>999</v>
      </c>
      <c r="Q160" s="9" t="b">
        <f aca="false">AND(IF(M160,0,Y159)=0,AA159,IF(ISNUMBER(AE159),B160&gt;AE159,FALSE()))</f>
        <v>0</v>
      </c>
      <c r="R160" s="8" t="n">
        <f aca="false">B160*(1+Inputs!$B$12)</f>
        <v>0.884911903755826</v>
      </c>
      <c r="S160" s="11" t="n">
        <f aca="false">IF(Q160,MIN(P160*Inputs!$B$3/(R160-AE159),P160*Inputs!$B$11/R160),0)</f>
        <v>0</v>
      </c>
      <c r="T160" s="11" t="n">
        <f aca="false">IF(Q160,S160,IF(M160,0,Y159))</f>
        <v>515.951204214585</v>
      </c>
      <c r="U160" s="8" t="n">
        <f aca="false">IF(Q160,AE159,AF159)</f>
        <v>0.842594980845593</v>
      </c>
      <c r="V160" s="9" t="b">
        <f aca="false">AND(T160&gt;0,D160&lt;=U160)</f>
        <v>0</v>
      </c>
      <c r="W160" s="10" t="n">
        <f aca="false">IF(V160,T160*(AK160-AB160)-Inputs!$B$9-T160*AD160*Inputs!$B$13*(A160-AC160),0)</f>
        <v>0</v>
      </c>
      <c r="X160" s="10" t="n">
        <f aca="false">P160-IF(Q160,Inputs!$B$9,0)+W160</f>
        <v>999</v>
      </c>
      <c r="Y160" s="11" t="n">
        <f aca="false">IF(V160,0,T160)</f>
        <v>515.951204214585</v>
      </c>
      <c r="Z160" s="9" t="b">
        <f aca="false">AND(Y160&gt;0,K160)</f>
        <v>0</v>
      </c>
      <c r="AA160" s="9" t="b">
        <f aca="false">AND(Y160=0,J160,ISNUMBER(L160))</f>
        <v>0</v>
      </c>
      <c r="AB160" s="8" t="n">
        <f aca="false">IF(Q160,R160,AB159)</f>
        <v>0.861976658644412</v>
      </c>
      <c r="AC160" s="12" t="n">
        <f aca="false">IF(Q160,A160,AC159)</f>
        <v>44890</v>
      </c>
      <c r="AD160" s="8" t="n">
        <f aca="false">IF(Q160,B160,AD159)</f>
        <v>0.861804297784855</v>
      </c>
      <c r="AE160" s="8" t="str">
        <f aca="false">IF(AA160,L160,"")</f>
        <v/>
      </c>
      <c r="AF160" s="8" t="n">
        <f aca="false">U160</f>
        <v>0.842594980845593</v>
      </c>
      <c r="AG160" s="2" t="n">
        <f aca="false">AG159+IF(Q160,1,0)</f>
        <v>1</v>
      </c>
      <c r="AH160" s="2" t="n">
        <f aca="false">AG159</f>
        <v>1</v>
      </c>
      <c r="AI160" s="10" t="n">
        <f aca="false">X160+Y160*(E160-AB160)-Y160*AD160*Inputs!$B$13*(A160-AC160)</f>
        <v>1008.19342770111</v>
      </c>
      <c r="AJ160" s="10" t="n">
        <v>0</v>
      </c>
      <c r="AK160" s="8" t="n">
        <f aca="false">IF(AND(B160&lt;=U160,NOT(Q160)),B160,U160)*(1-Inputs!$B$12)</f>
        <v>0.842426461849423</v>
      </c>
    </row>
    <row r="161" customFormat="false" ht="15" hidden="false" customHeight="false" outlineLevel="0" collapsed="false">
      <c r="A161" s="6" t="n">
        <v>44945</v>
      </c>
      <c r="B161" s="7" t="n">
        <v>0.888082551906102</v>
      </c>
      <c r="C161" s="7" t="n">
        <v>0.890370530569489</v>
      </c>
      <c r="D161" s="7" t="n">
        <v>0.88653978514217</v>
      </c>
      <c r="E161" s="7" t="n">
        <v>0.890062237560081</v>
      </c>
      <c r="F161" s="8" t="n">
        <f aca="true">IF(ROW()-2&gt;=Inputs!$B$4,AVERAGE(OFFSET(E161,1-Inputs!$B$4,0,Inputs!$B$4,1)),"")</f>
        <v>0.883238535254776</v>
      </c>
      <c r="G161" s="8" t="n">
        <f aca="true">IF(ROW()-2&gt;=Inputs!$B$5,AVERAGE(OFFSET(E161,1-Inputs!$B$5,0,Inputs!$B$5,1)),"")</f>
        <v>0.873463612491758</v>
      </c>
      <c r="H161" s="8" t="n">
        <f aca="false">MAX(C161-D161,ABS(C161-E160),ABS(D161-E160))</f>
        <v>0.0038307454273192</v>
      </c>
      <c r="I161" s="8" t="n">
        <f aca="true">IF(ROW()-2&lt;14,"",IF(ROW()-2=14,AVERAGE(OFFSET(H161,-13,0,14,1)),(I160*13+H161)/14))</f>
        <v>0.00794245090220666</v>
      </c>
      <c r="J161" s="9" t="b">
        <f aca="false">IF(AND(ISNUMBER(F161),ISNUMBER(G161),ISNUMBER(F160),ISNUMBER(G160)),AND(F161&gt;G161,F160&lt;=G160),FALSE())</f>
        <v>0</v>
      </c>
      <c r="K161" s="9" t="b">
        <f aca="false">IF(AND(ISNUMBER(F161),ISNUMBER(G161),ISNUMBER(F160),ISNUMBER(G160)),AND(F161&lt;G161,F160&gt;=G160),FALSE())</f>
        <v>0</v>
      </c>
      <c r="L161" s="8" t="n">
        <f aca="false">IF(ISNUMBER(I161),E161-Inputs!$B$6*I161,"")</f>
        <v>0.874177335755668</v>
      </c>
      <c r="M161" s="9" t="b">
        <f aca="false">AND(Y160&gt;0,Z160)</f>
        <v>0</v>
      </c>
      <c r="N161" s="8" t="n">
        <f aca="false">B161*(1-Inputs!$B$12)</f>
        <v>0.887904935395721</v>
      </c>
      <c r="O161" s="10" t="n">
        <f aca="false">IF(M161,Y160*(N161-AB160)-Inputs!$B$9-Y160*AD160*Inputs!$B$13*(A161-AC160),0)</f>
        <v>0</v>
      </c>
      <c r="P161" s="10" t="n">
        <f aca="false">X160+O161</f>
        <v>999</v>
      </c>
      <c r="Q161" s="9" t="b">
        <f aca="false">AND(IF(M161,0,Y160)=0,AA160,IF(ISNUMBER(AE160),B161&gt;AE160,FALSE()))</f>
        <v>0</v>
      </c>
      <c r="R161" s="8" t="n">
        <f aca="false">B161*(1+Inputs!$B$12)</f>
        <v>0.888260168416483</v>
      </c>
      <c r="S161" s="11" t="n">
        <f aca="false">IF(Q161,MIN(P161*Inputs!$B$3/(R161-AE160),P161*Inputs!$B$11/R161),0)</f>
        <v>0</v>
      </c>
      <c r="T161" s="11" t="n">
        <f aca="false">IF(Q161,S161,IF(M161,0,Y160))</f>
        <v>515.951204214585</v>
      </c>
      <c r="U161" s="8" t="n">
        <f aca="false">IF(Q161,AE160,AF160)</f>
        <v>0.842594980845593</v>
      </c>
      <c r="V161" s="9" t="b">
        <f aca="false">AND(T161&gt;0,D161&lt;=U161)</f>
        <v>0</v>
      </c>
      <c r="W161" s="10" t="n">
        <f aca="false">IF(V161,T161*(AK161-AB161)-Inputs!$B$9-T161*AD161*Inputs!$B$13*(A161-AC161),0)</f>
        <v>0</v>
      </c>
      <c r="X161" s="10" t="n">
        <f aca="false">P161-IF(Q161,Inputs!$B$9,0)+W161</f>
        <v>999</v>
      </c>
      <c r="Y161" s="11" t="n">
        <f aca="false">IF(V161,0,T161)</f>
        <v>515.951204214585</v>
      </c>
      <c r="Z161" s="9" t="b">
        <f aca="false">AND(Y161&gt;0,K161)</f>
        <v>0</v>
      </c>
      <c r="AA161" s="9" t="b">
        <f aca="false">AND(Y161=0,J161,ISNUMBER(L161))</f>
        <v>0</v>
      </c>
      <c r="AB161" s="8" t="n">
        <f aca="false">IF(Q161,R161,AB160)</f>
        <v>0.861976658644412</v>
      </c>
      <c r="AC161" s="12" t="n">
        <f aca="false">IF(Q161,A161,AC160)</f>
        <v>44890</v>
      </c>
      <c r="AD161" s="8" t="n">
        <f aca="false">IF(Q161,B161,AD160)</f>
        <v>0.861804297784855</v>
      </c>
      <c r="AE161" s="8" t="str">
        <f aca="false">IF(AA161,L161,"")</f>
        <v/>
      </c>
      <c r="AF161" s="8" t="n">
        <f aca="false">U161</f>
        <v>0.842594980845593</v>
      </c>
      <c r="AG161" s="2" t="n">
        <f aca="false">AG160+IF(Q161,1,0)</f>
        <v>1</v>
      </c>
      <c r="AH161" s="2" t="n">
        <f aca="false">AG160</f>
        <v>1</v>
      </c>
      <c r="AI161" s="10" t="n">
        <f aca="false">X161+Y161*(E161-AB161)-Y161*AD161*Inputs!$B$13*(A161-AC161)</f>
        <v>1009.13566483594</v>
      </c>
      <c r="AJ161" s="10" t="n">
        <v>0</v>
      </c>
      <c r="AK161" s="8" t="n">
        <f aca="false">IF(AND(B161&lt;=U161,NOT(Q161)),B161,U161)*(1-Inputs!$B$12)</f>
        <v>0.842426461849423</v>
      </c>
    </row>
    <row r="162" customFormat="false" ht="15" hidden="false" customHeight="false" outlineLevel="0" collapsed="false">
      <c r="A162" s="6" t="n">
        <v>44946</v>
      </c>
      <c r="B162" s="7" t="n">
        <v>0.890062237560081</v>
      </c>
      <c r="C162" s="7" t="n">
        <v>0.897563825610903</v>
      </c>
      <c r="D162" s="7" t="n">
        <v>0.889883584597585</v>
      </c>
      <c r="E162" s="7" t="n">
        <v>0.895780654107592</v>
      </c>
      <c r="F162" s="8" t="n">
        <f aca="true">IF(ROW()-2&gt;=Inputs!$B$4,AVERAGE(OFFSET(E162,1-Inputs!$B$4,0,Inputs!$B$4,1)),"")</f>
        <v>0.883499410962246</v>
      </c>
      <c r="G162" s="8" t="n">
        <f aca="true">IF(ROW()-2&gt;=Inputs!$B$5,AVERAGE(OFFSET(E162,1-Inputs!$B$5,0,Inputs!$B$5,1)),"")</f>
        <v>0.874319186140679</v>
      </c>
      <c r="H162" s="8" t="n">
        <f aca="false">MAX(C162-D162,ABS(C162-E161),ABS(D162-E161))</f>
        <v>0.00768024101331799</v>
      </c>
      <c r="I162" s="8" t="n">
        <f aca="true">IF(ROW()-2&lt;14,"",IF(ROW()-2=14,AVERAGE(OFFSET(H162,-13,0,14,1)),(I161*13+H162)/14))</f>
        <v>0.0079237216244289</v>
      </c>
      <c r="J162" s="9" t="b">
        <f aca="false">IF(AND(ISNUMBER(F162),ISNUMBER(G162),ISNUMBER(F161),ISNUMBER(G161)),AND(F162&gt;G162,F161&lt;=G161),FALSE())</f>
        <v>0</v>
      </c>
      <c r="K162" s="9" t="b">
        <f aca="false">IF(AND(ISNUMBER(F162),ISNUMBER(G162),ISNUMBER(F161),ISNUMBER(G161)),AND(F162&lt;G162,F161&gt;=G161),FALSE())</f>
        <v>0</v>
      </c>
      <c r="L162" s="8" t="n">
        <f aca="false">IF(ISNUMBER(I162),E162-Inputs!$B$6*I162,"")</f>
        <v>0.879933210858734</v>
      </c>
      <c r="M162" s="9" t="b">
        <f aca="false">AND(Y161&gt;0,Z161)</f>
        <v>0</v>
      </c>
      <c r="N162" s="8" t="n">
        <f aca="false">B162*(1-Inputs!$B$12)</f>
        <v>0.889884225112569</v>
      </c>
      <c r="O162" s="10" t="n">
        <f aca="false">IF(M162,Y161*(N162-AB161)-Inputs!$B$9-Y161*AD161*Inputs!$B$13*(A162-AC161),0)</f>
        <v>0</v>
      </c>
      <c r="P162" s="10" t="n">
        <f aca="false">X161+O162</f>
        <v>999</v>
      </c>
      <c r="Q162" s="9" t="b">
        <f aca="false">AND(IF(M162,0,Y161)=0,AA161,IF(ISNUMBER(AE161),B162&gt;AE161,FALSE()))</f>
        <v>0</v>
      </c>
      <c r="R162" s="8" t="n">
        <f aca="false">B162*(1+Inputs!$B$12)</f>
        <v>0.890240250007593</v>
      </c>
      <c r="S162" s="11" t="n">
        <f aca="false">IF(Q162,MIN(P162*Inputs!$B$3/(R162-AE161),P162*Inputs!$B$11/R162),0)</f>
        <v>0</v>
      </c>
      <c r="T162" s="11" t="n">
        <f aca="false">IF(Q162,S162,IF(M162,0,Y161))</f>
        <v>515.951204214585</v>
      </c>
      <c r="U162" s="8" t="n">
        <f aca="false">IF(Q162,AE161,AF161)</f>
        <v>0.842594980845593</v>
      </c>
      <c r="V162" s="9" t="b">
        <f aca="false">AND(T162&gt;0,D162&lt;=U162)</f>
        <v>0</v>
      </c>
      <c r="W162" s="10" t="n">
        <f aca="false">IF(V162,T162*(AK162-AB162)-Inputs!$B$9-T162*AD162*Inputs!$B$13*(A162-AC162),0)</f>
        <v>0</v>
      </c>
      <c r="X162" s="10" t="n">
        <f aca="false">P162-IF(Q162,Inputs!$B$9,0)+W162</f>
        <v>999</v>
      </c>
      <c r="Y162" s="11" t="n">
        <f aca="false">IF(V162,0,T162)</f>
        <v>515.951204214585</v>
      </c>
      <c r="Z162" s="9" t="b">
        <f aca="false">AND(Y162&gt;0,K162)</f>
        <v>0</v>
      </c>
      <c r="AA162" s="9" t="b">
        <f aca="false">AND(Y162=0,J162,ISNUMBER(L162))</f>
        <v>0</v>
      </c>
      <c r="AB162" s="8" t="n">
        <f aca="false">IF(Q162,R162,AB161)</f>
        <v>0.861976658644412</v>
      </c>
      <c r="AC162" s="12" t="n">
        <f aca="false">IF(Q162,A162,AC161)</f>
        <v>44890</v>
      </c>
      <c r="AD162" s="8" t="n">
        <f aca="false">IF(Q162,B162,AD161)</f>
        <v>0.861804297784855</v>
      </c>
      <c r="AE162" s="8" t="str">
        <f aca="false">IF(AA162,L162,"")</f>
        <v/>
      </c>
      <c r="AF162" s="8" t="n">
        <f aca="false">U162</f>
        <v>0.842594980845593</v>
      </c>
      <c r="AG162" s="2" t="n">
        <f aca="false">AG161+IF(Q162,1,0)</f>
        <v>1</v>
      </c>
      <c r="AH162" s="2" t="n">
        <f aca="false">AG161</f>
        <v>1</v>
      </c>
      <c r="AI162" s="10" t="n">
        <f aca="false">X162+Y162*(E162-AB162)-Y162*AD162*Inputs!$B$13*(A162-AC162)</f>
        <v>1012.00690467753</v>
      </c>
      <c r="AJ162" s="10" t="n">
        <v>0</v>
      </c>
      <c r="AK162" s="8" t="n">
        <f aca="false">IF(AND(B162&lt;=U162,NOT(Q162)),B162,U162)*(1-Inputs!$B$12)</f>
        <v>0.842426461849423</v>
      </c>
    </row>
    <row r="163" customFormat="false" ht="15" hidden="false" customHeight="false" outlineLevel="0" collapsed="false">
      <c r="A163" s="6" t="n">
        <v>44947</v>
      </c>
      <c r="B163" s="7" t="n">
        <v>0.895780654107592</v>
      </c>
      <c r="C163" s="7" t="n">
        <v>0.903355799153515</v>
      </c>
      <c r="D163" s="7" t="n">
        <v>0.893063755264453</v>
      </c>
      <c r="E163" s="7" t="n">
        <v>0.901143967666791</v>
      </c>
      <c r="F163" s="8" t="n">
        <f aca="true">IF(ROW()-2&gt;=Inputs!$B$4,AVERAGE(OFFSET(E163,1-Inputs!$B$4,0,Inputs!$B$4,1)),"")</f>
        <v>0.884110404784604</v>
      </c>
      <c r="G163" s="8" t="n">
        <f aca="true">IF(ROW()-2&gt;=Inputs!$B$5,AVERAGE(OFFSET(E163,1-Inputs!$B$5,0,Inputs!$B$5,1)),"")</f>
        <v>0.875210044592129</v>
      </c>
      <c r="H163" s="8" t="n">
        <f aca="false">MAX(C163-D163,ABS(C163-E162),ABS(D163-E162))</f>
        <v>0.0102920438890625</v>
      </c>
      <c r="I163" s="8" t="n">
        <f aca="true">IF(ROW()-2&lt;14,"",IF(ROW()-2=14,AVERAGE(OFFSET(H163,-13,0,14,1)),(I162*13+H163)/14))</f>
        <v>0.00809288750047416</v>
      </c>
      <c r="J163" s="9" t="b">
        <f aca="false">IF(AND(ISNUMBER(F163),ISNUMBER(G163),ISNUMBER(F162),ISNUMBER(G162)),AND(F163&gt;G163,F162&lt;=G162),FALSE())</f>
        <v>0</v>
      </c>
      <c r="K163" s="9" t="b">
        <f aca="false">IF(AND(ISNUMBER(F163),ISNUMBER(G163),ISNUMBER(F162),ISNUMBER(G162)),AND(F163&lt;G163,F162&gt;=G162),FALSE())</f>
        <v>0</v>
      </c>
      <c r="L163" s="8" t="n">
        <f aca="false">IF(ISNUMBER(I163),E163-Inputs!$B$6*I163,"")</f>
        <v>0.884958192665843</v>
      </c>
      <c r="M163" s="9" t="b">
        <f aca="false">AND(Y162&gt;0,Z162)</f>
        <v>0</v>
      </c>
      <c r="N163" s="8" t="n">
        <f aca="false">B163*(1-Inputs!$B$12)</f>
        <v>0.895601497976771</v>
      </c>
      <c r="O163" s="10" t="n">
        <f aca="false">IF(M163,Y162*(N163-AB162)-Inputs!$B$9-Y162*AD162*Inputs!$B$13*(A163-AC162),0)</f>
        <v>0</v>
      </c>
      <c r="P163" s="10" t="n">
        <f aca="false">X162+O163</f>
        <v>999</v>
      </c>
      <c r="Q163" s="9" t="b">
        <f aca="false">AND(IF(M163,0,Y162)=0,AA162,IF(ISNUMBER(AE162),B163&gt;AE162,FALSE()))</f>
        <v>0</v>
      </c>
      <c r="R163" s="8" t="n">
        <f aca="false">B163*(1+Inputs!$B$12)</f>
        <v>0.895959810238414</v>
      </c>
      <c r="S163" s="11" t="n">
        <f aca="false">IF(Q163,MIN(P163*Inputs!$B$3/(R163-AE162),P163*Inputs!$B$11/R163),0)</f>
        <v>0</v>
      </c>
      <c r="T163" s="11" t="n">
        <f aca="false">IF(Q163,S163,IF(M163,0,Y162))</f>
        <v>515.951204214585</v>
      </c>
      <c r="U163" s="8" t="n">
        <f aca="false">IF(Q163,AE162,AF162)</f>
        <v>0.842594980845593</v>
      </c>
      <c r="V163" s="9" t="b">
        <f aca="false">AND(T163&gt;0,D163&lt;=U163)</f>
        <v>0</v>
      </c>
      <c r="W163" s="10" t="n">
        <f aca="false">IF(V163,T163*(AK163-AB163)-Inputs!$B$9-T163*AD163*Inputs!$B$13*(A163-AC163),0)</f>
        <v>0</v>
      </c>
      <c r="X163" s="10" t="n">
        <f aca="false">P163-IF(Q163,Inputs!$B$9,0)+W163</f>
        <v>999</v>
      </c>
      <c r="Y163" s="11" t="n">
        <f aca="false">IF(V163,0,T163)</f>
        <v>515.951204214585</v>
      </c>
      <c r="Z163" s="9" t="b">
        <f aca="false">AND(Y163&gt;0,K163)</f>
        <v>0</v>
      </c>
      <c r="AA163" s="9" t="b">
        <f aca="false">AND(Y163=0,J163,ISNUMBER(L163))</f>
        <v>0</v>
      </c>
      <c r="AB163" s="8" t="n">
        <f aca="false">IF(Q163,R163,AB162)</f>
        <v>0.861976658644412</v>
      </c>
      <c r="AC163" s="12" t="n">
        <f aca="false">IF(Q163,A163,AC162)</f>
        <v>44890</v>
      </c>
      <c r="AD163" s="8" t="n">
        <f aca="false">IF(Q163,B163,AD162)</f>
        <v>0.861804297784855</v>
      </c>
      <c r="AE163" s="8" t="str">
        <f aca="false">IF(AA163,L163,"")</f>
        <v/>
      </c>
      <c r="AF163" s="8" t="n">
        <f aca="false">U163</f>
        <v>0.842594980845593</v>
      </c>
      <c r="AG163" s="2" t="n">
        <f aca="false">AG162+IF(Q163,1,0)</f>
        <v>1</v>
      </c>
      <c r="AH163" s="2" t="n">
        <f aca="false">AG162</f>
        <v>1</v>
      </c>
      <c r="AI163" s="10" t="n">
        <f aca="false">X163+Y163*(E163-AB163)-Y163*AD163*Inputs!$B$13*(A163-AC163)</f>
        <v>1014.69492870468</v>
      </c>
      <c r="AJ163" s="10" t="n">
        <v>0</v>
      </c>
      <c r="AK163" s="8" t="n">
        <f aca="false">IF(AND(B163&lt;=U163,NOT(Q163)),B163,U163)*(1-Inputs!$B$12)</f>
        <v>0.842426461849423</v>
      </c>
    </row>
    <row r="164" customFormat="false" ht="15" hidden="false" customHeight="false" outlineLevel="0" collapsed="false">
      <c r="A164" s="6" t="n">
        <v>44948</v>
      </c>
      <c r="B164" s="7" t="n">
        <v>0.901143967666791</v>
      </c>
      <c r="C164" s="7" t="n">
        <v>0.904284006984942</v>
      </c>
      <c r="D164" s="7" t="n">
        <v>0.900535524337805</v>
      </c>
      <c r="E164" s="7" t="n">
        <v>0.902481960048717</v>
      </c>
      <c r="F164" s="8" t="n">
        <f aca="true">IF(ROW()-2&gt;=Inputs!$B$4,AVERAGE(OFFSET(E164,1-Inputs!$B$4,0,Inputs!$B$4,1)),"")</f>
        <v>0.884750074429796</v>
      </c>
      <c r="G164" s="8" t="n">
        <f aca="true">IF(ROW()-2&gt;=Inputs!$B$5,AVERAGE(OFFSET(E164,1-Inputs!$B$5,0,Inputs!$B$5,1)),"")</f>
        <v>0.876140492098811</v>
      </c>
      <c r="H164" s="8" t="n">
        <f aca="false">MAX(C164-D164,ABS(C164-E163),ABS(D164-E163))</f>
        <v>0.00374848264713756</v>
      </c>
      <c r="I164" s="8" t="n">
        <f aca="true">IF(ROW()-2&lt;14,"",IF(ROW()-2=14,AVERAGE(OFFSET(H164,-13,0,14,1)),(I163*13+H164)/14))</f>
        <v>0.00778257286809297</v>
      </c>
      <c r="J164" s="9" t="b">
        <f aca="false">IF(AND(ISNUMBER(F164),ISNUMBER(G164),ISNUMBER(F163),ISNUMBER(G163)),AND(F164&gt;G164,F163&lt;=G163),FALSE())</f>
        <v>0</v>
      </c>
      <c r="K164" s="9" t="b">
        <f aca="false">IF(AND(ISNUMBER(F164),ISNUMBER(G164),ISNUMBER(F163),ISNUMBER(G163)),AND(F164&lt;G164,F163&gt;=G163),FALSE())</f>
        <v>0</v>
      </c>
      <c r="L164" s="8" t="n">
        <f aca="false">IF(ISNUMBER(I164),E164-Inputs!$B$6*I164,"")</f>
        <v>0.886916814312531</v>
      </c>
      <c r="M164" s="9" t="b">
        <f aca="false">AND(Y163&gt;0,Z163)</f>
        <v>0</v>
      </c>
      <c r="N164" s="8" t="n">
        <f aca="false">B164*(1-Inputs!$B$12)</f>
        <v>0.900963738873258</v>
      </c>
      <c r="O164" s="10" t="n">
        <f aca="false">IF(M164,Y163*(N164-AB163)-Inputs!$B$9-Y163*AD163*Inputs!$B$13*(A164-AC163),0)</f>
        <v>0</v>
      </c>
      <c r="P164" s="10" t="n">
        <f aca="false">X163+O164</f>
        <v>999</v>
      </c>
      <c r="Q164" s="9" t="b">
        <f aca="false">AND(IF(M164,0,Y163)=0,AA163,IF(ISNUMBER(AE163),B164&gt;AE163,FALSE()))</f>
        <v>0</v>
      </c>
      <c r="R164" s="8" t="n">
        <f aca="false">B164*(1+Inputs!$B$12)</f>
        <v>0.901324196460325</v>
      </c>
      <c r="S164" s="11" t="n">
        <f aca="false">IF(Q164,MIN(P164*Inputs!$B$3/(R164-AE163),P164*Inputs!$B$11/R164),0)</f>
        <v>0</v>
      </c>
      <c r="T164" s="11" t="n">
        <f aca="false">IF(Q164,S164,IF(M164,0,Y163))</f>
        <v>515.951204214585</v>
      </c>
      <c r="U164" s="8" t="n">
        <f aca="false">IF(Q164,AE163,AF163)</f>
        <v>0.842594980845593</v>
      </c>
      <c r="V164" s="9" t="b">
        <f aca="false">AND(T164&gt;0,D164&lt;=U164)</f>
        <v>0</v>
      </c>
      <c r="W164" s="10" t="n">
        <f aca="false">IF(V164,T164*(AK164-AB164)-Inputs!$B$9-T164*AD164*Inputs!$B$13*(A164-AC164),0)</f>
        <v>0</v>
      </c>
      <c r="X164" s="10" t="n">
        <f aca="false">P164-IF(Q164,Inputs!$B$9,0)+W164</f>
        <v>999</v>
      </c>
      <c r="Y164" s="11" t="n">
        <f aca="false">IF(V164,0,T164)</f>
        <v>515.951204214585</v>
      </c>
      <c r="Z164" s="9" t="b">
        <f aca="false">AND(Y164&gt;0,K164)</f>
        <v>0</v>
      </c>
      <c r="AA164" s="9" t="b">
        <f aca="false">AND(Y164=0,J164,ISNUMBER(L164))</f>
        <v>0</v>
      </c>
      <c r="AB164" s="8" t="n">
        <f aca="false">IF(Q164,R164,AB163)</f>
        <v>0.861976658644412</v>
      </c>
      <c r="AC164" s="12" t="n">
        <f aca="false">IF(Q164,A164,AC163)</f>
        <v>44890</v>
      </c>
      <c r="AD164" s="8" t="n">
        <f aca="false">IF(Q164,B164,AD163)</f>
        <v>0.861804297784855</v>
      </c>
      <c r="AE164" s="8" t="str">
        <f aca="false">IF(AA164,L164,"")</f>
        <v/>
      </c>
      <c r="AF164" s="8" t="n">
        <f aca="false">U164</f>
        <v>0.842594980845593</v>
      </c>
      <c r="AG164" s="2" t="n">
        <f aca="false">AG163+IF(Q164,1,0)</f>
        <v>1</v>
      </c>
      <c r="AH164" s="2" t="n">
        <f aca="false">AG163</f>
        <v>1</v>
      </c>
      <c r="AI164" s="10" t="n">
        <f aca="false">X164+Y164*(E164-AB164)-Y164*AD164*Inputs!$B$13*(A164-AC164)</f>
        <v>1015.30608342306</v>
      </c>
      <c r="AJ164" s="10" t="n">
        <v>0</v>
      </c>
      <c r="AK164" s="8" t="n">
        <f aca="false">IF(AND(B164&lt;=U164,NOT(Q164)),B164,U164)*(1-Inputs!$B$12)</f>
        <v>0.842426461849423</v>
      </c>
    </row>
    <row r="165" customFormat="false" ht="15" hidden="false" customHeight="false" outlineLevel="0" collapsed="false">
      <c r="A165" s="6" t="n">
        <v>44949</v>
      </c>
      <c r="B165" s="7" t="n">
        <v>0.902481960048717</v>
      </c>
      <c r="C165" s="7" t="n">
        <v>0.909722068908082</v>
      </c>
      <c r="D165" s="7" t="n">
        <v>0.899484190362554</v>
      </c>
      <c r="E165" s="7" t="n">
        <v>0.906226717114657</v>
      </c>
      <c r="F165" s="8" t="n">
        <f aca="true">IF(ROW()-2&gt;=Inputs!$B$4,AVERAGE(OFFSET(E165,1-Inputs!$B$4,0,Inputs!$B$4,1)),"")</f>
        <v>0.886036038405642</v>
      </c>
      <c r="G165" s="8" t="n">
        <f aca="true">IF(ROW()-2&gt;=Inputs!$B$5,AVERAGE(OFFSET(E165,1-Inputs!$B$5,0,Inputs!$B$5,1)),"")</f>
        <v>0.877113205213068</v>
      </c>
      <c r="H165" s="8" t="n">
        <f aca="false">MAX(C165-D165,ABS(C165-E164),ABS(D165-E164))</f>
        <v>0.010237878545528</v>
      </c>
      <c r="I165" s="8" t="n">
        <f aca="true">IF(ROW()-2&lt;14,"",IF(ROW()-2=14,AVERAGE(OFFSET(H165,-13,0,14,1)),(I164*13+H165)/14))</f>
        <v>0.00795795184505262</v>
      </c>
      <c r="J165" s="9" t="b">
        <f aca="false">IF(AND(ISNUMBER(F165),ISNUMBER(G165),ISNUMBER(F164),ISNUMBER(G164)),AND(F165&gt;G165,F164&lt;=G164),FALSE())</f>
        <v>0</v>
      </c>
      <c r="K165" s="9" t="b">
        <f aca="false">IF(AND(ISNUMBER(F165),ISNUMBER(G165),ISNUMBER(F164),ISNUMBER(G164)),AND(F165&lt;G165,F164&gt;=G164),FALSE())</f>
        <v>0</v>
      </c>
      <c r="L165" s="8" t="n">
        <f aca="false">IF(ISNUMBER(I165),E165-Inputs!$B$6*I165,"")</f>
        <v>0.890310813424552</v>
      </c>
      <c r="M165" s="9" t="b">
        <f aca="false">AND(Y164&gt;0,Z164)</f>
        <v>0</v>
      </c>
      <c r="N165" s="8" t="n">
        <f aca="false">B165*(1-Inputs!$B$12)</f>
        <v>0.902301463656707</v>
      </c>
      <c r="O165" s="10" t="n">
        <f aca="false">IF(M165,Y164*(N165-AB164)-Inputs!$B$9-Y164*AD164*Inputs!$B$13*(A165-AC164),0)</f>
        <v>0</v>
      </c>
      <c r="P165" s="10" t="n">
        <f aca="false">X164+O165</f>
        <v>999</v>
      </c>
      <c r="Q165" s="9" t="b">
        <f aca="false">AND(IF(M165,0,Y164)=0,AA164,IF(ISNUMBER(AE164),B165&gt;AE164,FALSE()))</f>
        <v>0</v>
      </c>
      <c r="R165" s="8" t="n">
        <f aca="false">B165*(1+Inputs!$B$12)</f>
        <v>0.902662456440726</v>
      </c>
      <c r="S165" s="11" t="n">
        <f aca="false">IF(Q165,MIN(P165*Inputs!$B$3/(R165-AE164),P165*Inputs!$B$11/R165),0)</f>
        <v>0</v>
      </c>
      <c r="T165" s="11" t="n">
        <f aca="false">IF(Q165,S165,IF(M165,0,Y164))</f>
        <v>515.951204214585</v>
      </c>
      <c r="U165" s="8" t="n">
        <f aca="false">IF(Q165,AE164,AF164)</f>
        <v>0.842594980845593</v>
      </c>
      <c r="V165" s="9" t="b">
        <f aca="false">AND(T165&gt;0,D165&lt;=U165)</f>
        <v>0</v>
      </c>
      <c r="W165" s="10" t="n">
        <f aca="false">IF(V165,T165*(AK165-AB165)-Inputs!$B$9-T165*AD165*Inputs!$B$13*(A165-AC165),0)</f>
        <v>0</v>
      </c>
      <c r="X165" s="10" t="n">
        <f aca="false">P165-IF(Q165,Inputs!$B$9,0)+W165</f>
        <v>999</v>
      </c>
      <c r="Y165" s="11" t="n">
        <f aca="false">IF(V165,0,T165)</f>
        <v>515.951204214585</v>
      </c>
      <c r="Z165" s="9" t="b">
        <f aca="false">AND(Y165&gt;0,K165)</f>
        <v>0</v>
      </c>
      <c r="AA165" s="9" t="b">
        <f aca="false">AND(Y165=0,J165,ISNUMBER(L165))</f>
        <v>0</v>
      </c>
      <c r="AB165" s="8" t="n">
        <f aca="false">IF(Q165,R165,AB164)</f>
        <v>0.861976658644412</v>
      </c>
      <c r="AC165" s="12" t="n">
        <f aca="false">IF(Q165,A165,AC164)</f>
        <v>44890</v>
      </c>
      <c r="AD165" s="8" t="n">
        <f aca="false">IF(Q165,B165,AD164)</f>
        <v>0.861804297784855</v>
      </c>
      <c r="AE165" s="8" t="str">
        <f aca="false">IF(AA165,L165,"")</f>
        <v/>
      </c>
      <c r="AF165" s="8" t="n">
        <f aca="false">U165</f>
        <v>0.842594980845593</v>
      </c>
      <c r="AG165" s="2" t="n">
        <f aca="false">AG164+IF(Q165,1,0)</f>
        <v>1</v>
      </c>
      <c r="AH165" s="2" t="n">
        <f aca="false">AG164</f>
        <v>1</v>
      </c>
      <c r="AI165" s="10" t="n">
        <f aca="false">X165+Y165*(E165-AB165)-Y165*AD165*Inputs!$B$13*(A165-AC165)</f>
        <v>1017.15901127842</v>
      </c>
      <c r="AJ165" s="10" t="n">
        <v>0</v>
      </c>
      <c r="AK165" s="8" t="n">
        <f aca="false">IF(AND(B165&lt;=U165,NOT(Q165)),B165,U165)*(1-Inputs!$B$12)</f>
        <v>0.842426461849423</v>
      </c>
    </row>
    <row r="166" customFormat="false" ht="15" hidden="false" customHeight="false" outlineLevel="0" collapsed="false">
      <c r="A166" s="6" t="n">
        <v>44950</v>
      </c>
      <c r="B166" s="7" t="n">
        <v>0.906226717114657</v>
      </c>
      <c r="C166" s="7" t="n">
        <v>0.909281027985353</v>
      </c>
      <c r="D166" s="7" t="n">
        <v>0.900401317348993</v>
      </c>
      <c r="E166" s="7" t="n">
        <v>0.908569296623657</v>
      </c>
      <c r="F166" s="8" t="n">
        <f aca="true">IF(ROW()-2&gt;=Inputs!$B$4,AVERAGE(OFFSET(E166,1-Inputs!$B$4,0,Inputs!$B$4,1)),"")</f>
        <v>0.887529347144345</v>
      </c>
      <c r="G166" s="8" t="n">
        <f aca="true">IF(ROW()-2&gt;=Inputs!$B$5,AVERAGE(OFFSET(E166,1-Inputs!$B$5,0,Inputs!$B$5,1)),"")</f>
        <v>0.878174337143675</v>
      </c>
      <c r="H166" s="8" t="n">
        <f aca="false">MAX(C166-D166,ABS(C166-E165),ABS(D166-E165))</f>
        <v>0.00887971063635962</v>
      </c>
      <c r="I166" s="8" t="n">
        <f aca="true">IF(ROW()-2&lt;14,"",IF(ROW()-2=14,AVERAGE(OFFSET(H166,-13,0,14,1)),(I165*13+H166)/14))</f>
        <v>0.0080237917587174</v>
      </c>
      <c r="J166" s="9" t="b">
        <f aca="false">IF(AND(ISNUMBER(F166),ISNUMBER(G166),ISNUMBER(F165),ISNUMBER(G165)),AND(F166&gt;G166,F165&lt;=G165),FALSE())</f>
        <v>0</v>
      </c>
      <c r="K166" s="9" t="b">
        <f aca="false">IF(AND(ISNUMBER(F166),ISNUMBER(G166),ISNUMBER(F165),ISNUMBER(G165)),AND(F166&lt;G166,F165&gt;=G165),FALSE())</f>
        <v>0</v>
      </c>
      <c r="L166" s="8" t="n">
        <f aca="false">IF(ISNUMBER(I166),E166-Inputs!$B$6*I166,"")</f>
        <v>0.892521713106223</v>
      </c>
      <c r="M166" s="9" t="b">
        <f aca="false">AND(Y165&gt;0,Z165)</f>
        <v>0</v>
      </c>
      <c r="N166" s="8" t="n">
        <f aca="false">B166*(1-Inputs!$B$12)</f>
        <v>0.906045471771234</v>
      </c>
      <c r="O166" s="10" t="n">
        <f aca="false">IF(M166,Y165*(N166-AB165)-Inputs!$B$9-Y165*AD165*Inputs!$B$13*(A166-AC165),0)</f>
        <v>0</v>
      </c>
      <c r="P166" s="10" t="n">
        <f aca="false">X165+O166</f>
        <v>999</v>
      </c>
      <c r="Q166" s="9" t="b">
        <f aca="false">AND(IF(M166,0,Y165)=0,AA165,IF(ISNUMBER(AE165),B166&gt;AE165,FALSE()))</f>
        <v>0</v>
      </c>
      <c r="R166" s="8" t="n">
        <f aca="false">B166*(1+Inputs!$B$12)</f>
        <v>0.90640796245808</v>
      </c>
      <c r="S166" s="11" t="n">
        <f aca="false">IF(Q166,MIN(P166*Inputs!$B$3/(R166-AE165),P166*Inputs!$B$11/R166),0)</f>
        <v>0</v>
      </c>
      <c r="T166" s="11" t="n">
        <f aca="false">IF(Q166,S166,IF(M166,0,Y165))</f>
        <v>515.951204214585</v>
      </c>
      <c r="U166" s="8" t="n">
        <f aca="false">IF(Q166,AE165,AF165)</f>
        <v>0.842594980845593</v>
      </c>
      <c r="V166" s="9" t="b">
        <f aca="false">AND(T166&gt;0,D166&lt;=U166)</f>
        <v>0</v>
      </c>
      <c r="W166" s="10" t="n">
        <f aca="false">IF(V166,T166*(AK166-AB166)-Inputs!$B$9-T166*AD166*Inputs!$B$13*(A166-AC166),0)</f>
        <v>0</v>
      </c>
      <c r="X166" s="10" t="n">
        <f aca="false">P166-IF(Q166,Inputs!$B$9,0)+W166</f>
        <v>999</v>
      </c>
      <c r="Y166" s="11" t="n">
        <f aca="false">IF(V166,0,T166)</f>
        <v>515.951204214585</v>
      </c>
      <c r="Z166" s="9" t="b">
        <f aca="false">AND(Y166&gt;0,K166)</f>
        <v>0</v>
      </c>
      <c r="AA166" s="9" t="b">
        <f aca="false">AND(Y166=0,J166,ISNUMBER(L166))</f>
        <v>0</v>
      </c>
      <c r="AB166" s="8" t="n">
        <f aca="false">IF(Q166,R166,AB165)</f>
        <v>0.861976658644412</v>
      </c>
      <c r="AC166" s="12" t="n">
        <f aca="false">IF(Q166,A166,AC165)</f>
        <v>44890</v>
      </c>
      <c r="AD166" s="8" t="n">
        <f aca="false">IF(Q166,B166,AD165)</f>
        <v>0.861804297784855</v>
      </c>
      <c r="AE166" s="8" t="str">
        <f aca="false">IF(AA166,L166,"")</f>
        <v/>
      </c>
      <c r="AF166" s="8" t="n">
        <f aca="false">U166</f>
        <v>0.842594980845593</v>
      </c>
      <c r="AG166" s="2" t="n">
        <f aca="false">AG165+IF(Q166,1,0)</f>
        <v>1</v>
      </c>
      <c r="AH166" s="2" t="n">
        <f aca="false">AG165</f>
        <v>1</v>
      </c>
      <c r="AI166" s="10" t="n">
        <f aca="false">X166+Y166*(E166-AB166)-Y166*AD166*Inputs!$B$13*(A166-AC166)</f>
        <v>1018.28848393475</v>
      </c>
      <c r="AJ166" s="10" t="n">
        <v>0</v>
      </c>
      <c r="AK166" s="8" t="n">
        <f aca="false">IF(AND(B166&lt;=U166,NOT(Q166)),B166,U166)*(1-Inputs!$B$12)</f>
        <v>0.842426461849423</v>
      </c>
    </row>
    <row r="167" customFormat="false" ht="15" hidden="false" customHeight="false" outlineLevel="0" collapsed="false">
      <c r="A167" s="6" t="n">
        <v>44951</v>
      </c>
      <c r="B167" s="7" t="n">
        <v>0.908569296623657</v>
      </c>
      <c r="C167" s="7" t="n">
        <v>0.910783418045115</v>
      </c>
      <c r="D167" s="7" t="n">
        <v>0.906656785772479</v>
      </c>
      <c r="E167" s="7" t="n">
        <v>0.909042338630915</v>
      </c>
      <c r="F167" s="8" t="n">
        <f aca="true">IF(ROW()-2&gt;=Inputs!$B$4,AVERAGE(OFFSET(E167,1-Inputs!$B$4,0,Inputs!$B$4,1)),"")</f>
        <v>0.888937472044733</v>
      </c>
      <c r="G167" s="8" t="n">
        <f aca="true">IF(ROW()-2&gt;=Inputs!$B$5,AVERAGE(OFFSET(E167,1-Inputs!$B$5,0,Inputs!$B$5,1)),"")</f>
        <v>0.879198790377026</v>
      </c>
      <c r="H167" s="8" t="n">
        <f aca="false">MAX(C167-D167,ABS(C167-E166),ABS(D167-E166))</f>
        <v>0.00412663227263599</v>
      </c>
      <c r="I167" s="8" t="n">
        <f aca="true">IF(ROW()-2&lt;14,"",IF(ROW()-2=14,AVERAGE(OFFSET(H167,-13,0,14,1)),(I166*13+H167)/14))</f>
        <v>0.0077454232239973</v>
      </c>
      <c r="J167" s="9" t="b">
        <f aca="false">IF(AND(ISNUMBER(F167),ISNUMBER(G167),ISNUMBER(F166),ISNUMBER(G166)),AND(F167&gt;G167,F166&lt;=G166),FALSE())</f>
        <v>0</v>
      </c>
      <c r="K167" s="9" t="b">
        <f aca="false">IF(AND(ISNUMBER(F167),ISNUMBER(G167),ISNUMBER(F166),ISNUMBER(G166)),AND(F167&lt;G167,F166&gt;=G166),FALSE())</f>
        <v>0</v>
      </c>
      <c r="L167" s="8" t="n">
        <f aca="false">IF(ISNUMBER(I167),E167-Inputs!$B$6*I167,"")</f>
        <v>0.89355149218292</v>
      </c>
      <c r="M167" s="9" t="b">
        <f aca="false">AND(Y166&gt;0,Z166)</f>
        <v>0</v>
      </c>
      <c r="N167" s="8" t="n">
        <f aca="false">B167*(1-Inputs!$B$12)</f>
        <v>0.908387582764333</v>
      </c>
      <c r="O167" s="10" t="n">
        <f aca="false">IF(M167,Y166*(N167-AB166)-Inputs!$B$9-Y166*AD166*Inputs!$B$13*(A167-AC166),0)</f>
        <v>0</v>
      </c>
      <c r="P167" s="10" t="n">
        <f aca="false">X166+O167</f>
        <v>999</v>
      </c>
      <c r="Q167" s="9" t="b">
        <f aca="false">AND(IF(M167,0,Y166)=0,AA166,IF(ISNUMBER(AE166),B167&gt;AE166,FALSE()))</f>
        <v>0</v>
      </c>
      <c r="R167" s="8" t="n">
        <f aca="false">B167*(1+Inputs!$B$12)</f>
        <v>0.908751010482982</v>
      </c>
      <c r="S167" s="11" t="n">
        <f aca="false">IF(Q167,MIN(P167*Inputs!$B$3/(R167-AE166),P167*Inputs!$B$11/R167),0)</f>
        <v>0</v>
      </c>
      <c r="T167" s="11" t="n">
        <f aca="false">IF(Q167,S167,IF(M167,0,Y166))</f>
        <v>515.951204214585</v>
      </c>
      <c r="U167" s="8" t="n">
        <f aca="false">IF(Q167,AE166,AF166)</f>
        <v>0.842594980845593</v>
      </c>
      <c r="V167" s="9" t="b">
        <f aca="false">AND(T167&gt;0,D167&lt;=U167)</f>
        <v>0</v>
      </c>
      <c r="W167" s="10" t="n">
        <f aca="false">IF(V167,T167*(AK167-AB167)-Inputs!$B$9-T167*AD167*Inputs!$B$13*(A167-AC167),0)</f>
        <v>0</v>
      </c>
      <c r="X167" s="10" t="n">
        <f aca="false">P167-IF(Q167,Inputs!$B$9,0)+W167</f>
        <v>999</v>
      </c>
      <c r="Y167" s="11" t="n">
        <f aca="false">IF(V167,0,T167)</f>
        <v>515.951204214585</v>
      </c>
      <c r="Z167" s="9" t="b">
        <f aca="false">AND(Y167&gt;0,K167)</f>
        <v>0</v>
      </c>
      <c r="AA167" s="9" t="b">
        <f aca="false">AND(Y167=0,J167,ISNUMBER(L167))</f>
        <v>0</v>
      </c>
      <c r="AB167" s="8" t="n">
        <f aca="false">IF(Q167,R167,AB166)</f>
        <v>0.861976658644412</v>
      </c>
      <c r="AC167" s="12" t="n">
        <f aca="false">IF(Q167,A167,AC166)</f>
        <v>44890</v>
      </c>
      <c r="AD167" s="8" t="n">
        <f aca="false">IF(Q167,B167,AD166)</f>
        <v>0.861804297784855</v>
      </c>
      <c r="AE167" s="8" t="str">
        <f aca="false">IF(AA167,L167,"")</f>
        <v/>
      </c>
      <c r="AF167" s="8" t="n">
        <f aca="false">U167</f>
        <v>0.842594980845593</v>
      </c>
      <c r="AG167" s="2" t="n">
        <f aca="false">AG166+IF(Q167,1,0)</f>
        <v>1</v>
      </c>
      <c r="AH167" s="2" t="n">
        <f aca="false">AG166</f>
        <v>1</v>
      </c>
      <c r="AI167" s="10" t="n">
        <f aca="false">X167+Y167*(E167-AB167)-Y167*AD167*Inputs!$B$13*(A167-AC167)</f>
        <v>1018.45336646574</v>
      </c>
      <c r="AJ167" s="10" t="n">
        <v>0</v>
      </c>
      <c r="AK167" s="8" t="n">
        <f aca="false">IF(AND(B167&lt;=U167,NOT(Q167)),B167,U167)*(1-Inputs!$B$12)</f>
        <v>0.842426461849423</v>
      </c>
    </row>
    <row r="168" customFormat="false" ht="15" hidden="false" customHeight="false" outlineLevel="0" collapsed="false">
      <c r="A168" s="6" t="n">
        <v>44952</v>
      </c>
      <c r="B168" s="7" t="n">
        <v>0.909042338630915</v>
      </c>
      <c r="C168" s="7" t="n">
        <v>0.909904845839133</v>
      </c>
      <c r="D168" s="7" t="n">
        <v>0.907074583709728</v>
      </c>
      <c r="E168" s="7" t="n">
        <v>0.907614340342047</v>
      </c>
      <c r="F168" s="8" t="n">
        <f aca="true">IF(ROW()-2&gt;=Inputs!$B$4,AVERAGE(OFFSET(E168,1-Inputs!$B$4,0,Inputs!$B$4,1)),"")</f>
        <v>0.890222805787862</v>
      </c>
      <c r="G168" s="8" t="n">
        <f aca="true">IF(ROW()-2&gt;=Inputs!$B$5,AVERAGE(OFFSET(E168,1-Inputs!$B$5,0,Inputs!$B$5,1)),"")</f>
        <v>0.880158693929595</v>
      </c>
      <c r="H168" s="8" t="n">
        <f aca="false">MAX(C168-D168,ABS(C168-E167),ABS(D168-E167))</f>
        <v>0.00283026212940485</v>
      </c>
      <c r="I168" s="8" t="n">
        <f aca="true">IF(ROW()-2&lt;14,"",IF(ROW()-2=14,AVERAGE(OFFSET(H168,-13,0,14,1)),(I167*13+H168)/14))</f>
        <v>0.00739434028866927</v>
      </c>
      <c r="J168" s="9" t="b">
        <f aca="false">IF(AND(ISNUMBER(F168),ISNUMBER(G168),ISNUMBER(F167),ISNUMBER(G167)),AND(F168&gt;G168,F167&lt;=G167),FALSE())</f>
        <v>0</v>
      </c>
      <c r="K168" s="9" t="b">
        <f aca="false">IF(AND(ISNUMBER(F168),ISNUMBER(G168),ISNUMBER(F167),ISNUMBER(G167)),AND(F168&lt;G168,F167&gt;=G167),FALSE())</f>
        <v>0</v>
      </c>
      <c r="L168" s="8" t="n">
        <f aca="false">IF(ISNUMBER(I168),E168-Inputs!$B$6*I168,"")</f>
        <v>0.892825659764708</v>
      </c>
      <c r="M168" s="9" t="b">
        <f aca="false">AND(Y167&gt;0,Z167)</f>
        <v>0</v>
      </c>
      <c r="N168" s="8" t="n">
        <f aca="false">B168*(1-Inputs!$B$12)</f>
        <v>0.908860530163189</v>
      </c>
      <c r="O168" s="10" t="n">
        <f aca="false">IF(M168,Y167*(N168-AB167)-Inputs!$B$9-Y167*AD167*Inputs!$B$13*(A168-AC167),0)</f>
        <v>0</v>
      </c>
      <c r="P168" s="10" t="n">
        <f aca="false">X167+O168</f>
        <v>999</v>
      </c>
      <c r="Q168" s="9" t="b">
        <f aca="false">AND(IF(M168,0,Y167)=0,AA167,IF(ISNUMBER(AE167),B168&gt;AE167,FALSE()))</f>
        <v>0</v>
      </c>
      <c r="R168" s="8" t="n">
        <f aca="false">B168*(1+Inputs!$B$12)</f>
        <v>0.909224147098641</v>
      </c>
      <c r="S168" s="11" t="n">
        <f aca="false">IF(Q168,MIN(P168*Inputs!$B$3/(R168-AE167),P168*Inputs!$B$11/R168),0)</f>
        <v>0</v>
      </c>
      <c r="T168" s="11" t="n">
        <f aca="false">IF(Q168,S168,IF(M168,0,Y167))</f>
        <v>515.951204214585</v>
      </c>
      <c r="U168" s="8" t="n">
        <f aca="false">IF(Q168,AE167,AF167)</f>
        <v>0.842594980845593</v>
      </c>
      <c r="V168" s="9" t="b">
        <f aca="false">AND(T168&gt;0,D168&lt;=U168)</f>
        <v>0</v>
      </c>
      <c r="W168" s="10" t="n">
        <f aca="false">IF(V168,T168*(AK168-AB168)-Inputs!$B$9-T168*AD168*Inputs!$B$13*(A168-AC168),0)</f>
        <v>0</v>
      </c>
      <c r="X168" s="10" t="n">
        <f aca="false">P168-IF(Q168,Inputs!$B$9,0)+W168</f>
        <v>999</v>
      </c>
      <c r="Y168" s="11" t="n">
        <f aca="false">IF(V168,0,T168)</f>
        <v>515.951204214585</v>
      </c>
      <c r="Z168" s="9" t="b">
        <f aca="false">AND(Y168&gt;0,K168)</f>
        <v>0</v>
      </c>
      <c r="AA168" s="9" t="b">
        <f aca="false">AND(Y168=0,J168,ISNUMBER(L168))</f>
        <v>0</v>
      </c>
      <c r="AB168" s="8" t="n">
        <f aca="false">IF(Q168,R168,AB167)</f>
        <v>0.861976658644412</v>
      </c>
      <c r="AC168" s="12" t="n">
        <f aca="false">IF(Q168,A168,AC167)</f>
        <v>44890</v>
      </c>
      <c r="AD168" s="8" t="n">
        <f aca="false">IF(Q168,B168,AD167)</f>
        <v>0.861804297784855</v>
      </c>
      <c r="AE168" s="8" t="str">
        <f aca="false">IF(AA168,L168,"")</f>
        <v/>
      </c>
      <c r="AF168" s="8" t="n">
        <f aca="false">U168</f>
        <v>0.842594980845593</v>
      </c>
      <c r="AG168" s="2" t="n">
        <f aca="false">AG167+IF(Q168,1,0)</f>
        <v>1</v>
      </c>
      <c r="AH168" s="2" t="n">
        <f aca="false">AG167</f>
        <v>1</v>
      </c>
      <c r="AI168" s="10" t="n">
        <f aca="false">X168+Y168*(E168-AB168)-Y168*AD168*Inputs!$B$13*(A168-AC168)</f>
        <v>1017.63740496668</v>
      </c>
      <c r="AJ168" s="10" t="n">
        <v>0</v>
      </c>
      <c r="AK168" s="8" t="n">
        <f aca="false">IF(AND(B168&lt;=U168,NOT(Q168)),B168,U168)*(1-Inputs!$B$12)</f>
        <v>0.842426461849423</v>
      </c>
    </row>
    <row r="169" customFormat="false" ht="15" hidden="false" customHeight="false" outlineLevel="0" collapsed="false">
      <c r="A169" s="6" t="n">
        <v>44953</v>
      </c>
      <c r="B169" s="7" t="n">
        <v>0.907614340342047</v>
      </c>
      <c r="C169" s="7" t="n">
        <v>0.908399029308851</v>
      </c>
      <c r="D169" s="7" t="n">
        <v>0.906586378009363</v>
      </c>
      <c r="E169" s="7" t="n">
        <v>0.907778242450976</v>
      </c>
      <c r="F169" s="8" t="n">
        <f aca="true">IF(ROW()-2&gt;=Inputs!$B$4,AVERAGE(OFFSET(E169,1-Inputs!$B$4,0,Inputs!$B$4,1)),"")</f>
        <v>0.891767268387342</v>
      </c>
      <c r="G169" s="8" t="n">
        <f aca="true">IF(ROW()-2&gt;=Inputs!$B$5,AVERAGE(OFFSET(E169,1-Inputs!$B$5,0,Inputs!$B$5,1)),"")</f>
        <v>0.881238864640066</v>
      </c>
      <c r="H169" s="8" t="n">
        <f aca="false">MAX(C169-D169,ABS(C169-E168),ABS(D169-E168))</f>
        <v>0.00181265129948749</v>
      </c>
      <c r="I169" s="8" t="n">
        <f aca="true">IF(ROW()-2&lt;14,"",IF(ROW()-2=14,AVERAGE(OFFSET(H169,-13,0,14,1)),(I168*13+H169)/14))</f>
        <v>0.00699564821801343</v>
      </c>
      <c r="J169" s="9" t="b">
        <f aca="false">IF(AND(ISNUMBER(F169),ISNUMBER(G169),ISNUMBER(F168),ISNUMBER(G168)),AND(F169&gt;G169,F168&lt;=G168),FALSE())</f>
        <v>0</v>
      </c>
      <c r="K169" s="9" t="b">
        <f aca="false">IF(AND(ISNUMBER(F169),ISNUMBER(G169),ISNUMBER(F168),ISNUMBER(G168)),AND(F169&lt;G169,F168&gt;=G168),FALSE())</f>
        <v>0</v>
      </c>
      <c r="L169" s="8" t="n">
        <f aca="false">IF(ISNUMBER(I169),E169-Inputs!$B$6*I169,"")</f>
        <v>0.893786946014949</v>
      </c>
      <c r="M169" s="9" t="b">
        <f aca="false">AND(Y168&gt;0,Z168)</f>
        <v>0</v>
      </c>
      <c r="N169" s="8" t="n">
        <f aca="false">B169*(1-Inputs!$B$12)</f>
        <v>0.907432817473978</v>
      </c>
      <c r="O169" s="10" t="n">
        <f aca="false">IF(M169,Y168*(N169-AB168)-Inputs!$B$9-Y168*AD168*Inputs!$B$13*(A169-AC168),0)</f>
        <v>0</v>
      </c>
      <c r="P169" s="10" t="n">
        <f aca="false">X168+O169</f>
        <v>999</v>
      </c>
      <c r="Q169" s="9" t="b">
        <f aca="false">AND(IF(M169,0,Y168)=0,AA168,IF(ISNUMBER(AE168),B169&gt;AE168,FALSE()))</f>
        <v>0</v>
      </c>
      <c r="R169" s="8" t="n">
        <f aca="false">B169*(1+Inputs!$B$12)</f>
        <v>0.907795863210115</v>
      </c>
      <c r="S169" s="11" t="n">
        <f aca="false">IF(Q169,MIN(P169*Inputs!$B$3/(R169-AE168),P169*Inputs!$B$11/R169),0)</f>
        <v>0</v>
      </c>
      <c r="T169" s="11" t="n">
        <f aca="false">IF(Q169,S169,IF(M169,0,Y168))</f>
        <v>515.951204214585</v>
      </c>
      <c r="U169" s="8" t="n">
        <f aca="false">IF(Q169,AE168,AF168)</f>
        <v>0.842594980845593</v>
      </c>
      <c r="V169" s="9" t="b">
        <f aca="false">AND(T169&gt;0,D169&lt;=U169)</f>
        <v>0</v>
      </c>
      <c r="W169" s="10" t="n">
        <f aca="false">IF(V169,T169*(AK169-AB169)-Inputs!$B$9-T169*AD169*Inputs!$B$13*(A169-AC169),0)</f>
        <v>0</v>
      </c>
      <c r="X169" s="10" t="n">
        <f aca="false">P169-IF(Q169,Inputs!$B$9,0)+W169</f>
        <v>999</v>
      </c>
      <c r="Y169" s="11" t="n">
        <f aca="false">IF(V169,0,T169)</f>
        <v>515.951204214585</v>
      </c>
      <c r="Z169" s="9" t="b">
        <f aca="false">AND(Y169&gt;0,K169)</f>
        <v>0</v>
      </c>
      <c r="AA169" s="9" t="b">
        <f aca="false">AND(Y169=0,J169,ISNUMBER(L169))</f>
        <v>0</v>
      </c>
      <c r="AB169" s="8" t="n">
        <f aca="false">IF(Q169,R169,AB168)</f>
        <v>0.861976658644412</v>
      </c>
      <c r="AC169" s="12" t="n">
        <f aca="false">IF(Q169,A169,AC168)</f>
        <v>44890</v>
      </c>
      <c r="AD169" s="8" t="n">
        <f aca="false">IF(Q169,B169,AD168)</f>
        <v>0.861804297784855</v>
      </c>
      <c r="AE169" s="8" t="str">
        <f aca="false">IF(AA169,L169,"")</f>
        <v/>
      </c>
      <c r="AF169" s="8" t="n">
        <f aca="false">U169</f>
        <v>0.842594980845593</v>
      </c>
      <c r="AG169" s="2" t="n">
        <f aca="false">AG168+IF(Q169,1,0)</f>
        <v>1</v>
      </c>
      <c r="AH169" s="2" t="n">
        <f aca="false">AG168</f>
        <v>1</v>
      </c>
      <c r="AI169" s="10" t="n">
        <f aca="false">X169+Y169*(E169-AB169)-Y169*AD169*Inputs!$B$13*(A169-AC169)</f>
        <v>1017.64278639485</v>
      </c>
      <c r="AJ169" s="10" t="n">
        <v>0</v>
      </c>
      <c r="AK169" s="8" t="n">
        <f aca="false">IF(AND(B169&lt;=U169,NOT(Q169)),B169,U169)*(1-Inputs!$B$12)</f>
        <v>0.842426461849423</v>
      </c>
    </row>
    <row r="170" customFormat="false" ht="15" hidden="false" customHeight="false" outlineLevel="0" collapsed="false">
      <c r="A170" s="6" t="n">
        <v>44954</v>
      </c>
      <c r="B170" s="7" t="n">
        <v>0.907778242450976</v>
      </c>
      <c r="C170" s="7" t="n">
        <v>0.914058041590288</v>
      </c>
      <c r="D170" s="7" t="n">
        <v>0.90451789433688</v>
      </c>
      <c r="E170" s="7" t="n">
        <v>0.90605766507448</v>
      </c>
      <c r="F170" s="8" t="n">
        <f aca="true">IF(ROW()-2&gt;=Inputs!$B$4,AVERAGE(OFFSET(E170,1-Inputs!$B$4,0,Inputs!$B$4,1)),"")</f>
        <v>0.893295338350396</v>
      </c>
      <c r="G170" s="8" t="n">
        <f aca="true">IF(ROW()-2&gt;=Inputs!$B$5,AVERAGE(OFFSET(E170,1-Inputs!$B$5,0,Inputs!$B$5,1)),"")</f>
        <v>0.882054584389476</v>
      </c>
      <c r="H170" s="8" t="n">
        <f aca="false">MAX(C170-D170,ABS(C170-E169),ABS(D170-E169))</f>
        <v>0.00954014725340779</v>
      </c>
      <c r="I170" s="8" t="n">
        <f aca="true">IF(ROW()-2&lt;14,"",IF(ROW()-2=14,AVERAGE(OFFSET(H170,-13,0,14,1)),(I169*13+H170)/14))</f>
        <v>0.00717739814911303</v>
      </c>
      <c r="J170" s="9" t="b">
        <f aca="false">IF(AND(ISNUMBER(F170),ISNUMBER(G170),ISNUMBER(F169),ISNUMBER(G169)),AND(F170&gt;G170,F169&lt;=G169),FALSE())</f>
        <v>0</v>
      </c>
      <c r="K170" s="9" t="b">
        <f aca="false">IF(AND(ISNUMBER(F170),ISNUMBER(G170),ISNUMBER(F169),ISNUMBER(G169)),AND(F170&lt;G170,F169&gt;=G169),FALSE())</f>
        <v>0</v>
      </c>
      <c r="L170" s="8" t="n">
        <f aca="false">IF(ISNUMBER(I170),E170-Inputs!$B$6*I170,"")</f>
        <v>0.891702868776254</v>
      </c>
      <c r="M170" s="9" t="b">
        <f aca="false">AND(Y169&gt;0,Z169)</f>
        <v>0</v>
      </c>
      <c r="N170" s="8" t="n">
        <f aca="false">B170*(1-Inputs!$B$12)</f>
        <v>0.907596686802485</v>
      </c>
      <c r="O170" s="10" t="n">
        <f aca="false">IF(M170,Y169*(N170-AB169)-Inputs!$B$9-Y169*AD169*Inputs!$B$13*(A170-AC169),0)</f>
        <v>0</v>
      </c>
      <c r="P170" s="10" t="n">
        <f aca="false">X169+O170</f>
        <v>999</v>
      </c>
      <c r="Q170" s="9" t="b">
        <f aca="false">AND(IF(M170,0,Y169)=0,AA169,IF(ISNUMBER(AE169),B170&gt;AE169,FALSE()))</f>
        <v>0</v>
      </c>
      <c r="R170" s="8" t="n">
        <f aca="false">B170*(1+Inputs!$B$12)</f>
        <v>0.907959798099466</v>
      </c>
      <c r="S170" s="11" t="n">
        <f aca="false">IF(Q170,MIN(P170*Inputs!$B$3/(R170-AE169),P170*Inputs!$B$11/R170),0)</f>
        <v>0</v>
      </c>
      <c r="T170" s="11" t="n">
        <f aca="false">IF(Q170,S170,IF(M170,0,Y169))</f>
        <v>515.951204214585</v>
      </c>
      <c r="U170" s="8" t="n">
        <f aca="false">IF(Q170,AE169,AF169)</f>
        <v>0.842594980845593</v>
      </c>
      <c r="V170" s="9" t="b">
        <f aca="false">AND(T170&gt;0,D170&lt;=U170)</f>
        <v>0</v>
      </c>
      <c r="W170" s="10" t="n">
        <f aca="false">IF(V170,T170*(AK170-AB170)-Inputs!$B$9-T170*AD170*Inputs!$B$13*(A170-AC170),0)</f>
        <v>0</v>
      </c>
      <c r="X170" s="10" t="n">
        <f aca="false">P170-IF(Q170,Inputs!$B$9,0)+W170</f>
        <v>999</v>
      </c>
      <c r="Y170" s="11" t="n">
        <f aca="false">IF(V170,0,T170)</f>
        <v>515.951204214585</v>
      </c>
      <c r="Z170" s="9" t="b">
        <f aca="false">AND(Y170&gt;0,K170)</f>
        <v>0</v>
      </c>
      <c r="AA170" s="9" t="b">
        <f aca="false">AND(Y170=0,J170,ISNUMBER(L170))</f>
        <v>0</v>
      </c>
      <c r="AB170" s="8" t="n">
        <f aca="false">IF(Q170,R170,AB169)</f>
        <v>0.861976658644412</v>
      </c>
      <c r="AC170" s="12" t="n">
        <f aca="false">IF(Q170,A170,AC169)</f>
        <v>44890</v>
      </c>
      <c r="AD170" s="8" t="n">
        <f aca="false">IF(Q170,B170,AD169)</f>
        <v>0.861804297784855</v>
      </c>
      <c r="AE170" s="8" t="str">
        <f aca="false">IF(AA170,L170,"")</f>
        <v/>
      </c>
      <c r="AF170" s="8" t="n">
        <f aca="false">U170</f>
        <v>0.842594980845593</v>
      </c>
      <c r="AG170" s="2" t="n">
        <f aca="false">AG169+IF(Q170,1,0)</f>
        <v>1</v>
      </c>
      <c r="AH170" s="2" t="n">
        <f aca="false">AG169</f>
        <v>1</v>
      </c>
      <c r="AI170" s="10" t="n">
        <f aca="false">X170+Y170*(E170-AB170)-Y170*AD170*Inputs!$B$13*(A170-AC170)</f>
        <v>1016.6758683632</v>
      </c>
      <c r="AJ170" s="10" t="n">
        <v>0</v>
      </c>
      <c r="AK170" s="8" t="n">
        <f aca="false">IF(AND(B170&lt;=U170,NOT(Q170)),B170,U170)*(1-Inputs!$B$12)</f>
        <v>0.842426461849423</v>
      </c>
    </row>
    <row r="171" customFormat="false" ht="15" hidden="false" customHeight="false" outlineLevel="0" collapsed="false">
      <c r="A171" s="6" t="n">
        <v>44955</v>
      </c>
      <c r="B171" s="7" t="n">
        <v>0.90605766507448</v>
      </c>
      <c r="C171" s="7" t="n">
        <v>0.911357430537823</v>
      </c>
      <c r="D171" s="7" t="n">
        <v>0.899259804774954</v>
      </c>
      <c r="E171" s="7" t="n">
        <v>0.908757939744265</v>
      </c>
      <c r="F171" s="8" t="n">
        <f aca="true">IF(ROW()-2&gt;=Inputs!$B$4,AVERAGE(OFFSET(E171,1-Inputs!$B$4,0,Inputs!$B$4,1)),"")</f>
        <v>0.89496352783164</v>
      </c>
      <c r="G171" s="8" t="n">
        <f aca="true">IF(ROW()-2&gt;=Inputs!$B$5,AVERAGE(OFFSET(E171,1-Inputs!$B$5,0,Inputs!$B$5,1)),"")</f>
        <v>0.88291116983208</v>
      </c>
      <c r="H171" s="8" t="n">
        <f aca="false">MAX(C171-D171,ABS(C171-E170),ABS(D171-E170))</f>
        <v>0.012097625762869</v>
      </c>
      <c r="I171" s="8" t="n">
        <f aca="true">IF(ROW()-2&lt;14,"",IF(ROW()-2=14,AVERAGE(OFFSET(H171,-13,0,14,1)),(I170*13+H171)/14))</f>
        <v>0.00752884297866702</v>
      </c>
      <c r="J171" s="9" t="b">
        <f aca="false">IF(AND(ISNUMBER(F171),ISNUMBER(G171),ISNUMBER(F170),ISNUMBER(G170)),AND(F171&gt;G171,F170&lt;=G170),FALSE())</f>
        <v>0</v>
      </c>
      <c r="K171" s="9" t="b">
        <f aca="false">IF(AND(ISNUMBER(F171),ISNUMBER(G171),ISNUMBER(F170),ISNUMBER(G170)),AND(F171&lt;G171,F170&gt;=G170),FALSE())</f>
        <v>0</v>
      </c>
      <c r="L171" s="8" t="n">
        <f aca="false">IF(ISNUMBER(I171),E171-Inputs!$B$6*I171,"")</f>
        <v>0.893700253786931</v>
      </c>
      <c r="M171" s="9" t="b">
        <f aca="false">AND(Y170&gt;0,Z170)</f>
        <v>0</v>
      </c>
      <c r="N171" s="8" t="n">
        <f aca="false">B171*(1-Inputs!$B$12)</f>
        <v>0.905876453541466</v>
      </c>
      <c r="O171" s="10" t="n">
        <f aca="false">IF(M171,Y170*(N171-AB170)-Inputs!$B$9-Y170*AD170*Inputs!$B$13*(A171-AC170),0)</f>
        <v>0</v>
      </c>
      <c r="P171" s="10" t="n">
        <f aca="false">X170+O171</f>
        <v>999</v>
      </c>
      <c r="Q171" s="9" t="b">
        <f aca="false">AND(IF(M171,0,Y170)=0,AA170,IF(ISNUMBER(AE170),B171&gt;AE170,FALSE()))</f>
        <v>0</v>
      </c>
      <c r="R171" s="8" t="n">
        <f aca="false">B171*(1+Inputs!$B$12)</f>
        <v>0.906238876607495</v>
      </c>
      <c r="S171" s="11" t="n">
        <f aca="false">IF(Q171,MIN(P171*Inputs!$B$3/(R171-AE170),P171*Inputs!$B$11/R171),0)</f>
        <v>0</v>
      </c>
      <c r="T171" s="11" t="n">
        <f aca="false">IF(Q171,S171,IF(M171,0,Y170))</f>
        <v>515.951204214585</v>
      </c>
      <c r="U171" s="8" t="n">
        <f aca="false">IF(Q171,AE170,AF170)</f>
        <v>0.842594980845593</v>
      </c>
      <c r="V171" s="9" t="b">
        <f aca="false">AND(T171&gt;0,D171&lt;=U171)</f>
        <v>0</v>
      </c>
      <c r="W171" s="10" t="n">
        <f aca="false">IF(V171,T171*(AK171-AB171)-Inputs!$B$9-T171*AD171*Inputs!$B$13*(A171-AC171),0)</f>
        <v>0</v>
      </c>
      <c r="X171" s="10" t="n">
        <f aca="false">P171-IF(Q171,Inputs!$B$9,0)+W171</f>
        <v>999</v>
      </c>
      <c r="Y171" s="11" t="n">
        <f aca="false">IF(V171,0,T171)</f>
        <v>515.951204214585</v>
      </c>
      <c r="Z171" s="9" t="b">
        <f aca="false">AND(Y171&gt;0,K171)</f>
        <v>0</v>
      </c>
      <c r="AA171" s="9" t="b">
        <f aca="false">AND(Y171=0,J171,ISNUMBER(L171))</f>
        <v>0</v>
      </c>
      <c r="AB171" s="8" t="n">
        <f aca="false">IF(Q171,R171,AB170)</f>
        <v>0.861976658644412</v>
      </c>
      <c r="AC171" s="12" t="n">
        <f aca="false">IF(Q171,A171,AC170)</f>
        <v>44890</v>
      </c>
      <c r="AD171" s="8" t="n">
        <f aca="false">IF(Q171,B171,AD170)</f>
        <v>0.861804297784855</v>
      </c>
      <c r="AE171" s="8" t="str">
        <f aca="false">IF(AA171,L171,"")</f>
        <v/>
      </c>
      <c r="AF171" s="8" t="n">
        <f aca="false">U171</f>
        <v>0.842594980845593</v>
      </c>
      <c r="AG171" s="2" t="n">
        <f aca="false">AG170+IF(Q171,1,0)</f>
        <v>1</v>
      </c>
      <c r="AH171" s="2" t="n">
        <f aca="false">AG170</f>
        <v>1</v>
      </c>
      <c r="AI171" s="10" t="n">
        <f aca="false">X171+Y171*(E171-AB171)-Y171*AD171*Inputs!$B$13*(A171-AC171)</f>
        <v>1017.98989426848</v>
      </c>
      <c r="AJ171" s="10" t="n">
        <v>0</v>
      </c>
      <c r="AK171" s="8" t="n">
        <f aca="false">IF(AND(B171&lt;=U171,NOT(Q171)),B171,U171)*(1-Inputs!$B$12)</f>
        <v>0.842426461849423</v>
      </c>
    </row>
    <row r="172" customFormat="false" ht="15" hidden="false" customHeight="false" outlineLevel="0" collapsed="false">
      <c r="A172" s="6" t="n">
        <v>44956</v>
      </c>
      <c r="B172" s="7" t="n">
        <v>0.908757939744265</v>
      </c>
      <c r="C172" s="7" t="n">
        <v>0.912314760867087</v>
      </c>
      <c r="D172" s="7" t="n">
        <v>0.899730032366443</v>
      </c>
      <c r="E172" s="7" t="n">
        <v>0.90356682335456</v>
      </c>
      <c r="F172" s="8" t="n">
        <f aca="true">IF(ROW()-2&gt;=Inputs!$B$4,AVERAGE(OFFSET(E172,1-Inputs!$B$4,0,Inputs!$B$4,1)),"")</f>
        <v>0.895992577448375</v>
      </c>
      <c r="G172" s="8" t="n">
        <f aca="true">IF(ROW()-2&gt;=Inputs!$B$5,AVERAGE(OFFSET(E172,1-Inputs!$B$5,0,Inputs!$B$5,1)),"")</f>
        <v>0.883573701205394</v>
      </c>
      <c r="H172" s="8" t="n">
        <f aca="false">MAX(C172-D172,ABS(C172-E171),ABS(D172-E171))</f>
        <v>0.0125847285006443</v>
      </c>
      <c r="I172" s="8" t="n">
        <f aca="true">IF(ROW()-2&lt;14,"",IF(ROW()-2=14,AVERAGE(OFFSET(H172,-13,0,14,1)),(I171*13+H172)/14))</f>
        <v>0.00788997765880826</v>
      </c>
      <c r="J172" s="9" t="b">
        <f aca="false">IF(AND(ISNUMBER(F172),ISNUMBER(G172),ISNUMBER(F171),ISNUMBER(G171)),AND(F172&gt;G172,F171&lt;=G171),FALSE())</f>
        <v>0</v>
      </c>
      <c r="K172" s="9" t="b">
        <f aca="false">IF(AND(ISNUMBER(F172),ISNUMBER(G172),ISNUMBER(F171),ISNUMBER(G171)),AND(F172&lt;G172,F171&gt;=G171),FALSE())</f>
        <v>0</v>
      </c>
      <c r="L172" s="8" t="n">
        <f aca="false">IF(ISNUMBER(I172),E172-Inputs!$B$6*I172,"")</f>
        <v>0.887786868036943</v>
      </c>
      <c r="M172" s="9" t="b">
        <f aca="false">AND(Y171&gt;0,Z171)</f>
        <v>0</v>
      </c>
      <c r="N172" s="8" t="n">
        <f aca="false">B172*(1-Inputs!$B$12)</f>
        <v>0.908576188156316</v>
      </c>
      <c r="O172" s="10" t="n">
        <f aca="false">IF(M172,Y171*(N172-AB171)-Inputs!$B$9-Y171*AD171*Inputs!$B$13*(A172-AC171),0)</f>
        <v>0</v>
      </c>
      <c r="P172" s="10" t="n">
        <f aca="false">X171+O172</f>
        <v>999</v>
      </c>
      <c r="Q172" s="9" t="b">
        <f aca="false">AND(IF(M172,0,Y171)=0,AA171,IF(ISNUMBER(AE171),B172&gt;AE171,FALSE()))</f>
        <v>0</v>
      </c>
      <c r="R172" s="8" t="n">
        <f aca="false">B172*(1+Inputs!$B$12)</f>
        <v>0.908939691332214</v>
      </c>
      <c r="S172" s="11" t="n">
        <f aca="false">IF(Q172,MIN(P172*Inputs!$B$3/(R172-AE171),P172*Inputs!$B$11/R172),0)</f>
        <v>0</v>
      </c>
      <c r="T172" s="11" t="n">
        <f aca="false">IF(Q172,S172,IF(M172,0,Y171))</f>
        <v>515.951204214585</v>
      </c>
      <c r="U172" s="8" t="n">
        <f aca="false">IF(Q172,AE171,AF171)</f>
        <v>0.842594980845593</v>
      </c>
      <c r="V172" s="9" t="b">
        <f aca="false">AND(T172&gt;0,D172&lt;=U172)</f>
        <v>0</v>
      </c>
      <c r="W172" s="10" t="n">
        <f aca="false">IF(V172,T172*(AK172-AB172)-Inputs!$B$9-T172*AD172*Inputs!$B$13*(A172-AC172),0)</f>
        <v>0</v>
      </c>
      <c r="X172" s="10" t="n">
        <f aca="false">P172-IF(Q172,Inputs!$B$9,0)+W172</f>
        <v>999</v>
      </c>
      <c r="Y172" s="11" t="n">
        <f aca="false">IF(V172,0,T172)</f>
        <v>515.951204214585</v>
      </c>
      <c r="Z172" s="9" t="b">
        <f aca="false">AND(Y172&gt;0,K172)</f>
        <v>0</v>
      </c>
      <c r="AA172" s="9" t="b">
        <f aca="false">AND(Y172=0,J172,ISNUMBER(L172))</f>
        <v>0</v>
      </c>
      <c r="AB172" s="8" t="n">
        <f aca="false">IF(Q172,R172,AB171)</f>
        <v>0.861976658644412</v>
      </c>
      <c r="AC172" s="12" t="n">
        <f aca="false">IF(Q172,A172,AC171)</f>
        <v>44890</v>
      </c>
      <c r="AD172" s="8" t="n">
        <f aca="false">IF(Q172,B172,AD171)</f>
        <v>0.861804297784855</v>
      </c>
      <c r="AE172" s="8" t="str">
        <f aca="false">IF(AA172,L172,"")</f>
        <v/>
      </c>
      <c r="AF172" s="8" t="n">
        <f aca="false">U172</f>
        <v>0.842594980845593</v>
      </c>
      <c r="AG172" s="2" t="n">
        <f aca="false">AG171+IF(Q172,1,0)</f>
        <v>1</v>
      </c>
      <c r="AH172" s="2" t="n">
        <f aca="false">AG171</f>
        <v>1</v>
      </c>
      <c r="AI172" s="10" t="n">
        <f aca="false">X172+Y172*(E172-AB172)-Y172*AD172*Inputs!$B$13*(A172-AC172)</f>
        <v>1015.23234745369</v>
      </c>
      <c r="AJ172" s="10" t="n">
        <v>0</v>
      </c>
      <c r="AK172" s="8" t="n">
        <f aca="false">IF(AND(B172&lt;=U172,NOT(Q172)),B172,U172)*(1-Inputs!$B$12)</f>
        <v>0.842426461849423</v>
      </c>
    </row>
    <row r="173" customFormat="false" ht="15" hidden="false" customHeight="false" outlineLevel="0" collapsed="false">
      <c r="A173" s="6" t="n">
        <v>44957</v>
      </c>
      <c r="B173" s="7" t="n">
        <v>0.90356682335456</v>
      </c>
      <c r="C173" s="7" t="n">
        <v>0.913348648487271</v>
      </c>
      <c r="D173" s="7" t="n">
        <v>0.900672988461744</v>
      </c>
      <c r="E173" s="7" t="n">
        <v>0.902417050281477</v>
      </c>
      <c r="F173" s="8" t="n">
        <f aca="true">IF(ROW()-2&gt;=Inputs!$B$4,AVERAGE(OFFSET(E173,1-Inputs!$B$4,0,Inputs!$B$4,1)),"")</f>
        <v>0.896967746727123</v>
      </c>
      <c r="G173" s="8" t="n">
        <f aca="true">IF(ROW()-2&gt;=Inputs!$B$5,AVERAGE(OFFSET(E173,1-Inputs!$B$5,0,Inputs!$B$5,1)),"")</f>
        <v>0.884353243714677</v>
      </c>
      <c r="H173" s="8" t="n">
        <f aca="false">MAX(C173-D173,ABS(C173-E172),ABS(D173-E172))</f>
        <v>0.0126756600255274</v>
      </c>
      <c r="I173" s="8" t="n">
        <f aca="true">IF(ROW()-2&lt;14,"",IF(ROW()-2=14,AVERAGE(OFFSET(H173,-13,0,14,1)),(I172*13+H173)/14))</f>
        <v>0.00823181211357391</v>
      </c>
      <c r="J173" s="9" t="b">
        <f aca="false">IF(AND(ISNUMBER(F173),ISNUMBER(G173),ISNUMBER(F172),ISNUMBER(G172)),AND(F173&gt;G173,F172&lt;=G172),FALSE())</f>
        <v>0</v>
      </c>
      <c r="K173" s="9" t="b">
        <f aca="false">IF(AND(ISNUMBER(F173),ISNUMBER(G173),ISNUMBER(F172),ISNUMBER(G172)),AND(F173&lt;G173,F172&gt;=G172),FALSE())</f>
        <v>0</v>
      </c>
      <c r="L173" s="8" t="n">
        <f aca="false">IF(ISNUMBER(I173),E173-Inputs!$B$6*I173,"")</f>
        <v>0.885953426054329</v>
      </c>
      <c r="M173" s="9" t="b">
        <f aca="false">AND(Y172&gt;0,Z172)</f>
        <v>0</v>
      </c>
      <c r="N173" s="8" t="n">
        <f aca="false">B173*(1-Inputs!$B$12)</f>
        <v>0.903386109989889</v>
      </c>
      <c r="O173" s="10" t="n">
        <f aca="false">IF(M173,Y172*(N173-AB172)-Inputs!$B$9-Y172*AD172*Inputs!$B$13*(A173-AC172),0)</f>
        <v>0</v>
      </c>
      <c r="P173" s="10" t="n">
        <f aca="false">X172+O173</f>
        <v>999</v>
      </c>
      <c r="Q173" s="9" t="b">
        <f aca="false">AND(IF(M173,0,Y172)=0,AA172,IF(ISNUMBER(AE172),B173&gt;AE172,FALSE()))</f>
        <v>0</v>
      </c>
      <c r="R173" s="8" t="n">
        <f aca="false">B173*(1+Inputs!$B$12)</f>
        <v>0.903747536719231</v>
      </c>
      <c r="S173" s="11" t="n">
        <f aca="false">IF(Q173,MIN(P173*Inputs!$B$3/(R173-AE172),P173*Inputs!$B$11/R173),0)</f>
        <v>0</v>
      </c>
      <c r="T173" s="11" t="n">
        <f aca="false">IF(Q173,S173,IF(M173,0,Y172))</f>
        <v>515.951204214585</v>
      </c>
      <c r="U173" s="8" t="n">
        <f aca="false">IF(Q173,AE172,AF172)</f>
        <v>0.842594980845593</v>
      </c>
      <c r="V173" s="9" t="b">
        <f aca="false">AND(T173&gt;0,D173&lt;=U173)</f>
        <v>0</v>
      </c>
      <c r="W173" s="10" t="n">
        <f aca="false">IF(V173,T173*(AK173-AB173)-Inputs!$B$9-T173*AD173*Inputs!$B$13*(A173-AC173),0)</f>
        <v>0</v>
      </c>
      <c r="X173" s="10" t="n">
        <f aca="false">P173-IF(Q173,Inputs!$B$9,0)+W173</f>
        <v>999</v>
      </c>
      <c r="Y173" s="11" t="n">
        <f aca="false">IF(V173,0,T173)</f>
        <v>515.951204214585</v>
      </c>
      <c r="Z173" s="9" t="b">
        <f aca="false">AND(Y173&gt;0,K173)</f>
        <v>0</v>
      </c>
      <c r="AA173" s="9" t="b">
        <f aca="false">AND(Y173=0,J173,ISNUMBER(L173))</f>
        <v>0</v>
      </c>
      <c r="AB173" s="8" t="n">
        <f aca="false">IF(Q173,R173,AB172)</f>
        <v>0.861976658644412</v>
      </c>
      <c r="AC173" s="12" t="n">
        <f aca="false">IF(Q173,A173,AC172)</f>
        <v>44890</v>
      </c>
      <c r="AD173" s="8" t="n">
        <f aca="false">IF(Q173,B173,AD172)</f>
        <v>0.861804297784855</v>
      </c>
      <c r="AE173" s="8" t="str">
        <f aca="false">IF(AA173,L173,"")</f>
        <v/>
      </c>
      <c r="AF173" s="8" t="n">
        <f aca="false">U173</f>
        <v>0.842594980845593</v>
      </c>
      <c r="AG173" s="2" t="n">
        <f aca="false">AG172+IF(Q173,1,0)</f>
        <v>1</v>
      </c>
      <c r="AH173" s="2" t="n">
        <f aca="false">AG172</f>
        <v>1</v>
      </c>
      <c r="AI173" s="10" t="n">
        <f aca="false">X173+Y173*(E173-AB173)-Y173*AD173*Inputs!$B$13*(A173-AC173)</f>
        <v>1014.55993658976</v>
      </c>
      <c r="AJ173" s="10" t="n">
        <v>0</v>
      </c>
      <c r="AK173" s="8" t="n">
        <f aca="false">IF(AND(B173&lt;=U173,NOT(Q173)),B173,U173)*(1-Inputs!$B$12)</f>
        <v>0.842426461849423</v>
      </c>
    </row>
    <row r="174" customFormat="false" ht="15" hidden="false" customHeight="false" outlineLevel="0" collapsed="false">
      <c r="A174" s="6" t="n">
        <v>44958</v>
      </c>
      <c r="B174" s="7" t="n">
        <v>0.902417050281477</v>
      </c>
      <c r="C174" s="7" t="n">
        <v>0.905095699416782</v>
      </c>
      <c r="D174" s="7" t="n">
        <v>0.89493351034907</v>
      </c>
      <c r="E174" s="7" t="n">
        <v>0.901718527386965</v>
      </c>
      <c r="F174" s="8" t="n">
        <f aca="true">IF(ROW()-2&gt;=Inputs!$B$4,AVERAGE(OFFSET(E174,1-Inputs!$B$4,0,Inputs!$B$4,1)),"")</f>
        <v>0.898074101967253</v>
      </c>
      <c r="G174" s="8" t="n">
        <f aca="true">IF(ROW()-2&gt;=Inputs!$B$5,AVERAGE(OFFSET(E174,1-Inputs!$B$5,0,Inputs!$B$5,1)),"")</f>
        <v>0.885037414982517</v>
      </c>
      <c r="H174" s="8" t="n">
        <f aca="false">MAX(C174-D174,ABS(C174-E173),ABS(D174-E173))</f>
        <v>0.0101621890677122</v>
      </c>
      <c r="I174" s="8" t="n">
        <f aca="true">IF(ROW()-2&lt;14,"",IF(ROW()-2=14,AVERAGE(OFFSET(H174,-13,0,14,1)),(I173*13+H174)/14))</f>
        <v>0.00836969618172664</v>
      </c>
      <c r="J174" s="9" t="b">
        <f aca="false">IF(AND(ISNUMBER(F174),ISNUMBER(G174),ISNUMBER(F173),ISNUMBER(G173)),AND(F174&gt;G174,F173&lt;=G173),FALSE())</f>
        <v>0</v>
      </c>
      <c r="K174" s="9" t="b">
        <f aca="false">IF(AND(ISNUMBER(F174),ISNUMBER(G174),ISNUMBER(F173),ISNUMBER(G173)),AND(F174&lt;G174,F173&gt;=G173),FALSE())</f>
        <v>0</v>
      </c>
      <c r="L174" s="8" t="n">
        <f aca="false">IF(ISNUMBER(I174),E174-Inputs!$B$6*I174,"")</f>
        <v>0.884979135023512</v>
      </c>
      <c r="M174" s="9" t="b">
        <f aca="false">AND(Y173&gt;0,Z173)</f>
        <v>0</v>
      </c>
      <c r="N174" s="8" t="n">
        <f aca="false">B174*(1-Inputs!$B$12)</f>
        <v>0.902236566871421</v>
      </c>
      <c r="O174" s="10" t="n">
        <f aca="false">IF(M174,Y173*(N174-AB173)-Inputs!$B$9-Y173*AD173*Inputs!$B$13*(A174-AC173),0)</f>
        <v>0</v>
      </c>
      <c r="P174" s="10" t="n">
        <f aca="false">X173+O174</f>
        <v>999</v>
      </c>
      <c r="Q174" s="9" t="b">
        <f aca="false">AND(IF(M174,0,Y173)=0,AA173,IF(ISNUMBER(AE173),B174&gt;AE173,FALSE()))</f>
        <v>0</v>
      </c>
      <c r="R174" s="8" t="n">
        <f aca="false">B174*(1+Inputs!$B$12)</f>
        <v>0.902597533691533</v>
      </c>
      <c r="S174" s="11" t="n">
        <f aca="false">IF(Q174,MIN(P174*Inputs!$B$3/(R174-AE173),P174*Inputs!$B$11/R174),0)</f>
        <v>0</v>
      </c>
      <c r="T174" s="11" t="n">
        <f aca="false">IF(Q174,S174,IF(M174,0,Y173))</f>
        <v>515.951204214585</v>
      </c>
      <c r="U174" s="8" t="n">
        <f aca="false">IF(Q174,AE173,AF173)</f>
        <v>0.842594980845593</v>
      </c>
      <c r="V174" s="9" t="b">
        <f aca="false">AND(T174&gt;0,D174&lt;=U174)</f>
        <v>0</v>
      </c>
      <c r="W174" s="10" t="n">
        <f aca="false">IF(V174,T174*(AK174-AB174)-Inputs!$B$9-T174*AD174*Inputs!$B$13*(A174-AC174),0)</f>
        <v>0</v>
      </c>
      <c r="X174" s="10" t="n">
        <f aca="false">P174-IF(Q174,Inputs!$B$9,0)+W174</f>
        <v>999</v>
      </c>
      <c r="Y174" s="11" t="n">
        <f aca="false">IF(V174,0,T174)</f>
        <v>515.951204214585</v>
      </c>
      <c r="Z174" s="9" t="b">
        <f aca="false">AND(Y174&gt;0,K174)</f>
        <v>0</v>
      </c>
      <c r="AA174" s="9" t="b">
        <f aca="false">AND(Y174=0,J174,ISNUMBER(L174))</f>
        <v>0</v>
      </c>
      <c r="AB174" s="8" t="n">
        <f aca="false">IF(Q174,R174,AB173)</f>
        <v>0.861976658644412</v>
      </c>
      <c r="AC174" s="12" t="n">
        <f aca="false">IF(Q174,A174,AC173)</f>
        <v>44890</v>
      </c>
      <c r="AD174" s="8" t="n">
        <f aca="false">IF(Q174,B174,AD173)</f>
        <v>0.861804297784855</v>
      </c>
      <c r="AE174" s="8" t="str">
        <f aca="false">IF(AA174,L174,"")</f>
        <v/>
      </c>
      <c r="AF174" s="8" t="n">
        <f aca="false">U174</f>
        <v>0.842594980845593</v>
      </c>
      <c r="AG174" s="2" t="n">
        <f aca="false">AG173+IF(Q174,1,0)</f>
        <v>1</v>
      </c>
      <c r="AH174" s="2" t="n">
        <f aca="false">AG173</f>
        <v>1</v>
      </c>
      <c r="AI174" s="10" t="n">
        <f aca="false">X174+Y174*(E174-AB174)-Y174*AD174*Inputs!$B$13*(A174-AC174)</f>
        <v>1014.12034879886</v>
      </c>
      <c r="AJ174" s="10" t="n">
        <v>0</v>
      </c>
      <c r="AK174" s="8" t="n">
        <f aca="false">IF(AND(B174&lt;=U174,NOT(Q174)),B174,U174)*(1-Inputs!$B$12)</f>
        <v>0.842426461849423</v>
      </c>
    </row>
    <row r="175" customFormat="false" ht="15" hidden="false" customHeight="false" outlineLevel="0" collapsed="false">
      <c r="A175" s="6" t="n">
        <v>44959</v>
      </c>
      <c r="B175" s="7" t="n">
        <v>0.901718527386965</v>
      </c>
      <c r="C175" s="7" t="n">
        <v>0.909574371765403</v>
      </c>
      <c r="D175" s="7" t="n">
        <v>0.898447233090935</v>
      </c>
      <c r="E175" s="7" t="n">
        <v>0.905442143560252</v>
      </c>
      <c r="F175" s="8" t="n">
        <f aca="true">IF(ROW()-2&gt;=Inputs!$B$4,AVERAGE(OFFSET(E175,1-Inputs!$B$4,0,Inputs!$B$4,1)),"")</f>
        <v>0.898960782516275</v>
      </c>
      <c r="G175" s="8" t="n">
        <f aca="true">IF(ROW()-2&gt;=Inputs!$B$5,AVERAGE(OFFSET(E175,1-Inputs!$B$5,0,Inputs!$B$5,1)),"")</f>
        <v>0.885875015540843</v>
      </c>
      <c r="H175" s="8" t="n">
        <f aca="false">MAX(C175-D175,ABS(C175-E174),ABS(D175-E174))</f>
        <v>0.0111271386744677</v>
      </c>
      <c r="I175" s="8" t="n">
        <f aca="true">IF(ROW()-2&lt;14,"",IF(ROW()-2=14,AVERAGE(OFFSET(H175,-13,0,14,1)),(I174*13+H175)/14))</f>
        <v>0.00856665635977958</v>
      </c>
      <c r="J175" s="9" t="b">
        <f aca="false">IF(AND(ISNUMBER(F175),ISNUMBER(G175),ISNUMBER(F174),ISNUMBER(G174)),AND(F175&gt;G175,F174&lt;=G174),FALSE())</f>
        <v>0</v>
      </c>
      <c r="K175" s="9" t="b">
        <f aca="false">IF(AND(ISNUMBER(F175),ISNUMBER(G175),ISNUMBER(F174),ISNUMBER(G174)),AND(F175&lt;G175,F174&gt;=G174),FALSE())</f>
        <v>0</v>
      </c>
      <c r="L175" s="8" t="n">
        <f aca="false">IF(ISNUMBER(I175),E175-Inputs!$B$6*I175,"")</f>
        <v>0.888308830840693</v>
      </c>
      <c r="M175" s="9" t="b">
        <f aca="false">AND(Y174&gt;0,Z174)</f>
        <v>0</v>
      </c>
      <c r="N175" s="8" t="n">
        <f aca="false">B175*(1-Inputs!$B$12)</f>
        <v>0.901538183681488</v>
      </c>
      <c r="O175" s="10" t="n">
        <f aca="false">IF(M175,Y174*(N175-AB174)-Inputs!$B$9-Y174*AD174*Inputs!$B$13*(A175-AC174),0)</f>
        <v>0</v>
      </c>
      <c r="P175" s="10" t="n">
        <f aca="false">X174+O175</f>
        <v>999</v>
      </c>
      <c r="Q175" s="9" t="b">
        <f aca="false">AND(IF(M175,0,Y174)=0,AA174,IF(ISNUMBER(AE174),B175&gt;AE174,FALSE()))</f>
        <v>0</v>
      </c>
      <c r="R175" s="8" t="n">
        <f aca="false">B175*(1+Inputs!$B$12)</f>
        <v>0.901898871092443</v>
      </c>
      <c r="S175" s="11" t="n">
        <f aca="false">IF(Q175,MIN(P175*Inputs!$B$3/(R175-AE174),P175*Inputs!$B$11/R175),0)</f>
        <v>0</v>
      </c>
      <c r="T175" s="11" t="n">
        <f aca="false">IF(Q175,S175,IF(M175,0,Y174))</f>
        <v>515.951204214585</v>
      </c>
      <c r="U175" s="8" t="n">
        <f aca="false">IF(Q175,AE174,AF174)</f>
        <v>0.842594980845593</v>
      </c>
      <c r="V175" s="9" t="b">
        <f aca="false">AND(T175&gt;0,D175&lt;=U175)</f>
        <v>0</v>
      </c>
      <c r="W175" s="10" t="n">
        <f aca="false">IF(V175,T175*(AK175-AB175)-Inputs!$B$9-T175*AD175*Inputs!$B$13*(A175-AC175),0)</f>
        <v>0</v>
      </c>
      <c r="X175" s="10" t="n">
        <f aca="false">P175-IF(Q175,Inputs!$B$9,0)+W175</f>
        <v>999</v>
      </c>
      <c r="Y175" s="11" t="n">
        <f aca="false">IF(V175,0,T175)</f>
        <v>515.951204214585</v>
      </c>
      <c r="Z175" s="9" t="b">
        <f aca="false">AND(Y175&gt;0,K175)</f>
        <v>0</v>
      </c>
      <c r="AA175" s="9" t="b">
        <f aca="false">AND(Y175=0,J175,ISNUMBER(L175))</f>
        <v>0</v>
      </c>
      <c r="AB175" s="8" t="n">
        <f aca="false">IF(Q175,R175,AB174)</f>
        <v>0.861976658644412</v>
      </c>
      <c r="AC175" s="12" t="n">
        <f aca="false">IF(Q175,A175,AC174)</f>
        <v>44890</v>
      </c>
      <c r="AD175" s="8" t="n">
        <f aca="false">IF(Q175,B175,AD174)</f>
        <v>0.861804297784855</v>
      </c>
      <c r="AE175" s="8" t="str">
        <f aca="false">IF(AA175,L175,"")</f>
        <v/>
      </c>
      <c r="AF175" s="8" t="n">
        <f aca="false">U175</f>
        <v>0.842594980845593</v>
      </c>
      <c r="AG175" s="2" t="n">
        <f aca="false">AG174+IF(Q175,1,0)</f>
        <v>1</v>
      </c>
      <c r="AH175" s="2" t="n">
        <f aca="false">AG174</f>
        <v>1</v>
      </c>
      <c r="AI175" s="10" t="n">
        <f aca="false">X175+Y175*(E175-AB175)-Y175*AD175*Inputs!$B$13*(A175-AC175)</f>
        <v>1015.9623689852</v>
      </c>
      <c r="AJ175" s="10" t="n">
        <v>0</v>
      </c>
      <c r="AK175" s="8" t="n">
        <f aca="false">IF(AND(B175&lt;=U175,NOT(Q175)),B175,U175)*(1-Inputs!$B$12)</f>
        <v>0.842426461849423</v>
      </c>
    </row>
    <row r="176" customFormat="false" ht="15" hidden="false" customHeight="false" outlineLevel="0" collapsed="false">
      <c r="A176" s="6" t="n">
        <v>44960</v>
      </c>
      <c r="B176" s="7" t="n">
        <v>0.905442143560252</v>
      </c>
      <c r="C176" s="7" t="n">
        <v>0.905647301024288</v>
      </c>
      <c r="D176" s="7" t="n">
        <v>0.900288230138403</v>
      </c>
      <c r="E176" s="7" t="n">
        <v>0.902992713455998</v>
      </c>
      <c r="F176" s="8" t="n">
        <f aca="true">IF(ROW()-2&gt;=Inputs!$B$4,AVERAGE(OFFSET(E176,1-Inputs!$B$4,0,Inputs!$B$4,1)),"")</f>
        <v>0.899872677950022</v>
      </c>
      <c r="G176" s="8" t="n">
        <f aca="true">IF(ROW()-2&gt;=Inputs!$B$5,AVERAGE(OFFSET(E176,1-Inputs!$B$5,0,Inputs!$B$5,1)),"")</f>
        <v>0.886700320291632</v>
      </c>
      <c r="H176" s="8" t="n">
        <f aca="false">MAX(C176-D176,ABS(C176-E175),ABS(D176-E175))</f>
        <v>0.00535907088588461</v>
      </c>
      <c r="I176" s="8" t="n">
        <f aca="true">IF(ROW()-2&lt;14,"",IF(ROW()-2=14,AVERAGE(OFFSET(H176,-13,0,14,1)),(I175*13+H176)/14))</f>
        <v>0.00833754311164422</v>
      </c>
      <c r="J176" s="9" t="b">
        <f aca="false">IF(AND(ISNUMBER(F176),ISNUMBER(G176),ISNUMBER(F175),ISNUMBER(G175)),AND(F176&gt;G176,F175&lt;=G175),FALSE())</f>
        <v>0</v>
      </c>
      <c r="K176" s="9" t="b">
        <f aca="false">IF(AND(ISNUMBER(F176),ISNUMBER(G176),ISNUMBER(F175),ISNUMBER(G175)),AND(F176&lt;G176,F175&gt;=G175),FALSE())</f>
        <v>0</v>
      </c>
      <c r="L176" s="8" t="n">
        <f aca="false">IF(ISNUMBER(I176),E176-Inputs!$B$6*I176,"")</f>
        <v>0.886317627232709</v>
      </c>
      <c r="M176" s="9" t="b">
        <f aca="false">AND(Y175&gt;0,Z175)</f>
        <v>0</v>
      </c>
      <c r="N176" s="8" t="n">
        <f aca="false">B176*(1-Inputs!$B$12)</f>
        <v>0.90526105513154</v>
      </c>
      <c r="O176" s="10" t="n">
        <f aca="false">IF(M176,Y175*(N176-AB175)-Inputs!$B$9-Y175*AD175*Inputs!$B$13*(A176-AC175),0)</f>
        <v>0</v>
      </c>
      <c r="P176" s="10" t="n">
        <f aca="false">X175+O176</f>
        <v>999</v>
      </c>
      <c r="Q176" s="9" t="b">
        <f aca="false">AND(IF(M176,0,Y175)=0,AA175,IF(ISNUMBER(AE175),B176&gt;AE175,FALSE()))</f>
        <v>0</v>
      </c>
      <c r="R176" s="8" t="n">
        <f aca="false">B176*(1+Inputs!$B$12)</f>
        <v>0.905623231988964</v>
      </c>
      <c r="S176" s="11" t="n">
        <f aca="false">IF(Q176,MIN(P176*Inputs!$B$3/(R176-AE175),P176*Inputs!$B$11/R176),0)</f>
        <v>0</v>
      </c>
      <c r="T176" s="11" t="n">
        <f aca="false">IF(Q176,S176,IF(M176,0,Y175))</f>
        <v>515.951204214585</v>
      </c>
      <c r="U176" s="8" t="n">
        <f aca="false">IF(Q176,AE175,AF175)</f>
        <v>0.842594980845593</v>
      </c>
      <c r="V176" s="9" t="b">
        <f aca="false">AND(T176&gt;0,D176&lt;=U176)</f>
        <v>0</v>
      </c>
      <c r="W176" s="10" t="n">
        <f aca="false">IF(V176,T176*(AK176-AB176)-Inputs!$B$9-T176*AD176*Inputs!$B$13*(A176-AC176),0)</f>
        <v>0</v>
      </c>
      <c r="X176" s="10" t="n">
        <f aca="false">P176-IF(Q176,Inputs!$B$9,0)+W176</f>
        <v>999</v>
      </c>
      <c r="Y176" s="11" t="n">
        <f aca="false">IF(V176,0,T176)</f>
        <v>515.951204214585</v>
      </c>
      <c r="Z176" s="9" t="b">
        <f aca="false">AND(Y176&gt;0,K176)</f>
        <v>0</v>
      </c>
      <c r="AA176" s="9" t="b">
        <f aca="false">AND(Y176=0,J176,ISNUMBER(L176))</f>
        <v>0</v>
      </c>
      <c r="AB176" s="8" t="n">
        <f aca="false">IF(Q176,R176,AB175)</f>
        <v>0.861976658644412</v>
      </c>
      <c r="AC176" s="12" t="n">
        <f aca="false">IF(Q176,A176,AC175)</f>
        <v>44890</v>
      </c>
      <c r="AD176" s="8" t="n">
        <f aca="false">IF(Q176,B176,AD175)</f>
        <v>0.861804297784855</v>
      </c>
      <c r="AE176" s="8" t="str">
        <f aca="false">IF(AA176,L176,"")</f>
        <v/>
      </c>
      <c r="AF176" s="8" t="n">
        <f aca="false">U176</f>
        <v>0.842594980845593</v>
      </c>
      <c r="AG176" s="2" t="n">
        <f aca="false">AG175+IF(Q176,1,0)</f>
        <v>1</v>
      </c>
      <c r="AH176" s="2" t="n">
        <f aca="false">AG175</f>
        <v>1</v>
      </c>
      <c r="AI176" s="10" t="n">
        <f aca="false">X176+Y176*(E176-AB176)-Y176*AD176*Inputs!$B$13*(A176-AC176)</f>
        <v>1014.61939851097</v>
      </c>
      <c r="AJ176" s="10" t="n">
        <v>0</v>
      </c>
      <c r="AK176" s="8" t="n">
        <f aca="false">IF(AND(B176&lt;=U176,NOT(Q176)),B176,U176)*(1-Inputs!$B$12)</f>
        <v>0.842426461849423</v>
      </c>
    </row>
    <row r="177" customFormat="false" ht="15" hidden="false" customHeight="false" outlineLevel="0" collapsed="false">
      <c r="A177" s="6" t="n">
        <v>44961</v>
      </c>
      <c r="B177" s="7" t="n">
        <v>0.902992713455998</v>
      </c>
      <c r="C177" s="7" t="n">
        <v>0.909126375065475</v>
      </c>
      <c r="D177" s="7" t="n">
        <v>0.891757358315148</v>
      </c>
      <c r="E177" s="7" t="n">
        <v>0.897232513462473</v>
      </c>
      <c r="F177" s="8" t="n">
        <f aca="true">IF(ROW()-2&gt;=Inputs!$B$4,AVERAGE(OFFSET(E177,1-Inputs!$B$4,0,Inputs!$B$4,1)),"")</f>
        <v>0.900518198343824</v>
      </c>
      <c r="G177" s="8" t="n">
        <f aca="true">IF(ROW()-2&gt;=Inputs!$B$5,AVERAGE(OFFSET(E177,1-Inputs!$B$5,0,Inputs!$B$5,1)),"")</f>
        <v>0.88731185318914</v>
      </c>
      <c r="H177" s="8" t="n">
        <f aca="false">MAX(C177-D177,ABS(C177-E176),ABS(D177-E176))</f>
        <v>0.0173690167503274</v>
      </c>
      <c r="I177" s="8" t="n">
        <f aca="true">IF(ROW()-2&lt;14,"",IF(ROW()-2=14,AVERAGE(OFFSET(H177,-13,0,14,1)),(I176*13+H177)/14))</f>
        <v>0.00898264837155017</v>
      </c>
      <c r="J177" s="9" t="b">
        <f aca="false">IF(AND(ISNUMBER(F177),ISNUMBER(G177),ISNUMBER(F176),ISNUMBER(G176)),AND(F177&gt;G177,F176&lt;=G176),FALSE())</f>
        <v>0</v>
      </c>
      <c r="K177" s="9" t="b">
        <f aca="false">IF(AND(ISNUMBER(F177),ISNUMBER(G177),ISNUMBER(F176),ISNUMBER(G176)),AND(F177&lt;G177,F176&gt;=G176),FALSE())</f>
        <v>0</v>
      </c>
      <c r="L177" s="8" t="n">
        <f aca="false">IF(ISNUMBER(I177),E177-Inputs!$B$6*I177,"")</f>
        <v>0.879267216719373</v>
      </c>
      <c r="M177" s="9" t="b">
        <f aca="false">AND(Y176&gt;0,Z176)</f>
        <v>0</v>
      </c>
      <c r="N177" s="8" t="n">
        <f aca="false">B177*(1-Inputs!$B$12)</f>
        <v>0.902812114913307</v>
      </c>
      <c r="O177" s="10" t="n">
        <f aca="false">IF(M177,Y176*(N177-AB176)-Inputs!$B$9-Y176*AD176*Inputs!$B$13*(A177-AC176),0)</f>
        <v>0</v>
      </c>
      <c r="P177" s="10" t="n">
        <f aca="false">X176+O177</f>
        <v>999</v>
      </c>
      <c r="Q177" s="9" t="b">
        <f aca="false">AND(IF(M177,0,Y176)=0,AA176,IF(ISNUMBER(AE176),B177&gt;AE176,FALSE()))</f>
        <v>0</v>
      </c>
      <c r="R177" s="8" t="n">
        <f aca="false">B177*(1+Inputs!$B$12)</f>
        <v>0.903173311998689</v>
      </c>
      <c r="S177" s="11" t="n">
        <f aca="false">IF(Q177,MIN(P177*Inputs!$B$3/(R177-AE176),P177*Inputs!$B$11/R177),0)</f>
        <v>0</v>
      </c>
      <c r="T177" s="11" t="n">
        <f aca="false">IF(Q177,S177,IF(M177,0,Y176))</f>
        <v>515.951204214585</v>
      </c>
      <c r="U177" s="8" t="n">
        <f aca="false">IF(Q177,AE176,AF176)</f>
        <v>0.842594980845593</v>
      </c>
      <c r="V177" s="9" t="b">
        <f aca="false">AND(T177&gt;0,D177&lt;=U177)</f>
        <v>0</v>
      </c>
      <c r="W177" s="10" t="n">
        <f aca="false">IF(V177,T177*(AK177-AB177)-Inputs!$B$9-T177*AD177*Inputs!$B$13*(A177-AC177),0)</f>
        <v>0</v>
      </c>
      <c r="X177" s="10" t="n">
        <f aca="false">P177-IF(Q177,Inputs!$B$9,0)+W177</f>
        <v>999</v>
      </c>
      <c r="Y177" s="11" t="n">
        <f aca="false">IF(V177,0,T177)</f>
        <v>515.951204214585</v>
      </c>
      <c r="Z177" s="9" t="b">
        <f aca="false">AND(Y177&gt;0,K177)</f>
        <v>0</v>
      </c>
      <c r="AA177" s="9" t="b">
        <f aca="false">AND(Y177=0,J177,ISNUMBER(L177))</f>
        <v>0</v>
      </c>
      <c r="AB177" s="8" t="n">
        <f aca="false">IF(Q177,R177,AB176)</f>
        <v>0.861976658644412</v>
      </c>
      <c r="AC177" s="12" t="n">
        <f aca="false">IF(Q177,A177,AC176)</f>
        <v>44890</v>
      </c>
      <c r="AD177" s="8" t="n">
        <f aca="false">IF(Q177,B177,AD176)</f>
        <v>0.861804297784855</v>
      </c>
      <c r="AE177" s="8" t="str">
        <f aca="false">IF(AA177,L177,"")</f>
        <v/>
      </c>
      <c r="AF177" s="8" t="n">
        <f aca="false">U177</f>
        <v>0.842594980845593</v>
      </c>
      <c r="AG177" s="2" t="n">
        <f aca="false">AG176+IF(Q177,1,0)</f>
        <v>1</v>
      </c>
      <c r="AH177" s="2" t="n">
        <f aca="false">AG176</f>
        <v>1</v>
      </c>
      <c r="AI177" s="10" t="n">
        <f aca="false">X177+Y177*(E177-AB177)-Y177*AD177*Inputs!$B$13*(A177-AC177)</f>
        <v>1011.56823232549</v>
      </c>
      <c r="AJ177" s="10" t="n">
        <v>0</v>
      </c>
      <c r="AK177" s="8" t="n">
        <f aca="false">IF(AND(B177&lt;=U177,NOT(Q177)),B177,U177)*(1-Inputs!$B$12)</f>
        <v>0.842426461849423</v>
      </c>
    </row>
    <row r="178" customFormat="false" ht="15" hidden="false" customHeight="false" outlineLevel="0" collapsed="false">
      <c r="A178" s="6" t="n">
        <v>44962</v>
      </c>
      <c r="B178" s="7" t="n">
        <v>0.897232513462473</v>
      </c>
      <c r="C178" s="7" t="n">
        <v>0.89988581468449</v>
      </c>
      <c r="D178" s="7" t="n">
        <v>0.894563042147056</v>
      </c>
      <c r="E178" s="7" t="n">
        <v>0.896634124174</v>
      </c>
      <c r="F178" s="8" t="n">
        <f aca="true">IF(ROW()-2&gt;=Inputs!$B$4,AVERAGE(OFFSET(E178,1-Inputs!$B$4,0,Inputs!$B$4,1)),"")</f>
        <v>0.901316838185524</v>
      </c>
      <c r="G178" s="8" t="n">
        <f aca="true">IF(ROW()-2&gt;=Inputs!$B$5,AVERAGE(OFFSET(E178,1-Inputs!$B$5,0,Inputs!$B$5,1)),"")</f>
        <v>0.887887988365124</v>
      </c>
      <c r="H178" s="8" t="n">
        <f aca="false">MAX(C178-D178,ABS(C178-E177),ABS(D178-E177))</f>
        <v>0.00532277253743385</v>
      </c>
      <c r="I178" s="8" t="n">
        <f aca="true">IF(ROW()-2&lt;14,"",IF(ROW()-2=14,AVERAGE(OFFSET(H178,-13,0,14,1)),(I177*13+H178)/14))</f>
        <v>0.00872122866911329</v>
      </c>
      <c r="J178" s="9" t="b">
        <f aca="false">IF(AND(ISNUMBER(F178),ISNUMBER(G178),ISNUMBER(F177),ISNUMBER(G177)),AND(F178&gt;G178,F177&lt;=G177),FALSE())</f>
        <v>0</v>
      </c>
      <c r="K178" s="9" t="b">
        <f aca="false">IF(AND(ISNUMBER(F178),ISNUMBER(G178),ISNUMBER(F177),ISNUMBER(G177)),AND(F178&lt;G178,F177&gt;=G177),FALSE())</f>
        <v>0</v>
      </c>
      <c r="L178" s="8" t="n">
        <f aca="false">IF(ISNUMBER(I178),E178-Inputs!$B$6*I178,"")</f>
        <v>0.879191666835773</v>
      </c>
      <c r="M178" s="9" t="b">
        <f aca="false">AND(Y177&gt;0,Z177)</f>
        <v>0</v>
      </c>
      <c r="N178" s="8" t="n">
        <f aca="false">B178*(1-Inputs!$B$12)</f>
        <v>0.897053066959781</v>
      </c>
      <c r="O178" s="10" t="n">
        <f aca="false">IF(M178,Y177*(N178-AB177)-Inputs!$B$9-Y177*AD177*Inputs!$B$13*(A178-AC177),0)</f>
        <v>0</v>
      </c>
      <c r="P178" s="10" t="n">
        <f aca="false">X177+O178</f>
        <v>999</v>
      </c>
      <c r="Q178" s="9" t="b">
        <f aca="false">AND(IF(M178,0,Y177)=0,AA177,IF(ISNUMBER(AE177),B178&gt;AE177,FALSE()))</f>
        <v>0</v>
      </c>
      <c r="R178" s="8" t="n">
        <f aca="false">B178*(1+Inputs!$B$12)</f>
        <v>0.897411959965166</v>
      </c>
      <c r="S178" s="11" t="n">
        <f aca="false">IF(Q178,MIN(P178*Inputs!$B$3/(R178-AE177),P178*Inputs!$B$11/R178),0)</f>
        <v>0</v>
      </c>
      <c r="T178" s="11" t="n">
        <f aca="false">IF(Q178,S178,IF(M178,0,Y177))</f>
        <v>515.951204214585</v>
      </c>
      <c r="U178" s="8" t="n">
        <f aca="false">IF(Q178,AE177,AF177)</f>
        <v>0.842594980845593</v>
      </c>
      <c r="V178" s="9" t="b">
        <f aca="false">AND(T178&gt;0,D178&lt;=U178)</f>
        <v>0</v>
      </c>
      <c r="W178" s="10" t="n">
        <f aca="false">IF(V178,T178*(AK178-AB178)-Inputs!$B$9-T178*AD178*Inputs!$B$13*(A178-AC178),0)</f>
        <v>0</v>
      </c>
      <c r="X178" s="10" t="n">
        <f aca="false">P178-IF(Q178,Inputs!$B$9,0)+W178</f>
        <v>999</v>
      </c>
      <c r="Y178" s="11" t="n">
        <f aca="false">IF(V178,0,T178)</f>
        <v>515.951204214585</v>
      </c>
      <c r="Z178" s="9" t="b">
        <f aca="false">AND(Y178&gt;0,K178)</f>
        <v>0</v>
      </c>
      <c r="AA178" s="9" t="b">
        <f aca="false">AND(Y178=0,J178,ISNUMBER(L178))</f>
        <v>0</v>
      </c>
      <c r="AB178" s="8" t="n">
        <f aca="false">IF(Q178,R178,AB177)</f>
        <v>0.861976658644412</v>
      </c>
      <c r="AC178" s="12" t="n">
        <f aca="false">IF(Q178,A178,AC177)</f>
        <v>44890</v>
      </c>
      <c r="AD178" s="8" t="n">
        <f aca="false">IF(Q178,B178,AD177)</f>
        <v>0.861804297784855</v>
      </c>
      <c r="AE178" s="8" t="str">
        <f aca="false">IF(AA178,L178,"")</f>
        <v/>
      </c>
      <c r="AF178" s="8" t="n">
        <f aca="false">U178</f>
        <v>0.842594980845593</v>
      </c>
      <c r="AG178" s="2" t="n">
        <f aca="false">AG177+IF(Q178,1,0)</f>
        <v>1</v>
      </c>
      <c r="AH178" s="2" t="n">
        <f aca="false">AG177</f>
        <v>1</v>
      </c>
      <c r="AI178" s="10" t="n">
        <f aca="false">X178+Y178*(E178-AB178)-Y178*AD178*Inputs!$B$13*(A178-AC178)</f>
        <v>1011.18030858921</v>
      </c>
      <c r="AJ178" s="10" t="n">
        <v>0</v>
      </c>
      <c r="AK178" s="8" t="n">
        <f aca="false">IF(AND(B178&lt;=U178,NOT(Q178)),B178,U178)*(1-Inputs!$B$12)</f>
        <v>0.842426461849423</v>
      </c>
    </row>
    <row r="179" customFormat="false" ht="15" hidden="false" customHeight="false" outlineLevel="0" collapsed="false">
      <c r="A179" s="6" t="n">
        <v>44963</v>
      </c>
      <c r="B179" s="7" t="n">
        <v>0.896634124174</v>
      </c>
      <c r="C179" s="7" t="n">
        <v>0.902000791199603</v>
      </c>
      <c r="D179" s="7" t="n">
        <v>0.891860422370026</v>
      </c>
      <c r="E179" s="7" t="n">
        <v>0.899799126345335</v>
      </c>
      <c r="F179" s="8" t="n">
        <f aca="true">IF(ROW()-2&gt;=Inputs!$B$4,AVERAGE(OFFSET(E179,1-Inputs!$B$4,0,Inputs!$B$4,1)),"")</f>
        <v>0.902070046664567</v>
      </c>
      <c r="G179" s="8" t="n">
        <f aca="true">IF(ROW()-2&gt;=Inputs!$B$5,AVERAGE(OFFSET(E179,1-Inputs!$B$5,0,Inputs!$B$5,1)),"")</f>
        <v>0.888621407862468</v>
      </c>
      <c r="H179" s="8" t="n">
        <f aca="false">MAX(C179-D179,ABS(C179-E178),ABS(D179-E178))</f>
        <v>0.0101403688295761</v>
      </c>
      <c r="I179" s="8" t="n">
        <f aca="true">IF(ROW()-2&lt;14,"",IF(ROW()-2=14,AVERAGE(OFFSET(H179,-13,0,14,1)),(I178*13+H179)/14))</f>
        <v>0.00882259582343206</v>
      </c>
      <c r="J179" s="9" t="b">
        <f aca="false">IF(AND(ISNUMBER(F179),ISNUMBER(G179),ISNUMBER(F178),ISNUMBER(G178)),AND(F179&gt;G179,F178&lt;=G178),FALSE())</f>
        <v>0</v>
      </c>
      <c r="K179" s="9" t="b">
        <f aca="false">IF(AND(ISNUMBER(F179),ISNUMBER(G179),ISNUMBER(F178),ISNUMBER(G178)),AND(F179&lt;G179,F178&gt;=G178),FALSE())</f>
        <v>0</v>
      </c>
      <c r="L179" s="8" t="n">
        <f aca="false">IF(ISNUMBER(I179),E179-Inputs!$B$6*I179,"")</f>
        <v>0.882153934698471</v>
      </c>
      <c r="M179" s="9" t="b">
        <f aca="false">AND(Y178&gt;0,Z178)</f>
        <v>0</v>
      </c>
      <c r="N179" s="8" t="n">
        <f aca="false">B179*(1-Inputs!$B$12)</f>
        <v>0.896454797349165</v>
      </c>
      <c r="O179" s="10" t="n">
        <f aca="false">IF(M179,Y178*(N179-AB178)-Inputs!$B$9-Y178*AD178*Inputs!$B$13*(A179-AC178),0)</f>
        <v>0</v>
      </c>
      <c r="P179" s="10" t="n">
        <f aca="false">X178+O179</f>
        <v>999</v>
      </c>
      <c r="Q179" s="9" t="b">
        <f aca="false">AND(IF(M179,0,Y178)=0,AA178,IF(ISNUMBER(AE178),B179&gt;AE178,FALSE()))</f>
        <v>0</v>
      </c>
      <c r="R179" s="8" t="n">
        <f aca="false">B179*(1+Inputs!$B$12)</f>
        <v>0.896813450998835</v>
      </c>
      <c r="S179" s="11" t="n">
        <f aca="false">IF(Q179,MIN(P179*Inputs!$B$3/(R179-AE178),P179*Inputs!$B$11/R179),0)</f>
        <v>0</v>
      </c>
      <c r="T179" s="11" t="n">
        <f aca="false">IF(Q179,S179,IF(M179,0,Y178))</f>
        <v>515.951204214585</v>
      </c>
      <c r="U179" s="8" t="n">
        <f aca="false">IF(Q179,AE178,AF178)</f>
        <v>0.842594980845593</v>
      </c>
      <c r="V179" s="9" t="b">
        <f aca="false">AND(T179&gt;0,D179&lt;=U179)</f>
        <v>0</v>
      </c>
      <c r="W179" s="10" t="n">
        <f aca="false">IF(V179,T179*(AK179-AB179)-Inputs!$B$9-T179*AD179*Inputs!$B$13*(A179-AC179),0)</f>
        <v>0</v>
      </c>
      <c r="X179" s="10" t="n">
        <f aca="false">P179-IF(Q179,Inputs!$B$9,0)+W179</f>
        <v>999</v>
      </c>
      <c r="Y179" s="11" t="n">
        <f aca="false">IF(V179,0,T179)</f>
        <v>515.951204214585</v>
      </c>
      <c r="Z179" s="9" t="b">
        <f aca="false">AND(Y179&gt;0,K179)</f>
        <v>0</v>
      </c>
      <c r="AA179" s="9" t="b">
        <f aca="false">AND(Y179=0,J179,ISNUMBER(L179))</f>
        <v>0</v>
      </c>
      <c r="AB179" s="8" t="n">
        <f aca="false">IF(Q179,R179,AB178)</f>
        <v>0.861976658644412</v>
      </c>
      <c r="AC179" s="12" t="n">
        <f aca="false">IF(Q179,A179,AC178)</f>
        <v>44890</v>
      </c>
      <c r="AD179" s="8" t="n">
        <f aca="false">IF(Q179,B179,AD178)</f>
        <v>0.861804297784855</v>
      </c>
      <c r="AE179" s="8" t="str">
        <f aca="false">IF(AA179,L179,"")</f>
        <v/>
      </c>
      <c r="AF179" s="8" t="n">
        <f aca="false">U179</f>
        <v>0.842594980845593</v>
      </c>
      <c r="AG179" s="2" t="n">
        <f aca="false">AG178+IF(Q179,1,0)</f>
        <v>1</v>
      </c>
      <c r="AH179" s="2" t="n">
        <f aca="false">AG178</f>
        <v>1</v>
      </c>
      <c r="AI179" s="10" t="n">
        <f aca="false">X179+Y179*(E179-AB179)-Y179*AD179*Inputs!$B$13*(A179-AC179)</f>
        <v>1012.73411120855</v>
      </c>
      <c r="AJ179" s="10" t="n">
        <v>0</v>
      </c>
      <c r="AK179" s="8" t="n">
        <f aca="false">IF(AND(B179&lt;=U179,NOT(Q179)),B179,U179)*(1-Inputs!$B$12)</f>
        <v>0.842426461849423</v>
      </c>
    </row>
    <row r="180" customFormat="false" ht="15" hidden="false" customHeight="false" outlineLevel="0" collapsed="false">
      <c r="A180" s="6" t="n">
        <v>44964</v>
      </c>
      <c r="B180" s="7" t="n">
        <v>0.899799126345335</v>
      </c>
      <c r="C180" s="7" t="n">
        <v>0.910641386197425</v>
      </c>
      <c r="D180" s="7" t="n">
        <v>0.895388211806832</v>
      </c>
      <c r="E180" s="7" t="n">
        <v>0.903148898412039</v>
      </c>
      <c r="F180" s="8" t="n">
        <f aca="true">IF(ROW()-2&gt;=Inputs!$B$4,AVERAGE(OFFSET(E180,1-Inputs!$B$4,0,Inputs!$B$4,1)),"")</f>
        <v>0.902823363989864</v>
      </c>
      <c r="G180" s="8" t="n">
        <f aca="true">IF(ROW()-2&gt;=Inputs!$B$5,AVERAGE(OFFSET(E180,1-Inputs!$B$5,0,Inputs!$B$5,1)),"")</f>
        <v>0.889420067175256</v>
      </c>
      <c r="H180" s="8" t="n">
        <f aca="false">MAX(C180-D180,ABS(C180-E179),ABS(D180-E179))</f>
        <v>0.015253174390593</v>
      </c>
      <c r="I180" s="8" t="n">
        <f aca="true">IF(ROW()-2&lt;14,"",IF(ROW()-2=14,AVERAGE(OFFSET(H180,-13,0,14,1)),(I179*13+H180)/14))</f>
        <v>0.00928192286394356</v>
      </c>
      <c r="J180" s="9" t="b">
        <f aca="false">IF(AND(ISNUMBER(F180),ISNUMBER(G180),ISNUMBER(F179),ISNUMBER(G179)),AND(F180&gt;G180,F179&lt;=G179),FALSE())</f>
        <v>0</v>
      </c>
      <c r="K180" s="9" t="b">
        <f aca="false">IF(AND(ISNUMBER(F180),ISNUMBER(G180),ISNUMBER(F179),ISNUMBER(G179)),AND(F180&lt;G180,F179&gt;=G179),FALSE())</f>
        <v>0</v>
      </c>
      <c r="L180" s="8" t="n">
        <f aca="false">IF(ISNUMBER(I180),E180-Inputs!$B$6*I180,"")</f>
        <v>0.884585052684152</v>
      </c>
      <c r="M180" s="9" t="b">
        <f aca="false">AND(Y179&gt;0,Z179)</f>
        <v>0</v>
      </c>
      <c r="N180" s="8" t="n">
        <f aca="false">B180*(1-Inputs!$B$12)</f>
        <v>0.899619166520066</v>
      </c>
      <c r="O180" s="10" t="n">
        <f aca="false">IF(M180,Y179*(N180-AB179)-Inputs!$B$9-Y179*AD179*Inputs!$B$13*(A180-AC179),0)</f>
        <v>0</v>
      </c>
      <c r="P180" s="10" t="n">
        <f aca="false">X179+O180</f>
        <v>999</v>
      </c>
      <c r="Q180" s="9" t="b">
        <f aca="false">AND(IF(M180,0,Y179)=0,AA179,IF(ISNUMBER(AE179),B180&gt;AE179,FALSE()))</f>
        <v>0</v>
      </c>
      <c r="R180" s="8" t="n">
        <f aca="false">B180*(1+Inputs!$B$12)</f>
        <v>0.899979086170604</v>
      </c>
      <c r="S180" s="11" t="n">
        <f aca="false">IF(Q180,MIN(P180*Inputs!$B$3/(R180-AE179),P180*Inputs!$B$11/R180),0)</f>
        <v>0</v>
      </c>
      <c r="T180" s="11" t="n">
        <f aca="false">IF(Q180,S180,IF(M180,0,Y179))</f>
        <v>515.951204214585</v>
      </c>
      <c r="U180" s="8" t="n">
        <f aca="false">IF(Q180,AE179,AF179)</f>
        <v>0.842594980845593</v>
      </c>
      <c r="V180" s="9" t="b">
        <f aca="false">AND(T180&gt;0,D180&lt;=U180)</f>
        <v>0</v>
      </c>
      <c r="W180" s="10" t="n">
        <f aca="false">IF(V180,T180*(AK180-AB180)-Inputs!$B$9-T180*AD180*Inputs!$B$13*(A180-AC180),0)</f>
        <v>0</v>
      </c>
      <c r="X180" s="10" t="n">
        <f aca="false">P180-IF(Q180,Inputs!$B$9,0)+W180</f>
        <v>999</v>
      </c>
      <c r="Y180" s="11" t="n">
        <f aca="false">IF(V180,0,T180)</f>
        <v>515.951204214585</v>
      </c>
      <c r="Z180" s="9" t="b">
        <f aca="false">AND(Y180&gt;0,K180)</f>
        <v>0</v>
      </c>
      <c r="AA180" s="9" t="b">
        <f aca="false">AND(Y180=0,J180,ISNUMBER(L180))</f>
        <v>0</v>
      </c>
      <c r="AB180" s="8" t="n">
        <f aca="false">IF(Q180,R180,AB179)</f>
        <v>0.861976658644412</v>
      </c>
      <c r="AC180" s="12" t="n">
        <f aca="false">IF(Q180,A180,AC179)</f>
        <v>44890</v>
      </c>
      <c r="AD180" s="8" t="n">
        <f aca="false">IF(Q180,B180,AD179)</f>
        <v>0.861804297784855</v>
      </c>
      <c r="AE180" s="8" t="str">
        <f aca="false">IF(AA180,L180,"")</f>
        <v/>
      </c>
      <c r="AF180" s="8" t="n">
        <f aca="false">U180</f>
        <v>0.842594980845593</v>
      </c>
      <c r="AG180" s="2" t="n">
        <f aca="false">AG179+IF(Q180,1,0)</f>
        <v>1</v>
      </c>
      <c r="AH180" s="2" t="n">
        <f aca="false">AG179</f>
        <v>1</v>
      </c>
      <c r="AI180" s="10" t="n">
        <f aca="false">X180+Y180*(E180-AB180)-Y180*AD180*Inputs!$B$13*(A180-AC180)</f>
        <v>1014.3832460779</v>
      </c>
      <c r="AJ180" s="10" t="n">
        <v>0</v>
      </c>
      <c r="AK180" s="8" t="n">
        <f aca="false">IF(AND(B180&lt;=U180,NOT(Q180)),B180,U180)*(1-Inputs!$B$12)</f>
        <v>0.842426461849423</v>
      </c>
    </row>
    <row r="181" customFormat="false" ht="15" hidden="false" customHeight="false" outlineLevel="0" collapsed="false">
      <c r="A181" s="6" t="n">
        <v>44965</v>
      </c>
      <c r="B181" s="7" t="n">
        <v>0.903148898412039</v>
      </c>
      <c r="C181" s="7" t="n">
        <v>0.904879144981562</v>
      </c>
      <c r="D181" s="7" t="n">
        <v>0.899529390340383</v>
      </c>
      <c r="E181" s="7" t="n">
        <v>0.902876163687845</v>
      </c>
      <c r="F181" s="8" t="n">
        <f aca="true">IF(ROW()-2&gt;=Inputs!$B$4,AVERAGE(OFFSET(E181,1-Inputs!$B$4,0,Inputs!$B$4,1)),"")</f>
        <v>0.903464060296252</v>
      </c>
      <c r="G181" s="8" t="n">
        <f aca="true">IF(ROW()-2&gt;=Inputs!$B$5,AVERAGE(OFFSET(E181,1-Inputs!$B$5,0,Inputs!$B$5,1)),"")</f>
        <v>0.890164596257748</v>
      </c>
      <c r="H181" s="8" t="n">
        <f aca="false">MAX(C181-D181,ABS(C181-E180),ABS(D181-E180))</f>
        <v>0.00534975464117937</v>
      </c>
      <c r="I181" s="8" t="n">
        <f aca="true">IF(ROW()-2&lt;14,"",IF(ROW()-2=14,AVERAGE(OFFSET(H181,-13,0,14,1)),(I180*13+H181)/14))</f>
        <v>0.00900105370517469</v>
      </c>
      <c r="J181" s="9" t="b">
        <f aca="false">IF(AND(ISNUMBER(F181),ISNUMBER(G181),ISNUMBER(F180),ISNUMBER(G180)),AND(F181&gt;G181,F180&lt;=G180),FALSE())</f>
        <v>0</v>
      </c>
      <c r="K181" s="9" t="b">
        <f aca="false">IF(AND(ISNUMBER(F181),ISNUMBER(G181),ISNUMBER(F180),ISNUMBER(G180)),AND(F181&lt;G181,F180&gt;=G180),FALSE())</f>
        <v>0</v>
      </c>
      <c r="L181" s="8" t="n">
        <f aca="false">IF(ISNUMBER(I181),E181-Inputs!$B$6*I181,"")</f>
        <v>0.884874056277496</v>
      </c>
      <c r="M181" s="9" t="b">
        <f aca="false">AND(Y180&gt;0,Z180)</f>
        <v>0</v>
      </c>
      <c r="N181" s="8" t="n">
        <f aca="false">B181*(1-Inputs!$B$12)</f>
        <v>0.902968268632357</v>
      </c>
      <c r="O181" s="10" t="n">
        <f aca="false">IF(M181,Y180*(N181-AB180)-Inputs!$B$9-Y180*AD180*Inputs!$B$13*(A181-AC180),0)</f>
        <v>0</v>
      </c>
      <c r="P181" s="10" t="n">
        <f aca="false">X180+O181</f>
        <v>999</v>
      </c>
      <c r="Q181" s="9" t="b">
        <f aca="false">AND(IF(M181,0,Y180)=0,AA180,IF(ISNUMBER(AE180),B181&gt;AE180,FALSE()))</f>
        <v>0</v>
      </c>
      <c r="R181" s="8" t="n">
        <f aca="false">B181*(1+Inputs!$B$12)</f>
        <v>0.903329528191722</v>
      </c>
      <c r="S181" s="11" t="n">
        <f aca="false">IF(Q181,MIN(P181*Inputs!$B$3/(R181-AE180),P181*Inputs!$B$11/R181),0)</f>
        <v>0</v>
      </c>
      <c r="T181" s="11" t="n">
        <f aca="false">IF(Q181,S181,IF(M181,0,Y180))</f>
        <v>515.951204214585</v>
      </c>
      <c r="U181" s="8" t="n">
        <f aca="false">IF(Q181,AE180,AF180)</f>
        <v>0.842594980845593</v>
      </c>
      <c r="V181" s="9" t="b">
        <f aca="false">AND(T181&gt;0,D181&lt;=U181)</f>
        <v>0</v>
      </c>
      <c r="W181" s="10" t="n">
        <f aca="false">IF(V181,T181*(AK181-AB181)-Inputs!$B$9-T181*AD181*Inputs!$B$13*(A181-AC181),0)</f>
        <v>0</v>
      </c>
      <c r="X181" s="10" t="n">
        <f aca="false">P181-IF(Q181,Inputs!$B$9,0)+W181</f>
        <v>999</v>
      </c>
      <c r="Y181" s="11" t="n">
        <f aca="false">IF(V181,0,T181)</f>
        <v>515.951204214585</v>
      </c>
      <c r="Z181" s="9" t="b">
        <f aca="false">AND(Y181&gt;0,K181)</f>
        <v>0</v>
      </c>
      <c r="AA181" s="9" t="b">
        <f aca="false">AND(Y181=0,J181,ISNUMBER(L181))</f>
        <v>0</v>
      </c>
      <c r="AB181" s="8" t="n">
        <f aca="false">IF(Q181,R181,AB180)</f>
        <v>0.861976658644412</v>
      </c>
      <c r="AC181" s="12" t="n">
        <f aca="false">IF(Q181,A181,AC180)</f>
        <v>44890</v>
      </c>
      <c r="AD181" s="8" t="n">
        <f aca="false">IF(Q181,B181,AD180)</f>
        <v>0.861804297784855</v>
      </c>
      <c r="AE181" s="8" t="str">
        <f aca="false">IF(AA181,L181,"")</f>
        <v/>
      </c>
      <c r="AF181" s="8" t="n">
        <f aca="false">U181</f>
        <v>0.842594980845593</v>
      </c>
      <c r="AG181" s="2" t="n">
        <f aca="false">AG180+IF(Q181,1,0)</f>
        <v>1</v>
      </c>
      <c r="AH181" s="2" t="n">
        <f aca="false">AG180</f>
        <v>1</v>
      </c>
      <c r="AI181" s="10" t="n">
        <f aca="false">X181+Y181*(E181-AB181)-Y181*AD181*Inputs!$B$13*(A181-AC181)</f>
        <v>1014.16334420622</v>
      </c>
      <c r="AJ181" s="10" t="n">
        <v>0</v>
      </c>
      <c r="AK181" s="8" t="n">
        <f aca="false">IF(AND(B181&lt;=U181,NOT(Q181)),B181,U181)*(1-Inputs!$B$12)</f>
        <v>0.842426461849423</v>
      </c>
    </row>
    <row r="182" customFormat="false" ht="15" hidden="false" customHeight="false" outlineLevel="0" collapsed="false">
      <c r="A182" s="6" t="n">
        <v>44966</v>
      </c>
      <c r="B182" s="7" t="n">
        <v>0.902876163687845</v>
      </c>
      <c r="C182" s="7" t="n">
        <v>0.917014565606468</v>
      </c>
      <c r="D182" s="7" t="n">
        <v>0.900231268057549</v>
      </c>
      <c r="E182" s="7" t="n">
        <v>0.90762502820812</v>
      </c>
      <c r="F182" s="8" t="n">
        <f aca="true">IF(ROW()-2&gt;=Inputs!$B$4,AVERAGE(OFFSET(E182,1-Inputs!$B$4,0,Inputs!$B$4,1)),"")</f>
        <v>0.904056279001278</v>
      </c>
      <c r="G182" s="8" t="n">
        <f aca="true">IF(ROW()-2&gt;=Inputs!$B$5,AVERAGE(OFFSET(E182,1-Inputs!$B$5,0,Inputs!$B$5,1)),"")</f>
        <v>0.890885776590479</v>
      </c>
      <c r="H182" s="8" t="n">
        <f aca="false">MAX(C182-D182,ABS(C182-E181),ABS(D182-E181))</f>
        <v>0.0167832975489185</v>
      </c>
      <c r="I182" s="8" t="n">
        <f aca="true">IF(ROW()-2&lt;14,"",IF(ROW()-2=14,AVERAGE(OFFSET(H182,-13,0,14,1)),(I181*13+H182)/14))</f>
        <v>0.0095569282654421</v>
      </c>
      <c r="J182" s="9" t="b">
        <f aca="false">IF(AND(ISNUMBER(F182),ISNUMBER(G182),ISNUMBER(F181),ISNUMBER(G181)),AND(F182&gt;G182,F181&lt;=G181),FALSE())</f>
        <v>0</v>
      </c>
      <c r="K182" s="9" t="b">
        <f aca="false">IF(AND(ISNUMBER(F182),ISNUMBER(G182),ISNUMBER(F181),ISNUMBER(G181)),AND(F182&lt;G182,F181&gt;=G181),FALSE())</f>
        <v>0</v>
      </c>
      <c r="L182" s="8" t="n">
        <f aca="false">IF(ISNUMBER(I182),E182-Inputs!$B$6*I182,"")</f>
        <v>0.888511171677236</v>
      </c>
      <c r="M182" s="9" t="b">
        <f aca="false">AND(Y181&gt;0,Z181)</f>
        <v>0</v>
      </c>
      <c r="N182" s="8" t="n">
        <f aca="false">B182*(1-Inputs!$B$12)</f>
        <v>0.902695588455107</v>
      </c>
      <c r="O182" s="10" t="n">
        <f aca="false">IF(M182,Y181*(N182-AB181)-Inputs!$B$9-Y181*AD181*Inputs!$B$13*(A182-AC181),0)</f>
        <v>0</v>
      </c>
      <c r="P182" s="10" t="n">
        <f aca="false">X181+O182</f>
        <v>999</v>
      </c>
      <c r="Q182" s="9" t="b">
        <f aca="false">AND(IF(M182,0,Y181)=0,AA181,IF(ISNUMBER(AE181),B182&gt;AE181,FALSE()))</f>
        <v>0</v>
      </c>
      <c r="R182" s="8" t="n">
        <f aca="false">B182*(1+Inputs!$B$12)</f>
        <v>0.903056738920583</v>
      </c>
      <c r="S182" s="11" t="n">
        <f aca="false">IF(Q182,MIN(P182*Inputs!$B$3/(R182-AE181),P182*Inputs!$B$11/R182),0)</f>
        <v>0</v>
      </c>
      <c r="T182" s="11" t="n">
        <f aca="false">IF(Q182,S182,IF(M182,0,Y181))</f>
        <v>515.951204214585</v>
      </c>
      <c r="U182" s="8" t="n">
        <f aca="false">IF(Q182,AE181,AF181)</f>
        <v>0.842594980845593</v>
      </c>
      <c r="V182" s="9" t="b">
        <f aca="false">AND(T182&gt;0,D182&lt;=U182)</f>
        <v>0</v>
      </c>
      <c r="W182" s="10" t="n">
        <f aca="false">IF(V182,T182*(AK182-AB182)-Inputs!$B$9-T182*AD182*Inputs!$B$13*(A182-AC182),0)</f>
        <v>0</v>
      </c>
      <c r="X182" s="10" t="n">
        <f aca="false">P182-IF(Q182,Inputs!$B$9,0)+W182</f>
        <v>999</v>
      </c>
      <c r="Y182" s="11" t="n">
        <f aca="false">IF(V182,0,T182)</f>
        <v>515.951204214585</v>
      </c>
      <c r="Z182" s="9" t="b">
        <f aca="false">AND(Y182&gt;0,K182)</f>
        <v>0</v>
      </c>
      <c r="AA182" s="9" t="b">
        <f aca="false">AND(Y182=0,J182,ISNUMBER(L182))</f>
        <v>0</v>
      </c>
      <c r="AB182" s="8" t="n">
        <f aca="false">IF(Q182,R182,AB181)</f>
        <v>0.861976658644412</v>
      </c>
      <c r="AC182" s="12" t="n">
        <f aca="false">IF(Q182,A182,AC181)</f>
        <v>44890</v>
      </c>
      <c r="AD182" s="8" t="n">
        <f aca="false">IF(Q182,B182,AD181)</f>
        <v>0.861804297784855</v>
      </c>
      <c r="AE182" s="8" t="str">
        <f aca="false">IF(AA182,L182,"")</f>
        <v/>
      </c>
      <c r="AF182" s="8" t="n">
        <f aca="false">U182</f>
        <v>0.842594980845593</v>
      </c>
      <c r="AG182" s="2" t="n">
        <f aca="false">AG181+IF(Q182,1,0)</f>
        <v>1</v>
      </c>
      <c r="AH182" s="2" t="n">
        <f aca="false">AG181</f>
        <v>1</v>
      </c>
      <c r="AI182" s="10" t="n">
        <f aca="false">X182+Y182*(E182-AB182)-Y182*AD182*Inputs!$B$13*(A182-AC182)</f>
        <v>1016.53434251181</v>
      </c>
      <c r="AJ182" s="10" t="n">
        <v>0</v>
      </c>
      <c r="AK182" s="8" t="n">
        <f aca="false">IF(AND(B182&lt;=U182,NOT(Q182)),B182,U182)*(1-Inputs!$B$12)</f>
        <v>0.842426461849423</v>
      </c>
    </row>
    <row r="183" customFormat="false" ht="15" hidden="false" customHeight="false" outlineLevel="0" collapsed="false">
      <c r="A183" s="6" t="n">
        <v>44967</v>
      </c>
      <c r="B183" s="7" t="n">
        <v>0.90762502820812</v>
      </c>
      <c r="C183" s="7" t="n">
        <v>0.90944368265531</v>
      </c>
      <c r="D183" s="7" t="n">
        <v>0.901700613697834</v>
      </c>
      <c r="E183" s="7" t="n">
        <v>0.902163610478197</v>
      </c>
      <c r="F183" s="8" t="n">
        <f aca="true">IF(ROW()-2&gt;=Inputs!$B$4,AVERAGE(OFFSET(E183,1-Inputs!$B$4,0,Inputs!$B$4,1)),"")</f>
        <v>0.904107261141849</v>
      </c>
      <c r="G183" s="8" t="n">
        <f aca="true">IF(ROW()-2&gt;=Inputs!$B$5,AVERAGE(OFFSET(E183,1-Inputs!$B$5,0,Inputs!$B$5,1)),"")</f>
        <v>0.891554182719955</v>
      </c>
      <c r="H183" s="8" t="n">
        <f aca="false">MAX(C183-D183,ABS(C183-E182),ABS(D183-E182))</f>
        <v>0.00774306895747623</v>
      </c>
      <c r="I183" s="8" t="n">
        <f aca="true">IF(ROW()-2&lt;14,"",IF(ROW()-2=14,AVERAGE(OFFSET(H183,-13,0,14,1)),(I182*13+H183)/14))</f>
        <v>0.00942736688630168</v>
      </c>
      <c r="J183" s="9" t="b">
        <f aca="false">IF(AND(ISNUMBER(F183),ISNUMBER(G183),ISNUMBER(F182),ISNUMBER(G182)),AND(F183&gt;G183,F182&lt;=G182),FALSE())</f>
        <v>0</v>
      </c>
      <c r="K183" s="9" t="b">
        <f aca="false">IF(AND(ISNUMBER(F183),ISNUMBER(G183),ISNUMBER(F182),ISNUMBER(G182)),AND(F183&lt;G183,F182&gt;=G182),FALSE())</f>
        <v>0</v>
      </c>
      <c r="L183" s="8" t="n">
        <f aca="false">IF(ISNUMBER(I183),E183-Inputs!$B$6*I183,"")</f>
        <v>0.883308876705594</v>
      </c>
      <c r="M183" s="9" t="b">
        <f aca="false">AND(Y182&gt;0,Z182)</f>
        <v>0</v>
      </c>
      <c r="N183" s="8" t="n">
        <f aca="false">B183*(1-Inputs!$B$12)</f>
        <v>0.907443503202479</v>
      </c>
      <c r="O183" s="10" t="n">
        <f aca="false">IF(M183,Y182*(N183-AB182)-Inputs!$B$9-Y182*AD182*Inputs!$B$13*(A183-AC182),0)</f>
        <v>0</v>
      </c>
      <c r="P183" s="10" t="n">
        <f aca="false">X182+O183</f>
        <v>999</v>
      </c>
      <c r="Q183" s="9" t="b">
        <f aca="false">AND(IF(M183,0,Y182)=0,AA182,IF(ISNUMBER(AE182),B183&gt;AE182,FALSE()))</f>
        <v>0</v>
      </c>
      <c r="R183" s="8" t="n">
        <f aca="false">B183*(1+Inputs!$B$12)</f>
        <v>0.907806553213762</v>
      </c>
      <c r="S183" s="11" t="n">
        <f aca="false">IF(Q183,MIN(P183*Inputs!$B$3/(R183-AE182),P183*Inputs!$B$11/R183),0)</f>
        <v>0</v>
      </c>
      <c r="T183" s="11" t="n">
        <f aca="false">IF(Q183,S183,IF(M183,0,Y182))</f>
        <v>515.951204214585</v>
      </c>
      <c r="U183" s="8" t="n">
        <f aca="false">IF(Q183,AE182,AF182)</f>
        <v>0.842594980845593</v>
      </c>
      <c r="V183" s="9" t="b">
        <f aca="false">AND(T183&gt;0,D183&lt;=U183)</f>
        <v>0</v>
      </c>
      <c r="W183" s="10" t="n">
        <f aca="false">IF(V183,T183*(AK183-AB183)-Inputs!$B$9-T183*AD183*Inputs!$B$13*(A183-AC183),0)</f>
        <v>0</v>
      </c>
      <c r="X183" s="10" t="n">
        <f aca="false">P183-IF(Q183,Inputs!$B$9,0)+W183</f>
        <v>999</v>
      </c>
      <c r="Y183" s="11" t="n">
        <f aca="false">IF(V183,0,T183)</f>
        <v>515.951204214585</v>
      </c>
      <c r="Z183" s="9" t="b">
        <f aca="false">AND(Y183&gt;0,K183)</f>
        <v>0</v>
      </c>
      <c r="AA183" s="9" t="b">
        <f aca="false">AND(Y183=0,J183,ISNUMBER(L183))</f>
        <v>0</v>
      </c>
      <c r="AB183" s="8" t="n">
        <f aca="false">IF(Q183,R183,AB182)</f>
        <v>0.861976658644412</v>
      </c>
      <c r="AC183" s="12" t="n">
        <f aca="false">IF(Q183,A183,AC182)</f>
        <v>44890</v>
      </c>
      <c r="AD183" s="8" t="n">
        <f aca="false">IF(Q183,B183,AD182)</f>
        <v>0.861804297784855</v>
      </c>
      <c r="AE183" s="8" t="str">
        <f aca="false">IF(AA183,L183,"")</f>
        <v/>
      </c>
      <c r="AF183" s="8" t="n">
        <f aca="false">U183</f>
        <v>0.842594980845593</v>
      </c>
      <c r="AG183" s="2" t="n">
        <f aca="false">AG182+IF(Q183,1,0)</f>
        <v>1</v>
      </c>
      <c r="AH183" s="2" t="n">
        <f aca="false">AG182</f>
        <v>1</v>
      </c>
      <c r="AI183" s="10" t="n">
        <f aca="false">X183+Y183*(E183-AB183)-Y183*AD183*Inputs!$B$13*(A183-AC183)</f>
        <v>1013.63733339503</v>
      </c>
      <c r="AJ183" s="10" t="n">
        <v>0</v>
      </c>
      <c r="AK183" s="8" t="n">
        <f aca="false">IF(AND(B183&lt;=U183,NOT(Q183)),B183,U183)*(1-Inputs!$B$12)</f>
        <v>0.842426461849423</v>
      </c>
    </row>
    <row r="184" customFormat="false" ht="15" hidden="false" customHeight="false" outlineLevel="0" collapsed="false">
      <c r="A184" s="6" t="n">
        <v>44968</v>
      </c>
      <c r="B184" s="7" t="n">
        <v>0.902163610478197</v>
      </c>
      <c r="C184" s="7" t="n">
        <v>0.913360267235475</v>
      </c>
      <c r="D184" s="7" t="n">
        <v>0.898026489868681</v>
      </c>
      <c r="E184" s="7" t="n">
        <v>0.912798035415382</v>
      </c>
      <c r="F184" s="8" t="n">
        <f aca="true">IF(ROW()-2&gt;=Inputs!$B$4,AVERAGE(OFFSET(E184,1-Inputs!$B$4,0,Inputs!$B$4,1)),"")</f>
        <v>0.904623064910182</v>
      </c>
      <c r="G184" s="8" t="n">
        <f aca="true">IF(ROW()-2&gt;=Inputs!$B$5,AVERAGE(OFFSET(E184,1-Inputs!$B$5,0,Inputs!$B$5,1)),"")</f>
        <v>0.892398684068727</v>
      </c>
      <c r="H184" s="8" t="n">
        <f aca="false">MAX(C184-D184,ABS(C184-E183),ABS(D184-E183))</f>
        <v>0.0153337773667939</v>
      </c>
      <c r="I184" s="8" t="n">
        <f aca="true">IF(ROW()-2&lt;14,"",IF(ROW()-2=14,AVERAGE(OFFSET(H184,-13,0,14,1)),(I183*13+H184)/14))</f>
        <v>0.00984925334919398</v>
      </c>
      <c r="J184" s="9" t="b">
        <f aca="false">IF(AND(ISNUMBER(F184),ISNUMBER(G184),ISNUMBER(F183),ISNUMBER(G183)),AND(F184&gt;G184,F183&lt;=G183),FALSE())</f>
        <v>0</v>
      </c>
      <c r="K184" s="9" t="b">
        <f aca="false">IF(AND(ISNUMBER(F184),ISNUMBER(G184),ISNUMBER(F183),ISNUMBER(G183)),AND(F184&lt;G184,F183&gt;=G183),FALSE())</f>
        <v>0</v>
      </c>
      <c r="L184" s="8" t="n">
        <f aca="false">IF(ISNUMBER(I184),E184-Inputs!$B$6*I184,"")</f>
        <v>0.893099528716994</v>
      </c>
      <c r="M184" s="9" t="b">
        <f aca="false">AND(Y183&gt;0,Z183)</f>
        <v>0</v>
      </c>
      <c r="N184" s="8" t="n">
        <f aca="false">B184*(1-Inputs!$B$12)</f>
        <v>0.901983177756101</v>
      </c>
      <c r="O184" s="10" t="n">
        <f aca="false">IF(M184,Y183*(N184-AB183)-Inputs!$B$9-Y183*AD183*Inputs!$B$13*(A184-AC183),0)</f>
        <v>0</v>
      </c>
      <c r="P184" s="10" t="n">
        <f aca="false">X183+O184</f>
        <v>999</v>
      </c>
      <c r="Q184" s="9" t="b">
        <f aca="false">AND(IF(M184,0,Y183)=0,AA183,IF(ISNUMBER(AE183),B184&gt;AE183,FALSE()))</f>
        <v>0</v>
      </c>
      <c r="R184" s="8" t="n">
        <f aca="false">B184*(1+Inputs!$B$12)</f>
        <v>0.902344043200293</v>
      </c>
      <c r="S184" s="11" t="n">
        <f aca="false">IF(Q184,MIN(P184*Inputs!$B$3/(R184-AE183),P184*Inputs!$B$11/R184),0)</f>
        <v>0</v>
      </c>
      <c r="T184" s="11" t="n">
        <f aca="false">IF(Q184,S184,IF(M184,0,Y183))</f>
        <v>515.951204214585</v>
      </c>
      <c r="U184" s="8" t="n">
        <f aca="false">IF(Q184,AE183,AF183)</f>
        <v>0.842594980845593</v>
      </c>
      <c r="V184" s="9" t="b">
        <f aca="false">AND(T184&gt;0,D184&lt;=U184)</f>
        <v>0</v>
      </c>
      <c r="W184" s="10" t="n">
        <f aca="false">IF(V184,T184*(AK184-AB184)-Inputs!$B$9-T184*AD184*Inputs!$B$13*(A184-AC184),0)</f>
        <v>0</v>
      </c>
      <c r="X184" s="10" t="n">
        <f aca="false">P184-IF(Q184,Inputs!$B$9,0)+W184</f>
        <v>999</v>
      </c>
      <c r="Y184" s="11" t="n">
        <f aca="false">IF(V184,0,T184)</f>
        <v>515.951204214585</v>
      </c>
      <c r="Z184" s="9" t="b">
        <f aca="false">AND(Y184&gt;0,K184)</f>
        <v>0</v>
      </c>
      <c r="AA184" s="9" t="b">
        <f aca="false">AND(Y184=0,J184,ISNUMBER(L184))</f>
        <v>0</v>
      </c>
      <c r="AB184" s="8" t="n">
        <f aca="false">IF(Q184,R184,AB183)</f>
        <v>0.861976658644412</v>
      </c>
      <c r="AC184" s="12" t="n">
        <f aca="false">IF(Q184,A184,AC183)</f>
        <v>44890</v>
      </c>
      <c r="AD184" s="8" t="n">
        <f aca="false">IF(Q184,B184,AD183)</f>
        <v>0.861804297784855</v>
      </c>
      <c r="AE184" s="8" t="str">
        <f aca="false">IF(AA184,L184,"")</f>
        <v/>
      </c>
      <c r="AF184" s="8" t="n">
        <f aca="false">U184</f>
        <v>0.842594980845593</v>
      </c>
      <c r="AG184" s="2" t="n">
        <f aca="false">AG183+IF(Q184,1,0)</f>
        <v>1</v>
      </c>
      <c r="AH184" s="2" t="n">
        <f aca="false">AG183</f>
        <v>1</v>
      </c>
      <c r="AI184" s="10" t="n">
        <f aca="false">X184+Y184*(E184-AB184)-Y184*AD184*Inputs!$B$13*(A184-AC184)</f>
        <v>1019.0449936852</v>
      </c>
      <c r="AJ184" s="10" t="n">
        <v>0</v>
      </c>
      <c r="AK184" s="8" t="n">
        <f aca="false">IF(AND(B184&lt;=U184,NOT(Q184)),B184,U184)*(1-Inputs!$B$12)</f>
        <v>0.842426461849423</v>
      </c>
    </row>
    <row r="185" customFormat="false" ht="15" hidden="false" customHeight="false" outlineLevel="0" collapsed="false">
      <c r="A185" s="6" t="n">
        <v>44969</v>
      </c>
      <c r="B185" s="7" t="n">
        <v>0.912798035415382</v>
      </c>
      <c r="C185" s="7" t="n">
        <v>0.918519898894653</v>
      </c>
      <c r="D185" s="7" t="n">
        <v>0.912263267223891</v>
      </c>
      <c r="E185" s="7" t="n">
        <v>0.918494492548993</v>
      </c>
      <c r="F185" s="8" t="n">
        <f aca="true">IF(ROW()-2&gt;=Inputs!$B$4,AVERAGE(OFFSET(E185,1-Inputs!$B$4,0,Inputs!$B$4,1)),"")</f>
        <v>0.905236453681899</v>
      </c>
      <c r="G185" s="8" t="n">
        <f aca="true">IF(ROW()-2&gt;=Inputs!$B$5,AVERAGE(OFFSET(E185,1-Inputs!$B$5,0,Inputs!$B$5,1)),"")</f>
        <v>0.893244323822305</v>
      </c>
      <c r="H185" s="8" t="n">
        <f aca="false">MAX(C185-D185,ABS(C185-E184),ABS(D185-E184))</f>
        <v>0.0062566316707624</v>
      </c>
      <c r="I185" s="8" t="n">
        <f aca="true">IF(ROW()-2&lt;14,"",IF(ROW()-2=14,AVERAGE(OFFSET(H185,-13,0,14,1)),(I184*13+H185)/14))</f>
        <v>0.0095926375150203</v>
      </c>
      <c r="J185" s="9" t="b">
        <f aca="false">IF(AND(ISNUMBER(F185),ISNUMBER(G185),ISNUMBER(F184),ISNUMBER(G184)),AND(F185&gt;G185,F184&lt;=G184),FALSE())</f>
        <v>0</v>
      </c>
      <c r="K185" s="9" t="b">
        <f aca="false">IF(AND(ISNUMBER(F185),ISNUMBER(G185),ISNUMBER(F184),ISNUMBER(G184)),AND(F185&lt;G185,F184&gt;=G184),FALSE())</f>
        <v>0</v>
      </c>
      <c r="L185" s="8" t="n">
        <f aca="false">IF(ISNUMBER(I185),E185-Inputs!$B$6*I185,"")</f>
        <v>0.899309217518953</v>
      </c>
      <c r="M185" s="9" t="b">
        <f aca="false">AND(Y184&gt;0,Z184)</f>
        <v>0</v>
      </c>
      <c r="N185" s="8" t="n">
        <f aca="false">B185*(1-Inputs!$B$12)</f>
        <v>0.912615475808299</v>
      </c>
      <c r="O185" s="10" t="n">
        <f aca="false">IF(M185,Y184*(N185-AB184)-Inputs!$B$9-Y184*AD184*Inputs!$B$13*(A185-AC184),0)</f>
        <v>0</v>
      </c>
      <c r="P185" s="10" t="n">
        <f aca="false">X184+O185</f>
        <v>999</v>
      </c>
      <c r="Q185" s="9" t="b">
        <f aca="false">AND(IF(M185,0,Y184)=0,AA184,IF(ISNUMBER(AE184),B185&gt;AE184,FALSE()))</f>
        <v>0</v>
      </c>
      <c r="R185" s="8" t="n">
        <f aca="false">B185*(1+Inputs!$B$12)</f>
        <v>0.912980595022465</v>
      </c>
      <c r="S185" s="11" t="n">
        <f aca="false">IF(Q185,MIN(P185*Inputs!$B$3/(R185-AE184),P185*Inputs!$B$11/R185),0)</f>
        <v>0</v>
      </c>
      <c r="T185" s="11" t="n">
        <f aca="false">IF(Q185,S185,IF(M185,0,Y184))</f>
        <v>515.951204214585</v>
      </c>
      <c r="U185" s="8" t="n">
        <f aca="false">IF(Q185,AE184,AF184)</f>
        <v>0.842594980845593</v>
      </c>
      <c r="V185" s="9" t="b">
        <f aca="false">AND(T185&gt;0,D185&lt;=U185)</f>
        <v>0</v>
      </c>
      <c r="W185" s="10" t="n">
        <f aca="false">IF(V185,T185*(AK185-AB185)-Inputs!$B$9-T185*AD185*Inputs!$B$13*(A185-AC185),0)</f>
        <v>0</v>
      </c>
      <c r="X185" s="10" t="n">
        <f aca="false">P185-IF(Q185,Inputs!$B$9,0)+W185</f>
        <v>999</v>
      </c>
      <c r="Y185" s="11" t="n">
        <f aca="false">IF(V185,0,T185)</f>
        <v>515.951204214585</v>
      </c>
      <c r="Z185" s="9" t="b">
        <f aca="false">AND(Y185&gt;0,K185)</f>
        <v>0</v>
      </c>
      <c r="AA185" s="9" t="b">
        <f aca="false">AND(Y185=0,J185,ISNUMBER(L185))</f>
        <v>0</v>
      </c>
      <c r="AB185" s="8" t="n">
        <f aca="false">IF(Q185,R185,AB184)</f>
        <v>0.861976658644412</v>
      </c>
      <c r="AC185" s="12" t="n">
        <f aca="false">IF(Q185,A185,AC184)</f>
        <v>44890</v>
      </c>
      <c r="AD185" s="8" t="n">
        <f aca="false">IF(Q185,B185,AD184)</f>
        <v>0.861804297784855</v>
      </c>
      <c r="AE185" s="8" t="str">
        <f aca="false">IF(AA185,L185,"")</f>
        <v/>
      </c>
      <c r="AF185" s="8" t="n">
        <f aca="false">U185</f>
        <v>0.842594980845593</v>
      </c>
      <c r="AG185" s="2" t="n">
        <f aca="false">AG184+IF(Q185,1,0)</f>
        <v>1</v>
      </c>
      <c r="AH185" s="2" t="n">
        <f aca="false">AG184</f>
        <v>1</v>
      </c>
      <c r="AI185" s="10" t="n">
        <f aca="false">X185+Y185*(E185-AB185)-Y185*AD185*Inputs!$B$13*(A185-AC185)</f>
        <v>1021.90490354074</v>
      </c>
      <c r="AJ185" s="10" t="n">
        <v>0</v>
      </c>
      <c r="AK185" s="8" t="n">
        <f aca="false">IF(AND(B185&lt;=U185,NOT(Q185)),B185,U185)*(1-Inputs!$B$12)</f>
        <v>0.842426461849423</v>
      </c>
    </row>
    <row r="186" customFormat="false" ht="15" hidden="false" customHeight="false" outlineLevel="0" collapsed="false">
      <c r="A186" s="6" t="n">
        <v>44970</v>
      </c>
      <c r="B186" s="7" t="n">
        <v>0.918494492548993</v>
      </c>
      <c r="C186" s="7" t="n">
        <v>0.919180267141863</v>
      </c>
      <c r="D186" s="7" t="n">
        <v>0.913993820402251</v>
      </c>
      <c r="E186" s="7" t="n">
        <v>0.918983457521338</v>
      </c>
      <c r="F186" s="8" t="n">
        <f aca="true">IF(ROW()-2&gt;=Inputs!$B$4,AVERAGE(OFFSET(E186,1-Inputs!$B$4,0,Inputs!$B$4,1)),"")</f>
        <v>0.905757161726783</v>
      </c>
      <c r="G186" s="8" t="n">
        <f aca="true">IF(ROW()-2&gt;=Inputs!$B$5,AVERAGE(OFFSET(E186,1-Inputs!$B$5,0,Inputs!$B$5,1)),"")</f>
        <v>0.894033850724256</v>
      </c>
      <c r="H186" s="8" t="n">
        <f aca="false">MAX(C186-D186,ABS(C186-E185),ABS(D186-E185))</f>
        <v>0.00518644673961155</v>
      </c>
      <c r="I186" s="8" t="n">
        <f aca="true">IF(ROW()-2&lt;14,"",IF(ROW()-2=14,AVERAGE(OFFSET(H186,-13,0,14,1)),(I185*13+H186)/14))</f>
        <v>0.0092779096024911</v>
      </c>
      <c r="J186" s="9" t="b">
        <f aca="false">IF(AND(ISNUMBER(F186),ISNUMBER(G186),ISNUMBER(F185),ISNUMBER(G185)),AND(F186&gt;G186,F185&lt;=G185),FALSE())</f>
        <v>0</v>
      </c>
      <c r="K186" s="9" t="b">
        <f aca="false">IF(AND(ISNUMBER(F186),ISNUMBER(G186),ISNUMBER(F185),ISNUMBER(G185)),AND(F186&lt;G186,F185&gt;=G185),FALSE())</f>
        <v>0</v>
      </c>
      <c r="L186" s="8" t="n">
        <f aca="false">IF(ISNUMBER(I186),E186-Inputs!$B$6*I186,"")</f>
        <v>0.900427638316355</v>
      </c>
      <c r="M186" s="9" t="b">
        <f aca="false">AND(Y185&gt;0,Z185)</f>
        <v>0</v>
      </c>
      <c r="N186" s="8" t="n">
        <f aca="false">B186*(1-Inputs!$B$12)</f>
        <v>0.918310793650483</v>
      </c>
      <c r="O186" s="10" t="n">
        <f aca="false">IF(M186,Y185*(N186-AB185)-Inputs!$B$9-Y185*AD185*Inputs!$B$13*(A186-AC185),0)</f>
        <v>0</v>
      </c>
      <c r="P186" s="10" t="n">
        <f aca="false">X185+O186</f>
        <v>999</v>
      </c>
      <c r="Q186" s="9" t="b">
        <f aca="false">AND(IF(M186,0,Y185)=0,AA185,IF(ISNUMBER(AE185),B186&gt;AE185,FALSE()))</f>
        <v>0</v>
      </c>
      <c r="R186" s="8" t="n">
        <f aca="false">B186*(1+Inputs!$B$12)</f>
        <v>0.918678191447503</v>
      </c>
      <c r="S186" s="11" t="n">
        <f aca="false">IF(Q186,MIN(P186*Inputs!$B$3/(R186-AE185),P186*Inputs!$B$11/R186),0)</f>
        <v>0</v>
      </c>
      <c r="T186" s="11" t="n">
        <f aca="false">IF(Q186,S186,IF(M186,0,Y185))</f>
        <v>515.951204214585</v>
      </c>
      <c r="U186" s="8" t="n">
        <f aca="false">IF(Q186,AE185,AF185)</f>
        <v>0.842594980845593</v>
      </c>
      <c r="V186" s="9" t="b">
        <f aca="false">AND(T186&gt;0,D186&lt;=U186)</f>
        <v>0</v>
      </c>
      <c r="W186" s="10" t="n">
        <f aca="false">IF(V186,T186*(AK186-AB186)-Inputs!$B$9-T186*AD186*Inputs!$B$13*(A186-AC186),0)</f>
        <v>0</v>
      </c>
      <c r="X186" s="10" t="n">
        <f aca="false">P186-IF(Q186,Inputs!$B$9,0)+W186</f>
        <v>999</v>
      </c>
      <c r="Y186" s="11" t="n">
        <f aca="false">IF(V186,0,T186)</f>
        <v>515.951204214585</v>
      </c>
      <c r="Z186" s="9" t="b">
        <f aca="false">AND(Y186&gt;0,K186)</f>
        <v>0</v>
      </c>
      <c r="AA186" s="9" t="b">
        <f aca="false">AND(Y186=0,J186,ISNUMBER(L186))</f>
        <v>0</v>
      </c>
      <c r="AB186" s="8" t="n">
        <f aca="false">IF(Q186,R186,AB185)</f>
        <v>0.861976658644412</v>
      </c>
      <c r="AC186" s="12" t="n">
        <f aca="false">IF(Q186,A186,AC185)</f>
        <v>44890</v>
      </c>
      <c r="AD186" s="8" t="n">
        <f aca="false">IF(Q186,B186,AD185)</f>
        <v>0.861804297784855</v>
      </c>
      <c r="AE186" s="8" t="str">
        <f aca="false">IF(AA186,L186,"")</f>
        <v/>
      </c>
      <c r="AF186" s="8" t="n">
        <f aca="false">U186</f>
        <v>0.842594980845593</v>
      </c>
      <c r="AG186" s="2" t="n">
        <f aca="false">AG185+IF(Q186,1,0)</f>
        <v>1</v>
      </c>
      <c r="AH186" s="2" t="n">
        <f aca="false">AG185</f>
        <v>1</v>
      </c>
      <c r="AI186" s="10" t="n">
        <f aca="false">X186+Y186*(E186-AB186)-Y186*AD186*Inputs!$B$13*(A186-AC186)</f>
        <v>1022.07800154474</v>
      </c>
      <c r="AJ186" s="10" t="n">
        <v>0</v>
      </c>
      <c r="AK186" s="8" t="n">
        <f aca="false">IF(AND(B186&lt;=U186,NOT(Q186)),B186,U186)*(1-Inputs!$B$12)</f>
        <v>0.842426461849423</v>
      </c>
    </row>
    <row r="187" customFormat="false" ht="15" hidden="false" customHeight="false" outlineLevel="0" collapsed="false">
      <c r="A187" s="6" t="n">
        <v>44971</v>
      </c>
      <c r="B187" s="7" t="n">
        <v>0.918983457521338</v>
      </c>
      <c r="C187" s="7" t="n">
        <v>0.921006972134779</v>
      </c>
      <c r="D187" s="7" t="n">
        <v>0.910230336482395</v>
      </c>
      <c r="E187" s="7" t="n">
        <v>0.913069730866415</v>
      </c>
      <c r="F187" s="8" t="n">
        <f aca="true">IF(ROW()-2&gt;=Inputs!$B$4,AVERAGE(OFFSET(E187,1-Inputs!$B$4,0,Inputs!$B$4,1)),"")</f>
        <v>0.905958531338558</v>
      </c>
      <c r="G187" s="8" t="n">
        <f aca="true">IF(ROW()-2&gt;=Inputs!$B$5,AVERAGE(OFFSET(E187,1-Inputs!$B$5,0,Inputs!$B$5,1)),"")</f>
        <v>0.89475044167372</v>
      </c>
      <c r="H187" s="8" t="n">
        <f aca="false">MAX(C187-D187,ABS(C187-E186),ABS(D187-E186))</f>
        <v>0.0107766356523833</v>
      </c>
      <c r="I187" s="8" t="n">
        <f aca="true">IF(ROW()-2&lt;14,"",IF(ROW()-2=14,AVERAGE(OFFSET(H187,-13,0,14,1)),(I186*13+H187)/14))</f>
        <v>0.00938496146319769</v>
      </c>
      <c r="J187" s="9" t="b">
        <f aca="false">IF(AND(ISNUMBER(F187),ISNUMBER(G187),ISNUMBER(F186),ISNUMBER(G186)),AND(F187&gt;G187,F186&lt;=G186),FALSE())</f>
        <v>0</v>
      </c>
      <c r="K187" s="9" t="b">
        <f aca="false">IF(AND(ISNUMBER(F187),ISNUMBER(G187),ISNUMBER(F186),ISNUMBER(G186)),AND(F187&lt;G187,F186&gt;=G186),FALSE())</f>
        <v>0</v>
      </c>
      <c r="L187" s="8" t="n">
        <f aca="false">IF(ISNUMBER(I187),E187-Inputs!$B$6*I187,"")</f>
        <v>0.894299807940019</v>
      </c>
      <c r="M187" s="9" t="b">
        <f aca="false">AND(Y186&gt;0,Z186)</f>
        <v>0</v>
      </c>
      <c r="N187" s="8" t="n">
        <f aca="false">B187*(1-Inputs!$B$12)</f>
        <v>0.918799660829833</v>
      </c>
      <c r="O187" s="10" t="n">
        <f aca="false">IF(M187,Y186*(N187-AB186)-Inputs!$B$9-Y186*AD186*Inputs!$B$13*(A187-AC186),0)</f>
        <v>0</v>
      </c>
      <c r="P187" s="10" t="n">
        <f aca="false">X186+O187</f>
        <v>999</v>
      </c>
      <c r="Q187" s="9" t="b">
        <f aca="false">AND(IF(M187,0,Y186)=0,AA186,IF(ISNUMBER(AE186),B187&gt;AE186,FALSE()))</f>
        <v>0</v>
      </c>
      <c r="R187" s="8" t="n">
        <f aca="false">B187*(1+Inputs!$B$12)</f>
        <v>0.919167254212842</v>
      </c>
      <c r="S187" s="11" t="n">
        <f aca="false">IF(Q187,MIN(P187*Inputs!$B$3/(R187-AE186),P187*Inputs!$B$11/R187),0)</f>
        <v>0</v>
      </c>
      <c r="T187" s="11" t="n">
        <f aca="false">IF(Q187,S187,IF(M187,0,Y186))</f>
        <v>515.951204214585</v>
      </c>
      <c r="U187" s="8" t="n">
        <f aca="false">IF(Q187,AE186,AF186)</f>
        <v>0.842594980845593</v>
      </c>
      <c r="V187" s="9" t="b">
        <f aca="false">AND(T187&gt;0,D187&lt;=U187)</f>
        <v>0</v>
      </c>
      <c r="W187" s="10" t="n">
        <f aca="false">IF(V187,T187*(AK187-AB187)-Inputs!$B$9-T187*AD187*Inputs!$B$13*(A187-AC187),0)</f>
        <v>0</v>
      </c>
      <c r="X187" s="10" t="n">
        <f aca="false">P187-IF(Q187,Inputs!$B$9,0)+W187</f>
        <v>999</v>
      </c>
      <c r="Y187" s="11" t="n">
        <f aca="false">IF(V187,0,T187)</f>
        <v>515.951204214585</v>
      </c>
      <c r="Z187" s="9" t="b">
        <f aca="false">AND(Y187&gt;0,K187)</f>
        <v>0</v>
      </c>
      <c r="AA187" s="9" t="b">
        <f aca="false">AND(Y187=0,J187,ISNUMBER(L187))</f>
        <v>0</v>
      </c>
      <c r="AB187" s="8" t="n">
        <f aca="false">IF(Q187,R187,AB186)</f>
        <v>0.861976658644412</v>
      </c>
      <c r="AC187" s="12" t="n">
        <f aca="false">IF(Q187,A187,AC186)</f>
        <v>44890</v>
      </c>
      <c r="AD187" s="8" t="n">
        <f aca="false">IF(Q187,B187,AD186)</f>
        <v>0.861804297784855</v>
      </c>
      <c r="AE187" s="8" t="str">
        <f aca="false">IF(AA187,L187,"")</f>
        <v/>
      </c>
      <c r="AF187" s="8" t="n">
        <f aca="false">U187</f>
        <v>0.842594980845593</v>
      </c>
      <c r="AG187" s="2" t="n">
        <f aca="false">AG186+IF(Q187,1,0)</f>
        <v>1</v>
      </c>
      <c r="AH187" s="2" t="n">
        <f aca="false">AG186</f>
        <v>1</v>
      </c>
      <c r="AI187" s="10" t="n">
        <f aca="false">X187+Y187*(E187-AB187)-Y187*AD187*Inputs!$B$13*(A187-AC187)</f>
        <v>1018.94762309343</v>
      </c>
      <c r="AJ187" s="10" t="n">
        <v>0</v>
      </c>
      <c r="AK187" s="8" t="n">
        <f aca="false">IF(AND(B187&lt;=U187,NOT(Q187)),B187,U187)*(1-Inputs!$B$12)</f>
        <v>0.842426461849423</v>
      </c>
    </row>
    <row r="188" customFormat="false" ht="15" hidden="false" customHeight="false" outlineLevel="0" collapsed="false">
      <c r="A188" s="6" t="n">
        <v>44972</v>
      </c>
      <c r="B188" s="7" t="n">
        <v>0.913069730866415</v>
      </c>
      <c r="C188" s="7" t="n">
        <v>0.918491715964885</v>
      </c>
      <c r="D188" s="7" t="n">
        <v>0.902695283347471</v>
      </c>
      <c r="E188" s="7" t="n">
        <v>0.908037594539758</v>
      </c>
      <c r="F188" s="8" t="n">
        <f aca="true">IF(ROW()-2&gt;=Inputs!$B$4,AVERAGE(OFFSET(E188,1-Inputs!$B$4,0,Inputs!$B$4,1)),"")</f>
        <v>0.905979694048443</v>
      </c>
      <c r="G188" s="8" t="n">
        <f aca="true">IF(ROW()-2&gt;=Inputs!$B$5,AVERAGE(OFFSET(E188,1-Inputs!$B$5,0,Inputs!$B$5,1)),"")</f>
        <v>0.895285351660935</v>
      </c>
      <c r="H188" s="8" t="n">
        <f aca="false">MAX(C188-D188,ABS(C188-E187),ABS(D188-E187))</f>
        <v>0.015796432617414</v>
      </c>
      <c r="I188" s="8" t="n">
        <f aca="true">IF(ROW()-2&lt;14,"",IF(ROW()-2=14,AVERAGE(OFFSET(H188,-13,0,14,1)),(I187*13+H188)/14))</f>
        <v>0.00984292368849886</v>
      </c>
      <c r="J188" s="9" t="b">
        <f aca="false">IF(AND(ISNUMBER(F188),ISNUMBER(G188),ISNUMBER(F187),ISNUMBER(G187)),AND(F188&gt;G188,F187&lt;=G187),FALSE())</f>
        <v>0</v>
      </c>
      <c r="K188" s="9" t="b">
        <f aca="false">IF(AND(ISNUMBER(F188),ISNUMBER(G188),ISNUMBER(F187),ISNUMBER(G187)),AND(F188&lt;G188,F187&gt;=G187),FALSE())</f>
        <v>0</v>
      </c>
      <c r="L188" s="8" t="n">
        <f aca="false">IF(ISNUMBER(I188),E188-Inputs!$B$6*I188,"")</f>
        <v>0.888351747162761</v>
      </c>
      <c r="M188" s="9" t="b">
        <f aca="false">AND(Y187&gt;0,Z187)</f>
        <v>0</v>
      </c>
      <c r="N188" s="8" t="n">
        <f aca="false">B188*(1-Inputs!$B$12)</f>
        <v>0.912887116920241</v>
      </c>
      <c r="O188" s="10" t="n">
        <f aca="false">IF(M188,Y187*(N188-AB187)-Inputs!$B$9-Y187*AD187*Inputs!$B$13*(A188-AC187),0)</f>
        <v>0</v>
      </c>
      <c r="P188" s="10" t="n">
        <f aca="false">X187+O188</f>
        <v>999</v>
      </c>
      <c r="Q188" s="9" t="b">
        <f aca="false">AND(IF(M188,0,Y187)=0,AA187,IF(ISNUMBER(AE187),B188&gt;AE187,FALSE()))</f>
        <v>0</v>
      </c>
      <c r="R188" s="8" t="n">
        <f aca="false">B188*(1+Inputs!$B$12)</f>
        <v>0.913252344812588</v>
      </c>
      <c r="S188" s="11" t="n">
        <f aca="false">IF(Q188,MIN(P188*Inputs!$B$3/(R188-AE187),P188*Inputs!$B$11/R188),0)</f>
        <v>0</v>
      </c>
      <c r="T188" s="11" t="n">
        <f aca="false">IF(Q188,S188,IF(M188,0,Y187))</f>
        <v>515.951204214585</v>
      </c>
      <c r="U188" s="8" t="n">
        <f aca="false">IF(Q188,AE187,AF187)</f>
        <v>0.842594980845593</v>
      </c>
      <c r="V188" s="9" t="b">
        <f aca="false">AND(T188&gt;0,D188&lt;=U188)</f>
        <v>0</v>
      </c>
      <c r="W188" s="10" t="n">
        <f aca="false">IF(V188,T188*(AK188-AB188)-Inputs!$B$9-T188*AD188*Inputs!$B$13*(A188-AC188),0)</f>
        <v>0</v>
      </c>
      <c r="X188" s="10" t="n">
        <f aca="false">P188-IF(Q188,Inputs!$B$9,0)+W188</f>
        <v>999</v>
      </c>
      <c r="Y188" s="11" t="n">
        <f aca="false">IF(V188,0,T188)</f>
        <v>515.951204214585</v>
      </c>
      <c r="Z188" s="9" t="b">
        <f aca="false">AND(Y188&gt;0,K188)</f>
        <v>0</v>
      </c>
      <c r="AA188" s="9" t="b">
        <f aca="false">AND(Y188=0,J188,ISNUMBER(L188))</f>
        <v>0</v>
      </c>
      <c r="AB188" s="8" t="n">
        <f aca="false">IF(Q188,R188,AB187)</f>
        <v>0.861976658644412</v>
      </c>
      <c r="AC188" s="12" t="n">
        <f aca="false">IF(Q188,A188,AC187)</f>
        <v>44890</v>
      </c>
      <c r="AD188" s="8" t="n">
        <f aca="false">IF(Q188,B188,AD187)</f>
        <v>0.861804297784855</v>
      </c>
      <c r="AE188" s="8" t="str">
        <f aca="false">IF(AA188,L188,"")</f>
        <v/>
      </c>
      <c r="AF188" s="8" t="n">
        <f aca="false">U188</f>
        <v>0.842594980845593</v>
      </c>
      <c r="AG188" s="2" t="n">
        <f aca="false">AG187+IF(Q188,1,0)</f>
        <v>1</v>
      </c>
      <c r="AH188" s="2" t="n">
        <f aca="false">AG187</f>
        <v>1</v>
      </c>
      <c r="AI188" s="10" t="n">
        <f aca="false">X188+Y188*(E188-AB188)-Y188*AD188*Inputs!$B$13*(A188-AC188)</f>
        <v>1016.27210223362</v>
      </c>
      <c r="AJ188" s="10" t="n">
        <v>0</v>
      </c>
      <c r="AK188" s="8" t="n">
        <f aca="false">IF(AND(B188&lt;=U188,NOT(Q188)),B188,U188)*(1-Inputs!$B$12)</f>
        <v>0.842426461849423</v>
      </c>
    </row>
    <row r="189" customFormat="false" ht="15" hidden="false" customHeight="false" outlineLevel="0" collapsed="false">
      <c r="A189" s="6" t="n">
        <v>44973</v>
      </c>
      <c r="B189" s="7" t="n">
        <v>0.908037594539758</v>
      </c>
      <c r="C189" s="7" t="n">
        <v>0.909583490642836</v>
      </c>
      <c r="D189" s="7" t="n">
        <v>0.892630202612429</v>
      </c>
      <c r="E189" s="7" t="n">
        <v>0.900486400956751</v>
      </c>
      <c r="F189" s="8" t="n">
        <f aca="true">IF(ROW()-2&gt;=Inputs!$B$4,AVERAGE(OFFSET(E189,1-Inputs!$B$4,0,Inputs!$B$4,1)),"")</f>
        <v>0.905615101973732</v>
      </c>
      <c r="G189" s="8" t="n">
        <f aca="true">IF(ROW()-2&gt;=Inputs!$B$5,AVERAGE(OFFSET(E189,1-Inputs!$B$5,0,Inputs!$B$5,1)),"")</f>
        <v>0.895558075792555</v>
      </c>
      <c r="H189" s="8" t="n">
        <f aca="false">MAX(C189-D189,ABS(C189-E188),ABS(D189-E188))</f>
        <v>0.0169532880304079</v>
      </c>
      <c r="I189" s="8" t="n">
        <f aca="true">IF(ROW()-2&lt;14,"",IF(ROW()-2=14,AVERAGE(OFFSET(H189,-13,0,14,1)),(I188*13+H189)/14))</f>
        <v>0.0103508068557781</v>
      </c>
      <c r="J189" s="9" t="b">
        <f aca="false">IF(AND(ISNUMBER(F189),ISNUMBER(G189),ISNUMBER(F188),ISNUMBER(G188)),AND(F189&gt;G189,F188&lt;=G188),FALSE())</f>
        <v>0</v>
      </c>
      <c r="K189" s="9" t="b">
        <f aca="false">IF(AND(ISNUMBER(F189),ISNUMBER(G189),ISNUMBER(F188),ISNUMBER(G188)),AND(F189&lt;G189,F188&gt;=G188),FALSE())</f>
        <v>0</v>
      </c>
      <c r="L189" s="8" t="n">
        <f aca="false">IF(ISNUMBER(I189),E189-Inputs!$B$6*I189,"")</f>
        <v>0.879784787245195</v>
      </c>
      <c r="M189" s="9" t="b">
        <f aca="false">AND(Y188&gt;0,Z188)</f>
        <v>0</v>
      </c>
      <c r="N189" s="8" t="n">
        <f aca="false">B189*(1-Inputs!$B$12)</f>
        <v>0.90785598702085</v>
      </c>
      <c r="O189" s="10" t="n">
        <f aca="false">IF(M189,Y188*(N189-AB188)-Inputs!$B$9-Y188*AD188*Inputs!$B$13*(A189-AC188),0)</f>
        <v>0</v>
      </c>
      <c r="P189" s="10" t="n">
        <f aca="false">X188+O189</f>
        <v>999</v>
      </c>
      <c r="Q189" s="9" t="b">
        <f aca="false">AND(IF(M189,0,Y188)=0,AA188,IF(ISNUMBER(AE188),B189&gt;AE188,FALSE()))</f>
        <v>0</v>
      </c>
      <c r="R189" s="8" t="n">
        <f aca="false">B189*(1+Inputs!$B$12)</f>
        <v>0.908219202058666</v>
      </c>
      <c r="S189" s="11" t="n">
        <f aca="false">IF(Q189,MIN(P189*Inputs!$B$3/(R189-AE188),P189*Inputs!$B$11/R189),0)</f>
        <v>0</v>
      </c>
      <c r="T189" s="11" t="n">
        <f aca="false">IF(Q189,S189,IF(M189,0,Y188))</f>
        <v>515.951204214585</v>
      </c>
      <c r="U189" s="8" t="n">
        <f aca="false">IF(Q189,AE188,AF188)</f>
        <v>0.842594980845593</v>
      </c>
      <c r="V189" s="9" t="b">
        <f aca="false">AND(T189&gt;0,D189&lt;=U189)</f>
        <v>0</v>
      </c>
      <c r="W189" s="10" t="n">
        <f aca="false">IF(V189,T189*(AK189-AB189)-Inputs!$B$9-T189*AD189*Inputs!$B$13*(A189-AC189),0)</f>
        <v>0</v>
      </c>
      <c r="X189" s="10" t="n">
        <f aca="false">P189-IF(Q189,Inputs!$B$9,0)+W189</f>
        <v>999</v>
      </c>
      <c r="Y189" s="11" t="n">
        <f aca="false">IF(V189,0,T189)</f>
        <v>515.951204214585</v>
      </c>
      <c r="Z189" s="9" t="b">
        <f aca="false">AND(Y189&gt;0,K189)</f>
        <v>0</v>
      </c>
      <c r="AA189" s="9" t="b">
        <f aca="false">AND(Y189=0,J189,ISNUMBER(L189))</f>
        <v>0</v>
      </c>
      <c r="AB189" s="8" t="n">
        <f aca="false">IF(Q189,R189,AB188)</f>
        <v>0.861976658644412</v>
      </c>
      <c r="AC189" s="12" t="n">
        <f aca="false">IF(Q189,A189,AC188)</f>
        <v>44890</v>
      </c>
      <c r="AD189" s="8" t="n">
        <f aca="false">IF(Q189,B189,AD188)</f>
        <v>0.861804297784855</v>
      </c>
      <c r="AE189" s="8" t="str">
        <f aca="false">IF(AA189,L189,"")</f>
        <v/>
      </c>
      <c r="AF189" s="8" t="n">
        <f aca="false">U189</f>
        <v>0.842594980845593</v>
      </c>
      <c r="AG189" s="2" t="n">
        <f aca="false">AG188+IF(Q189,1,0)</f>
        <v>1</v>
      </c>
      <c r="AH189" s="2" t="n">
        <f aca="false">AG188</f>
        <v>1</v>
      </c>
      <c r="AI189" s="10" t="n">
        <f aca="false">X189+Y189*(E189-AB189)-Y189*AD189*Inputs!$B$13*(A189-AC189)</f>
        <v>1012.2968707489</v>
      </c>
      <c r="AJ189" s="10" t="n">
        <v>0</v>
      </c>
      <c r="AK189" s="8" t="n">
        <f aca="false">IF(AND(B189&lt;=U189,NOT(Q189)),B189,U189)*(1-Inputs!$B$12)</f>
        <v>0.842426461849423</v>
      </c>
    </row>
    <row r="190" customFormat="false" ht="15" hidden="false" customHeight="false" outlineLevel="0" collapsed="false">
      <c r="A190" s="6" t="n">
        <v>44974</v>
      </c>
      <c r="B190" s="7" t="n">
        <v>0.900486400956751</v>
      </c>
      <c r="C190" s="7" t="n">
        <v>0.908907156901447</v>
      </c>
      <c r="D190" s="7" t="n">
        <v>0.89781206927128</v>
      </c>
      <c r="E190" s="7" t="n">
        <v>0.908786244876149</v>
      </c>
      <c r="F190" s="8" t="n">
        <f aca="true">IF(ROW()-2&gt;=Inputs!$B$4,AVERAGE(OFFSET(E190,1-Inputs!$B$4,0,Inputs!$B$4,1)),"")</f>
        <v>0.905751530963816</v>
      </c>
      <c r="G190" s="8" t="n">
        <f aca="true">IF(ROW()-2&gt;=Inputs!$B$5,AVERAGE(OFFSET(E190,1-Inputs!$B$5,0,Inputs!$B$5,1)),"")</f>
        <v>0.896126091916985</v>
      </c>
      <c r="H190" s="8" t="n">
        <f aca="false">MAX(C190-D190,ABS(C190-E189),ABS(D190-E189))</f>
        <v>0.0110950876301669</v>
      </c>
      <c r="I190" s="8" t="n">
        <f aca="true">IF(ROW()-2&lt;14,"",IF(ROW()-2=14,AVERAGE(OFFSET(H190,-13,0,14,1)),(I189*13+H190)/14))</f>
        <v>0.0104039697682344</v>
      </c>
      <c r="J190" s="9" t="b">
        <f aca="false">IF(AND(ISNUMBER(F190),ISNUMBER(G190),ISNUMBER(F189),ISNUMBER(G189)),AND(F190&gt;G190,F189&lt;=G189),FALSE())</f>
        <v>0</v>
      </c>
      <c r="K190" s="9" t="b">
        <f aca="false">IF(AND(ISNUMBER(F190),ISNUMBER(G190),ISNUMBER(F189),ISNUMBER(G189)),AND(F190&lt;G190,F189&gt;=G189),FALSE())</f>
        <v>0</v>
      </c>
      <c r="L190" s="8" t="n">
        <f aca="false">IF(ISNUMBER(I190),E190-Inputs!$B$6*I190,"")</f>
        <v>0.88797830533968</v>
      </c>
      <c r="M190" s="9" t="b">
        <f aca="false">AND(Y189&gt;0,Z189)</f>
        <v>0</v>
      </c>
      <c r="N190" s="8" t="n">
        <f aca="false">B190*(1-Inputs!$B$12)</f>
        <v>0.90030630367656</v>
      </c>
      <c r="O190" s="10" t="n">
        <f aca="false">IF(M190,Y189*(N190-AB189)-Inputs!$B$9-Y189*AD189*Inputs!$B$13*(A190-AC189),0)</f>
        <v>0</v>
      </c>
      <c r="P190" s="10" t="n">
        <f aca="false">X189+O190</f>
        <v>999</v>
      </c>
      <c r="Q190" s="9" t="b">
        <f aca="false">AND(IF(M190,0,Y189)=0,AA189,IF(ISNUMBER(AE189),B190&gt;AE189,FALSE()))</f>
        <v>0</v>
      </c>
      <c r="R190" s="8" t="n">
        <f aca="false">B190*(1+Inputs!$B$12)</f>
        <v>0.900666498236943</v>
      </c>
      <c r="S190" s="11" t="n">
        <f aca="false">IF(Q190,MIN(P190*Inputs!$B$3/(R190-AE189),P190*Inputs!$B$11/R190),0)</f>
        <v>0</v>
      </c>
      <c r="T190" s="11" t="n">
        <f aca="false">IF(Q190,S190,IF(M190,0,Y189))</f>
        <v>515.951204214585</v>
      </c>
      <c r="U190" s="8" t="n">
        <f aca="false">IF(Q190,AE189,AF189)</f>
        <v>0.842594980845593</v>
      </c>
      <c r="V190" s="9" t="b">
        <f aca="false">AND(T190&gt;0,D190&lt;=U190)</f>
        <v>0</v>
      </c>
      <c r="W190" s="10" t="n">
        <f aca="false">IF(V190,T190*(AK190-AB190)-Inputs!$B$9-T190*AD190*Inputs!$B$13*(A190-AC190),0)</f>
        <v>0</v>
      </c>
      <c r="X190" s="10" t="n">
        <f aca="false">P190-IF(Q190,Inputs!$B$9,0)+W190</f>
        <v>999</v>
      </c>
      <c r="Y190" s="11" t="n">
        <f aca="false">IF(V190,0,T190)</f>
        <v>515.951204214585</v>
      </c>
      <c r="Z190" s="9" t="b">
        <f aca="false">AND(Y190&gt;0,K190)</f>
        <v>0</v>
      </c>
      <c r="AA190" s="9" t="b">
        <f aca="false">AND(Y190=0,J190,ISNUMBER(L190))</f>
        <v>0</v>
      </c>
      <c r="AB190" s="8" t="n">
        <f aca="false">IF(Q190,R190,AB189)</f>
        <v>0.861976658644412</v>
      </c>
      <c r="AC190" s="12" t="n">
        <f aca="false">IF(Q190,A190,AC189)</f>
        <v>44890</v>
      </c>
      <c r="AD190" s="8" t="n">
        <f aca="false">IF(Q190,B190,AD189)</f>
        <v>0.861804297784855</v>
      </c>
      <c r="AE190" s="8" t="str">
        <f aca="false">IF(AA190,L190,"")</f>
        <v/>
      </c>
      <c r="AF190" s="8" t="n">
        <f aca="false">U190</f>
        <v>0.842594980845593</v>
      </c>
      <c r="AG190" s="2" t="n">
        <f aca="false">AG189+IF(Q190,1,0)</f>
        <v>1</v>
      </c>
      <c r="AH190" s="2" t="n">
        <f aca="false">AG189</f>
        <v>1</v>
      </c>
      <c r="AI190" s="10" t="n">
        <f aca="false">X190+Y190*(E190-AB190)-Y190*AD190*Inputs!$B$13*(A190-AC190)</f>
        <v>1016.50000115161</v>
      </c>
      <c r="AJ190" s="10" t="n">
        <v>0</v>
      </c>
      <c r="AK190" s="8" t="n">
        <f aca="false">IF(AND(B190&lt;=U190,NOT(Q190)),B190,U190)*(1-Inputs!$B$12)</f>
        <v>0.842426461849423</v>
      </c>
    </row>
    <row r="191" customFormat="false" ht="15" hidden="false" customHeight="false" outlineLevel="0" collapsed="false">
      <c r="A191" s="6" t="n">
        <v>44975</v>
      </c>
      <c r="B191" s="7" t="n">
        <v>0.908786244876149</v>
      </c>
      <c r="C191" s="7" t="n">
        <v>0.913225639265618</v>
      </c>
      <c r="D191" s="7" t="n">
        <v>0.908491909616336</v>
      </c>
      <c r="E191" s="7" t="n">
        <v>0.910299794924177</v>
      </c>
      <c r="F191" s="8" t="n">
        <f aca="true">IF(ROW()-2&gt;=Inputs!$B$4,AVERAGE(OFFSET(E191,1-Inputs!$B$4,0,Inputs!$B$4,1)),"")</f>
        <v>0.905828623722811</v>
      </c>
      <c r="G191" s="8" t="n">
        <f aca="true">IF(ROW()-2&gt;=Inputs!$B$5,AVERAGE(OFFSET(E191,1-Inputs!$B$5,0,Inputs!$B$5,1)),"")</f>
        <v>0.896695926027117</v>
      </c>
      <c r="H191" s="8" t="n">
        <f aca="false">MAX(C191-D191,ABS(C191-E190),ABS(D191-E190))</f>
        <v>0.00473372964928176</v>
      </c>
      <c r="I191" s="8" t="n">
        <f aca="true">IF(ROW()-2&lt;14,"",IF(ROW()-2=14,AVERAGE(OFFSET(H191,-13,0,14,1)),(I190*13+H191)/14))</f>
        <v>0.00999895261688065</v>
      </c>
      <c r="J191" s="9" t="b">
        <f aca="false">IF(AND(ISNUMBER(F191),ISNUMBER(G191),ISNUMBER(F190),ISNUMBER(G190)),AND(F191&gt;G191,F190&lt;=G190),FALSE())</f>
        <v>0</v>
      </c>
      <c r="K191" s="9" t="b">
        <f aca="false">IF(AND(ISNUMBER(F191),ISNUMBER(G191),ISNUMBER(F190),ISNUMBER(G190)),AND(F191&lt;G191,F190&gt;=G190),FALSE())</f>
        <v>0</v>
      </c>
      <c r="L191" s="8" t="n">
        <f aca="false">IF(ISNUMBER(I191),E191-Inputs!$B$6*I191,"")</f>
        <v>0.890301889690416</v>
      </c>
      <c r="M191" s="9" t="b">
        <f aca="false">AND(Y190&gt;0,Z190)</f>
        <v>0</v>
      </c>
      <c r="N191" s="8" t="n">
        <f aca="false">B191*(1-Inputs!$B$12)</f>
        <v>0.908604487627174</v>
      </c>
      <c r="O191" s="10" t="n">
        <f aca="false">IF(M191,Y190*(N191-AB190)-Inputs!$B$9-Y190*AD190*Inputs!$B$13*(A191-AC190),0)</f>
        <v>0</v>
      </c>
      <c r="P191" s="10" t="n">
        <f aca="false">X190+O191</f>
        <v>999</v>
      </c>
      <c r="Q191" s="9" t="b">
        <f aca="false">AND(IF(M191,0,Y190)=0,AA190,IF(ISNUMBER(AE190),B191&gt;AE190,FALSE()))</f>
        <v>0</v>
      </c>
      <c r="R191" s="8" t="n">
        <f aca="false">B191*(1+Inputs!$B$12)</f>
        <v>0.908968002125124</v>
      </c>
      <c r="S191" s="11" t="n">
        <f aca="false">IF(Q191,MIN(P191*Inputs!$B$3/(R191-AE190),P191*Inputs!$B$11/R191),0)</f>
        <v>0</v>
      </c>
      <c r="T191" s="11" t="n">
        <f aca="false">IF(Q191,S191,IF(M191,0,Y190))</f>
        <v>515.951204214585</v>
      </c>
      <c r="U191" s="8" t="n">
        <f aca="false">IF(Q191,AE190,AF190)</f>
        <v>0.842594980845593</v>
      </c>
      <c r="V191" s="9" t="b">
        <f aca="false">AND(T191&gt;0,D191&lt;=U191)</f>
        <v>0</v>
      </c>
      <c r="W191" s="10" t="n">
        <f aca="false">IF(V191,T191*(AK191-AB191)-Inputs!$B$9-T191*AD191*Inputs!$B$13*(A191-AC191),0)</f>
        <v>0</v>
      </c>
      <c r="X191" s="10" t="n">
        <f aca="false">P191-IF(Q191,Inputs!$B$9,0)+W191</f>
        <v>999</v>
      </c>
      <c r="Y191" s="11" t="n">
        <f aca="false">IF(V191,0,T191)</f>
        <v>515.951204214585</v>
      </c>
      <c r="Z191" s="9" t="b">
        <f aca="false">AND(Y191&gt;0,K191)</f>
        <v>0</v>
      </c>
      <c r="AA191" s="9" t="b">
        <f aca="false">AND(Y191=0,J191,ISNUMBER(L191))</f>
        <v>0</v>
      </c>
      <c r="AB191" s="8" t="n">
        <f aca="false">IF(Q191,R191,AB190)</f>
        <v>0.861976658644412</v>
      </c>
      <c r="AC191" s="12" t="n">
        <f aca="false">IF(Q191,A191,AC190)</f>
        <v>44890</v>
      </c>
      <c r="AD191" s="8" t="n">
        <f aca="false">IF(Q191,B191,AD190)</f>
        <v>0.861804297784855</v>
      </c>
      <c r="AE191" s="8" t="str">
        <f aca="false">IF(AA191,L191,"")</f>
        <v/>
      </c>
      <c r="AF191" s="8" t="n">
        <f aca="false">U191</f>
        <v>0.842594980845593</v>
      </c>
      <c r="AG191" s="2" t="n">
        <f aca="false">AG190+IF(Q191,1,0)</f>
        <v>1</v>
      </c>
      <c r="AH191" s="2" t="n">
        <f aca="false">AG190</f>
        <v>1</v>
      </c>
      <c r="AI191" s="10" t="n">
        <f aca="false">X191+Y191*(E191-AB191)-Y191*AD191*Inputs!$B$13*(A191-AC191)</f>
        <v>1017.20173505922</v>
      </c>
      <c r="AJ191" s="10" t="n">
        <v>0</v>
      </c>
      <c r="AK191" s="8" t="n">
        <f aca="false">IF(AND(B191&lt;=U191,NOT(Q191)),B191,U191)*(1-Inputs!$B$12)</f>
        <v>0.842426461849423</v>
      </c>
    </row>
    <row r="192" customFormat="false" ht="15" hidden="false" customHeight="false" outlineLevel="0" collapsed="false">
      <c r="A192" s="6" t="n">
        <v>44976</v>
      </c>
      <c r="B192" s="7" t="n">
        <v>0.910299794924177</v>
      </c>
      <c r="C192" s="7" t="n">
        <v>0.914914693656693</v>
      </c>
      <c r="D192" s="7" t="n">
        <v>0.90240385995547</v>
      </c>
      <c r="E192" s="7" t="n">
        <v>0.904719834678306</v>
      </c>
      <c r="F192" s="8" t="n">
        <f aca="true">IF(ROW()-2&gt;=Inputs!$B$4,AVERAGE(OFFSET(E192,1-Inputs!$B$4,0,Inputs!$B$4,1)),"")</f>
        <v>0.905886274288999</v>
      </c>
      <c r="G192" s="8" t="n">
        <f aca="true">IF(ROW()-2&gt;=Inputs!$B$5,AVERAGE(OFFSET(E192,1-Inputs!$B$5,0,Inputs!$B$5,1)),"")</f>
        <v>0.896979059921519</v>
      </c>
      <c r="H192" s="8" t="n">
        <f aca="false">MAX(C192-D192,ABS(C192-E191),ABS(D192-E191))</f>
        <v>0.0125108337012229</v>
      </c>
      <c r="I192" s="8" t="n">
        <f aca="true">IF(ROW()-2&lt;14,"",IF(ROW()-2=14,AVERAGE(OFFSET(H192,-13,0,14,1)),(I191*13+H192)/14))</f>
        <v>0.0101783726943337</v>
      </c>
      <c r="J192" s="9" t="b">
        <f aca="false">IF(AND(ISNUMBER(F192),ISNUMBER(G192),ISNUMBER(F191),ISNUMBER(G191)),AND(F192&gt;G192,F191&lt;=G191),FALSE())</f>
        <v>0</v>
      </c>
      <c r="K192" s="9" t="b">
        <f aca="false">IF(AND(ISNUMBER(F192),ISNUMBER(G192),ISNUMBER(F191),ISNUMBER(G191)),AND(F192&lt;G192,F191&gt;=G191),FALSE())</f>
        <v>0</v>
      </c>
      <c r="L192" s="8" t="n">
        <f aca="false">IF(ISNUMBER(I192),E192-Inputs!$B$6*I192,"")</f>
        <v>0.884363089289638</v>
      </c>
      <c r="M192" s="9" t="b">
        <f aca="false">AND(Y191&gt;0,Z191)</f>
        <v>0</v>
      </c>
      <c r="N192" s="8" t="n">
        <f aca="false">B192*(1-Inputs!$B$12)</f>
        <v>0.910117734965192</v>
      </c>
      <c r="O192" s="10" t="n">
        <f aca="false">IF(M192,Y191*(N192-AB191)-Inputs!$B$9-Y191*AD191*Inputs!$B$13*(A192-AC191),0)</f>
        <v>0</v>
      </c>
      <c r="P192" s="10" t="n">
        <f aca="false">X191+O192</f>
        <v>999</v>
      </c>
      <c r="Q192" s="9" t="b">
        <f aca="false">AND(IF(M192,0,Y191)=0,AA191,IF(ISNUMBER(AE191),B192&gt;AE191,FALSE()))</f>
        <v>0</v>
      </c>
      <c r="R192" s="8" t="n">
        <f aca="false">B192*(1+Inputs!$B$12)</f>
        <v>0.910481854883162</v>
      </c>
      <c r="S192" s="11" t="n">
        <f aca="false">IF(Q192,MIN(P192*Inputs!$B$3/(R192-AE191),P192*Inputs!$B$11/R192),0)</f>
        <v>0</v>
      </c>
      <c r="T192" s="11" t="n">
        <f aca="false">IF(Q192,S192,IF(M192,0,Y191))</f>
        <v>515.951204214585</v>
      </c>
      <c r="U192" s="8" t="n">
        <f aca="false">IF(Q192,AE191,AF191)</f>
        <v>0.842594980845593</v>
      </c>
      <c r="V192" s="9" t="b">
        <f aca="false">AND(T192&gt;0,D192&lt;=U192)</f>
        <v>0</v>
      </c>
      <c r="W192" s="10" t="n">
        <f aca="false">IF(V192,T192*(AK192-AB192)-Inputs!$B$9-T192*AD192*Inputs!$B$13*(A192-AC192),0)</f>
        <v>0</v>
      </c>
      <c r="X192" s="10" t="n">
        <f aca="false">P192-IF(Q192,Inputs!$B$9,0)+W192</f>
        <v>999</v>
      </c>
      <c r="Y192" s="11" t="n">
        <f aca="false">IF(V192,0,T192)</f>
        <v>515.951204214585</v>
      </c>
      <c r="Z192" s="9" t="b">
        <f aca="false">AND(Y192&gt;0,K192)</f>
        <v>0</v>
      </c>
      <c r="AA192" s="9" t="b">
        <f aca="false">AND(Y192=0,J192,ISNUMBER(L192))</f>
        <v>0</v>
      </c>
      <c r="AB192" s="8" t="n">
        <f aca="false">IF(Q192,R192,AB191)</f>
        <v>0.861976658644412</v>
      </c>
      <c r="AC192" s="12" t="n">
        <f aca="false">IF(Q192,A192,AC191)</f>
        <v>44890</v>
      </c>
      <c r="AD192" s="8" t="n">
        <f aca="false">IF(Q192,B192,AD191)</f>
        <v>0.861804297784855</v>
      </c>
      <c r="AE192" s="8" t="str">
        <f aca="false">IF(AA192,L192,"")</f>
        <v/>
      </c>
      <c r="AF192" s="8" t="n">
        <f aca="false">U192</f>
        <v>0.842594980845593</v>
      </c>
      <c r="AG192" s="2" t="n">
        <f aca="false">AG191+IF(Q192,1,0)</f>
        <v>1</v>
      </c>
      <c r="AH192" s="2" t="n">
        <f aca="false">AG191</f>
        <v>1</v>
      </c>
      <c r="AI192" s="10" t="n">
        <f aca="false">X192+Y192*(E192-AB192)-Y192*AD192*Inputs!$B$13*(A192-AC192)</f>
        <v>1014.24356378859</v>
      </c>
      <c r="AJ192" s="10" t="n">
        <v>0</v>
      </c>
      <c r="AK192" s="8" t="n">
        <f aca="false">IF(AND(B192&lt;=U192,NOT(Q192)),B192,U192)*(1-Inputs!$B$12)</f>
        <v>0.842426461849423</v>
      </c>
    </row>
    <row r="193" customFormat="false" ht="15" hidden="false" customHeight="false" outlineLevel="0" collapsed="false">
      <c r="A193" s="6" t="n">
        <v>44977</v>
      </c>
      <c r="B193" s="7" t="n">
        <v>0.904719834678306</v>
      </c>
      <c r="C193" s="7" t="n">
        <v>0.911224274433253</v>
      </c>
      <c r="D193" s="7" t="n">
        <v>0.902184338213662</v>
      </c>
      <c r="E193" s="7" t="n">
        <v>0.908572755868617</v>
      </c>
      <c r="F193" s="8" t="n">
        <f aca="true">IF(ROW()-2&gt;=Inputs!$B$4,AVERAGE(OFFSET(E193,1-Inputs!$B$4,0,Inputs!$B$4,1)),"")</f>
        <v>0.906194059568356</v>
      </c>
      <c r="G193" s="8" t="n">
        <f aca="true">IF(ROW()-2&gt;=Inputs!$B$5,AVERAGE(OFFSET(E193,1-Inputs!$B$5,0,Inputs!$B$5,1)),"")</f>
        <v>0.897372033214499</v>
      </c>
      <c r="H193" s="8" t="n">
        <f aca="false">MAX(C193-D193,ABS(C193-E192),ABS(D193-E192))</f>
        <v>0.00903993621959165</v>
      </c>
      <c r="I193" s="8" t="n">
        <f aca="true">IF(ROW()-2&lt;14,"",IF(ROW()-2=14,AVERAGE(OFFSET(H193,-13,0,14,1)),(I192*13+H193)/14))</f>
        <v>0.0100970558032807</v>
      </c>
      <c r="J193" s="9" t="b">
        <f aca="false">IF(AND(ISNUMBER(F193),ISNUMBER(G193),ISNUMBER(F192),ISNUMBER(G192)),AND(F193&gt;G193,F192&lt;=G192),FALSE())</f>
        <v>0</v>
      </c>
      <c r="K193" s="9" t="b">
        <f aca="false">IF(AND(ISNUMBER(F193),ISNUMBER(G193),ISNUMBER(F192),ISNUMBER(G192)),AND(F193&lt;G193,F192&gt;=G192),FALSE())</f>
        <v>0</v>
      </c>
      <c r="L193" s="8" t="n">
        <f aca="false">IF(ISNUMBER(I193),E193-Inputs!$B$6*I193,"")</f>
        <v>0.888378644262056</v>
      </c>
      <c r="M193" s="9" t="b">
        <f aca="false">AND(Y192&gt;0,Z192)</f>
        <v>0</v>
      </c>
      <c r="N193" s="8" t="n">
        <f aca="false">B193*(1-Inputs!$B$12)</f>
        <v>0.90453889071137</v>
      </c>
      <c r="O193" s="10" t="n">
        <f aca="false">IF(M193,Y192*(N193-AB192)-Inputs!$B$9-Y192*AD192*Inputs!$B$13*(A193-AC192),0)</f>
        <v>0</v>
      </c>
      <c r="P193" s="10" t="n">
        <f aca="false">X192+O193</f>
        <v>999</v>
      </c>
      <c r="Q193" s="9" t="b">
        <f aca="false">AND(IF(M193,0,Y192)=0,AA192,IF(ISNUMBER(AE192),B193&gt;AE192,FALSE()))</f>
        <v>0</v>
      </c>
      <c r="R193" s="8" t="n">
        <f aca="false">B193*(1+Inputs!$B$12)</f>
        <v>0.904900778645241</v>
      </c>
      <c r="S193" s="11" t="n">
        <f aca="false">IF(Q193,MIN(P193*Inputs!$B$3/(R193-AE192),P193*Inputs!$B$11/R193),0)</f>
        <v>0</v>
      </c>
      <c r="T193" s="11" t="n">
        <f aca="false">IF(Q193,S193,IF(M193,0,Y192))</f>
        <v>515.951204214585</v>
      </c>
      <c r="U193" s="8" t="n">
        <f aca="false">IF(Q193,AE192,AF192)</f>
        <v>0.842594980845593</v>
      </c>
      <c r="V193" s="9" t="b">
        <f aca="false">AND(T193&gt;0,D193&lt;=U193)</f>
        <v>0</v>
      </c>
      <c r="W193" s="10" t="n">
        <f aca="false">IF(V193,T193*(AK193-AB193)-Inputs!$B$9-T193*AD193*Inputs!$B$13*(A193-AC193),0)</f>
        <v>0</v>
      </c>
      <c r="X193" s="10" t="n">
        <f aca="false">P193-IF(Q193,Inputs!$B$9,0)+W193</f>
        <v>999</v>
      </c>
      <c r="Y193" s="11" t="n">
        <f aca="false">IF(V193,0,T193)</f>
        <v>515.951204214585</v>
      </c>
      <c r="Z193" s="9" t="b">
        <f aca="false">AND(Y193&gt;0,K193)</f>
        <v>0</v>
      </c>
      <c r="AA193" s="9" t="b">
        <f aca="false">AND(Y193=0,J193,ISNUMBER(L193))</f>
        <v>0</v>
      </c>
      <c r="AB193" s="8" t="n">
        <f aca="false">IF(Q193,R193,AB192)</f>
        <v>0.861976658644412</v>
      </c>
      <c r="AC193" s="12" t="n">
        <f aca="false">IF(Q193,A193,AC192)</f>
        <v>44890</v>
      </c>
      <c r="AD193" s="8" t="n">
        <f aca="false">IF(Q193,B193,AD192)</f>
        <v>0.861804297784855</v>
      </c>
      <c r="AE193" s="8" t="str">
        <f aca="false">IF(AA193,L193,"")</f>
        <v/>
      </c>
      <c r="AF193" s="8" t="n">
        <f aca="false">U193</f>
        <v>0.842594980845593</v>
      </c>
      <c r="AG193" s="2" t="n">
        <f aca="false">AG192+IF(Q193,1,0)</f>
        <v>1</v>
      </c>
      <c r="AH193" s="2" t="n">
        <f aca="false">AG192</f>
        <v>1</v>
      </c>
      <c r="AI193" s="10" t="n">
        <f aca="false">X193+Y193*(E193-AB193)-Y193*AD193*Inputs!$B$13*(A193-AC193)</f>
        <v>1016.15229905418</v>
      </c>
      <c r="AJ193" s="10" t="n">
        <v>0</v>
      </c>
      <c r="AK193" s="8" t="n">
        <f aca="false">IF(AND(B193&lt;=U193,NOT(Q193)),B193,U193)*(1-Inputs!$B$12)</f>
        <v>0.842426461849423</v>
      </c>
    </row>
    <row r="194" customFormat="false" ht="15" hidden="false" customHeight="false" outlineLevel="0" collapsed="false">
      <c r="A194" s="6" t="n">
        <v>44978</v>
      </c>
      <c r="B194" s="7" t="n">
        <v>0.908572755868617</v>
      </c>
      <c r="C194" s="7" t="n">
        <v>0.927663800781188</v>
      </c>
      <c r="D194" s="7" t="n">
        <v>0.905185047079827</v>
      </c>
      <c r="E194" s="7" t="n">
        <v>0.927524402010752</v>
      </c>
      <c r="F194" s="8" t="n">
        <f aca="true">IF(ROW()-2&gt;=Inputs!$B$4,AVERAGE(OFFSET(E194,1-Inputs!$B$4,0,Inputs!$B$4,1)),"")</f>
        <v>0.907484353299545</v>
      </c>
      <c r="G194" s="8" t="n">
        <f aca="true">IF(ROW()-2&gt;=Inputs!$B$5,AVERAGE(OFFSET(E194,1-Inputs!$B$5,0,Inputs!$B$5,1)),"")</f>
        <v>0.898128749911817</v>
      </c>
      <c r="H194" s="8" t="n">
        <f aca="false">MAX(C194-D194,ABS(C194-E193),ABS(D194-E193))</f>
        <v>0.022478753701361</v>
      </c>
      <c r="I194" s="8" t="n">
        <f aca="true">IF(ROW()-2&lt;14,"",IF(ROW()-2=14,AVERAGE(OFFSET(H194,-13,0,14,1)),(I193*13+H194)/14))</f>
        <v>0.0109814627960007</v>
      </c>
      <c r="J194" s="9" t="b">
        <f aca="false">IF(AND(ISNUMBER(F194),ISNUMBER(G194),ISNUMBER(F193),ISNUMBER(G193)),AND(F194&gt;G194,F193&lt;=G193),FALSE())</f>
        <v>0</v>
      </c>
      <c r="K194" s="9" t="b">
        <f aca="false">IF(AND(ISNUMBER(F194),ISNUMBER(G194),ISNUMBER(F193),ISNUMBER(G193)),AND(F194&lt;G194,F193&gt;=G193),FALSE())</f>
        <v>0</v>
      </c>
      <c r="L194" s="8" t="n">
        <f aca="false">IF(ISNUMBER(I194),E194-Inputs!$B$6*I194,"")</f>
        <v>0.905561476418751</v>
      </c>
      <c r="M194" s="9" t="b">
        <f aca="false">AND(Y193&gt;0,Z193)</f>
        <v>0</v>
      </c>
      <c r="N194" s="8" t="n">
        <f aca="false">B194*(1-Inputs!$B$12)</f>
        <v>0.908391041317443</v>
      </c>
      <c r="O194" s="10" t="n">
        <f aca="false">IF(M194,Y193*(N194-AB193)-Inputs!$B$9-Y193*AD193*Inputs!$B$13*(A194-AC193),0)</f>
        <v>0</v>
      </c>
      <c r="P194" s="10" t="n">
        <f aca="false">X193+O194</f>
        <v>999</v>
      </c>
      <c r="Q194" s="9" t="b">
        <f aca="false">AND(IF(M194,0,Y193)=0,AA193,IF(ISNUMBER(AE193),B194&gt;AE193,FALSE()))</f>
        <v>0</v>
      </c>
      <c r="R194" s="8" t="n">
        <f aca="false">B194*(1+Inputs!$B$12)</f>
        <v>0.908754470419791</v>
      </c>
      <c r="S194" s="11" t="n">
        <f aca="false">IF(Q194,MIN(P194*Inputs!$B$3/(R194-AE193),P194*Inputs!$B$11/R194),0)</f>
        <v>0</v>
      </c>
      <c r="T194" s="11" t="n">
        <f aca="false">IF(Q194,S194,IF(M194,0,Y193))</f>
        <v>515.951204214585</v>
      </c>
      <c r="U194" s="8" t="n">
        <f aca="false">IF(Q194,AE193,AF193)</f>
        <v>0.842594980845593</v>
      </c>
      <c r="V194" s="9" t="b">
        <f aca="false">AND(T194&gt;0,D194&lt;=U194)</f>
        <v>0</v>
      </c>
      <c r="W194" s="10" t="n">
        <f aca="false">IF(V194,T194*(AK194-AB194)-Inputs!$B$9-T194*AD194*Inputs!$B$13*(A194-AC194),0)</f>
        <v>0</v>
      </c>
      <c r="X194" s="10" t="n">
        <f aca="false">P194-IF(Q194,Inputs!$B$9,0)+W194</f>
        <v>999</v>
      </c>
      <c r="Y194" s="11" t="n">
        <f aca="false">IF(V194,0,T194)</f>
        <v>515.951204214585</v>
      </c>
      <c r="Z194" s="9" t="b">
        <f aca="false">AND(Y194&gt;0,K194)</f>
        <v>0</v>
      </c>
      <c r="AA194" s="9" t="b">
        <f aca="false">AND(Y194=0,J194,ISNUMBER(L194))</f>
        <v>0</v>
      </c>
      <c r="AB194" s="8" t="n">
        <f aca="false">IF(Q194,R194,AB193)</f>
        <v>0.861976658644412</v>
      </c>
      <c r="AC194" s="12" t="n">
        <f aca="false">IF(Q194,A194,AC193)</f>
        <v>44890</v>
      </c>
      <c r="AD194" s="8" t="n">
        <f aca="false">IF(Q194,B194,AD193)</f>
        <v>0.861804297784855</v>
      </c>
      <c r="AE194" s="8" t="str">
        <f aca="false">IF(AA194,L194,"")</f>
        <v/>
      </c>
      <c r="AF194" s="8" t="n">
        <f aca="false">U194</f>
        <v>0.842594980845593</v>
      </c>
      <c r="AG194" s="2" t="n">
        <f aca="false">AG193+IF(Q194,1,0)</f>
        <v>1</v>
      </c>
      <c r="AH194" s="2" t="n">
        <f aca="false">AG193</f>
        <v>1</v>
      </c>
      <c r="AI194" s="10" t="n">
        <f aca="false">X194+Y194*(E194-AB194)-Y194*AD194*Inputs!$B$13*(A194-AC194)</f>
        <v>1025.85123964076</v>
      </c>
      <c r="AJ194" s="10" t="n">
        <v>0</v>
      </c>
      <c r="AK194" s="8" t="n">
        <f aca="false">IF(AND(B194&lt;=U194,NOT(Q194)),B194,U194)*(1-Inputs!$B$12)</f>
        <v>0.842426461849423</v>
      </c>
    </row>
    <row r="195" customFormat="false" ht="15" hidden="false" customHeight="false" outlineLevel="0" collapsed="false">
      <c r="A195" s="6" t="n">
        <v>44979</v>
      </c>
      <c r="B195" s="7" t="n">
        <v>0.927524402010752</v>
      </c>
      <c r="C195" s="7" t="n">
        <v>0.934311000519276</v>
      </c>
      <c r="D195" s="7" t="n">
        <v>0.922650349227616</v>
      </c>
      <c r="E195" s="7" t="n">
        <v>0.929841450202963</v>
      </c>
      <c r="F195" s="8" t="n">
        <f aca="true">IF(ROW()-2&gt;=Inputs!$B$4,AVERAGE(OFFSET(E195,1-Inputs!$B$4,0,Inputs!$B$4,1)),"")</f>
        <v>0.90870431863168</v>
      </c>
      <c r="G195" s="8" t="n">
        <f aca="true">IF(ROW()-2&gt;=Inputs!$B$5,AVERAGE(OFFSET(E195,1-Inputs!$B$5,0,Inputs!$B$5,1)),"")</f>
        <v>0.899115430163921</v>
      </c>
      <c r="H195" s="8" t="n">
        <f aca="false">MAX(C195-D195,ABS(C195-E194),ABS(D195-E194))</f>
        <v>0.0116606512916604</v>
      </c>
      <c r="I195" s="8" t="n">
        <f aca="true">IF(ROW()-2&lt;14,"",IF(ROW()-2=14,AVERAGE(OFFSET(H195,-13,0,14,1)),(I194*13+H195)/14))</f>
        <v>0.0110299762599764</v>
      </c>
      <c r="J195" s="9" t="b">
        <f aca="false">IF(AND(ISNUMBER(F195),ISNUMBER(G195),ISNUMBER(F194),ISNUMBER(G194)),AND(F195&gt;G195,F194&lt;=G194),FALSE())</f>
        <v>0</v>
      </c>
      <c r="K195" s="9" t="b">
        <f aca="false">IF(AND(ISNUMBER(F195),ISNUMBER(G195),ISNUMBER(F194),ISNUMBER(G194)),AND(F195&lt;G195,F194&gt;=G194),FALSE())</f>
        <v>0</v>
      </c>
      <c r="L195" s="8" t="n">
        <f aca="false">IF(ISNUMBER(I195),E195-Inputs!$B$6*I195,"")</f>
        <v>0.90778149768301</v>
      </c>
      <c r="M195" s="9" t="b">
        <f aca="false">AND(Y194&gt;0,Z194)</f>
        <v>0</v>
      </c>
      <c r="N195" s="8" t="n">
        <f aca="false">B195*(1-Inputs!$B$12)</f>
        <v>0.92733889713035</v>
      </c>
      <c r="O195" s="10" t="n">
        <f aca="false">IF(M195,Y194*(N195-AB194)-Inputs!$B$9-Y194*AD194*Inputs!$B$13*(A195-AC194),0)</f>
        <v>0</v>
      </c>
      <c r="P195" s="10" t="n">
        <f aca="false">X194+O195</f>
        <v>999</v>
      </c>
      <c r="Q195" s="9" t="b">
        <f aca="false">AND(IF(M195,0,Y194)=0,AA194,IF(ISNUMBER(AE194),B195&gt;AE194,FALSE()))</f>
        <v>0</v>
      </c>
      <c r="R195" s="8" t="n">
        <f aca="false">B195*(1+Inputs!$B$12)</f>
        <v>0.927709906891154</v>
      </c>
      <c r="S195" s="11" t="n">
        <f aca="false">IF(Q195,MIN(P195*Inputs!$B$3/(R195-AE194),P195*Inputs!$B$11/R195),0)</f>
        <v>0</v>
      </c>
      <c r="T195" s="11" t="n">
        <f aca="false">IF(Q195,S195,IF(M195,0,Y194))</f>
        <v>515.951204214585</v>
      </c>
      <c r="U195" s="8" t="n">
        <f aca="false">IF(Q195,AE194,AF194)</f>
        <v>0.842594980845593</v>
      </c>
      <c r="V195" s="9" t="b">
        <f aca="false">AND(T195&gt;0,D195&lt;=U195)</f>
        <v>0</v>
      </c>
      <c r="W195" s="10" t="n">
        <f aca="false">IF(V195,T195*(AK195-AB195)-Inputs!$B$9-T195*AD195*Inputs!$B$13*(A195-AC195),0)</f>
        <v>0</v>
      </c>
      <c r="X195" s="10" t="n">
        <f aca="false">P195-IF(Q195,Inputs!$B$9,0)+W195</f>
        <v>999</v>
      </c>
      <c r="Y195" s="11" t="n">
        <f aca="false">IF(V195,0,T195)</f>
        <v>515.951204214585</v>
      </c>
      <c r="Z195" s="9" t="b">
        <f aca="false">AND(Y195&gt;0,K195)</f>
        <v>0</v>
      </c>
      <c r="AA195" s="9" t="b">
        <f aca="false">AND(Y195=0,J195,ISNUMBER(L195))</f>
        <v>0</v>
      </c>
      <c r="AB195" s="8" t="n">
        <f aca="false">IF(Q195,R195,AB194)</f>
        <v>0.861976658644412</v>
      </c>
      <c r="AC195" s="12" t="n">
        <f aca="false">IF(Q195,A195,AC194)</f>
        <v>44890</v>
      </c>
      <c r="AD195" s="8" t="n">
        <f aca="false">IF(Q195,B195,AD194)</f>
        <v>0.861804297784855</v>
      </c>
      <c r="AE195" s="8" t="str">
        <f aca="false">IF(AA195,L195,"")</f>
        <v/>
      </c>
      <c r="AF195" s="8" t="n">
        <f aca="false">U195</f>
        <v>0.842594980845593</v>
      </c>
      <c r="AG195" s="2" t="n">
        <f aca="false">AG194+IF(Q195,1,0)</f>
        <v>1</v>
      </c>
      <c r="AH195" s="2" t="n">
        <f aca="false">AG194</f>
        <v>1</v>
      </c>
      <c r="AI195" s="10" t="n">
        <f aca="false">X195+Y195*(E195-AB195)-Y195*AD195*Inputs!$B$13*(A195-AC195)</f>
        <v>1026.96753938345</v>
      </c>
      <c r="AJ195" s="10" t="n">
        <v>0</v>
      </c>
      <c r="AK195" s="8" t="n">
        <f aca="false">IF(AND(B195&lt;=U195,NOT(Q195)),B195,U195)*(1-Inputs!$B$12)</f>
        <v>0.842426461849423</v>
      </c>
    </row>
    <row r="196" customFormat="false" ht="15" hidden="false" customHeight="false" outlineLevel="0" collapsed="false">
      <c r="A196" s="6" t="n">
        <v>44980</v>
      </c>
      <c r="B196" s="7" t="n">
        <v>0.929841450202963</v>
      </c>
      <c r="C196" s="7" t="n">
        <v>0.932497099439741</v>
      </c>
      <c r="D196" s="7" t="n">
        <v>0.92306887673229</v>
      </c>
      <c r="E196" s="7" t="n">
        <v>0.927556847152698</v>
      </c>
      <c r="F196" s="8" t="n">
        <f aca="true">IF(ROW()-2&gt;=Inputs!$B$4,AVERAGE(OFFSET(E196,1-Inputs!$B$4,0,Inputs!$B$4,1)),"")</f>
        <v>0.909932525316515</v>
      </c>
      <c r="G196" s="8" t="n">
        <f aca="true">IF(ROW()-2&gt;=Inputs!$B$5,AVERAGE(OFFSET(E196,1-Inputs!$B$5,0,Inputs!$B$5,1)),"")</f>
        <v>0.900092504669983</v>
      </c>
      <c r="H196" s="8" t="n">
        <f aca="false">MAX(C196-D196,ABS(C196-E195),ABS(D196-E195))</f>
        <v>0.00942822270745114</v>
      </c>
      <c r="I196" s="8" t="n">
        <f aca="true">IF(ROW()-2&lt;14,"",IF(ROW()-2=14,AVERAGE(OFFSET(H196,-13,0,14,1)),(I195*13+H196)/14))</f>
        <v>0.0109155652919389</v>
      </c>
      <c r="J196" s="9" t="b">
        <f aca="false">IF(AND(ISNUMBER(F196),ISNUMBER(G196),ISNUMBER(F195),ISNUMBER(G195)),AND(F196&gt;G196,F195&lt;=G195),FALSE())</f>
        <v>0</v>
      </c>
      <c r="K196" s="9" t="b">
        <f aca="false">IF(AND(ISNUMBER(F196),ISNUMBER(G196),ISNUMBER(F195),ISNUMBER(G195)),AND(F196&lt;G196,F195&gt;=G195),FALSE())</f>
        <v>0</v>
      </c>
      <c r="L196" s="8" t="n">
        <f aca="false">IF(ISNUMBER(I196),E196-Inputs!$B$6*I196,"")</f>
        <v>0.90572571656882</v>
      </c>
      <c r="M196" s="9" t="b">
        <f aca="false">AND(Y195&gt;0,Z195)</f>
        <v>0</v>
      </c>
      <c r="N196" s="8" t="n">
        <f aca="false">B196*(1-Inputs!$B$12)</f>
        <v>0.929655481912923</v>
      </c>
      <c r="O196" s="10" t="n">
        <f aca="false">IF(M196,Y195*(N196-AB195)-Inputs!$B$9-Y195*AD195*Inputs!$B$13*(A196-AC195),0)</f>
        <v>0</v>
      </c>
      <c r="P196" s="10" t="n">
        <f aca="false">X195+O196</f>
        <v>999</v>
      </c>
      <c r="Q196" s="9" t="b">
        <f aca="false">AND(IF(M196,0,Y195)=0,AA195,IF(ISNUMBER(AE195),B196&gt;AE195,FALSE()))</f>
        <v>0</v>
      </c>
      <c r="R196" s="8" t="n">
        <f aca="false">B196*(1+Inputs!$B$12)</f>
        <v>0.930027418493004</v>
      </c>
      <c r="S196" s="11" t="n">
        <f aca="false">IF(Q196,MIN(P196*Inputs!$B$3/(R196-AE195),P196*Inputs!$B$11/R196),0)</f>
        <v>0</v>
      </c>
      <c r="T196" s="11" t="n">
        <f aca="false">IF(Q196,S196,IF(M196,0,Y195))</f>
        <v>515.951204214585</v>
      </c>
      <c r="U196" s="8" t="n">
        <f aca="false">IF(Q196,AE195,AF195)</f>
        <v>0.842594980845593</v>
      </c>
      <c r="V196" s="9" t="b">
        <f aca="false">AND(T196&gt;0,D196&lt;=U196)</f>
        <v>0</v>
      </c>
      <c r="W196" s="10" t="n">
        <f aca="false">IF(V196,T196*(AK196-AB196)-Inputs!$B$9-T196*AD196*Inputs!$B$13*(A196-AC196),0)</f>
        <v>0</v>
      </c>
      <c r="X196" s="10" t="n">
        <f aca="false">P196-IF(Q196,Inputs!$B$9,0)+W196</f>
        <v>999</v>
      </c>
      <c r="Y196" s="11" t="n">
        <f aca="false">IF(V196,0,T196)</f>
        <v>515.951204214585</v>
      </c>
      <c r="Z196" s="9" t="b">
        <f aca="false">AND(Y196&gt;0,K196)</f>
        <v>0</v>
      </c>
      <c r="AA196" s="9" t="b">
        <f aca="false">AND(Y196=0,J196,ISNUMBER(L196))</f>
        <v>0</v>
      </c>
      <c r="AB196" s="8" t="n">
        <f aca="false">IF(Q196,R196,AB195)</f>
        <v>0.861976658644412</v>
      </c>
      <c r="AC196" s="12" t="n">
        <f aca="false">IF(Q196,A196,AC195)</f>
        <v>44890</v>
      </c>
      <c r="AD196" s="8" t="n">
        <f aca="false">IF(Q196,B196,AD195)</f>
        <v>0.861804297784855</v>
      </c>
      <c r="AE196" s="8" t="str">
        <f aca="false">IF(AA196,L196,"")</f>
        <v/>
      </c>
      <c r="AF196" s="8" t="n">
        <f aca="false">U196</f>
        <v>0.842594980845593</v>
      </c>
      <c r="AG196" s="2" t="n">
        <f aca="false">AG195+IF(Q196,1,0)</f>
        <v>1</v>
      </c>
      <c r="AH196" s="2" t="n">
        <f aca="false">AG195</f>
        <v>1</v>
      </c>
      <c r="AI196" s="10" t="n">
        <f aca="false">X196+Y196*(E196-AB196)-Y196*AD196*Inputs!$B$13*(A196-AC196)</f>
        <v>1025.70961162621</v>
      </c>
      <c r="AJ196" s="10" t="n">
        <v>0</v>
      </c>
      <c r="AK196" s="8" t="n">
        <f aca="false">IF(AND(B196&lt;=U196,NOT(Q196)),B196,U196)*(1-Inputs!$B$12)</f>
        <v>0.842426461849423</v>
      </c>
    </row>
    <row r="197" customFormat="false" ht="15" hidden="false" customHeight="false" outlineLevel="0" collapsed="false">
      <c r="A197" s="6" t="n">
        <v>44981</v>
      </c>
      <c r="B197" s="7" t="n">
        <v>0.927556847152698</v>
      </c>
      <c r="C197" s="7" t="n">
        <v>0.931927795537305</v>
      </c>
      <c r="D197" s="7" t="n">
        <v>0.917949068105733</v>
      </c>
      <c r="E197" s="7" t="n">
        <v>0.919345061643174</v>
      </c>
      <c r="F197" s="8" t="n">
        <f aca="true">IF(ROW()-2&gt;=Inputs!$B$4,AVERAGE(OFFSET(E197,1-Inputs!$B$4,0,Inputs!$B$4,1)),"")</f>
        <v>0.91103815272555</v>
      </c>
      <c r="G197" s="8" t="n">
        <f aca="true">IF(ROW()-2&gt;=Inputs!$B$5,AVERAGE(OFFSET(E197,1-Inputs!$B$5,0,Inputs!$B$5,1)),"")</f>
        <v>0.900861809090383</v>
      </c>
      <c r="H197" s="8" t="n">
        <f aca="false">MAX(C197-D197,ABS(C197-E196),ABS(D197-E196))</f>
        <v>0.0139787274315724</v>
      </c>
      <c r="I197" s="8" t="n">
        <f aca="true">IF(ROW()-2&lt;14,"",IF(ROW()-2=14,AVERAGE(OFFSET(H197,-13,0,14,1)),(I196*13+H197)/14))</f>
        <v>0.011134362587627</v>
      </c>
      <c r="J197" s="9" t="b">
        <f aca="false">IF(AND(ISNUMBER(F197),ISNUMBER(G197),ISNUMBER(F196),ISNUMBER(G196)),AND(F197&gt;G197,F196&lt;=G196),FALSE())</f>
        <v>0</v>
      </c>
      <c r="K197" s="9" t="b">
        <f aca="false">IF(AND(ISNUMBER(F197),ISNUMBER(G197),ISNUMBER(F196),ISNUMBER(G196)),AND(F197&lt;G197,F196&gt;=G196),FALSE())</f>
        <v>0</v>
      </c>
      <c r="L197" s="8" t="n">
        <f aca="false">IF(ISNUMBER(I197),E197-Inputs!$B$6*I197,"")</f>
        <v>0.89707633646792</v>
      </c>
      <c r="M197" s="9" t="b">
        <f aca="false">AND(Y196&gt;0,Z196)</f>
        <v>0</v>
      </c>
      <c r="N197" s="8" t="n">
        <f aca="false">B197*(1-Inputs!$B$12)</f>
        <v>0.927371335783267</v>
      </c>
      <c r="O197" s="10" t="n">
        <f aca="false">IF(M197,Y196*(N197-AB196)-Inputs!$B$9-Y196*AD196*Inputs!$B$13*(A197-AC196),0)</f>
        <v>0</v>
      </c>
      <c r="P197" s="10" t="n">
        <f aca="false">X196+O197</f>
        <v>999</v>
      </c>
      <c r="Q197" s="9" t="b">
        <f aca="false">AND(IF(M197,0,Y196)=0,AA196,IF(ISNUMBER(AE196),B197&gt;AE196,FALSE()))</f>
        <v>0</v>
      </c>
      <c r="R197" s="8" t="n">
        <f aca="false">B197*(1+Inputs!$B$12)</f>
        <v>0.927742358522128</v>
      </c>
      <c r="S197" s="11" t="n">
        <f aca="false">IF(Q197,MIN(P197*Inputs!$B$3/(R197-AE196),P197*Inputs!$B$11/R197),0)</f>
        <v>0</v>
      </c>
      <c r="T197" s="11" t="n">
        <f aca="false">IF(Q197,S197,IF(M197,0,Y196))</f>
        <v>515.951204214585</v>
      </c>
      <c r="U197" s="8" t="n">
        <f aca="false">IF(Q197,AE196,AF196)</f>
        <v>0.842594980845593</v>
      </c>
      <c r="V197" s="9" t="b">
        <f aca="false">AND(T197&gt;0,D197&lt;=U197)</f>
        <v>0</v>
      </c>
      <c r="W197" s="10" t="n">
        <f aca="false">IF(V197,T197*(AK197-AB197)-Inputs!$B$9-T197*AD197*Inputs!$B$13*(A197-AC197),0)</f>
        <v>0</v>
      </c>
      <c r="X197" s="10" t="n">
        <f aca="false">P197-IF(Q197,Inputs!$B$9,0)+W197</f>
        <v>999</v>
      </c>
      <c r="Y197" s="11" t="n">
        <f aca="false">IF(V197,0,T197)</f>
        <v>515.951204214585</v>
      </c>
      <c r="Z197" s="9" t="b">
        <f aca="false">AND(Y197&gt;0,K197)</f>
        <v>0</v>
      </c>
      <c r="AA197" s="9" t="b">
        <f aca="false">AND(Y197=0,J197,ISNUMBER(L197))</f>
        <v>0</v>
      </c>
      <c r="AB197" s="8" t="n">
        <f aca="false">IF(Q197,R197,AB196)</f>
        <v>0.861976658644412</v>
      </c>
      <c r="AC197" s="12" t="n">
        <f aca="false">IF(Q197,A197,AC196)</f>
        <v>44890</v>
      </c>
      <c r="AD197" s="8" t="n">
        <f aca="false">IF(Q197,B197,AD196)</f>
        <v>0.861804297784855</v>
      </c>
      <c r="AE197" s="8" t="str">
        <f aca="false">IF(AA197,L197,"")</f>
        <v/>
      </c>
      <c r="AF197" s="8" t="n">
        <f aca="false">U197</f>
        <v>0.842594980845593</v>
      </c>
      <c r="AG197" s="2" t="n">
        <f aca="false">AG196+IF(Q197,1,0)</f>
        <v>1</v>
      </c>
      <c r="AH197" s="2" t="n">
        <f aca="false">AG196</f>
        <v>1</v>
      </c>
      <c r="AI197" s="10" t="n">
        <f aca="false">X197+Y197*(E197-AB197)-Y197*AD197*Inputs!$B$13*(A197-AC197)</f>
        <v>1021.39354694151</v>
      </c>
      <c r="AJ197" s="10" t="n">
        <v>0</v>
      </c>
      <c r="AK197" s="8" t="n">
        <f aca="false">IF(AND(B197&lt;=U197,NOT(Q197)),B197,U197)*(1-Inputs!$B$12)</f>
        <v>0.842426461849423</v>
      </c>
    </row>
    <row r="198" customFormat="false" ht="15" hidden="false" customHeight="false" outlineLevel="0" collapsed="false">
      <c r="A198" s="6" t="n">
        <v>44982</v>
      </c>
      <c r="B198" s="7" t="n">
        <v>0.919345061643174</v>
      </c>
      <c r="C198" s="7" t="n">
        <v>0.922111580184157</v>
      </c>
      <c r="D198" s="7" t="n">
        <v>0.918112731882077</v>
      </c>
      <c r="E198" s="7" t="n">
        <v>0.920190842180359</v>
      </c>
      <c r="F198" s="8" t="n">
        <f aca="true">IF(ROW()-2&gt;=Inputs!$B$4,AVERAGE(OFFSET(E198,1-Inputs!$B$4,0,Inputs!$B$4,1)),"")</f>
        <v>0.912215988625868</v>
      </c>
      <c r="G198" s="8" t="n">
        <f aca="true">IF(ROW()-2&gt;=Inputs!$B$5,AVERAGE(OFFSET(E198,1-Inputs!$B$5,0,Inputs!$B$5,1)),"")</f>
        <v>0.901627472624401</v>
      </c>
      <c r="H198" s="8" t="n">
        <f aca="false">MAX(C198-D198,ABS(C198-E197),ABS(D198-E197))</f>
        <v>0.00399884830207986</v>
      </c>
      <c r="I198" s="8" t="n">
        <f aca="true">IF(ROW()-2&lt;14,"",IF(ROW()-2=14,AVERAGE(OFFSET(H198,-13,0,14,1)),(I197*13+H198)/14))</f>
        <v>0.0106246829958022</v>
      </c>
      <c r="J198" s="9" t="b">
        <f aca="false">IF(AND(ISNUMBER(F198),ISNUMBER(G198),ISNUMBER(F197),ISNUMBER(G197)),AND(F198&gt;G198,F197&lt;=G197),FALSE())</f>
        <v>0</v>
      </c>
      <c r="K198" s="9" t="b">
        <f aca="false">IF(AND(ISNUMBER(F198),ISNUMBER(G198),ISNUMBER(F197),ISNUMBER(G197)),AND(F198&lt;G198,F197&gt;=G197),FALSE())</f>
        <v>0</v>
      </c>
      <c r="L198" s="8" t="n">
        <f aca="false">IF(ISNUMBER(I198),E198-Inputs!$B$6*I198,"")</f>
        <v>0.898941476188755</v>
      </c>
      <c r="M198" s="9" t="b">
        <f aca="false">AND(Y197&gt;0,Z197)</f>
        <v>0</v>
      </c>
      <c r="N198" s="8" t="n">
        <f aca="false">B198*(1-Inputs!$B$12)</f>
        <v>0.919161192630846</v>
      </c>
      <c r="O198" s="10" t="n">
        <f aca="false">IF(M198,Y197*(N198-AB197)-Inputs!$B$9-Y197*AD197*Inputs!$B$13*(A198-AC197),0)</f>
        <v>0</v>
      </c>
      <c r="P198" s="10" t="n">
        <f aca="false">X197+O198</f>
        <v>999</v>
      </c>
      <c r="Q198" s="9" t="b">
        <f aca="false">AND(IF(M198,0,Y197)=0,AA197,IF(ISNUMBER(AE197),B198&gt;AE197,FALSE()))</f>
        <v>0</v>
      </c>
      <c r="R198" s="8" t="n">
        <f aca="false">B198*(1+Inputs!$B$12)</f>
        <v>0.919528930655503</v>
      </c>
      <c r="S198" s="11" t="n">
        <f aca="false">IF(Q198,MIN(P198*Inputs!$B$3/(R198-AE197),P198*Inputs!$B$11/R198),0)</f>
        <v>0</v>
      </c>
      <c r="T198" s="11" t="n">
        <f aca="false">IF(Q198,S198,IF(M198,0,Y197))</f>
        <v>515.951204214585</v>
      </c>
      <c r="U198" s="8" t="n">
        <f aca="false">IF(Q198,AE197,AF197)</f>
        <v>0.842594980845593</v>
      </c>
      <c r="V198" s="9" t="b">
        <f aca="false">AND(T198&gt;0,D198&lt;=U198)</f>
        <v>0</v>
      </c>
      <c r="W198" s="10" t="n">
        <f aca="false">IF(V198,T198*(AK198-AB198)-Inputs!$B$9-T198*AD198*Inputs!$B$13*(A198-AC198),0)</f>
        <v>0</v>
      </c>
      <c r="X198" s="10" t="n">
        <f aca="false">P198-IF(Q198,Inputs!$B$9,0)+W198</f>
        <v>999</v>
      </c>
      <c r="Y198" s="11" t="n">
        <f aca="false">IF(V198,0,T198)</f>
        <v>515.951204214585</v>
      </c>
      <c r="Z198" s="9" t="b">
        <f aca="false">AND(Y198&gt;0,K198)</f>
        <v>0</v>
      </c>
      <c r="AA198" s="9" t="b">
        <f aca="false">AND(Y198=0,J198,ISNUMBER(L198))</f>
        <v>0</v>
      </c>
      <c r="AB198" s="8" t="n">
        <f aca="false">IF(Q198,R198,AB197)</f>
        <v>0.861976658644412</v>
      </c>
      <c r="AC198" s="12" t="n">
        <f aca="false">IF(Q198,A198,AC197)</f>
        <v>44890</v>
      </c>
      <c r="AD198" s="8" t="n">
        <f aca="false">IF(Q198,B198,AD197)</f>
        <v>0.861804297784855</v>
      </c>
      <c r="AE198" s="8" t="str">
        <f aca="false">IF(AA198,L198,"")</f>
        <v/>
      </c>
      <c r="AF198" s="8" t="n">
        <f aca="false">U198</f>
        <v>0.842594980845593</v>
      </c>
      <c r="AG198" s="2" t="n">
        <f aca="false">AG197+IF(Q198,1,0)</f>
        <v>1</v>
      </c>
      <c r="AH198" s="2" t="n">
        <f aca="false">AG197</f>
        <v>1</v>
      </c>
      <c r="AI198" s="10" t="n">
        <f aca="false">X198+Y198*(E198-AB198)-Y198*AD198*Inputs!$B$13*(A198-AC198)</f>
        <v>1021.75074436587</v>
      </c>
      <c r="AJ198" s="10" t="n">
        <v>0</v>
      </c>
      <c r="AK198" s="8" t="n">
        <f aca="false">IF(AND(B198&lt;=U198,NOT(Q198)),B198,U198)*(1-Inputs!$B$12)</f>
        <v>0.842426461849423</v>
      </c>
    </row>
    <row r="199" customFormat="false" ht="15" hidden="false" customHeight="false" outlineLevel="0" collapsed="false">
      <c r="A199" s="6" t="n">
        <v>44983</v>
      </c>
      <c r="B199" s="7" t="n">
        <v>0.920190842180359</v>
      </c>
      <c r="C199" s="7" t="n">
        <v>0.937372922584691</v>
      </c>
      <c r="D199" s="7" t="n">
        <v>0.918138187196369</v>
      </c>
      <c r="E199" s="7" t="n">
        <v>0.930240643101096</v>
      </c>
      <c r="F199" s="8" t="n">
        <f aca="true">IF(ROW()-2&gt;=Inputs!$B$4,AVERAGE(OFFSET(E199,1-Inputs!$B$4,0,Inputs!$B$4,1)),"")</f>
        <v>0.913738064463656</v>
      </c>
      <c r="G199" s="8" t="n">
        <f aca="true">IF(ROW()-2&gt;=Inputs!$B$5,AVERAGE(OFFSET(E199,1-Inputs!$B$5,0,Inputs!$B$5,1)),"")</f>
        <v>0.902694505677195</v>
      </c>
      <c r="H199" s="8" t="n">
        <f aca="false">MAX(C199-D199,ABS(C199-E198),ABS(D199-E198))</f>
        <v>0.0192347353883218</v>
      </c>
      <c r="I199" s="8" t="n">
        <f aca="true">IF(ROW()-2&lt;14,"",IF(ROW()-2=14,AVERAGE(OFFSET(H199,-13,0,14,1)),(I198*13+H199)/14))</f>
        <v>0.011239686738125</v>
      </c>
      <c r="J199" s="9" t="b">
        <f aca="false">IF(AND(ISNUMBER(F199),ISNUMBER(G199),ISNUMBER(F198),ISNUMBER(G198)),AND(F199&gt;G199,F198&lt;=G198),FALSE())</f>
        <v>0</v>
      </c>
      <c r="K199" s="9" t="b">
        <f aca="false">IF(AND(ISNUMBER(F199),ISNUMBER(G199),ISNUMBER(F198),ISNUMBER(G198)),AND(F199&lt;G199,F198&gt;=G198),FALSE())</f>
        <v>0</v>
      </c>
      <c r="L199" s="8" t="n">
        <f aca="false">IF(ISNUMBER(I199),E199-Inputs!$B$6*I199,"")</f>
        <v>0.907761269624846</v>
      </c>
      <c r="M199" s="9" t="b">
        <f aca="false">AND(Y198&gt;0,Z198)</f>
        <v>0</v>
      </c>
      <c r="N199" s="8" t="n">
        <f aca="false">B199*(1-Inputs!$B$12)</f>
        <v>0.920006804011923</v>
      </c>
      <c r="O199" s="10" t="n">
        <f aca="false">IF(M199,Y198*(N199-AB198)-Inputs!$B$9-Y198*AD198*Inputs!$B$13*(A199-AC198),0)</f>
        <v>0</v>
      </c>
      <c r="P199" s="10" t="n">
        <f aca="false">X198+O199</f>
        <v>999</v>
      </c>
      <c r="Q199" s="9" t="b">
        <f aca="false">AND(IF(M199,0,Y198)=0,AA198,IF(ISNUMBER(AE198),B199&gt;AE198,FALSE()))</f>
        <v>0</v>
      </c>
      <c r="R199" s="8" t="n">
        <f aca="false">B199*(1+Inputs!$B$12)</f>
        <v>0.920374880348795</v>
      </c>
      <c r="S199" s="11" t="n">
        <f aca="false">IF(Q199,MIN(P199*Inputs!$B$3/(R199-AE198),P199*Inputs!$B$11/R199),0)</f>
        <v>0</v>
      </c>
      <c r="T199" s="11" t="n">
        <f aca="false">IF(Q199,S199,IF(M199,0,Y198))</f>
        <v>515.951204214585</v>
      </c>
      <c r="U199" s="8" t="n">
        <f aca="false">IF(Q199,AE198,AF198)</f>
        <v>0.842594980845593</v>
      </c>
      <c r="V199" s="9" t="b">
        <f aca="false">AND(T199&gt;0,D199&lt;=U199)</f>
        <v>0</v>
      </c>
      <c r="W199" s="10" t="n">
        <f aca="false">IF(V199,T199*(AK199-AB199)-Inputs!$B$9-T199*AD199*Inputs!$B$13*(A199-AC199),0)</f>
        <v>0</v>
      </c>
      <c r="X199" s="10" t="n">
        <f aca="false">P199-IF(Q199,Inputs!$B$9,0)+W199</f>
        <v>999</v>
      </c>
      <c r="Y199" s="11" t="n">
        <f aca="false">IF(V199,0,T199)</f>
        <v>515.951204214585</v>
      </c>
      <c r="Z199" s="9" t="b">
        <f aca="false">AND(Y199&gt;0,K199)</f>
        <v>0</v>
      </c>
      <c r="AA199" s="9" t="b">
        <f aca="false">AND(Y199=0,J199,ISNUMBER(L199))</f>
        <v>0</v>
      </c>
      <c r="AB199" s="8" t="n">
        <f aca="false">IF(Q199,R199,AB198)</f>
        <v>0.861976658644412</v>
      </c>
      <c r="AC199" s="12" t="n">
        <f aca="false">IF(Q199,A199,AC198)</f>
        <v>44890</v>
      </c>
      <c r="AD199" s="8" t="n">
        <f aca="false">IF(Q199,B199,AD198)</f>
        <v>0.861804297784855</v>
      </c>
      <c r="AE199" s="8" t="str">
        <f aca="false">IF(AA199,L199,"")</f>
        <v/>
      </c>
      <c r="AF199" s="8" t="n">
        <f aca="false">U199</f>
        <v>0.842594980845593</v>
      </c>
      <c r="AG199" s="2" t="n">
        <f aca="false">AG198+IF(Q199,1,0)</f>
        <v>1</v>
      </c>
      <c r="AH199" s="2" t="n">
        <f aca="false">AG198</f>
        <v>1</v>
      </c>
      <c r="AI199" s="10" t="n">
        <f aca="false">X199+Y199*(E199-AB199)-Y199*AD199*Inputs!$B$13*(A199-AC199)</f>
        <v>1026.85676719074</v>
      </c>
      <c r="AJ199" s="10" t="n">
        <v>0</v>
      </c>
      <c r="AK199" s="8" t="n">
        <f aca="false">IF(AND(B199&lt;=U199,NOT(Q199)),B199,U199)*(1-Inputs!$B$12)</f>
        <v>0.842426461849423</v>
      </c>
    </row>
    <row r="200" customFormat="false" ht="15" hidden="false" customHeight="false" outlineLevel="0" collapsed="false">
      <c r="A200" s="6" t="n">
        <v>44984</v>
      </c>
      <c r="B200" s="7" t="n">
        <v>0.930240643101096</v>
      </c>
      <c r="C200" s="7" t="n">
        <v>0.940826282006508</v>
      </c>
      <c r="D200" s="7" t="n">
        <v>0.928921023331485</v>
      </c>
      <c r="E200" s="7" t="n">
        <v>0.940070820763092</v>
      </c>
      <c r="F200" s="8" t="n">
        <f aca="true">IF(ROW()-2&gt;=Inputs!$B$4,AVERAGE(OFFSET(E200,1-Inputs!$B$4,0,Inputs!$B$4,1)),"")</f>
        <v>0.915584160581209</v>
      </c>
      <c r="G200" s="8" t="n">
        <f aca="true">IF(ROW()-2&gt;=Inputs!$B$5,AVERAGE(OFFSET(E200,1-Inputs!$B$5,0,Inputs!$B$5,1)),"")</f>
        <v>0.903985996776189</v>
      </c>
      <c r="H200" s="8" t="n">
        <f aca="false">MAX(C200-D200,ABS(C200-E199),ABS(D200-E199))</f>
        <v>0.0119052586750232</v>
      </c>
      <c r="I200" s="8" t="n">
        <f aca="true">IF(ROW()-2&lt;14,"",IF(ROW()-2=14,AVERAGE(OFFSET(H200,-13,0,14,1)),(I199*13+H200)/14))</f>
        <v>0.0112872275907606</v>
      </c>
      <c r="J200" s="9" t="b">
        <f aca="false">IF(AND(ISNUMBER(F200),ISNUMBER(G200),ISNUMBER(F199),ISNUMBER(G199)),AND(F200&gt;G200,F199&lt;=G199),FALSE())</f>
        <v>0</v>
      </c>
      <c r="K200" s="9" t="b">
        <f aca="false">IF(AND(ISNUMBER(F200),ISNUMBER(G200),ISNUMBER(F199),ISNUMBER(G199)),AND(F200&lt;G200,F199&gt;=G199),FALSE())</f>
        <v>0</v>
      </c>
      <c r="L200" s="8" t="n">
        <f aca="false">IF(ISNUMBER(I200),E200-Inputs!$B$6*I200,"")</f>
        <v>0.917496365581571</v>
      </c>
      <c r="M200" s="9" t="b">
        <f aca="false">AND(Y199&gt;0,Z199)</f>
        <v>0</v>
      </c>
      <c r="N200" s="8" t="n">
        <f aca="false">B200*(1-Inputs!$B$12)</f>
        <v>0.930054594972475</v>
      </c>
      <c r="O200" s="10" t="n">
        <f aca="false">IF(M200,Y199*(N200-AB199)-Inputs!$B$9-Y199*AD199*Inputs!$B$13*(A200-AC199),0)</f>
        <v>0</v>
      </c>
      <c r="P200" s="10" t="n">
        <f aca="false">X199+O200</f>
        <v>999</v>
      </c>
      <c r="Q200" s="9" t="b">
        <f aca="false">AND(IF(M200,0,Y199)=0,AA199,IF(ISNUMBER(AE199),B200&gt;AE199,FALSE()))</f>
        <v>0</v>
      </c>
      <c r="R200" s="8" t="n">
        <f aca="false">B200*(1+Inputs!$B$12)</f>
        <v>0.930426691229716</v>
      </c>
      <c r="S200" s="11" t="n">
        <f aca="false">IF(Q200,MIN(P200*Inputs!$B$3/(R200-AE199),P200*Inputs!$B$11/R200),0)</f>
        <v>0</v>
      </c>
      <c r="T200" s="11" t="n">
        <f aca="false">IF(Q200,S200,IF(M200,0,Y199))</f>
        <v>515.951204214585</v>
      </c>
      <c r="U200" s="8" t="n">
        <f aca="false">IF(Q200,AE199,AF199)</f>
        <v>0.842594980845593</v>
      </c>
      <c r="V200" s="9" t="b">
        <f aca="false">AND(T200&gt;0,D200&lt;=U200)</f>
        <v>0</v>
      </c>
      <c r="W200" s="10" t="n">
        <f aca="false">IF(V200,T200*(AK200-AB200)-Inputs!$B$9-T200*AD200*Inputs!$B$13*(A200-AC200),0)</f>
        <v>0</v>
      </c>
      <c r="X200" s="10" t="n">
        <f aca="false">P200-IF(Q200,Inputs!$B$9,0)+W200</f>
        <v>999</v>
      </c>
      <c r="Y200" s="11" t="n">
        <f aca="false">IF(V200,0,T200)</f>
        <v>515.951204214585</v>
      </c>
      <c r="Z200" s="9" t="b">
        <f aca="false">AND(Y200&gt;0,K200)</f>
        <v>0</v>
      </c>
      <c r="AA200" s="9" t="b">
        <f aca="false">AND(Y200=0,J200,ISNUMBER(L200))</f>
        <v>0</v>
      </c>
      <c r="AB200" s="8" t="n">
        <f aca="false">IF(Q200,R200,AB199)</f>
        <v>0.861976658644412</v>
      </c>
      <c r="AC200" s="12" t="n">
        <f aca="false">IF(Q200,A200,AC199)</f>
        <v>44890</v>
      </c>
      <c r="AD200" s="8" t="n">
        <f aca="false">IF(Q200,B200,AD199)</f>
        <v>0.861804297784855</v>
      </c>
      <c r="AE200" s="8" t="str">
        <f aca="false">IF(AA200,L200,"")</f>
        <v/>
      </c>
      <c r="AF200" s="8" t="n">
        <f aca="false">U200</f>
        <v>0.842594980845593</v>
      </c>
      <c r="AG200" s="2" t="n">
        <f aca="false">AG199+IF(Q200,1,0)</f>
        <v>1</v>
      </c>
      <c r="AH200" s="2" t="n">
        <f aca="false">AG199</f>
        <v>1</v>
      </c>
      <c r="AI200" s="10" t="n">
        <f aca="false">X200+Y200*(E200-AB200)-Y200*AD200*Inputs!$B$13*(A200-AC200)</f>
        <v>1031.84947513079</v>
      </c>
      <c r="AJ200" s="10" t="n">
        <v>0</v>
      </c>
      <c r="AK200" s="8" t="n">
        <f aca="false">IF(AND(B200&lt;=U200,NOT(Q200)),B200,U200)*(1-Inputs!$B$12)</f>
        <v>0.842426461849423</v>
      </c>
    </row>
    <row r="201" customFormat="false" ht="15" hidden="false" customHeight="false" outlineLevel="0" collapsed="false">
      <c r="A201" s="6" t="n">
        <v>44985</v>
      </c>
      <c r="B201" s="7" t="n">
        <v>0.940070820763092</v>
      </c>
      <c r="C201" s="7" t="n">
        <v>0.948777742569382</v>
      </c>
      <c r="D201" s="7" t="n">
        <v>0.938888830071269</v>
      </c>
      <c r="E201" s="7" t="n">
        <v>0.943750636532351</v>
      </c>
      <c r="F201" s="8" t="n">
        <f aca="true">IF(ROW()-2&gt;=Inputs!$B$4,AVERAGE(OFFSET(E201,1-Inputs!$B$4,0,Inputs!$B$4,1)),"")</f>
        <v>0.917627884223434</v>
      </c>
      <c r="G201" s="8" t="n">
        <f aca="true">IF(ROW()-2&gt;=Inputs!$B$5,AVERAGE(OFFSET(E201,1-Inputs!$B$5,0,Inputs!$B$5,1)),"")</f>
        <v>0.905353126504449</v>
      </c>
      <c r="H201" s="8" t="n">
        <f aca="false">MAX(C201-D201,ABS(C201-E200),ABS(D201-E200))</f>
        <v>0.00988891249811308</v>
      </c>
      <c r="I201" s="8" t="n">
        <f aca="true">IF(ROW()-2&lt;14,"",IF(ROW()-2=14,AVERAGE(OFFSET(H201,-13,0,14,1)),(I200*13+H201)/14))</f>
        <v>0.0111873479412858</v>
      </c>
      <c r="J201" s="9" t="b">
        <f aca="false">IF(AND(ISNUMBER(F201),ISNUMBER(G201),ISNUMBER(F200),ISNUMBER(G200)),AND(F201&gt;G201,F200&lt;=G200),FALSE())</f>
        <v>0</v>
      </c>
      <c r="K201" s="9" t="b">
        <f aca="false">IF(AND(ISNUMBER(F201),ISNUMBER(G201),ISNUMBER(F200),ISNUMBER(G200)),AND(F201&lt;G201,F200&gt;=G200),FALSE())</f>
        <v>0</v>
      </c>
      <c r="L201" s="8" t="n">
        <f aca="false">IF(ISNUMBER(I201),E201-Inputs!$B$6*I201,"")</f>
        <v>0.92137594064978</v>
      </c>
      <c r="M201" s="9" t="b">
        <f aca="false">AND(Y200&gt;0,Z200)</f>
        <v>0</v>
      </c>
      <c r="N201" s="8" t="n">
        <f aca="false">B201*(1-Inputs!$B$12)</f>
        <v>0.939882806598939</v>
      </c>
      <c r="O201" s="10" t="n">
        <f aca="false">IF(M201,Y200*(N201-AB200)-Inputs!$B$9-Y200*AD200*Inputs!$B$13*(A201-AC200),0)</f>
        <v>0</v>
      </c>
      <c r="P201" s="10" t="n">
        <f aca="false">X200+O201</f>
        <v>999</v>
      </c>
      <c r="Q201" s="9" t="b">
        <f aca="false">AND(IF(M201,0,Y200)=0,AA200,IF(ISNUMBER(AE200),B201&gt;AE200,FALSE()))</f>
        <v>0</v>
      </c>
      <c r="R201" s="8" t="n">
        <f aca="false">B201*(1+Inputs!$B$12)</f>
        <v>0.940258834927244</v>
      </c>
      <c r="S201" s="11" t="n">
        <f aca="false">IF(Q201,MIN(P201*Inputs!$B$3/(R201-AE200),P201*Inputs!$B$11/R201),0)</f>
        <v>0</v>
      </c>
      <c r="T201" s="11" t="n">
        <f aca="false">IF(Q201,S201,IF(M201,0,Y200))</f>
        <v>515.951204214585</v>
      </c>
      <c r="U201" s="8" t="n">
        <f aca="false">IF(Q201,AE200,AF200)</f>
        <v>0.842594980845593</v>
      </c>
      <c r="V201" s="9" t="b">
        <f aca="false">AND(T201&gt;0,D201&lt;=U201)</f>
        <v>0</v>
      </c>
      <c r="W201" s="10" t="n">
        <f aca="false">IF(V201,T201*(AK201-AB201)-Inputs!$B$9-T201*AD201*Inputs!$B$13*(A201-AC201),0)</f>
        <v>0</v>
      </c>
      <c r="X201" s="10" t="n">
        <f aca="false">P201-IF(Q201,Inputs!$B$9,0)+W201</f>
        <v>999</v>
      </c>
      <c r="Y201" s="11" t="n">
        <f aca="false">IF(V201,0,T201)</f>
        <v>515.951204214585</v>
      </c>
      <c r="Z201" s="9" t="b">
        <f aca="false">AND(Y201&gt;0,K201)</f>
        <v>0</v>
      </c>
      <c r="AA201" s="9" t="b">
        <f aca="false">AND(Y201=0,J201,ISNUMBER(L201))</f>
        <v>0</v>
      </c>
      <c r="AB201" s="8" t="n">
        <f aca="false">IF(Q201,R201,AB200)</f>
        <v>0.861976658644412</v>
      </c>
      <c r="AC201" s="12" t="n">
        <f aca="false">IF(Q201,A201,AC200)</f>
        <v>44890</v>
      </c>
      <c r="AD201" s="8" t="n">
        <f aca="false">IF(Q201,B201,AD200)</f>
        <v>0.861804297784855</v>
      </c>
      <c r="AE201" s="8" t="str">
        <f aca="false">IF(AA201,L201,"")</f>
        <v/>
      </c>
      <c r="AF201" s="8" t="n">
        <f aca="false">U201</f>
        <v>0.842594980845593</v>
      </c>
      <c r="AG201" s="2" t="n">
        <f aca="false">AG200+IF(Q201,1,0)</f>
        <v>1</v>
      </c>
      <c r="AH201" s="2" t="n">
        <f aca="false">AG200</f>
        <v>1</v>
      </c>
      <c r="AI201" s="10" t="n">
        <f aca="false">X201+Y201*(E201-AB201)-Y201*AD201*Inputs!$B$13*(A201-AC201)</f>
        <v>1033.66889644592</v>
      </c>
      <c r="AJ201" s="10" t="n">
        <v>0</v>
      </c>
      <c r="AK201" s="8" t="n">
        <f aca="false">IF(AND(B201&lt;=U201,NOT(Q201)),B201,U201)*(1-Inputs!$B$12)</f>
        <v>0.842426461849423</v>
      </c>
    </row>
    <row r="202" customFormat="false" ht="15" hidden="false" customHeight="false" outlineLevel="0" collapsed="false">
      <c r="A202" s="6" t="n">
        <v>44986</v>
      </c>
      <c r="B202" s="7" t="n">
        <v>0.943750636532351</v>
      </c>
      <c r="C202" s="7" t="n">
        <v>0.944495230970332</v>
      </c>
      <c r="D202" s="7" t="n">
        <v>0.93559144696408</v>
      </c>
      <c r="E202" s="7" t="n">
        <v>0.936253695794357</v>
      </c>
      <c r="F202" s="8" t="n">
        <f aca="true">IF(ROW()-2&gt;=Inputs!$B$4,AVERAGE(OFFSET(E202,1-Inputs!$B$4,0,Inputs!$B$4,1)),"")</f>
        <v>0.919059317602746</v>
      </c>
      <c r="G202" s="8" t="n">
        <f aca="true">IF(ROW()-2&gt;=Inputs!$B$5,AVERAGE(OFFSET(E202,1-Inputs!$B$5,0,Inputs!$B$5,1)),"")</f>
        <v>0.906418483799939</v>
      </c>
      <c r="H202" s="8" t="n">
        <f aca="false">MAX(C202-D202,ABS(C202-E201),ABS(D202-E201))</f>
        <v>0.00890378400625169</v>
      </c>
      <c r="I202" s="8" t="n">
        <f aca="true">IF(ROW()-2&lt;14,"",IF(ROW()-2=14,AVERAGE(OFFSET(H202,-13,0,14,1)),(I201*13+H202)/14))</f>
        <v>0.0110242362316405</v>
      </c>
      <c r="J202" s="9" t="b">
        <f aca="false">IF(AND(ISNUMBER(F202),ISNUMBER(G202),ISNUMBER(F201),ISNUMBER(G201)),AND(F202&gt;G202,F201&lt;=G201),FALSE())</f>
        <v>0</v>
      </c>
      <c r="K202" s="9" t="b">
        <f aca="false">IF(AND(ISNUMBER(F202),ISNUMBER(G202),ISNUMBER(F201),ISNUMBER(G201)),AND(F202&lt;G202,F201&gt;=G201),FALSE())</f>
        <v>0</v>
      </c>
      <c r="L202" s="8" t="n">
        <f aca="false">IF(ISNUMBER(I202),E202-Inputs!$B$6*I202,"")</f>
        <v>0.914205223331076</v>
      </c>
      <c r="M202" s="9" t="b">
        <f aca="false">AND(Y201&gt;0,Z201)</f>
        <v>0</v>
      </c>
      <c r="N202" s="8" t="n">
        <f aca="false">B202*(1-Inputs!$B$12)</f>
        <v>0.943561886405045</v>
      </c>
      <c r="O202" s="10" t="n">
        <f aca="false">IF(M202,Y201*(N202-AB201)-Inputs!$B$9-Y201*AD201*Inputs!$B$13*(A202-AC201),0)</f>
        <v>0</v>
      </c>
      <c r="P202" s="10" t="n">
        <f aca="false">X201+O202</f>
        <v>999</v>
      </c>
      <c r="Q202" s="9" t="b">
        <f aca="false">AND(IF(M202,0,Y201)=0,AA201,IF(ISNUMBER(AE201),B202&gt;AE201,FALSE()))</f>
        <v>0</v>
      </c>
      <c r="R202" s="8" t="n">
        <f aca="false">B202*(1+Inputs!$B$12)</f>
        <v>0.943939386659658</v>
      </c>
      <c r="S202" s="11" t="n">
        <f aca="false">IF(Q202,MIN(P202*Inputs!$B$3/(R202-AE201),P202*Inputs!$B$11/R202),0)</f>
        <v>0</v>
      </c>
      <c r="T202" s="11" t="n">
        <f aca="false">IF(Q202,S202,IF(M202,0,Y201))</f>
        <v>515.951204214585</v>
      </c>
      <c r="U202" s="8" t="n">
        <f aca="false">IF(Q202,AE201,AF201)</f>
        <v>0.842594980845593</v>
      </c>
      <c r="V202" s="9" t="b">
        <f aca="false">AND(T202&gt;0,D202&lt;=U202)</f>
        <v>0</v>
      </c>
      <c r="W202" s="10" t="n">
        <f aca="false">IF(V202,T202*(AK202-AB202)-Inputs!$B$9-T202*AD202*Inputs!$B$13*(A202-AC202),0)</f>
        <v>0</v>
      </c>
      <c r="X202" s="10" t="n">
        <f aca="false">P202-IF(Q202,Inputs!$B$9,0)+W202</f>
        <v>999</v>
      </c>
      <c r="Y202" s="11" t="n">
        <f aca="false">IF(V202,0,T202)</f>
        <v>515.951204214585</v>
      </c>
      <c r="Z202" s="9" t="b">
        <f aca="false">AND(Y202&gt;0,K202)</f>
        <v>0</v>
      </c>
      <c r="AA202" s="9" t="b">
        <f aca="false">AND(Y202=0,J202,ISNUMBER(L202))</f>
        <v>0</v>
      </c>
      <c r="AB202" s="8" t="n">
        <f aca="false">IF(Q202,R202,AB201)</f>
        <v>0.861976658644412</v>
      </c>
      <c r="AC202" s="12" t="n">
        <f aca="false">IF(Q202,A202,AC201)</f>
        <v>44890</v>
      </c>
      <c r="AD202" s="8" t="n">
        <f aca="false">IF(Q202,B202,AD201)</f>
        <v>0.861804297784855</v>
      </c>
      <c r="AE202" s="8" t="str">
        <f aca="false">IF(AA202,L202,"")</f>
        <v/>
      </c>
      <c r="AF202" s="8" t="n">
        <f aca="false">U202</f>
        <v>0.842594980845593</v>
      </c>
      <c r="AG202" s="2" t="n">
        <f aca="false">AG201+IF(Q202,1,0)</f>
        <v>1</v>
      </c>
      <c r="AH202" s="2" t="n">
        <f aca="false">AG201</f>
        <v>1</v>
      </c>
      <c r="AI202" s="10" t="n">
        <f aca="false">X202+Y202*(E202-AB202)-Y202*AD202*Inputs!$B$13*(A202-AC202)</f>
        <v>1029.72165678193</v>
      </c>
      <c r="AJ202" s="10" t="n">
        <v>0</v>
      </c>
      <c r="AK202" s="8" t="n">
        <f aca="false">IF(AND(B202&lt;=U202,NOT(Q202)),B202,U202)*(1-Inputs!$B$12)</f>
        <v>0.842426461849423</v>
      </c>
    </row>
    <row r="203" customFormat="false" ht="15" hidden="false" customHeight="false" outlineLevel="0" collapsed="false">
      <c r="A203" s="6" t="n">
        <v>44987</v>
      </c>
      <c r="B203" s="7" t="n">
        <v>0.936253695794357</v>
      </c>
      <c r="C203" s="7" t="n">
        <v>0.936291262700683</v>
      </c>
      <c r="D203" s="7" t="n">
        <v>0.926445574086345</v>
      </c>
      <c r="E203" s="7" t="n">
        <v>0.93121437046513</v>
      </c>
      <c r="F203" s="8" t="n">
        <f aca="true">IF(ROW()-2&gt;=Inputs!$B$4,AVERAGE(OFFSET(E203,1-Inputs!$B$4,0,Inputs!$B$4,1)),"")</f>
        <v>0.920511855602093</v>
      </c>
      <c r="G203" s="8" t="n">
        <f aca="true">IF(ROW()-2&gt;=Inputs!$B$5,AVERAGE(OFFSET(E203,1-Inputs!$B$5,0,Inputs!$B$5,1)),"")</f>
        <v>0.907384497915111</v>
      </c>
      <c r="H203" s="8" t="n">
        <f aca="false">MAX(C203-D203,ABS(C203-E202),ABS(D203-E202))</f>
        <v>0.00984568861433732</v>
      </c>
      <c r="I203" s="8" t="n">
        <f aca="true">IF(ROW()-2&lt;14,"",IF(ROW()-2=14,AVERAGE(OFFSET(H203,-13,0,14,1)),(I202*13+H203)/14))</f>
        <v>0.010940054258976</v>
      </c>
      <c r="J203" s="9" t="b">
        <f aca="false">IF(AND(ISNUMBER(F203),ISNUMBER(G203),ISNUMBER(F202),ISNUMBER(G202)),AND(F203&gt;G203,F202&lt;=G202),FALSE())</f>
        <v>0</v>
      </c>
      <c r="K203" s="9" t="b">
        <f aca="false">IF(AND(ISNUMBER(F203),ISNUMBER(G203),ISNUMBER(F202),ISNUMBER(G202)),AND(F203&lt;G203,F202&gt;=G202),FALSE())</f>
        <v>0</v>
      </c>
      <c r="L203" s="8" t="n">
        <f aca="false">IF(ISNUMBER(I203),E203-Inputs!$B$6*I203,"")</f>
        <v>0.909334261947178</v>
      </c>
      <c r="M203" s="9" t="b">
        <f aca="false">AND(Y202&gt;0,Z202)</f>
        <v>0</v>
      </c>
      <c r="N203" s="8" t="n">
        <f aca="false">B203*(1-Inputs!$B$12)</f>
        <v>0.936066445055198</v>
      </c>
      <c r="O203" s="10" t="n">
        <f aca="false">IF(M203,Y202*(N203-AB202)-Inputs!$B$9-Y202*AD202*Inputs!$B$13*(A203-AC202),0)</f>
        <v>0</v>
      </c>
      <c r="P203" s="10" t="n">
        <f aca="false">X202+O203</f>
        <v>999</v>
      </c>
      <c r="Q203" s="9" t="b">
        <f aca="false">AND(IF(M203,0,Y202)=0,AA202,IF(ISNUMBER(AE202),B203&gt;AE202,FALSE()))</f>
        <v>0</v>
      </c>
      <c r="R203" s="8" t="n">
        <f aca="false">B203*(1+Inputs!$B$12)</f>
        <v>0.936440946533516</v>
      </c>
      <c r="S203" s="11" t="n">
        <f aca="false">IF(Q203,MIN(P203*Inputs!$B$3/(R203-AE202),P203*Inputs!$B$11/R203),0)</f>
        <v>0</v>
      </c>
      <c r="T203" s="11" t="n">
        <f aca="false">IF(Q203,S203,IF(M203,0,Y202))</f>
        <v>515.951204214585</v>
      </c>
      <c r="U203" s="8" t="n">
        <f aca="false">IF(Q203,AE202,AF202)</f>
        <v>0.842594980845593</v>
      </c>
      <c r="V203" s="9" t="b">
        <f aca="false">AND(T203&gt;0,D203&lt;=U203)</f>
        <v>0</v>
      </c>
      <c r="W203" s="10" t="n">
        <f aca="false">IF(V203,T203*(AK203-AB203)-Inputs!$B$9-T203*AD203*Inputs!$B$13*(A203-AC203),0)</f>
        <v>0</v>
      </c>
      <c r="X203" s="10" t="n">
        <f aca="false">P203-IF(Q203,Inputs!$B$9,0)+W203</f>
        <v>999</v>
      </c>
      <c r="Y203" s="11" t="n">
        <f aca="false">IF(V203,0,T203)</f>
        <v>515.951204214585</v>
      </c>
      <c r="Z203" s="9" t="b">
        <f aca="false">AND(Y203&gt;0,K203)</f>
        <v>0</v>
      </c>
      <c r="AA203" s="9" t="b">
        <f aca="false">AND(Y203=0,J203,ISNUMBER(L203))</f>
        <v>0</v>
      </c>
      <c r="AB203" s="8" t="n">
        <f aca="false">IF(Q203,R203,AB202)</f>
        <v>0.861976658644412</v>
      </c>
      <c r="AC203" s="12" t="n">
        <f aca="false">IF(Q203,A203,AC202)</f>
        <v>44890</v>
      </c>
      <c r="AD203" s="8" t="n">
        <f aca="false">IF(Q203,B203,AD202)</f>
        <v>0.861804297784855</v>
      </c>
      <c r="AE203" s="8" t="str">
        <f aca="false">IF(AA203,L203,"")</f>
        <v/>
      </c>
      <c r="AF203" s="8" t="n">
        <f aca="false">U203</f>
        <v>0.842594980845593</v>
      </c>
      <c r="AG203" s="2" t="n">
        <f aca="false">AG202+IF(Q203,1,0)</f>
        <v>1</v>
      </c>
      <c r="AH203" s="2" t="n">
        <f aca="false">AG202</f>
        <v>1</v>
      </c>
      <c r="AI203" s="10" t="n">
        <f aca="false">X203+Y203*(E203-AB203)-Y203*AD203*Inputs!$B$13*(A203-AC203)</f>
        <v>1027.04242674758</v>
      </c>
      <c r="AJ203" s="10" t="n">
        <v>0</v>
      </c>
      <c r="AK203" s="8" t="n">
        <f aca="false">IF(AND(B203&lt;=U203,NOT(Q203)),B203,U203)*(1-Inputs!$B$12)</f>
        <v>0.842426461849423</v>
      </c>
    </row>
    <row r="204" customFormat="false" ht="15" hidden="false" customHeight="false" outlineLevel="0" collapsed="false">
      <c r="A204" s="6" t="n">
        <v>44988</v>
      </c>
      <c r="B204" s="7" t="n">
        <v>0.93121437046513</v>
      </c>
      <c r="C204" s="7" t="n">
        <v>0.944924034235709</v>
      </c>
      <c r="D204" s="7" t="n">
        <v>0.925541025874656</v>
      </c>
      <c r="E204" s="7" t="n">
        <v>0.938225444102331</v>
      </c>
      <c r="F204" s="8" t="n">
        <f aca="true">IF(ROW()-2&gt;=Inputs!$B$4,AVERAGE(OFFSET(E204,1-Inputs!$B$4,0,Inputs!$B$4,1)),"")</f>
        <v>0.92178322603644</v>
      </c>
      <c r="G204" s="8" t="n">
        <f aca="true">IF(ROW()-2&gt;=Inputs!$B$5,AVERAGE(OFFSET(E204,1-Inputs!$B$5,0,Inputs!$B$5,1)),"")</f>
        <v>0.90855717834547</v>
      </c>
      <c r="H204" s="8" t="n">
        <f aca="false">MAX(C204-D204,ABS(C204-E203),ABS(D204-E203))</f>
        <v>0.019383008361053</v>
      </c>
      <c r="I204" s="8" t="n">
        <f aca="true">IF(ROW()-2&lt;14,"",IF(ROW()-2=14,AVERAGE(OFFSET(H204,-13,0,14,1)),(I203*13+H204)/14))</f>
        <v>0.0115431224091243</v>
      </c>
      <c r="J204" s="9" t="b">
        <f aca="false">IF(AND(ISNUMBER(F204),ISNUMBER(G204),ISNUMBER(F203),ISNUMBER(G203)),AND(F204&gt;G204,F203&lt;=G203),FALSE())</f>
        <v>0</v>
      </c>
      <c r="K204" s="9" t="b">
        <f aca="false">IF(AND(ISNUMBER(F204),ISNUMBER(G204),ISNUMBER(F203),ISNUMBER(G203)),AND(F204&lt;G204,F203&gt;=G203),FALSE())</f>
        <v>0</v>
      </c>
      <c r="L204" s="8" t="n">
        <f aca="false">IF(ISNUMBER(I204),E204-Inputs!$B$6*I204,"")</f>
        <v>0.915139199284082</v>
      </c>
      <c r="M204" s="9" t="b">
        <f aca="false">AND(Y203&gt;0,Z203)</f>
        <v>0</v>
      </c>
      <c r="N204" s="8" t="n">
        <f aca="false">B204*(1-Inputs!$B$12)</f>
        <v>0.931028127591037</v>
      </c>
      <c r="O204" s="10" t="n">
        <f aca="false">IF(M204,Y203*(N204-AB203)-Inputs!$B$9-Y203*AD203*Inputs!$B$13*(A204-AC203),0)</f>
        <v>0</v>
      </c>
      <c r="P204" s="10" t="n">
        <f aca="false">X203+O204</f>
        <v>999</v>
      </c>
      <c r="Q204" s="9" t="b">
        <f aca="false">AND(IF(M204,0,Y203)=0,AA203,IF(ISNUMBER(AE203),B204&gt;AE203,FALSE()))</f>
        <v>0</v>
      </c>
      <c r="R204" s="8" t="n">
        <f aca="false">B204*(1+Inputs!$B$12)</f>
        <v>0.931400613339223</v>
      </c>
      <c r="S204" s="11" t="n">
        <f aca="false">IF(Q204,MIN(P204*Inputs!$B$3/(R204-AE203),P204*Inputs!$B$11/R204),0)</f>
        <v>0</v>
      </c>
      <c r="T204" s="11" t="n">
        <f aca="false">IF(Q204,S204,IF(M204,0,Y203))</f>
        <v>515.951204214585</v>
      </c>
      <c r="U204" s="8" t="n">
        <f aca="false">IF(Q204,AE203,AF203)</f>
        <v>0.842594980845593</v>
      </c>
      <c r="V204" s="9" t="b">
        <f aca="false">AND(T204&gt;0,D204&lt;=U204)</f>
        <v>0</v>
      </c>
      <c r="W204" s="10" t="n">
        <f aca="false">IF(V204,T204*(AK204-AB204)-Inputs!$B$9-T204*AD204*Inputs!$B$13*(A204-AC204),0)</f>
        <v>0</v>
      </c>
      <c r="X204" s="10" t="n">
        <f aca="false">P204-IF(Q204,Inputs!$B$9,0)+W204</f>
        <v>999</v>
      </c>
      <c r="Y204" s="11" t="n">
        <f aca="false">IF(V204,0,T204)</f>
        <v>515.951204214585</v>
      </c>
      <c r="Z204" s="9" t="b">
        <f aca="false">AND(Y204&gt;0,K204)</f>
        <v>0</v>
      </c>
      <c r="AA204" s="9" t="b">
        <f aca="false">AND(Y204=0,J204,ISNUMBER(L204))</f>
        <v>0</v>
      </c>
      <c r="AB204" s="8" t="n">
        <f aca="false">IF(Q204,R204,AB203)</f>
        <v>0.861976658644412</v>
      </c>
      <c r="AC204" s="12" t="n">
        <f aca="false">IF(Q204,A204,AC203)</f>
        <v>44890</v>
      </c>
      <c r="AD204" s="8" t="n">
        <f aca="false">IF(Q204,B204,AD203)</f>
        <v>0.861804297784855</v>
      </c>
      <c r="AE204" s="8" t="str">
        <f aca="false">IF(AA204,L204,"")</f>
        <v/>
      </c>
      <c r="AF204" s="8" t="n">
        <f aca="false">U204</f>
        <v>0.842594980845593</v>
      </c>
      <c r="AG204" s="2" t="n">
        <f aca="false">AG203+IF(Q204,1,0)</f>
        <v>1</v>
      </c>
      <c r="AH204" s="2" t="n">
        <f aca="false">AG203</f>
        <v>1</v>
      </c>
      <c r="AI204" s="10" t="n">
        <f aca="false">X204+Y204*(E204-AB204)-Y204*AD204*Inputs!$B$13*(A204-AC204)</f>
        <v>1030.58061457123</v>
      </c>
      <c r="AJ204" s="10" t="n">
        <v>0</v>
      </c>
      <c r="AK204" s="8" t="n">
        <f aca="false">IF(AND(B204&lt;=U204,NOT(Q204)),B204,U204)*(1-Inputs!$B$12)</f>
        <v>0.842426461849423</v>
      </c>
    </row>
    <row r="205" customFormat="false" ht="15" hidden="false" customHeight="false" outlineLevel="0" collapsed="false">
      <c r="A205" s="6" t="n">
        <v>44989</v>
      </c>
      <c r="B205" s="7" t="n">
        <v>0.938225444102331</v>
      </c>
      <c r="C205" s="7" t="n">
        <v>0.940707941750355</v>
      </c>
      <c r="D205" s="7" t="n">
        <v>0.929765307204187</v>
      </c>
      <c r="E205" s="7" t="n">
        <v>0.931458420775605</v>
      </c>
      <c r="F205" s="8" t="n">
        <f aca="true">IF(ROW()-2&gt;=Inputs!$B$4,AVERAGE(OFFSET(E205,1-Inputs!$B$4,0,Inputs!$B$4,1)),"")</f>
        <v>0.922431422447771</v>
      </c>
      <c r="G205" s="8" t="n">
        <f aca="true">IF(ROW()-2&gt;=Inputs!$B$5,AVERAGE(OFFSET(E205,1-Inputs!$B$5,0,Inputs!$B$5,1)),"")</f>
        <v>0.909432176109386</v>
      </c>
      <c r="H205" s="8" t="n">
        <f aca="false">MAX(C205-D205,ABS(C205-E204),ABS(D205-E204))</f>
        <v>0.0109426345461681</v>
      </c>
      <c r="I205" s="8" t="n">
        <f aca="true">IF(ROW()-2&lt;14,"",IF(ROW()-2=14,AVERAGE(OFFSET(H205,-13,0,14,1)),(I204*13+H205)/14))</f>
        <v>0.0115002304189132</v>
      </c>
      <c r="J205" s="9" t="b">
        <f aca="false">IF(AND(ISNUMBER(F205),ISNUMBER(G205),ISNUMBER(F204),ISNUMBER(G204)),AND(F205&gt;G205,F204&lt;=G204),FALSE())</f>
        <v>0</v>
      </c>
      <c r="K205" s="9" t="b">
        <f aca="false">IF(AND(ISNUMBER(F205),ISNUMBER(G205),ISNUMBER(F204),ISNUMBER(G204)),AND(F205&lt;G205,F204&gt;=G204),FALSE())</f>
        <v>0</v>
      </c>
      <c r="L205" s="8" t="n">
        <f aca="false">IF(ISNUMBER(I205),E205-Inputs!$B$6*I205,"")</f>
        <v>0.908457959937779</v>
      </c>
      <c r="M205" s="9" t="b">
        <f aca="false">AND(Y204&gt;0,Z204)</f>
        <v>0</v>
      </c>
      <c r="N205" s="8" t="n">
        <f aca="false">B205*(1-Inputs!$B$12)</f>
        <v>0.93803779901351</v>
      </c>
      <c r="O205" s="10" t="n">
        <f aca="false">IF(M205,Y204*(N205-AB204)-Inputs!$B$9-Y204*AD204*Inputs!$B$13*(A205-AC204),0)</f>
        <v>0</v>
      </c>
      <c r="P205" s="10" t="n">
        <f aca="false">X204+O205</f>
        <v>999</v>
      </c>
      <c r="Q205" s="9" t="b">
        <f aca="false">AND(IF(M205,0,Y204)=0,AA204,IF(ISNUMBER(AE204),B205&gt;AE204,FALSE()))</f>
        <v>0</v>
      </c>
      <c r="R205" s="8" t="n">
        <f aca="false">B205*(1+Inputs!$B$12)</f>
        <v>0.938413089191151</v>
      </c>
      <c r="S205" s="11" t="n">
        <f aca="false">IF(Q205,MIN(P205*Inputs!$B$3/(R205-AE204),P205*Inputs!$B$11/R205),0)</f>
        <v>0</v>
      </c>
      <c r="T205" s="11" t="n">
        <f aca="false">IF(Q205,S205,IF(M205,0,Y204))</f>
        <v>515.951204214585</v>
      </c>
      <c r="U205" s="8" t="n">
        <f aca="false">IF(Q205,AE204,AF204)</f>
        <v>0.842594980845593</v>
      </c>
      <c r="V205" s="9" t="b">
        <f aca="false">AND(T205&gt;0,D205&lt;=U205)</f>
        <v>0</v>
      </c>
      <c r="W205" s="10" t="n">
        <f aca="false">IF(V205,T205*(AK205-AB205)-Inputs!$B$9-T205*AD205*Inputs!$B$13*(A205-AC205),0)</f>
        <v>0</v>
      </c>
      <c r="X205" s="10" t="n">
        <f aca="false">P205-IF(Q205,Inputs!$B$9,0)+W205</f>
        <v>999</v>
      </c>
      <c r="Y205" s="11" t="n">
        <f aca="false">IF(V205,0,T205)</f>
        <v>515.951204214585</v>
      </c>
      <c r="Z205" s="9" t="b">
        <f aca="false">AND(Y205&gt;0,K205)</f>
        <v>0</v>
      </c>
      <c r="AA205" s="9" t="b">
        <f aca="false">AND(Y205=0,J205,ISNUMBER(L205))</f>
        <v>0</v>
      </c>
      <c r="AB205" s="8" t="n">
        <f aca="false">IF(Q205,R205,AB204)</f>
        <v>0.861976658644412</v>
      </c>
      <c r="AC205" s="12" t="n">
        <f aca="false">IF(Q205,A205,AC204)</f>
        <v>44890</v>
      </c>
      <c r="AD205" s="8" t="n">
        <f aca="false">IF(Q205,B205,AD204)</f>
        <v>0.861804297784855</v>
      </c>
      <c r="AE205" s="8" t="str">
        <f aca="false">IF(AA205,L205,"")</f>
        <v/>
      </c>
      <c r="AF205" s="8" t="n">
        <f aca="false">U205</f>
        <v>0.842594980845593</v>
      </c>
      <c r="AG205" s="2" t="n">
        <f aca="false">AG204+IF(Q205,1,0)</f>
        <v>1</v>
      </c>
      <c r="AH205" s="2" t="n">
        <f aca="false">AG204</f>
        <v>1</v>
      </c>
      <c r="AI205" s="10" t="n">
        <f aca="false">X205+Y205*(E205-AB205)-Y205*AD205*Inputs!$B$13*(A205-AC205)</f>
        <v>1027.00997667455</v>
      </c>
      <c r="AJ205" s="10" t="n">
        <v>0</v>
      </c>
      <c r="AK205" s="8" t="n">
        <f aca="false">IF(AND(B205&lt;=U205,NOT(Q205)),B205,U205)*(1-Inputs!$B$12)</f>
        <v>0.842426461849423</v>
      </c>
    </row>
    <row r="206" customFormat="false" ht="15" hidden="false" customHeight="false" outlineLevel="0" collapsed="false">
      <c r="A206" s="6" t="n">
        <v>44990</v>
      </c>
      <c r="B206" s="7" t="n">
        <v>0.931458420775605</v>
      </c>
      <c r="C206" s="7" t="n">
        <v>0.933281152017943</v>
      </c>
      <c r="D206" s="7" t="n">
        <v>0.927620054913272</v>
      </c>
      <c r="E206" s="7" t="n">
        <v>0.930178576393692</v>
      </c>
      <c r="F206" s="8" t="n">
        <f aca="true">IF(ROW()-2&gt;=Inputs!$B$4,AVERAGE(OFFSET(E206,1-Inputs!$B$4,0,Inputs!$B$4,1)),"")</f>
        <v>0.922991178391389</v>
      </c>
      <c r="G206" s="8" t="n">
        <f aca="true">IF(ROW()-2&gt;=Inputs!$B$5,AVERAGE(OFFSET(E206,1-Inputs!$B$5,0,Inputs!$B$5,1)),"")</f>
        <v>0.910340651541639</v>
      </c>
      <c r="H206" s="8" t="n">
        <f aca="false">MAX(C206-D206,ABS(C206-E205),ABS(D206-E205))</f>
        <v>0.005661097104671</v>
      </c>
      <c r="I206" s="8" t="n">
        <f aca="true">IF(ROW()-2&lt;14,"",IF(ROW()-2=14,AVERAGE(OFFSET(H206,-13,0,14,1)),(I205*13+H206)/14))</f>
        <v>0.0110831494678959</v>
      </c>
      <c r="J206" s="9" t="b">
        <f aca="false">IF(AND(ISNUMBER(F206),ISNUMBER(G206),ISNUMBER(F205),ISNUMBER(G205)),AND(F206&gt;G206,F205&lt;=G205),FALSE())</f>
        <v>0</v>
      </c>
      <c r="K206" s="9" t="b">
        <f aca="false">IF(AND(ISNUMBER(F206),ISNUMBER(G206),ISNUMBER(F205),ISNUMBER(G205)),AND(F206&lt;G206,F205&gt;=G205),FALSE())</f>
        <v>0</v>
      </c>
      <c r="L206" s="8" t="n">
        <f aca="false">IF(ISNUMBER(I206),E206-Inputs!$B$6*I206,"")</f>
        <v>0.908012277457901</v>
      </c>
      <c r="M206" s="9" t="b">
        <f aca="false">AND(Y205&gt;0,Z205)</f>
        <v>0</v>
      </c>
      <c r="N206" s="8" t="n">
        <f aca="false">B206*(1-Inputs!$B$12)</f>
        <v>0.93127212909145</v>
      </c>
      <c r="O206" s="10" t="n">
        <f aca="false">IF(M206,Y205*(N206-AB205)-Inputs!$B$9-Y205*AD205*Inputs!$B$13*(A206-AC205),0)</f>
        <v>0</v>
      </c>
      <c r="P206" s="10" t="n">
        <f aca="false">X205+O206</f>
        <v>999</v>
      </c>
      <c r="Q206" s="9" t="b">
        <f aca="false">AND(IF(M206,0,Y205)=0,AA205,IF(ISNUMBER(AE205),B206&gt;AE205,FALSE()))</f>
        <v>0</v>
      </c>
      <c r="R206" s="8" t="n">
        <f aca="false">B206*(1+Inputs!$B$12)</f>
        <v>0.93164471245976</v>
      </c>
      <c r="S206" s="11" t="n">
        <f aca="false">IF(Q206,MIN(P206*Inputs!$B$3/(R206-AE205),P206*Inputs!$B$11/R206),0)</f>
        <v>0</v>
      </c>
      <c r="T206" s="11" t="n">
        <f aca="false">IF(Q206,S206,IF(M206,0,Y205))</f>
        <v>515.951204214585</v>
      </c>
      <c r="U206" s="8" t="n">
        <f aca="false">IF(Q206,AE205,AF205)</f>
        <v>0.842594980845593</v>
      </c>
      <c r="V206" s="9" t="b">
        <f aca="false">AND(T206&gt;0,D206&lt;=U206)</f>
        <v>0</v>
      </c>
      <c r="W206" s="10" t="n">
        <f aca="false">IF(V206,T206*(AK206-AB206)-Inputs!$B$9-T206*AD206*Inputs!$B$13*(A206-AC206),0)</f>
        <v>0</v>
      </c>
      <c r="X206" s="10" t="n">
        <f aca="false">P206-IF(Q206,Inputs!$B$9,0)+W206</f>
        <v>999</v>
      </c>
      <c r="Y206" s="11" t="n">
        <f aca="false">IF(V206,0,T206)</f>
        <v>515.951204214585</v>
      </c>
      <c r="Z206" s="9" t="b">
        <f aca="false">AND(Y206&gt;0,K206)</f>
        <v>0</v>
      </c>
      <c r="AA206" s="9" t="b">
        <f aca="false">AND(Y206=0,J206,ISNUMBER(L206))</f>
        <v>0</v>
      </c>
      <c r="AB206" s="8" t="n">
        <f aca="false">IF(Q206,R206,AB205)</f>
        <v>0.861976658644412</v>
      </c>
      <c r="AC206" s="12" t="n">
        <f aca="false">IF(Q206,A206,AC205)</f>
        <v>44890</v>
      </c>
      <c r="AD206" s="8" t="n">
        <f aca="false">IF(Q206,B206,AD205)</f>
        <v>0.861804297784855</v>
      </c>
      <c r="AE206" s="8" t="str">
        <f aca="false">IF(AA206,L206,"")</f>
        <v/>
      </c>
      <c r="AF206" s="8" t="n">
        <f aca="false">U206</f>
        <v>0.842594980845593</v>
      </c>
      <c r="AG206" s="2" t="n">
        <f aca="false">AG205+IF(Q206,1,0)</f>
        <v>1</v>
      </c>
      <c r="AH206" s="2" t="n">
        <f aca="false">AG205</f>
        <v>1</v>
      </c>
      <c r="AI206" s="10" t="n">
        <f aca="false">X206+Y206*(E206-AB206)-Y206*AD206*Inputs!$B$13*(A206-AC206)</f>
        <v>1026.27045536219</v>
      </c>
      <c r="AJ206" s="10" t="n">
        <v>0</v>
      </c>
      <c r="AK206" s="8" t="n">
        <f aca="false">IF(AND(B206&lt;=U206,NOT(Q206)),B206,U206)*(1-Inputs!$B$12)</f>
        <v>0.842426461849423</v>
      </c>
    </row>
    <row r="207" customFormat="false" ht="15" hidden="false" customHeight="false" outlineLevel="0" collapsed="false">
      <c r="A207" s="6" t="n">
        <v>44991</v>
      </c>
      <c r="B207" s="7" t="n">
        <v>0.930178576393692</v>
      </c>
      <c r="C207" s="7" t="n">
        <v>0.932161931126503</v>
      </c>
      <c r="D207" s="7" t="n">
        <v>0.925501633554926</v>
      </c>
      <c r="E207" s="7" t="n">
        <v>0.929244988572528</v>
      </c>
      <c r="F207" s="8" t="n">
        <f aca="true">IF(ROW()-2&gt;=Inputs!$B$4,AVERAGE(OFFSET(E207,1-Inputs!$B$4,0,Inputs!$B$4,1)),"")</f>
        <v>0.923799941276694</v>
      </c>
      <c r="G207" s="8" t="n">
        <f aca="true">IF(ROW()-2&gt;=Inputs!$B$5,AVERAGE(OFFSET(E207,1-Inputs!$B$5,0,Inputs!$B$5,1)),"")</f>
        <v>0.911239109201361</v>
      </c>
      <c r="H207" s="8" t="n">
        <f aca="false">MAX(C207-D207,ABS(C207-E206),ABS(D207-E206))</f>
        <v>0.00666029757157693</v>
      </c>
      <c r="I207" s="8" t="n">
        <f aca="true">IF(ROW()-2&lt;14,"",IF(ROW()-2=14,AVERAGE(OFFSET(H207,-13,0,14,1)),(I206*13+H207)/14))</f>
        <v>0.0107672314753017</v>
      </c>
      <c r="J207" s="9" t="b">
        <f aca="false">IF(AND(ISNUMBER(F207),ISNUMBER(G207),ISNUMBER(F206),ISNUMBER(G206)),AND(F207&gt;G207,F206&lt;=G206),FALSE())</f>
        <v>0</v>
      </c>
      <c r="K207" s="9" t="b">
        <f aca="false">IF(AND(ISNUMBER(F207),ISNUMBER(G207),ISNUMBER(F206),ISNUMBER(G206)),AND(F207&lt;G207,F206&gt;=G206),FALSE())</f>
        <v>0</v>
      </c>
      <c r="L207" s="8" t="n">
        <f aca="false">IF(ISNUMBER(I207),E207-Inputs!$B$6*I207,"")</f>
        <v>0.907710525621925</v>
      </c>
      <c r="M207" s="9" t="b">
        <f aca="false">AND(Y206&gt;0,Z206)</f>
        <v>0</v>
      </c>
      <c r="N207" s="8" t="n">
        <f aca="false">B207*(1-Inputs!$B$12)</f>
        <v>0.929992540678414</v>
      </c>
      <c r="O207" s="10" t="n">
        <f aca="false">IF(M207,Y206*(N207-AB206)-Inputs!$B$9-Y206*AD206*Inputs!$B$13*(A207-AC206),0)</f>
        <v>0</v>
      </c>
      <c r="P207" s="10" t="n">
        <f aca="false">X206+O207</f>
        <v>999</v>
      </c>
      <c r="Q207" s="9" t="b">
        <f aca="false">AND(IF(M207,0,Y206)=0,AA206,IF(ISNUMBER(AE206),B207&gt;AE206,FALSE()))</f>
        <v>0</v>
      </c>
      <c r="R207" s="8" t="n">
        <f aca="false">B207*(1+Inputs!$B$12)</f>
        <v>0.930364612108971</v>
      </c>
      <c r="S207" s="11" t="n">
        <f aca="false">IF(Q207,MIN(P207*Inputs!$B$3/(R207-AE206),P207*Inputs!$B$11/R207),0)</f>
        <v>0</v>
      </c>
      <c r="T207" s="11" t="n">
        <f aca="false">IF(Q207,S207,IF(M207,0,Y206))</f>
        <v>515.951204214585</v>
      </c>
      <c r="U207" s="8" t="n">
        <f aca="false">IF(Q207,AE206,AF206)</f>
        <v>0.842594980845593</v>
      </c>
      <c r="V207" s="9" t="b">
        <f aca="false">AND(T207&gt;0,D207&lt;=U207)</f>
        <v>0</v>
      </c>
      <c r="W207" s="10" t="n">
        <f aca="false">IF(V207,T207*(AK207-AB207)-Inputs!$B$9-T207*AD207*Inputs!$B$13*(A207-AC207),0)</f>
        <v>0</v>
      </c>
      <c r="X207" s="10" t="n">
        <f aca="false">P207-IF(Q207,Inputs!$B$9,0)+W207</f>
        <v>999</v>
      </c>
      <c r="Y207" s="11" t="n">
        <f aca="false">IF(V207,0,T207)</f>
        <v>515.951204214585</v>
      </c>
      <c r="Z207" s="9" t="b">
        <f aca="false">AND(Y207&gt;0,K207)</f>
        <v>0</v>
      </c>
      <c r="AA207" s="9" t="b">
        <f aca="false">AND(Y207=0,J207,ISNUMBER(L207))</f>
        <v>0</v>
      </c>
      <c r="AB207" s="8" t="n">
        <f aca="false">IF(Q207,R207,AB206)</f>
        <v>0.861976658644412</v>
      </c>
      <c r="AC207" s="12" t="n">
        <f aca="false">IF(Q207,A207,AC206)</f>
        <v>44890</v>
      </c>
      <c r="AD207" s="8" t="n">
        <f aca="false">IF(Q207,B207,AD206)</f>
        <v>0.861804297784855</v>
      </c>
      <c r="AE207" s="8" t="str">
        <f aca="false">IF(AA207,L207,"")</f>
        <v/>
      </c>
      <c r="AF207" s="8" t="n">
        <f aca="false">U207</f>
        <v>0.842594980845593</v>
      </c>
      <c r="AG207" s="2" t="n">
        <f aca="false">AG206+IF(Q207,1,0)</f>
        <v>1</v>
      </c>
      <c r="AH207" s="2" t="n">
        <f aca="false">AG206</f>
        <v>1</v>
      </c>
      <c r="AI207" s="10" t="n">
        <f aca="false">X207+Y207*(E207-AB207)-Y207*AD207*Inputs!$B$13*(A207-AC207)</f>
        <v>1025.70958553932</v>
      </c>
      <c r="AJ207" s="10" t="n">
        <v>0</v>
      </c>
      <c r="AK207" s="8" t="n">
        <f aca="false">IF(AND(B207&lt;=U207,NOT(Q207)),B207,U207)*(1-Inputs!$B$12)</f>
        <v>0.842426461849423</v>
      </c>
    </row>
    <row r="208" customFormat="false" ht="15" hidden="false" customHeight="false" outlineLevel="0" collapsed="false">
      <c r="A208" s="6" t="n">
        <v>44992</v>
      </c>
      <c r="B208" s="7" t="n">
        <v>0.929244988572528</v>
      </c>
      <c r="C208" s="7" t="n">
        <v>0.929825857437563</v>
      </c>
      <c r="D208" s="7" t="n">
        <v>0.922978476230504</v>
      </c>
      <c r="E208" s="7" t="n">
        <v>0.924563202777197</v>
      </c>
      <c r="F208" s="8" t="n">
        <f aca="true">IF(ROW()-2&gt;=Inputs!$B$4,AVERAGE(OFFSET(E208,1-Inputs!$B$4,0,Inputs!$B$4,1)),"")</f>
        <v>0.924626221688566</v>
      </c>
      <c r="G208" s="8" t="n">
        <f aca="true">IF(ROW()-2&gt;=Inputs!$B$5,AVERAGE(OFFSET(E208,1-Inputs!$B$5,0,Inputs!$B$5,1)),"")</f>
        <v>0.912117146710105</v>
      </c>
      <c r="H208" s="8" t="n">
        <f aca="false">MAX(C208-D208,ABS(C208-E207),ABS(D208-E207))</f>
        <v>0.00684738120705919</v>
      </c>
      <c r="I208" s="8" t="n">
        <f aca="true">IF(ROW()-2&lt;14,"",IF(ROW()-2=14,AVERAGE(OFFSET(H208,-13,0,14,1)),(I207*13+H208)/14))</f>
        <v>0.0104872421704272</v>
      </c>
      <c r="J208" s="9" t="b">
        <f aca="false">IF(AND(ISNUMBER(F208),ISNUMBER(G208),ISNUMBER(F207),ISNUMBER(G207)),AND(F208&gt;G208,F207&lt;=G207),FALSE())</f>
        <v>0</v>
      </c>
      <c r="K208" s="9" t="b">
        <f aca="false">IF(AND(ISNUMBER(F208),ISNUMBER(G208),ISNUMBER(F207),ISNUMBER(G207)),AND(F208&lt;G208,F207&gt;=G207),FALSE())</f>
        <v>0</v>
      </c>
      <c r="L208" s="8" t="n">
        <f aca="false">IF(ISNUMBER(I208),E208-Inputs!$B$6*I208,"")</f>
        <v>0.903588718436343</v>
      </c>
      <c r="M208" s="9" t="b">
        <f aca="false">AND(Y207&gt;0,Z207)</f>
        <v>0</v>
      </c>
      <c r="N208" s="8" t="n">
        <f aca="false">B208*(1-Inputs!$B$12)</f>
        <v>0.929059139574814</v>
      </c>
      <c r="O208" s="10" t="n">
        <f aca="false">IF(M208,Y207*(N208-AB207)-Inputs!$B$9-Y207*AD207*Inputs!$B$13*(A208-AC207),0)</f>
        <v>0</v>
      </c>
      <c r="P208" s="10" t="n">
        <f aca="false">X207+O208</f>
        <v>999</v>
      </c>
      <c r="Q208" s="9" t="b">
        <f aca="false">AND(IF(M208,0,Y207)=0,AA207,IF(ISNUMBER(AE207),B208&gt;AE207,FALSE()))</f>
        <v>0</v>
      </c>
      <c r="R208" s="8" t="n">
        <f aca="false">B208*(1+Inputs!$B$12)</f>
        <v>0.929430837570243</v>
      </c>
      <c r="S208" s="11" t="n">
        <f aca="false">IF(Q208,MIN(P208*Inputs!$B$3/(R208-AE207),P208*Inputs!$B$11/R208),0)</f>
        <v>0</v>
      </c>
      <c r="T208" s="11" t="n">
        <f aca="false">IF(Q208,S208,IF(M208,0,Y207))</f>
        <v>515.951204214585</v>
      </c>
      <c r="U208" s="8" t="n">
        <f aca="false">IF(Q208,AE207,AF207)</f>
        <v>0.842594980845593</v>
      </c>
      <c r="V208" s="9" t="b">
        <f aca="false">AND(T208&gt;0,D208&lt;=U208)</f>
        <v>0</v>
      </c>
      <c r="W208" s="10" t="n">
        <f aca="false">IF(V208,T208*(AK208-AB208)-Inputs!$B$9-T208*AD208*Inputs!$B$13*(A208-AC208),0)</f>
        <v>0</v>
      </c>
      <c r="X208" s="10" t="n">
        <f aca="false">P208-IF(Q208,Inputs!$B$9,0)+W208</f>
        <v>999</v>
      </c>
      <c r="Y208" s="11" t="n">
        <f aca="false">IF(V208,0,T208)</f>
        <v>515.951204214585</v>
      </c>
      <c r="Z208" s="9" t="b">
        <f aca="false">AND(Y208&gt;0,K208)</f>
        <v>0</v>
      </c>
      <c r="AA208" s="9" t="b">
        <f aca="false">AND(Y208=0,J208,ISNUMBER(L208))</f>
        <v>0</v>
      </c>
      <c r="AB208" s="8" t="n">
        <f aca="false">IF(Q208,R208,AB207)</f>
        <v>0.861976658644412</v>
      </c>
      <c r="AC208" s="12" t="n">
        <f aca="false">IF(Q208,A208,AC207)</f>
        <v>44890</v>
      </c>
      <c r="AD208" s="8" t="n">
        <f aca="false">IF(Q208,B208,AD207)</f>
        <v>0.861804297784855</v>
      </c>
      <c r="AE208" s="8" t="str">
        <f aca="false">IF(AA208,L208,"")</f>
        <v/>
      </c>
      <c r="AF208" s="8" t="n">
        <f aca="false">U208</f>
        <v>0.842594980845593</v>
      </c>
      <c r="AG208" s="2" t="n">
        <f aca="false">AG207+IF(Q208,1,0)</f>
        <v>1</v>
      </c>
      <c r="AH208" s="2" t="n">
        <f aca="false">AG207</f>
        <v>1</v>
      </c>
      <c r="AI208" s="10" t="n">
        <f aca="false">X208+Y208*(E208-AB208)-Y208*AD208*Inputs!$B$13*(A208-AC208)</f>
        <v>1023.21482845804</v>
      </c>
      <c r="AJ208" s="10" t="n">
        <v>0</v>
      </c>
      <c r="AK208" s="8" t="n">
        <f aca="false">IF(AND(B208&lt;=U208,NOT(Q208)),B208,U208)*(1-Inputs!$B$12)</f>
        <v>0.842426461849423</v>
      </c>
    </row>
    <row r="209" customFormat="false" ht="15" hidden="false" customHeight="false" outlineLevel="0" collapsed="false">
      <c r="A209" s="6" t="n">
        <v>44993</v>
      </c>
      <c r="B209" s="7" t="n">
        <v>0.924563202777197</v>
      </c>
      <c r="C209" s="7" t="n">
        <v>0.934755993696318</v>
      </c>
      <c r="D209" s="7" t="n">
        <v>0.923782405298275</v>
      </c>
      <c r="E209" s="7" t="n">
        <v>0.925491171480995</v>
      </c>
      <c r="F209" s="8" t="n">
        <f aca="true">IF(ROW()-2&gt;=Inputs!$B$4,AVERAGE(OFFSET(E209,1-Inputs!$B$4,0,Inputs!$B$4,1)),"")</f>
        <v>0.925876460214779</v>
      </c>
      <c r="G209" s="8" t="n">
        <f aca="true">IF(ROW()-2&gt;=Inputs!$B$5,AVERAGE(OFFSET(E209,1-Inputs!$B$5,0,Inputs!$B$5,1)),"")</f>
        <v>0.912932271004435</v>
      </c>
      <c r="H209" s="8" t="n">
        <f aca="false">MAX(C209-D209,ABS(C209-E208),ABS(D209-E208))</f>
        <v>0.0109735883980429</v>
      </c>
      <c r="I209" s="8" t="n">
        <f aca="true">IF(ROW()-2&lt;14,"",IF(ROW()-2=14,AVERAGE(OFFSET(H209,-13,0,14,1)),(I208*13+H209)/14))</f>
        <v>0.0105219811866855</v>
      </c>
      <c r="J209" s="9" t="b">
        <f aca="false">IF(AND(ISNUMBER(F209),ISNUMBER(G209),ISNUMBER(F208),ISNUMBER(G208)),AND(F209&gt;G209,F208&lt;=G208),FALSE())</f>
        <v>0</v>
      </c>
      <c r="K209" s="9" t="b">
        <f aca="false">IF(AND(ISNUMBER(F209),ISNUMBER(G209),ISNUMBER(F208),ISNUMBER(G208)),AND(F209&lt;G209,F208&gt;=G208),FALSE())</f>
        <v>0</v>
      </c>
      <c r="L209" s="8" t="n">
        <f aca="false">IF(ISNUMBER(I209),E209-Inputs!$B$6*I209,"")</f>
        <v>0.904447209107624</v>
      </c>
      <c r="M209" s="9" t="b">
        <f aca="false">AND(Y208&gt;0,Z208)</f>
        <v>0</v>
      </c>
      <c r="N209" s="8" t="n">
        <f aca="false">B209*(1-Inputs!$B$12)</f>
        <v>0.924378290136642</v>
      </c>
      <c r="O209" s="10" t="n">
        <f aca="false">IF(M209,Y208*(N209-AB208)-Inputs!$B$9-Y208*AD208*Inputs!$B$13*(A209-AC208),0)</f>
        <v>0</v>
      </c>
      <c r="P209" s="10" t="n">
        <f aca="false">X208+O209</f>
        <v>999</v>
      </c>
      <c r="Q209" s="9" t="b">
        <f aca="false">AND(IF(M209,0,Y208)=0,AA208,IF(ISNUMBER(AE208),B209&gt;AE208,FALSE()))</f>
        <v>0</v>
      </c>
      <c r="R209" s="8" t="n">
        <f aca="false">B209*(1+Inputs!$B$12)</f>
        <v>0.924748115417753</v>
      </c>
      <c r="S209" s="11" t="n">
        <f aca="false">IF(Q209,MIN(P209*Inputs!$B$3/(R209-AE208),P209*Inputs!$B$11/R209),0)</f>
        <v>0</v>
      </c>
      <c r="T209" s="11" t="n">
        <f aca="false">IF(Q209,S209,IF(M209,0,Y208))</f>
        <v>515.951204214585</v>
      </c>
      <c r="U209" s="8" t="n">
        <f aca="false">IF(Q209,AE208,AF208)</f>
        <v>0.842594980845593</v>
      </c>
      <c r="V209" s="9" t="b">
        <f aca="false">AND(T209&gt;0,D209&lt;=U209)</f>
        <v>0</v>
      </c>
      <c r="W209" s="10" t="n">
        <f aca="false">IF(V209,T209*(AK209-AB209)-Inputs!$B$9-T209*AD209*Inputs!$B$13*(A209-AC209),0)</f>
        <v>0</v>
      </c>
      <c r="X209" s="10" t="n">
        <f aca="false">P209-IF(Q209,Inputs!$B$9,0)+W209</f>
        <v>999</v>
      </c>
      <c r="Y209" s="11" t="n">
        <f aca="false">IF(V209,0,T209)</f>
        <v>515.951204214585</v>
      </c>
      <c r="Z209" s="9" t="b">
        <f aca="false">AND(Y209&gt;0,K209)</f>
        <v>0</v>
      </c>
      <c r="AA209" s="9" t="b">
        <f aca="false">AND(Y209=0,J209,ISNUMBER(L209))</f>
        <v>0</v>
      </c>
      <c r="AB209" s="8" t="n">
        <f aca="false">IF(Q209,R209,AB208)</f>
        <v>0.861976658644412</v>
      </c>
      <c r="AC209" s="12" t="n">
        <f aca="false">IF(Q209,A209,AC208)</f>
        <v>44890</v>
      </c>
      <c r="AD209" s="8" t="n">
        <f aca="false">IF(Q209,B209,AD208)</f>
        <v>0.861804297784855</v>
      </c>
      <c r="AE209" s="8" t="str">
        <f aca="false">IF(AA209,L209,"")</f>
        <v/>
      </c>
      <c r="AF209" s="8" t="n">
        <f aca="false">U209</f>
        <v>0.842594980845593</v>
      </c>
      <c r="AG209" s="2" t="n">
        <f aca="false">AG208+IF(Q209,1,0)</f>
        <v>1</v>
      </c>
      <c r="AH209" s="2" t="n">
        <f aca="false">AG208</f>
        <v>1</v>
      </c>
      <c r="AI209" s="10" t="n">
        <f aca="false">X209+Y209*(E209-AB209)-Y209*AD209*Inputs!$B$13*(A209-AC209)</f>
        <v>1023.61443096594</v>
      </c>
      <c r="AJ209" s="10" t="n">
        <v>0</v>
      </c>
      <c r="AK209" s="8" t="n">
        <f aca="false">IF(AND(B209&lt;=U209,NOT(Q209)),B209,U209)*(1-Inputs!$B$12)</f>
        <v>0.842426461849423</v>
      </c>
    </row>
    <row r="210" customFormat="false" ht="15" hidden="false" customHeight="false" outlineLevel="0" collapsed="false">
      <c r="A210" s="6" t="n">
        <v>44994</v>
      </c>
      <c r="B210" s="7" t="n">
        <v>0.925491171480995</v>
      </c>
      <c r="C210" s="7" t="n">
        <v>0.934138904690019</v>
      </c>
      <c r="D210" s="7" t="n">
        <v>0.923828440528378</v>
      </c>
      <c r="E210" s="7" t="n">
        <v>0.930851075413186</v>
      </c>
      <c r="F210" s="8" t="n">
        <f aca="true">IF(ROW()-2&gt;=Inputs!$B$4,AVERAGE(OFFSET(E210,1-Inputs!$B$4,0,Inputs!$B$4,1)),"")</f>
        <v>0.92697970174163</v>
      </c>
      <c r="G210" s="8" t="n">
        <f aca="true">IF(ROW()-2&gt;=Inputs!$B$5,AVERAGE(OFFSET(E210,1-Inputs!$B$5,0,Inputs!$B$5,1)),"")</f>
        <v>0.913787641474577</v>
      </c>
      <c r="H210" s="8" t="n">
        <f aca="false">MAX(C210-D210,ABS(C210-E209),ABS(D210-E209))</f>
        <v>0.0103104641616414</v>
      </c>
      <c r="I210" s="8" t="n">
        <f aca="true">IF(ROW()-2&lt;14,"",IF(ROW()-2=14,AVERAGE(OFFSET(H210,-13,0,14,1)),(I209*13+H210)/14))</f>
        <v>0.0105068728277537</v>
      </c>
      <c r="J210" s="9" t="b">
        <f aca="false">IF(AND(ISNUMBER(F210),ISNUMBER(G210),ISNUMBER(F209),ISNUMBER(G209)),AND(F210&gt;G210,F209&lt;=G209),FALSE())</f>
        <v>0</v>
      </c>
      <c r="K210" s="9" t="b">
        <f aca="false">IF(AND(ISNUMBER(F210),ISNUMBER(G210),ISNUMBER(F209),ISNUMBER(G209)),AND(F210&lt;G210,F209&gt;=G209),FALSE())</f>
        <v>0</v>
      </c>
      <c r="L210" s="8" t="n">
        <f aca="false">IF(ISNUMBER(I210),E210-Inputs!$B$6*I210,"")</f>
        <v>0.909837329757678</v>
      </c>
      <c r="M210" s="9" t="b">
        <f aca="false">AND(Y209&gt;0,Z209)</f>
        <v>0</v>
      </c>
      <c r="N210" s="8" t="n">
        <f aca="false">B210*(1-Inputs!$B$12)</f>
        <v>0.925306073246699</v>
      </c>
      <c r="O210" s="10" t="n">
        <f aca="false">IF(M210,Y209*(N210-AB209)-Inputs!$B$9-Y209*AD209*Inputs!$B$13*(A210-AC209),0)</f>
        <v>0</v>
      </c>
      <c r="P210" s="10" t="n">
        <f aca="false">X209+O210</f>
        <v>999</v>
      </c>
      <c r="Q210" s="9" t="b">
        <f aca="false">AND(IF(M210,0,Y209)=0,AA209,IF(ISNUMBER(AE209),B210&gt;AE209,FALSE()))</f>
        <v>0</v>
      </c>
      <c r="R210" s="8" t="n">
        <f aca="false">B210*(1+Inputs!$B$12)</f>
        <v>0.925676269715291</v>
      </c>
      <c r="S210" s="11" t="n">
        <f aca="false">IF(Q210,MIN(P210*Inputs!$B$3/(R210-AE209),P210*Inputs!$B$11/R210),0)</f>
        <v>0</v>
      </c>
      <c r="T210" s="11" t="n">
        <f aca="false">IF(Q210,S210,IF(M210,0,Y209))</f>
        <v>515.951204214585</v>
      </c>
      <c r="U210" s="8" t="n">
        <f aca="false">IF(Q210,AE209,AF209)</f>
        <v>0.842594980845593</v>
      </c>
      <c r="V210" s="9" t="b">
        <f aca="false">AND(T210&gt;0,D210&lt;=U210)</f>
        <v>0</v>
      </c>
      <c r="W210" s="10" t="n">
        <f aca="false">IF(V210,T210*(AK210-AB210)-Inputs!$B$9-T210*AD210*Inputs!$B$13*(A210-AC210),0)</f>
        <v>0</v>
      </c>
      <c r="X210" s="10" t="n">
        <f aca="false">P210-IF(Q210,Inputs!$B$9,0)+W210</f>
        <v>999</v>
      </c>
      <c r="Y210" s="11" t="n">
        <f aca="false">IF(V210,0,T210)</f>
        <v>515.951204214585</v>
      </c>
      <c r="Z210" s="9" t="b">
        <f aca="false">AND(Y210&gt;0,K210)</f>
        <v>0</v>
      </c>
      <c r="AA210" s="9" t="b">
        <f aca="false">AND(Y210=0,J210,ISNUMBER(L210))</f>
        <v>0</v>
      </c>
      <c r="AB210" s="8" t="n">
        <f aca="false">IF(Q210,R210,AB209)</f>
        <v>0.861976658644412</v>
      </c>
      <c r="AC210" s="12" t="n">
        <f aca="false">IF(Q210,A210,AC209)</f>
        <v>44890</v>
      </c>
      <c r="AD210" s="8" t="n">
        <f aca="false">IF(Q210,B210,AD209)</f>
        <v>0.861804297784855</v>
      </c>
      <c r="AE210" s="8" t="str">
        <f aca="false">IF(AA210,L210,"")</f>
        <v/>
      </c>
      <c r="AF210" s="8" t="n">
        <f aca="false">U210</f>
        <v>0.842594980845593</v>
      </c>
      <c r="AG210" s="2" t="n">
        <f aca="false">AG209+IF(Q210,1,0)</f>
        <v>1</v>
      </c>
      <c r="AH210" s="2" t="n">
        <f aca="false">AG209</f>
        <v>1</v>
      </c>
      <c r="AI210" s="10" t="n">
        <f aca="false">X210+Y210*(E210-AB210)-Y210*AD210*Inputs!$B$13*(A210-AC210)</f>
        <v>1026.30069579192</v>
      </c>
      <c r="AJ210" s="10" t="n">
        <v>0</v>
      </c>
      <c r="AK210" s="8" t="n">
        <f aca="false">IF(AND(B210&lt;=U210,NOT(Q210)),B210,U210)*(1-Inputs!$B$12)</f>
        <v>0.842426461849423</v>
      </c>
    </row>
    <row r="211" customFormat="false" ht="15" hidden="false" customHeight="false" outlineLevel="0" collapsed="false">
      <c r="A211" s="6" t="n">
        <v>44995</v>
      </c>
      <c r="B211" s="7" t="n">
        <v>0.930851075413186</v>
      </c>
      <c r="C211" s="7" t="n">
        <v>0.933276909880637</v>
      </c>
      <c r="D211" s="7" t="n">
        <v>0.925646746252163</v>
      </c>
      <c r="E211" s="7" t="n">
        <v>0.932268687093644</v>
      </c>
      <c r="F211" s="8" t="n">
        <f aca="true">IF(ROW()-2&gt;=Inputs!$B$4,AVERAGE(OFFSET(E211,1-Inputs!$B$4,0,Inputs!$B$4,1)),"")</f>
        <v>0.928078146350104</v>
      </c>
      <c r="G211" s="8" t="n">
        <f aca="true">IF(ROW()-2&gt;=Inputs!$B$5,AVERAGE(OFFSET(E211,1-Inputs!$B$5,0,Inputs!$B$5,1)),"")</f>
        <v>0.914631770465248</v>
      </c>
      <c r="H211" s="8" t="n">
        <f aca="false">MAX(C211-D211,ABS(C211-E210),ABS(D211-E210))</f>
        <v>0.00763016362847346</v>
      </c>
      <c r="I211" s="8" t="n">
        <f aca="true">IF(ROW()-2&lt;14,"",IF(ROW()-2=14,AVERAGE(OFFSET(H211,-13,0,14,1)),(I210*13+H211)/14))</f>
        <v>0.0103013935992337</v>
      </c>
      <c r="J211" s="9" t="b">
        <f aca="false">IF(AND(ISNUMBER(F211),ISNUMBER(G211),ISNUMBER(F210),ISNUMBER(G210)),AND(F211&gt;G211,F210&lt;=G210),FALSE())</f>
        <v>0</v>
      </c>
      <c r="K211" s="9" t="b">
        <f aca="false">IF(AND(ISNUMBER(F211),ISNUMBER(G211),ISNUMBER(F210),ISNUMBER(G210)),AND(F211&lt;G211,F210&gt;=G210),FALSE())</f>
        <v>0</v>
      </c>
      <c r="L211" s="8" t="n">
        <f aca="false">IF(ISNUMBER(I211),E211-Inputs!$B$6*I211,"")</f>
        <v>0.911665899895177</v>
      </c>
      <c r="M211" s="9" t="b">
        <f aca="false">AND(Y210&gt;0,Z210)</f>
        <v>0</v>
      </c>
      <c r="N211" s="8" t="n">
        <f aca="false">B211*(1-Inputs!$B$12)</f>
        <v>0.930664905198103</v>
      </c>
      <c r="O211" s="10" t="n">
        <f aca="false">IF(M211,Y210*(N211-AB210)-Inputs!$B$9-Y210*AD210*Inputs!$B$13*(A211-AC210),0)</f>
        <v>0</v>
      </c>
      <c r="P211" s="10" t="n">
        <f aca="false">X210+O211</f>
        <v>999</v>
      </c>
      <c r="Q211" s="9" t="b">
        <f aca="false">AND(IF(M211,0,Y210)=0,AA210,IF(ISNUMBER(AE210),B211&gt;AE210,FALSE()))</f>
        <v>0</v>
      </c>
      <c r="R211" s="8" t="n">
        <f aca="false">B211*(1+Inputs!$B$12)</f>
        <v>0.931037245628268</v>
      </c>
      <c r="S211" s="11" t="n">
        <f aca="false">IF(Q211,MIN(P211*Inputs!$B$3/(R211-AE210),P211*Inputs!$B$11/R211),0)</f>
        <v>0</v>
      </c>
      <c r="T211" s="11" t="n">
        <f aca="false">IF(Q211,S211,IF(M211,0,Y210))</f>
        <v>515.951204214585</v>
      </c>
      <c r="U211" s="8" t="n">
        <f aca="false">IF(Q211,AE210,AF210)</f>
        <v>0.842594980845593</v>
      </c>
      <c r="V211" s="9" t="b">
        <f aca="false">AND(T211&gt;0,D211&lt;=U211)</f>
        <v>0</v>
      </c>
      <c r="W211" s="10" t="n">
        <f aca="false">IF(V211,T211*(AK211-AB211)-Inputs!$B$9-T211*AD211*Inputs!$B$13*(A211-AC211),0)</f>
        <v>0</v>
      </c>
      <c r="X211" s="10" t="n">
        <f aca="false">P211-IF(Q211,Inputs!$B$9,0)+W211</f>
        <v>999</v>
      </c>
      <c r="Y211" s="11" t="n">
        <f aca="false">IF(V211,0,T211)</f>
        <v>515.951204214585</v>
      </c>
      <c r="Z211" s="9" t="b">
        <f aca="false">AND(Y211&gt;0,K211)</f>
        <v>0</v>
      </c>
      <c r="AA211" s="9" t="b">
        <f aca="false">AND(Y211=0,J211,ISNUMBER(L211))</f>
        <v>0</v>
      </c>
      <c r="AB211" s="8" t="n">
        <f aca="false">IF(Q211,R211,AB210)</f>
        <v>0.861976658644412</v>
      </c>
      <c r="AC211" s="12" t="n">
        <f aca="false">IF(Q211,A211,AC210)</f>
        <v>44890</v>
      </c>
      <c r="AD211" s="8" t="n">
        <f aca="false">IF(Q211,B211,AD210)</f>
        <v>0.861804297784855</v>
      </c>
      <c r="AE211" s="8" t="str">
        <f aca="false">IF(AA211,L211,"")</f>
        <v/>
      </c>
      <c r="AF211" s="8" t="n">
        <f aca="false">U211</f>
        <v>0.842594980845593</v>
      </c>
      <c r="AG211" s="2" t="n">
        <f aca="false">AG210+IF(Q211,1,0)</f>
        <v>1</v>
      </c>
      <c r="AH211" s="2" t="n">
        <f aca="false">AG210</f>
        <v>1</v>
      </c>
      <c r="AI211" s="10" t="n">
        <f aca="false">X211+Y211*(E211-AB211)-Y211*AD211*Inputs!$B$13*(A211-AC211)</f>
        <v>1026.95293018326</v>
      </c>
      <c r="AJ211" s="10" t="n">
        <v>0</v>
      </c>
      <c r="AK211" s="8" t="n">
        <f aca="false">IF(AND(B211&lt;=U211,NOT(Q211)),B211,U211)*(1-Inputs!$B$12)</f>
        <v>0.842426461849423</v>
      </c>
    </row>
    <row r="212" customFormat="false" ht="15" hidden="false" customHeight="false" outlineLevel="0" collapsed="false">
      <c r="A212" s="6" t="n">
        <v>44996</v>
      </c>
      <c r="B212" s="7" t="n">
        <v>0.932268687093644</v>
      </c>
      <c r="C212" s="7" t="n">
        <v>0.933868936023468</v>
      </c>
      <c r="D212" s="7" t="n">
        <v>0.93130368828763</v>
      </c>
      <c r="E212" s="7" t="n">
        <v>0.931701507530443</v>
      </c>
      <c r="F212" s="8" t="n">
        <f aca="true">IF(ROW()-2&gt;=Inputs!$B$4,AVERAGE(OFFSET(E212,1-Inputs!$B$4,0,Inputs!$B$4,1)),"")</f>
        <v>0.92942722999271</v>
      </c>
      <c r="G212" s="8" t="n">
        <f aca="true">IF(ROW()-2&gt;=Inputs!$B$5,AVERAGE(OFFSET(E212,1-Inputs!$B$5,0,Inputs!$B$5,1)),"")</f>
        <v>0.915350187533705</v>
      </c>
      <c r="H212" s="8" t="n">
        <f aca="false">MAX(C212-D212,ABS(C212-E211),ABS(D212-E211))</f>
        <v>0.00256524773583788</v>
      </c>
      <c r="I212" s="8" t="n">
        <f aca="true">IF(ROW()-2&lt;14,"",IF(ROW()-2=14,AVERAGE(OFFSET(H212,-13,0,14,1)),(I211*13+H212)/14))</f>
        <v>0.00974881175184831</v>
      </c>
      <c r="J212" s="9" t="b">
        <f aca="false">IF(AND(ISNUMBER(F212),ISNUMBER(G212),ISNUMBER(F211),ISNUMBER(G211)),AND(F212&gt;G212,F211&lt;=G211),FALSE())</f>
        <v>0</v>
      </c>
      <c r="K212" s="9" t="b">
        <f aca="false">IF(AND(ISNUMBER(F212),ISNUMBER(G212),ISNUMBER(F211),ISNUMBER(G211)),AND(F212&lt;G212,F211&gt;=G211),FALSE())</f>
        <v>0</v>
      </c>
      <c r="L212" s="8" t="n">
        <f aca="false">IF(ISNUMBER(I212),E212-Inputs!$B$6*I212,"")</f>
        <v>0.912203884026746</v>
      </c>
      <c r="M212" s="9" t="b">
        <f aca="false">AND(Y211&gt;0,Z211)</f>
        <v>0</v>
      </c>
      <c r="N212" s="8" t="n">
        <f aca="false">B212*(1-Inputs!$B$12)</f>
        <v>0.932082233356226</v>
      </c>
      <c r="O212" s="10" t="n">
        <f aca="false">IF(M212,Y211*(N212-AB211)-Inputs!$B$9-Y211*AD211*Inputs!$B$13*(A212-AC211),0)</f>
        <v>0</v>
      </c>
      <c r="P212" s="10" t="n">
        <f aca="false">X211+O212</f>
        <v>999</v>
      </c>
      <c r="Q212" s="9" t="b">
        <f aca="false">AND(IF(M212,0,Y211)=0,AA211,IF(ISNUMBER(AE211),B212&gt;AE211,FALSE()))</f>
        <v>0</v>
      </c>
      <c r="R212" s="8" t="n">
        <f aca="false">B212*(1+Inputs!$B$12)</f>
        <v>0.932455140831063</v>
      </c>
      <c r="S212" s="11" t="n">
        <f aca="false">IF(Q212,MIN(P212*Inputs!$B$3/(R212-AE211),P212*Inputs!$B$11/R212),0)</f>
        <v>0</v>
      </c>
      <c r="T212" s="11" t="n">
        <f aca="false">IF(Q212,S212,IF(M212,0,Y211))</f>
        <v>515.951204214585</v>
      </c>
      <c r="U212" s="8" t="n">
        <f aca="false">IF(Q212,AE211,AF211)</f>
        <v>0.842594980845593</v>
      </c>
      <c r="V212" s="9" t="b">
        <f aca="false">AND(T212&gt;0,D212&lt;=U212)</f>
        <v>0</v>
      </c>
      <c r="W212" s="10" t="n">
        <f aca="false">IF(V212,T212*(AK212-AB212)-Inputs!$B$9-T212*AD212*Inputs!$B$13*(A212-AC212),0)</f>
        <v>0</v>
      </c>
      <c r="X212" s="10" t="n">
        <f aca="false">P212-IF(Q212,Inputs!$B$9,0)+W212</f>
        <v>999</v>
      </c>
      <c r="Y212" s="11" t="n">
        <f aca="false">IF(V212,0,T212)</f>
        <v>515.951204214585</v>
      </c>
      <c r="Z212" s="9" t="b">
        <f aca="false">AND(Y212&gt;0,K212)</f>
        <v>0</v>
      </c>
      <c r="AA212" s="9" t="b">
        <f aca="false">AND(Y212=0,J212,ISNUMBER(L212))</f>
        <v>0</v>
      </c>
      <c r="AB212" s="8" t="n">
        <f aca="false">IF(Q212,R212,AB211)</f>
        <v>0.861976658644412</v>
      </c>
      <c r="AC212" s="12" t="n">
        <f aca="false">IF(Q212,A212,AC211)</f>
        <v>44890</v>
      </c>
      <c r="AD212" s="8" t="n">
        <f aca="false">IF(Q212,B212,AD211)</f>
        <v>0.861804297784855</v>
      </c>
      <c r="AE212" s="8" t="str">
        <f aca="false">IF(AA212,L212,"")</f>
        <v/>
      </c>
      <c r="AF212" s="8" t="n">
        <f aca="false">U212</f>
        <v>0.842594980845593</v>
      </c>
      <c r="AG212" s="2" t="n">
        <f aca="false">AG211+IF(Q212,1,0)</f>
        <v>1</v>
      </c>
      <c r="AH212" s="2" t="n">
        <f aca="false">AG211</f>
        <v>1</v>
      </c>
      <c r="AI212" s="10" t="n">
        <f aca="false">X212+Y212*(E212-AB212)-Y212*AD212*Inputs!$B$13*(A212-AC212)</f>
        <v>1026.58110914232</v>
      </c>
      <c r="AJ212" s="10" t="n">
        <v>0</v>
      </c>
      <c r="AK212" s="8" t="n">
        <f aca="false">IF(AND(B212&lt;=U212,NOT(Q212)),B212,U212)*(1-Inputs!$B$12)</f>
        <v>0.842426461849423</v>
      </c>
    </row>
    <row r="213" customFormat="false" ht="15" hidden="false" customHeight="false" outlineLevel="0" collapsed="false">
      <c r="A213" s="6" t="n">
        <v>44997</v>
      </c>
      <c r="B213" s="7" t="n">
        <v>0.931701507530443</v>
      </c>
      <c r="C213" s="7" t="n">
        <v>0.944449148351983</v>
      </c>
      <c r="D213" s="7" t="n">
        <v>0.929205324233524</v>
      </c>
      <c r="E213" s="7" t="n">
        <v>0.936221719325667</v>
      </c>
      <c r="F213" s="8" t="n">
        <f aca="true">IF(ROW()-2&gt;=Inputs!$B$4,AVERAGE(OFFSET(E213,1-Inputs!$B$4,0,Inputs!$B$4,1)),"")</f>
        <v>0.930809678165563</v>
      </c>
      <c r="G213" s="8" t="n">
        <f aca="true">IF(ROW()-2&gt;=Inputs!$B$5,AVERAGE(OFFSET(E213,1-Inputs!$B$5,0,Inputs!$B$5,1)),"")</f>
        <v>0.916051742566883</v>
      </c>
      <c r="H213" s="8" t="n">
        <f aca="false">MAX(C213-D213,ABS(C213-E212),ABS(D213-E212))</f>
        <v>0.0152438241184588</v>
      </c>
      <c r="I213" s="8" t="n">
        <f aca="true">IF(ROW()-2&lt;14,"",IF(ROW()-2=14,AVERAGE(OFFSET(H213,-13,0,14,1)),(I212*13+H213)/14))</f>
        <v>0.0101413126351776</v>
      </c>
      <c r="J213" s="9" t="b">
        <f aca="false">IF(AND(ISNUMBER(F213),ISNUMBER(G213),ISNUMBER(F212),ISNUMBER(G212)),AND(F213&gt;G213,F212&lt;=G212),FALSE())</f>
        <v>0</v>
      </c>
      <c r="K213" s="9" t="b">
        <f aca="false">IF(AND(ISNUMBER(F213),ISNUMBER(G213),ISNUMBER(F212),ISNUMBER(G212)),AND(F213&lt;G213,F212&gt;=G212),FALSE())</f>
        <v>0</v>
      </c>
      <c r="L213" s="8" t="n">
        <f aca="false">IF(ISNUMBER(I213),E213-Inputs!$B$6*I213,"")</f>
        <v>0.915939094055312</v>
      </c>
      <c r="M213" s="9" t="b">
        <f aca="false">AND(Y212&gt;0,Z212)</f>
        <v>0</v>
      </c>
      <c r="N213" s="8" t="n">
        <f aca="false">B213*(1-Inputs!$B$12)</f>
        <v>0.931515167228937</v>
      </c>
      <c r="O213" s="10" t="n">
        <f aca="false">IF(M213,Y212*(N213-AB212)-Inputs!$B$9-Y212*AD212*Inputs!$B$13*(A213-AC212),0)</f>
        <v>0</v>
      </c>
      <c r="P213" s="10" t="n">
        <f aca="false">X212+O213</f>
        <v>999</v>
      </c>
      <c r="Q213" s="9" t="b">
        <f aca="false">AND(IF(M213,0,Y212)=0,AA212,IF(ISNUMBER(AE212),B213&gt;AE212,FALSE()))</f>
        <v>0</v>
      </c>
      <c r="R213" s="8" t="n">
        <f aca="false">B213*(1+Inputs!$B$12)</f>
        <v>0.931887847831949</v>
      </c>
      <c r="S213" s="11" t="n">
        <f aca="false">IF(Q213,MIN(P213*Inputs!$B$3/(R213-AE212),P213*Inputs!$B$11/R213),0)</f>
        <v>0</v>
      </c>
      <c r="T213" s="11" t="n">
        <f aca="false">IF(Q213,S213,IF(M213,0,Y212))</f>
        <v>515.951204214585</v>
      </c>
      <c r="U213" s="8" t="n">
        <f aca="false">IF(Q213,AE212,AF212)</f>
        <v>0.842594980845593</v>
      </c>
      <c r="V213" s="9" t="b">
        <f aca="false">AND(T213&gt;0,D213&lt;=U213)</f>
        <v>0</v>
      </c>
      <c r="W213" s="10" t="n">
        <f aca="false">IF(V213,T213*(AK213-AB213)-Inputs!$B$9-T213*AD213*Inputs!$B$13*(A213-AC213),0)</f>
        <v>0</v>
      </c>
      <c r="X213" s="10" t="n">
        <f aca="false">P213-IF(Q213,Inputs!$B$9,0)+W213</f>
        <v>999</v>
      </c>
      <c r="Y213" s="11" t="n">
        <f aca="false">IF(V213,0,T213)</f>
        <v>515.951204214585</v>
      </c>
      <c r="Z213" s="9" t="b">
        <f aca="false">AND(Y213&gt;0,K213)</f>
        <v>0</v>
      </c>
      <c r="AA213" s="9" t="b">
        <f aca="false">AND(Y213=0,J213,ISNUMBER(L213))</f>
        <v>0</v>
      </c>
      <c r="AB213" s="8" t="n">
        <f aca="false">IF(Q213,R213,AB212)</f>
        <v>0.861976658644412</v>
      </c>
      <c r="AC213" s="12" t="n">
        <f aca="false">IF(Q213,A213,AC212)</f>
        <v>44890</v>
      </c>
      <c r="AD213" s="8" t="n">
        <f aca="false">IF(Q213,B213,AD212)</f>
        <v>0.861804297784855</v>
      </c>
      <c r="AE213" s="8" t="str">
        <f aca="false">IF(AA213,L213,"")</f>
        <v/>
      </c>
      <c r="AF213" s="8" t="n">
        <f aca="false">U213</f>
        <v>0.842594980845593</v>
      </c>
      <c r="AG213" s="2" t="n">
        <f aca="false">AG212+IF(Q213,1,0)</f>
        <v>1</v>
      </c>
      <c r="AH213" s="2" t="n">
        <f aca="false">AG212</f>
        <v>1</v>
      </c>
      <c r="AI213" s="10" t="n">
        <f aca="false">X213+Y213*(E213-AB213)-Y213*AD213*Inputs!$B$13*(A213-AC213)</f>
        <v>1028.83413379907</v>
      </c>
      <c r="AJ213" s="10" t="n">
        <v>0</v>
      </c>
      <c r="AK213" s="8" t="n">
        <f aca="false">IF(AND(B213&lt;=U213,NOT(Q213)),B213,U213)*(1-Inputs!$B$12)</f>
        <v>0.842426461849423</v>
      </c>
    </row>
    <row r="214" customFormat="false" ht="15" hidden="false" customHeight="false" outlineLevel="0" collapsed="false">
      <c r="A214" s="6" t="n">
        <v>44998</v>
      </c>
      <c r="B214" s="7" t="n">
        <v>0.936221719325667</v>
      </c>
      <c r="C214" s="7" t="n">
        <v>0.939809030074113</v>
      </c>
      <c r="D214" s="7" t="n">
        <v>0.931633027680335</v>
      </c>
      <c r="E214" s="7" t="n">
        <v>0.935595476207968</v>
      </c>
      <c r="F214" s="8" t="n">
        <f aca="true">IF(ROW()-2&gt;=Inputs!$B$4,AVERAGE(OFFSET(E214,1-Inputs!$B$4,0,Inputs!$B$4,1)),"")</f>
        <v>0.931213231875424</v>
      </c>
      <c r="G214" s="8" t="n">
        <f aca="true">IF(ROW()-2&gt;=Inputs!$B$5,AVERAGE(OFFSET(E214,1-Inputs!$B$5,0,Inputs!$B$5,1)),"")</f>
        <v>0.916714012890067</v>
      </c>
      <c r="H214" s="8" t="n">
        <f aca="false">MAX(C214-D214,ABS(C214-E213),ABS(D214-E213))</f>
        <v>0.00817600239377803</v>
      </c>
      <c r="I214" s="8" t="n">
        <f aca="true">IF(ROW()-2&lt;14,"",IF(ROW()-2=14,AVERAGE(OFFSET(H214,-13,0,14,1)),(I213*13+H214)/14))</f>
        <v>0.0100009333322205</v>
      </c>
      <c r="J214" s="9" t="b">
        <f aca="false">IF(AND(ISNUMBER(F214),ISNUMBER(G214),ISNUMBER(F213),ISNUMBER(G213)),AND(F214&gt;G214,F213&lt;=G213),FALSE())</f>
        <v>0</v>
      </c>
      <c r="K214" s="9" t="b">
        <f aca="false">IF(AND(ISNUMBER(F214),ISNUMBER(G214),ISNUMBER(F213),ISNUMBER(G213)),AND(F214&lt;G214,F213&gt;=G213),FALSE())</f>
        <v>0</v>
      </c>
      <c r="L214" s="8" t="n">
        <f aca="false">IF(ISNUMBER(I214),E214-Inputs!$B$6*I214,"")</f>
        <v>0.915593609543526</v>
      </c>
      <c r="M214" s="9" t="b">
        <f aca="false">AND(Y213&gt;0,Z213)</f>
        <v>0</v>
      </c>
      <c r="N214" s="8" t="n">
        <f aca="false">B214*(1-Inputs!$B$12)</f>
        <v>0.936034474981802</v>
      </c>
      <c r="O214" s="10" t="n">
        <f aca="false">IF(M214,Y213*(N214-AB213)-Inputs!$B$9-Y213*AD213*Inputs!$B$13*(A214-AC213),0)</f>
        <v>0</v>
      </c>
      <c r="P214" s="10" t="n">
        <f aca="false">X213+O214</f>
        <v>999</v>
      </c>
      <c r="Q214" s="9" t="b">
        <f aca="false">AND(IF(M214,0,Y213)=0,AA213,IF(ISNUMBER(AE213),B214&gt;AE213,FALSE()))</f>
        <v>0</v>
      </c>
      <c r="R214" s="8" t="n">
        <f aca="false">B214*(1+Inputs!$B$12)</f>
        <v>0.936408963669532</v>
      </c>
      <c r="S214" s="11" t="n">
        <f aca="false">IF(Q214,MIN(P214*Inputs!$B$3/(R214-AE213),P214*Inputs!$B$11/R214),0)</f>
        <v>0</v>
      </c>
      <c r="T214" s="11" t="n">
        <f aca="false">IF(Q214,S214,IF(M214,0,Y213))</f>
        <v>515.951204214585</v>
      </c>
      <c r="U214" s="8" t="n">
        <f aca="false">IF(Q214,AE213,AF213)</f>
        <v>0.842594980845593</v>
      </c>
      <c r="V214" s="9" t="b">
        <f aca="false">AND(T214&gt;0,D214&lt;=U214)</f>
        <v>0</v>
      </c>
      <c r="W214" s="10" t="n">
        <f aca="false">IF(V214,T214*(AK214-AB214)-Inputs!$B$9-T214*AD214*Inputs!$B$13*(A214-AC214),0)</f>
        <v>0</v>
      </c>
      <c r="X214" s="10" t="n">
        <f aca="false">P214-IF(Q214,Inputs!$B$9,0)+W214</f>
        <v>999</v>
      </c>
      <c r="Y214" s="11" t="n">
        <f aca="false">IF(V214,0,T214)</f>
        <v>515.951204214585</v>
      </c>
      <c r="Z214" s="9" t="b">
        <f aca="false">AND(Y214&gt;0,K214)</f>
        <v>0</v>
      </c>
      <c r="AA214" s="9" t="b">
        <f aca="false">AND(Y214=0,J214,ISNUMBER(L214))</f>
        <v>0</v>
      </c>
      <c r="AB214" s="8" t="n">
        <f aca="false">IF(Q214,R214,AB213)</f>
        <v>0.861976658644412</v>
      </c>
      <c r="AC214" s="12" t="n">
        <f aca="false">IF(Q214,A214,AC213)</f>
        <v>44890</v>
      </c>
      <c r="AD214" s="8" t="n">
        <f aca="false">IF(Q214,B214,AD213)</f>
        <v>0.861804297784855</v>
      </c>
      <c r="AE214" s="8" t="str">
        <f aca="false">IF(AA214,L214,"")</f>
        <v/>
      </c>
      <c r="AF214" s="8" t="n">
        <f aca="false">U214</f>
        <v>0.842594980845593</v>
      </c>
      <c r="AG214" s="2" t="n">
        <f aca="false">AG213+IF(Q214,1,0)</f>
        <v>1</v>
      </c>
      <c r="AH214" s="2" t="n">
        <f aca="false">AG213</f>
        <v>1</v>
      </c>
      <c r="AI214" s="10" t="n">
        <f aca="false">X214+Y214*(E214-AB214)-Y214*AD214*Inputs!$B$13*(A214-AC214)</f>
        <v>1028.43183884606</v>
      </c>
      <c r="AJ214" s="10" t="n">
        <v>0</v>
      </c>
      <c r="AK214" s="8" t="n">
        <f aca="false">IF(AND(B214&lt;=U214,NOT(Q214)),B214,U214)*(1-Inputs!$B$12)</f>
        <v>0.842426461849423</v>
      </c>
    </row>
    <row r="215" customFormat="false" ht="15" hidden="false" customHeight="false" outlineLevel="0" collapsed="false">
      <c r="A215" s="6" t="n">
        <v>44999</v>
      </c>
      <c r="B215" s="7" t="n">
        <v>0.935595476207968</v>
      </c>
      <c r="C215" s="7" t="n">
        <v>0.935887613958246</v>
      </c>
      <c r="D215" s="7" t="n">
        <v>0.925337571617832</v>
      </c>
      <c r="E215" s="7" t="n">
        <v>0.932170047433974</v>
      </c>
      <c r="F215" s="8" t="n">
        <f aca="true">IF(ROW()-2&gt;=Inputs!$B$4,AVERAGE(OFFSET(E215,1-Inputs!$B$4,0,Inputs!$B$4,1)),"")</f>
        <v>0.931329661736974</v>
      </c>
      <c r="G215" s="8" t="n">
        <f aca="true">IF(ROW()-2&gt;=Inputs!$B$5,AVERAGE(OFFSET(E215,1-Inputs!$B$5,0,Inputs!$B$5,1)),"")</f>
        <v>0.917232879496454</v>
      </c>
      <c r="H215" s="8" t="n">
        <f aca="false">MAX(C215-D215,ABS(C215-E214),ABS(D215-E214))</f>
        <v>0.0105500423404137</v>
      </c>
      <c r="I215" s="8" t="n">
        <f aca="true">IF(ROW()-2&lt;14,"",IF(ROW()-2=14,AVERAGE(OFFSET(H215,-13,0,14,1)),(I214*13+H215)/14))</f>
        <v>0.0100401554042343</v>
      </c>
      <c r="J215" s="9" t="b">
        <f aca="false">IF(AND(ISNUMBER(F215),ISNUMBER(G215),ISNUMBER(F214),ISNUMBER(G214)),AND(F215&gt;G215,F214&lt;=G214),FALSE())</f>
        <v>0</v>
      </c>
      <c r="K215" s="9" t="b">
        <f aca="false">IF(AND(ISNUMBER(F215),ISNUMBER(G215),ISNUMBER(F214),ISNUMBER(G214)),AND(F215&lt;G215,F214&gt;=G214),FALSE())</f>
        <v>0</v>
      </c>
      <c r="L215" s="8" t="n">
        <f aca="false">IF(ISNUMBER(I215),E215-Inputs!$B$6*I215,"")</f>
        <v>0.912089736625506</v>
      </c>
      <c r="M215" s="9" t="b">
        <f aca="false">AND(Y214&gt;0,Z214)</f>
        <v>0</v>
      </c>
      <c r="N215" s="8" t="n">
        <f aca="false">B215*(1-Inputs!$B$12)</f>
        <v>0.935408357112726</v>
      </c>
      <c r="O215" s="10" t="n">
        <f aca="false">IF(M215,Y214*(N215-AB214)-Inputs!$B$9-Y214*AD214*Inputs!$B$13*(A215-AC214),0)</f>
        <v>0</v>
      </c>
      <c r="P215" s="10" t="n">
        <f aca="false">X214+O215</f>
        <v>999</v>
      </c>
      <c r="Q215" s="9" t="b">
        <f aca="false">AND(IF(M215,0,Y214)=0,AA214,IF(ISNUMBER(AE214),B215&gt;AE214,FALSE()))</f>
        <v>0</v>
      </c>
      <c r="R215" s="8" t="n">
        <f aca="false">B215*(1+Inputs!$B$12)</f>
        <v>0.935782595303209</v>
      </c>
      <c r="S215" s="11" t="n">
        <f aca="false">IF(Q215,MIN(P215*Inputs!$B$3/(R215-AE214),P215*Inputs!$B$11/R215),0)</f>
        <v>0</v>
      </c>
      <c r="T215" s="11" t="n">
        <f aca="false">IF(Q215,S215,IF(M215,0,Y214))</f>
        <v>515.951204214585</v>
      </c>
      <c r="U215" s="8" t="n">
        <f aca="false">IF(Q215,AE214,AF214)</f>
        <v>0.842594980845593</v>
      </c>
      <c r="V215" s="9" t="b">
        <f aca="false">AND(T215&gt;0,D215&lt;=U215)</f>
        <v>0</v>
      </c>
      <c r="W215" s="10" t="n">
        <f aca="false">IF(V215,T215*(AK215-AB215)-Inputs!$B$9-T215*AD215*Inputs!$B$13*(A215-AC215),0)</f>
        <v>0</v>
      </c>
      <c r="X215" s="10" t="n">
        <f aca="false">P215-IF(Q215,Inputs!$B$9,0)+W215</f>
        <v>999</v>
      </c>
      <c r="Y215" s="11" t="n">
        <f aca="false">IF(V215,0,T215)</f>
        <v>515.951204214585</v>
      </c>
      <c r="Z215" s="9" t="b">
        <f aca="false">AND(Y215&gt;0,K215)</f>
        <v>0</v>
      </c>
      <c r="AA215" s="9" t="b">
        <f aca="false">AND(Y215=0,J215,ISNUMBER(L215))</f>
        <v>0</v>
      </c>
      <c r="AB215" s="8" t="n">
        <f aca="false">IF(Q215,R215,AB214)</f>
        <v>0.861976658644412</v>
      </c>
      <c r="AC215" s="12" t="n">
        <f aca="false">IF(Q215,A215,AC214)</f>
        <v>44890</v>
      </c>
      <c r="AD215" s="8" t="n">
        <f aca="false">IF(Q215,B215,AD214)</f>
        <v>0.861804297784855</v>
      </c>
      <c r="AE215" s="8" t="str">
        <f aca="false">IF(AA215,L215,"")</f>
        <v/>
      </c>
      <c r="AF215" s="8" t="n">
        <f aca="false">U215</f>
        <v>0.842594980845593</v>
      </c>
      <c r="AG215" s="2" t="n">
        <f aca="false">AG214+IF(Q215,1,0)</f>
        <v>1</v>
      </c>
      <c r="AH215" s="2" t="n">
        <f aca="false">AG214</f>
        <v>1</v>
      </c>
      <c r="AI215" s="10" t="n">
        <f aca="false">X215+Y215*(E215-AB215)-Y215*AD215*Inputs!$B$13*(A215-AC215)</f>
        <v>1026.58530068286</v>
      </c>
      <c r="AJ215" s="10" t="n">
        <v>0</v>
      </c>
      <c r="AK215" s="8" t="n">
        <f aca="false">IF(AND(B215&lt;=U215,NOT(Q215)),B215,U215)*(1-Inputs!$B$12)</f>
        <v>0.842426461849423</v>
      </c>
    </row>
    <row r="216" customFormat="false" ht="15" hidden="false" customHeight="false" outlineLevel="0" collapsed="false">
      <c r="A216" s="6" t="n">
        <v>45000</v>
      </c>
      <c r="B216" s="7" t="n">
        <v>0.932170047433974</v>
      </c>
      <c r="C216" s="7" t="n">
        <v>0.935486433527413</v>
      </c>
      <c r="D216" s="7" t="n">
        <v>0.919978263638555</v>
      </c>
      <c r="E216" s="7" t="n">
        <v>0.92071484654384</v>
      </c>
      <c r="F216" s="8" t="n">
        <f aca="true">IF(ROW()-2&gt;=Inputs!$B$4,AVERAGE(OFFSET(E216,1-Inputs!$B$4,0,Inputs!$B$4,1)),"")</f>
        <v>0.930987561706531</v>
      </c>
      <c r="G216" s="8" t="n">
        <f aca="true">IF(ROW()-2&gt;=Inputs!$B$5,AVERAGE(OFFSET(E216,1-Inputs!$B$5,0,Inputs!$B$5,1)),"")</f>
        <v>0.917475790494857</v>
      </c>
      <c r="H216" s="8" t="n">
        <f aca="false">MAX(C216-D216,ABS(C216-E215),ABS(D216-E215))</f>
        <v>0.0155081698888579</v>
      </c>
      <c r="I216" s="8" t="n">
        <f aca="true">IF(ROW()-2&lt;14,"",IF(ROW()-2=14,AVERAGE(OFFSET(H216,-13,0,14,1)),(I215*13+H216)/14))</f>
        <v>0.0104307278674217</v>
      </c>
      <c r="J216" s="9" t="b">
        <f aca="false">IF(AND(ISNUMBER(F216),ISNUMBER(G216),ISNUMBER(F215),ISNUMBER(G215)),AND(F216&gt;G216,F215&lt;=G215),FALSE())</f>
        <v>0</v>
      </c>
      <c r="K216" s="9" t="b">
        <f aca="false">IF(AND(ISNUMBER(F216),ISNUMBER(G216),ISNUMBER(F215),ISNUMBER(G215)),AND(F216&lt;G216,F215&gt;=G215),FALSE())</f>
        <v>0</v>
      </c>
      <c r="L216" s="8" t="n">
        <f aca="false">IF(ISNUMBER(I216),E216-Inputs!$B$6*I216,"")</f>
        <v>0.899853390808997</v>
      </c>
      <c r="M216" s="9" t="b">
        <f aca="false">AND(Y215&gt;0,Z215)</f>
        <v>0</v>
      </c>
      <c r="N216" s="8" t="n">
        <f aca="false">B216*(1-Inputs!$B$12)</f>
        <v>0.931983613424488</v>
      </c>
      <c r="O216" s="10" t="n">
        <f aca="false">IF(M216,Y215*(N216-AB215)-Inputs!$B$9-Y215*AD215*Inputs!$B$13*(A216-AC215),0)</f>
        <v>0</v>
      </c>
      <c r="P216" s="10" t="n">
        <f aca="false">X215+O216</f>
        <v>999</v>
      </c>
      <c r="Q216" s="9" t="b">
        <f aca="false">AND(IF(M216,0,Y215)=0,AA215,IF(ISNUMBER(AE215),B216&gt;AE215,FALSE()))</f>
        <v>0</v>
      </c>
      <c r="R216" s="8" t="n">
        <f aca="false">B216*(1+Inputs!$B$12)</f>
        <v>0.932356481443461</v>
      </c>
      <c r="S216" s="11" t="n">
        <f aca="false">IF(Q216,MIN(P216*Inputs!$B$3/(R216-AE215),P216*Inputs!$B$11/R216),0)</f>
        <v>0</v>
      </c>
      <c r="T216" s="11" t="n">
        <f aca="false">IF(Q216,S216,IF(M216,0,Y215))</f>
        <v>515.951204214585</v>
      </c>
      <c r="U216" s="8" t="n">
        <f aca="false">IF(Q216,AE215,AF215)</f>
        <v>0.842594980845593</v>
      </c>
      <c r="V216" s="9" t="b">
        <f aca="false">AND(T216&gt;0,D216&lt;=U216)</f>
        <v>0</v>
      </c>
      <c r="W216" s="10" t="n">
        <f aca="false">IF(V216,T216*(AK216-AB216)-Inputs!$B$9-T216*AD216*Inputs!$B$13*(A216-AC216),0)</f>
        <v>0</v>
      </c>
      <c r="X216" s="10" t="n">
        <f aca="false">P216-IF(Q216,Inputs!$B$9,0)+W216</f>
        <v>999</v>
      </c>
      <c r="Y216" s="11" t="n">
        <f aca="false">IF(V216,0,T216)</f>
        <v>515.951204214585</v>
      </c>
      <c r="Z216" s="9" t="b">
        <f aca="false">AND(Y216&gt;0,K216)</f>
        <v>0</v>
      </c>
      <c r="AA216" s="9" t="b">
        <f aca="false">AND(Y216=0,J216,ISNUMBER(L216))</f>
        <v>0</v>
      </c>
      <c r="AB216" s="8" t="n">
        <f aca="false">IF(Q216,R216,AB215)</f>
        <v>0.861976658644412</v>
      </c>
      <c r="AC216" s="12" t="n">
        <f aca="false">IF(Q216,A216,AC215)</f>
        <v>44890</v>
      </c>
      <c r="AD216" s="8" t="n">
        <f aca="false">IF(Q216,B216,AD215)</f>
        <v>0.861804297784855</v>
      </c>
      <c r="AE216" s="8" t="str">
        <f aca="false">IF(AA216,L216,"")</f>
        <v/>
      </c>
      <c r="AF216" s="8" t="n">
        <f aca="false">U216</f>
        <v>0.842594980845593</v>
      </c>
      <c r="AG216" s="2" t="n">
        <f aca="false">AG215+IF(Q216,1,0)</f>
        <v>1</v>
      </c>
      <c r="AH216" s="2" t="n">
        <f aca="false">AG215</f>
        <v>1</v>
      </c>
      <c r="AI216" s="10" t="n">
        <f aca="false">X216+Y216*(E216-AB216)-Y216*AD216*Inputs!$B$13*(A216-AC216)</f>
        <v>1020.59579192677</v>
      </c>
      <c r="AJ216" s="10" t="n">
        <v>0</v>
      </c>
      <c r="AK216" s="8" t="n">
        <f aca="false">IF(AND(B216&lt;=U216,NOT(Q216)),B216,U216)*(1-Inputs!$B$12)</f>
        <v>0.842426461849423</v>
      </c>
    </row>
    <row r="217" customFormat="false" ht="15" hidden="false" customHeight="false" outlineLevel="0" collapsed="false">
      <c r="A217" s="6" t="n">
        <v>45001</v>
      </c>
      <c r="B217" s="7" t="n">
        <v>0.92071484654384</v>
      </c>
      <c r="C217" s="7" t="n">
        <v>0.927458903719754</v>
      </c>
      <c r="D217" s="7" t="n">
        <v>0.919826095409566</v>
      </c>
      <c r="E217" s="7" t="n">
        <v>0.923144435912381</v>
      </c>
      <c r="F217" s="8" t="n">
        <f aca="true">IF(ROW()-2&gt;=Inputs!$B$4,AVERAGE(OFFSET(E217,1-Inputs!$B$4,0,Inputs!$B$4,1)),"")</f>
        <v>0.931177530419992</v>
      </c>
      <c r="G217" s="8" t="n">
        <f aca="true">IF(ROW()-2&gt;=Inputs!$B$5,AVERAGE(OFFSET(E217,1-Inputs!$B$5,0,Inputs!$B$5,1)),"")</f>
        <v>0.917757832440487</v>
      </c>
      <c r="H217" s="8" t="n">
        <f aca="false">MAX(C217-D217,ABS(C217-E216),ABS(D217-E216))</f>
        <v>0.00763280831018853</v>
      </c>
      <c r="I217" s="8" t="n">
        <f aca="true">IF(ROW()-2&lt;14,"",IF(ROW()-2=14,AVERAGE(OFFSET(H217,-13,0,14,1)),(I216*13+H217)/14))</f>
        <v>0.0102308764704765</v>
      </c>
      <c r="J217" s="9" t="b">
        <f aca="false">IF(AND(ISNUMBER(F217),ISNUMBER(G217),ISNUMBER(F216),ISNUMBER(G216)),AND(F217&gt;G217,F216&lt;=G216),FALSE())</f>
        <v>0</v>
      </c>
      <c r="K217" s="9" t="b">
        <f aca="false">IF(AND(ISNUMBER(F217),ISNUMBER(G217),ISNUMBER(F216),ISNUMBER(G216)),AND(F217&lt;G217,F216&gt;=G216),FALSE())</f>
        <v>0</v>
      </c>
      <c r="L217" s="8" t="n">
        <f aca="false">IF(ISNUMBER(I217),E217-Inputs!$B$6*I217,"")</f>
        <v>0.902682682971428</v>
      </c>
      <c r="M217" s="9" t="b">
        <f aca="false">AND(Y216&gt;0,Z216)</f>
        <v>0</v>
      </c>
      <c r="N217" s="8" t="n">
        <f aca="false">B217*(1-Inputs!$B$12)</f>
        <v>0.920530703574531</v>
      </c>
      <c r="O217" s="10" t="n">
        <f aca="false">IF(M217,Y216*(N217-AB216)-Inputs!$B$9-Y216*AD216*Inputs!$B$13*(A217-AC216),0)</f>
        <v>0</v>
      </c>
      <c r="P217" s="10" t="n">
        <f aca="false">X216+O217</f>
        <v>999</v>
      </c>
      <c r="Q217" s="9" t="b">
        <f aca="false">AND(IF(M217,0,Y216)=0,AA216,IF(ISNUMBER(AE216),B217&gt;AE216,FALSE()))</f>
        <v>0</v>
      </c>
      <c r="R217" s="8" t="n">
        <f aca="false">B217*(1+Inputs!$B$12)</f>
        <v>0.920898989513149</v>
      </c>
      <c r="S217" s="11" t="n">
        <f aca="false">IF(Q217,MIN(P217*Inputs!$B$3/(R217-AE216),P217*Inputs!$B$11/R217),0)</f>
        <v>0</v>
      </c>
      <c r="T217" s="11" t="n">
        <f aca="false">IF(Q217,S217,IF(M217,0,Y216))</f>
        <v>515.951204214585</v>
      </c>
      <c r="U217" s="8" t="n">
        <f aca="false">IF(Q217,AE216,AF216)</f>
        <v>0.842594980845593</v>
      </c>
      <c r="V217" s="9" t="b">
        <f aca="false">AND(T217&gt;0,D217&lt;=U217)</f>
        <v>0</v>
      </c>
      <c r="W217" s="10" t="n">
        <f aca="false">IF(V217,T217*(AK217-AB217)-Inputs!$B$9-T217*AD217*Inputs!$B$13*(A217-AC217),0)</f>
        <v>0</v>
      </c>
      <c r="X217" s="10" t="n">
        <f aca="false">P217-IF(Q217,Inputs!$B$9,0)+W217</f>
        <v>999</v>
      </c>
      <c r="Y217" s="11" t="n">
        <f aca="false">IF(V217,0,T217)</f>
        <v>515.951204214585</v>
      </c>
      <c r="Z217" s="9" t="b">
        <f aca="false">AND(Y217&gt;0,K217)</f>
        <v>0</v>
      </c>
      <c r="AA217" s="9" t="b">
        <f aca="false">AND(Y217=0,J217,ISNUMBER(L217))</f>
        <v>0</v>
      </c>
      <c r="AB217" s="8" t="n">
        <f aca="false">IF(Q217,R217,AB216)</f>
        <v>0.861976658644412</v>
      </c>
      <c r="AC217" s="12" t="n">
        <f aca="false">IF(Q217,A217,AC216)</f>
        <v>44890</v>
      </c>
      <c r="AD217" s="8" t="n">
        <f aca="false">IF(Q217,B217,AD216)</f>
        <v>0.861804297784855</v>
      </c>
      <c r="AE217" s="8" t="str">
        <f aca="false">IF(AA217,L217,"")</f>
        <v/>
      </c>
      <c r="AF217" s="8" t="n">
        <f aca="false">U217</f>
        <v>0.842594980845593</v>
      </c>
      <c r="AG217" s="2" t="n">
        <f aca="false">AG216+IF(Q217,1,0)</f>
        <v>1</v>
      </c>
      <c r="AH217" s="2" t="n">
        <f aca="false">AG216</f>
        <v>1</v>
      </c>
      <c r="AI217" s="10" t="n">
        <f aca="false">X217+Y217*(E217-AB217)-Y217*AD217*Inputs!$B$13*(A217-AC217)</f>
        <v>1021.77015742492</v>
      </c>
      <c r="AJ217" s="10" t="n">
        <v>0</v>
      </c>
      <c r="AK217" s="8" t="n">
        <f aca="false">IF(AND(B217&lt;=U217,NOT(Q217)),B217,U217)*(1-Inputs!$B$12)</f>
        <v>0.842426461849423</v>
      </c>
    </row>
    <row r="218" customFormat="false" ht="15" hidden="false" customHeight="false" outlineLevel="0" collapsed="false">
      <c r="A218" s="6" t="n">
        <v>45002</v>
      </c>
      <c r="B218" s="7" t="n">
        <v>0.923144435912381</v>
      </c>
      <c r="C218" s="7" t="n">
        <v>0.931364417742799</v>
      </c>
      <c r="D218" s="7" t="n">
        <v>0.92067539891546</v>
      </c>
      <c r="E218" s="7" t="n">
        <v>0.930540120304304</v>
      </c>
      <c r="F218" s="8" t="n">
        <f aca="true">IF(ROW()-2&gt;=Inputs!$B$4,AVERAGE(OFFSET(E218,1-Inputs!$B$4,0,Inputs!$B$4,1)),"")</f>
        <v>0.931694994326189</v>
      </c>
      <c r="G218" s="8" t="n">
        <f aca="true">IF(ROW()-2&gt;=Inputs!$B$5,AVERAGE(OFFSET(E218,1-Inputs!$B$5,0,Inputs!$B$5,1)),"")</f>
        <v>0.918216348039732</v>
      </c>
      <c r="H218" s="8" t="n">
        <f aca="false">MAX(C218-D218,ABS(C218-E217),ABS(D218-E217))</f>
        <v>0.0106890188273394</v>
      </c>
      <c r="I218" s="8" t="n">
        <f aca="true">IF(ROW()-2&lt;14,"",IF(ROW()-2=14,AVERAGE(OFFSET(H218,-13,0,14,1)),(I217*13+H218)/14))</f>
        <v>0.0102636009245381</v>
      </c>
      <c r="J218" s="9" t="b">
        <f aca="false">IF(AND(ISNUMBER(F218),ISNUMBER(G218),ISNUMBER(F217),ISNUMBER(G217)),AND(F218&gt;G218,F217&lt;=G217),FALSE())</f>
        <v>0</v>
      </c>
      <c r="K218" s="9" t="b">
        <f aca="false">IF(AND(ISNUMBER(F218),ISNUMBER(G218),ISNUMBER(F217),ISNUMBER(G217)),AND(F218&lt;G218,F217&gt;=G217),FALSE())</f>
        <v>0</v>
      </c>
      <c r="L218" s="8" t="n">
        <f aca="false">IF(ISNUMBER(I218),E218-Inputs!$B$6*I218,"")</f>
        <v>0.910012918455228</v>
      </c>
      <c r="M218" s="9" t="b">
        <f aca="false">AND(Y217&gt;0,Z217)</f>
        <v>0</v>
      </c>
      <c r="N218" s="8" t="n">
        <f aca="false">B218*(1-Inputs!$B$12)</f>
        <v>0.922959807025199</v>
      </c>
      <c r="O218" s="10" t="n">
        <f aca="false">IF(M218,Y217*(N218-AB217)-Inputs!$B$9-Y217*AD217*Inputs!$B$13*(A218-AC217),0)</f>
        <v>0</v>
      </c>
      <c r="P218" s="10" t="n">
        <f aca="false">X217+O218</f>
        <v>999</v>
      </c>
      <c r="Q218" s="9" t="b">
        <f aca="false">AND(IF(M218,0,Y217)=0,AA217,IF(ISNUMBER(AE217),B218&gt;AE217,FALSE()))</f>
        <v>0</v>
      </c>
      <c r="R218" s="8" t="n">
        <f aca="false">B218*(1+Inputs!$B$12)</f>
        <v>0.923329064799564</v>
      </c>
      <c r="S218" s="11" t="n">
        <f aca="false">IF(Q218,MIN(P218*Inputs!$B$3/(R218-AE217),P218*Inputs!$B$11/R218),0)</f>
        <v>0</v>
      </c>
      <c r="T218" s="11" t="n">
        <f aca="false">IF(Q218,S218,IF(M218,0,Y217))</f>
        <v>515.951204214585</v>
      </c>
      <c r="U218" s="8" t="n">
        <f aca="false">IF(Q218,AE217,AF217)</f>
        <v>0.842594980845593</v>
      </c>
      <c r="V218" s="9" t="b">
        <f aca="false">AND(T218&gt;0,D218&lt;=U218)</f>
        <v>0</v>
      </c>
      <c r="W218" s="10" t="n">
        <f aca="false">IF(V218,T218*(AK218-AB218)-Inputs!$B$9-T218*AD218*Inputs!$B$13*(A218-AC218),0)</f>
        <v>0</v>
      </c>
      <c r="X218" s="10" t="n">
        <f aca="false">P218-IF(Q218,Inputs!$B$9,0)+W218</f>
        <v>999</v>
      </c>
      <c r="Y218" s="11" t="n">
        <f aca="false">IF(V218,0,T218)</f>
        <v>515.951204214585</v>
      </c>
      <c r="Z218" s="9" t="b">
        <f aca="false">AND(Y218&gt;0,K218)</f>
        <v>0</v>
      </c>
      <c r="AA218" s="9" t="b">
        <f aca="false">AND(Y218=0,J218,ISNUMBER(L218))</f>
        <v>0</v>
      </c>
      <c r="AB218" s="8" t="n">
        <f aca="false">IF(Q218,R218,AB217)</f>
        <v>0.861976658644412</v>
      </c>
      <c r="AC218" s="12" t="n">
        <f aca="false">IF(Q218,A218,AC217)</f>
        <v>44890</v>
      </c>
      <c r="AD218" s="8" t="n">
        <f aca="false">IF(Q218,B218,AD217)</f>
        <v>0.861804297784855</v>
      </c>
      <c r="AE218" s="8" t="str">
        <f aca="false">IF(AA218,L218,"")</f>
        <v/>
      </c>
      <c r="AF218" s="8" t="n">
        <f aca="false">U218</f>
        <v>0.842594980845593</v>
      </c>
      <c r="AG218" s="2" t="n">
        <f aca="false">AG217+IF(Q218,1,0)</f>
        <v>1</v>
      </c>
      <c r="AH218" s="2" t="n">
        <f aca="false">AG217</f>
        <v>1</v>
      </c>
      <c r="AI218" s="10" t="n">
        <f aca="false">X218+Y218*(E218-AB218)-Y218*AD218*Inputs!$B$13*(A218-AC218)</f>
        <v>1025.50678563062</v>
      </c>
      <c r="AJ218" s="10" t="n">
        <v>0</v>
      </c>
      <c r="AK218" s="8" t="n">
        <f aca="false">IF(AND(B218&lt;=U218,NOT(Q218)),B218,U218)*(1-Inputs!$B$12)</f>
        <v>0.842426461849423</v>
      </c>
    </row>
    <row r="219" customFormat="false" ht="15" hidden="false" customHeight="false" outlineLevel="0" collapsed="false">
      <c r="A219" s="6" t="n">
        <v>45003</v>
      </c>
      <c r="B219" s="7" t="n">
        <v>0.930540120304304</v>
      </c>
      <c r="C219" s="7" t="n">
        <v>0.934939038274876</v>
      </c>
      <c r="D219" s="7" t="n">
        <v>0.928461544935532</v>
      </c>
      <c r="E219" s="7" t="n">
        <v>0.933605999138322</v>
      </c>
      <c r="F219" s="8" t="n">
        <f aca="true">IF(ROW()-2&gt;=Inputs!$B$4,AVERAGE(OFFSET(E219,1-Inputs!$B$4,0,Inputs!$B$4,1)),"")</f>
        <v>0.93186326212805</v>
      </c>
      <c r="G219" s="8" t="n">
        <f aca="true">IF(ROW()-2&gt;=Inputs!$B$5,AVERAGE(OFFSET(E219,1-Inputs!$B$5,0,Inputs!$B$5,1)),"")</f>
        <v>0.918732903173479</v>
      </c>
      <c r="H219" s="8" t="n">
        <f aca="false">MAX(C219-D219,ABS(C219-E218),ABS(D219-E218))</f>
        <v>0.00647749333934411</v>
      </c>
      <c r="I219" s="8" t="n">
        <f aca="true">IF(ROW()-2&lt;14,"",IF(ROW()-2=14,AVERAGE(OFFSET(H219,-13,0,14,1)),(I218*13+H219)/14))</f>
        <v>0.00999316466845284</v>
      </c>
      <c r="J219" s="9" t="b">
        <f aca="false">IF(AND(ISNUMBER(F219),ISNUMBER(G219),ISNUMBER(F218),ISNUMBER(G218)),AND(F219&gt;G219,F218&lt;=G218),FALSE())</f>
        <v>0</v>
      </c>
      <c r="K219" s="9" t="b">
        <f aca="false">IF(AND(ISNUMBER(F219),ISNUMBER(G219),ISNUMBER(F218),ISNUMBER(G218)),AND(F219&lt;G219,F218&gt;=G218),FALSE())</f>
        <v>0</v>
      </c>
      <c r="L219" s="8" t="n">
        <f aca="false">IF(ISNUMBER(I219),E219-Inputs!$B$6*I219,"")</f>
        <v>0.913619669801417</v>
      </c>
      <c r="M219" s="9" t="b">
        <f aca="false">AND(Y218&gt;0,Z218)</f>
        <v>0</v>
      </c>
      <c r="N219" s="8" t="n">
        <f aca="false">B219*(1-Inputs!$B$12)</f>
        <v>0.930354012280243</v>
      </c>
      <c r="O219" s="10" t="n">
        <f aca="false">IF(M219,Y218*(N219-AB218)-Inputs!$B$9-Y218*AD218*Inputs!$B$13*(A219-AC218),0)</f>
        <v>0</v>
      </c>
      <c r="P219" s="10" t="n">
        <f aca="false">X218+O219</f>
        <v>999</v>
      </c>
      <c r="Q219" s="9" t="b">
        <f aca="false">AND(IF(M219,0,Y218)=0,AA218,IF(ISNUMBER(AE218),B219&gt;AE218,FALSE()))</f>
        <v>0</v>
      </c>
      <c r="R219" s="8" t="n">
        <f aca="false">B219*(1+Inputs!$B$12)</f>
        <v>0.930726228328365</v>
      </c>
      <c r="S219" s="11" t="n">
        <f aca="false">IF(Q219,MIN(P219*Inputs!$B$3/(R219-AE218),P219*Inputs!$B$11/R219),0)</f>
        <v>0</v>
      </c>
      <c r="T219" s="11" t="n">
        <f aca="false">IF(Q219,S219,IF(M219,0,Y218))</f>
        <v>515.951204214585</v>
      </c>
      <c r="U219" s="8" t="n">
        <f aca="false">IF(Q219,AE218,AF218)</f>
        <v>0.842594980845593</v>
      </c>
      <c r="V219" s="9" t="b">
        <f aca="false">AND(T219&gt;0,D219&lt;=U219)</f>
        <v>0</v>
      </c>
      <c r="W219" s="10" t="n">
        <f aca="false">IF(V219,T219*(AK219-AB219)-Inputs!$B$9-T219*AD219*Inputs!$B$13*(A219-AC219),0)</f>
        <v>0</v>
      </c>
      <c r="X219" s="10" t="n">
        <f aca="false">P219-IF(Q219,Inputs!$B$9,0)+W219</f>
        <v>999</v>
      </c>
      <c r="Y219" s="11" t="n">
        <f aca="false">IF(V219,0,T219)</f>
        <v>515.951204214585</v>
      </c>
      <c r="Z219" s="9" t="b">
        <f aca="false">AND(Y219&gt;0,K219)</f>
        <v>0</v>
      </c>
      <c r="AA219" s="9" t="b">
        <f aca="false">AND(Y219=0,J219,ISNUMBER(L219))</f>
        <v>0</v>
      </c>
      <c r="AB219" s="8" t="n">
        <f aca="false">IF(Q219,R219,AB218)</f>
        <v>0.861976658644412</v>
      </c>
      <c r="AC219" s="12" t="n">
        <f aca="false">IF(Q219,A219,AC218)</f>
        <v>44890</v>
      </c>
      <c r="AD219" s="8" t="n">
        <f aca="false">IF(Q219,B219,AD218)</f>
        <v>0.861804297784855</v>
      </c>
      <c r="AE219" s="8" t="str">
        <f aca="false">IF(AA219,L219,"")</f>
        <v/>
      </c>
      <c r="AF219" s="8" t="n">
        <f aca="false">U219</f>
        <v>0.842594980845593</v>
      </c>
      <c r="AG219" s="2" t="n">
        <f aca="false">AG218+IF(Q219,1,0)</f>
        <v>1</v>
      </c>
      <c r="AH219" s="2" t="n">
        <f aca="false">AG218</f>
        <v>1</v>
      </c>
      <c r="AI219" s="10" t="n">
        <f aca="false">X219+Y219*(E219-AB219)-Y219*AD219*Inputs!$B$13*(A219-AC219)</f>
        <v>1027.0094454447</v>
      </c>
      <c r="AJ219" s="10" t="n">
        <v>0</v>
      </c>
      <c r="AK219" s="8" t="n">
        <f aca="false">IF(AND(B219&lt;=U219,NOT(Q219)),B219,U219)*(1-Inputs!$B$12)</f>
        <v>0.842426461849423</v>
      </c>
    </row>
    <row r="220" customFormat="false" ht="15" hidden="false" customHeight="false" outlineLevel="0" collapsed="false">
      <c r="A220" s="6" t="n">
        <v>45004</v>
      </c>
      <c r="B220" s="7" t="n">
        <v>0.933605999138322</v>
      </c>
      <c r="C220" s="7" t="n">
        <v>0.94281246535467</v>
      </c>
      <c r="D220" s="7" t="n">
        <v>0.932935677229264</v>
      </c>
      <c r="E220" s="7" t="n">
        <v>0.938470374897563</v>
      </c>
      <c r="F220" s="8" t="n">
        <f aca="true">IF(ROW()-2&gt;=Inputs!$B$4,AVERAGE(OFFSET(E220,1-Inputs!$B$4,0,Inputs!$B$4,1)),"")</f>
        <v>0.931783239834774</v>
      </c>
      <c r="G220" s="8" t="n">
        <f aca="true">IF(ROW()-2&gt;=Inputs!$B$5,AVERAGE(OFFSET(E220,1-Inputs!$B$5,0,Inputs!$B$5,1)),"")</f>
        <v>0.919381157369941</v>
      </c>
      <c r="H220" s="8" t="n">
        <f aca="false">MAX(C220-D220,ABS(C220-E219),ABS(D220-E219))</f>
        <v>0.00987678812540682</v>
      </c>
      <c r="I220" s="8" t="n">
        <f aca="true">IF(ROW()-2&lt;14,"",IF(ROW()-2=14,AVERAGE(OFFSET(H220,-13,0,14,1)),(I219*13+H220)/14))</f>
        <v>0.00998485205823526</v>
      </c>
      <c r="J220" s="9" t="b">
        <f aca="false">IF(AND(ISNUMBER(F220),ISNUMBER(G220),ISNUMBER(F219),ISNUMBER(G219)),AND(F220&gt;G220,F219&lt;=G219),FALSE())</f>
        <v>0</v>
      </c>
      <c r="K220" s="9" t="b">
        <f aca="false">IF(AND(ISNUMBER(F220),ISNUMBER(G220),ISNUMBER(F219),ISNUMBER(G219)),AND(F220&lt;G220,F219&gt;=G219),FALSE())</f>
        <v>0</v>
      </c>
      <c r="L220" s="8" t="n">
        <f aca="false">IF(ISNUMBER(I220),E220-Inputs!$B$6*I220,"")</f>
        <v>0.918500670781093</v>
      </c>
      <c r="M220" s="9" t="b">
        <f aca="false">AND(Y219&gt;0,Z219)</f>
        <v>0</v>
      </c>
      <c r="N220" s="8" t="n">
        <f aca="false">B220*(1-Inputs!$B$12)</f>
        <v>0.933419277938495</v>
      </c>
      <c r="O220" s="10" t="n">
        <f aca="false">IF(M220,Y219*(N220-AB219)-Inputs!$B$9-Y219*AD219*Inputs!$B$13*(A220-AC219),0)</f>
        <v>0</v>
      </c>
      <c r="P220" s="10" t="n">
        <f aca="false">X219+O220</f>
        <v>999</v>
      </c>
      <c r="Q220" s="9" t="b">
        <f aca="false">AND(IF(M220,0,Y219)=0,AA219,IF(ISNUMBER(AE219),B220&gt;AE219,FALSE()))</f>
        <v>0</v>
      </c>
      <c r="R220" s="8" t="n">
        <f aca="false">B220*(1+Inputs!$B$12)</f>
        <v>0.93379272033815</v>
      </c>
      <c r="S220" s="11" t="n">
        <f aca="false">IF(Q220,MIN(P220*Inputs!$B$3/(R220-AE219),P220*Inputs!$B$11/R220),0)</f>
        <v>0</v>
      </c>
      <c r="T220" s="11" t="n">
        <f aca="false">IF(Q220,S220,IF(M220,0,Y219))</f>
        <v>515.951204214585</v>
      </c>
      <c r="U220" s="8" t="n">
        <f aca="false">IF(Q220,AE219,AF219)</f>
        <v>0.842594980845593</v>
      </c>
      <c r="V220" s="9" t="b">
        <f aca="false">AND(T220&gt;0,D220&lt;=U220)</f>
        <v>0</v>
      </c>
      <c r="W220" s="10" t="n">
        <f aca="false">IF(V220,T220*(AK220-AB220)-Inputs!$B$9-T220*AD220*Inputs!$B$13*(A220-AC220),0)</f>
        <v>0</v>
      </c>
      <c r="X220" s="10" t="n">
        <f aca="false">P220-IF(Q220,Inputs!$B$9,0)+W220</f>
        <v>999</v>
      </c>
      <c r="Y220" s="11" t="n">
        <f aca="false">IF(V220,0,T220)</f>
        <v>515.951204214585</v>
      </c>
      <c r="Z220" s="9" t="b">
        <f aca="false">AND(Y220&gt;0,K220)</f>
        <v>0</v>
      </c>
      <c r="AA220" s="9" t="b">
        <f aca="false">AND(Y220=0,J220,ISNUMBER(L220))</f>
        <v>0</v>
      </c>
      <c r="AB220" s="8" t="n">
        <f aca="false">IF(Q220,R220,AB219)</f>
        <v>0.861976658644412</v>
      </c>
      <c r="AC220" s="12" t="n">
        <f aca="false">IF(Q220,A220,AC219)</f>
        <v>44890</v>
      </c>
      <c r="AD220" s="8" t="n">
        <f aca="false">IF(Q220,B220,AD219)</f>
        <v>0.861804297784855</v>
      </c>
      <c r="AE220" s="8" t="str">
        <f aca="false">IF(AA220,L220,"")</f>
        <v/>
      </c>
      <c r="AF220" s="8" t="n">
        <f aca="false">U220</f>
        <v>0.842594980845593</v>
      </c>
      <c r="AG220" s="2" t="n">
        <f aca="false">AG219+IF(Q220,1,0)</f>
        <v>1</v>
      </c>
      <c r="AH220" s="2" t="n">
        <f aca="false">AG219</f>
        <v>1</v>
      </c>
      <c r="AI220" s="10" t="n">
        <f aca="false">X220+Y220*(E220-AB220)-Y220*AD220*Inputs!$B$13*(A220-AC220)</f>
        <v>1029.44004191313</v>
      </c>
      <c r="AJ220" s="10" t="n">
        <v>0</v>
      </c>
      <c r="AK220" s="8" t="n">
        <f aca="false">IF(AND(B220&lt;=U220,NOT(Q220)),B220,U220)*(1-Inputs!$B$12)</f>
        <v>0.842426461849423</v>
      </c>
    </row>
    <row r="221" customFormat="false" ht="15" hidden="false" customHeight="false" outlineLevel="0" collapsed="false">
      <c r="A221" s="6" t="n">
        <v>45005</v>
      </c>
      <c r="B221" s="7" t="n">
        <v>0.938470374897563</v>
      </c>
      <c r="C221" s="7" t="n">
        <v>0.955011366136271</v>
      </c>
      <c r="D221" s="7" t="n">
        <v>0.935664023687418</v>
      </c>
      <c r="E221" s="7" t="n">
        <v>0.948836171275436</v>
      </c>
      <c r="F221" s="8" t="n">
        <f aca="true">IF(ROW()-2&gt;=Inputs!$B$4,AVERAGE(OFFSET(E221,1-Inputs!$B$4,0,Inputs!$B$4,1)),"")</f>
        <v>0.932037516571928</v>
      </c>
      <c r="G221" s="8" t="n">
        <f aca="true">IF(ROW()-2&gt;=Inputs!$B$5,AVERAGE(OFFSET(E221,1-Inputs!$B$5,0,Inputs!$B$5,1)),"")</f>
        <v>0.920182722000564</v>
      </c>
      <c r="H221" s="8" t="n">
        <f aca="false">MAX(C221-D221,ABS(C221-E220),ABS(D221-E220))</f>
        <v>0.0193473424488529</v>
      </c>
      <c r="I221" s="8" t="n">
        <f aca="true">IF(ROW()-2&lt;14,"",IF(ROW()-2=14,AVERAGE(OFFSET(H221,-13,0,14,1)),(I220*13+H221)/14))</f>
        <v>0.0106536013718508</v>
      </c>
      <c r="J221" s="9" t="b">
        <f aca="false">IF(AND(ISNUMBER(F221),ISNUMBER(G221),ISNUMBER(F220),ISNUMBER(G220)),AND(F221&gt;G221,F220&lt;=G220),FALSE())</f>
        <v>0</v>
      </c>
      <c r="K221" s="9" t="b">
        <f aca="false">IF(AND(ISNUMBER(F221),ISNUMBER(G221),ISNUMBER(F220),ISNUMBER(G220)),AND(F221&lt;G221,F220&gt;=G220),FALSE())</f>
        <v>0</v>
      </c>
      <c r="L221" s="8" t="n">
        <f aca="false">IF(ISNUMBER(I221),E221-Inputs!$B$6*I221,"")</f>
        <v>0.927528968531734</v>
      </c>
      <c r="M221" s="9" t="b">
        <f aca="false">AND(Y220&gt;0,Z220)</f>
        <v>0</v>
      </c>
      <c r="N221" s="8" t="n">
        <f aca="false">B221*(1-Inputs!$B$12)</f>
        <v>0.938282680822584</v>
      </c>
      <c r="O221" s="10" t="n">
        <f aca="false">IF(M221,Y220*(N221-AB220)-Inputs!$B$9-Y220*AD220*Inputs!$B$13*(A221-AC220),0)</f>
        <v>0</v>
      </c>
      <c r="P221" s="10" t="n">
        <f aca="false">X220+O221</f>
        <v>999</v>
      </c>
      <c r="Q221" s="9" t="b">
        <f aca="false">AND(IF(M221,0,Y220)=0,AA220,IF(ISNUMBER(AE220),B221&gt;AE220,FALSE()))</f>
        <v>0</v>
      </c>
      <c r="R221" s="8" t="n">
        <f aca="false">B221*(1+Inputs!$B$12)</f>
        <v>0.938658068972543</v>
      </c>
      <c r="S221" s="11" t="n">
        <f aca="false">IF(Q221,MIN(P221*Inputs!$B$3/(R221-AE220),P221*Inputs!$B$11/R221),0)</f>
        <v>0</v>
      </c>
      <c r="T221" s="11" t="n">
        <f aca="false">IF(Q221,S221,IF(M221,0,Y220))</f>
        <v>515.951204214585</v>
      </c>
      <c r="U221" s="8" t="n">
        <f aca="false">IF(Q221,AE220,AF220)</f>
        <v>0.842594980845593</v>
      </c>
      <c r="V221" s="9" t="b">
        <f aca="false">AND(T221&gt;0,D221&lt;=U221)</f>
        <v>0</v>
      </c>
      <c r="W221" s="10" t="n">
        <f aca="false">IF(V221,T221*(AK221-AB221)-Inputs!$B$9-T221*AD221*Inputs!$B$13*(A221-AC221),0)</f>
        <v>0</v>
      </c>
      <c r="X221" s="10" t="n">
        <f aca="false">P221-IF(Q221,Inputs!$B$9,0)+W221</f>
        <v>999</v>
      </c>
      <c r="Y221" s="11" t="n">
        <f aca="false">IF(V221,0,T221)</f>
        <v>515.951204214585</v>
      </c>
      <c r="Z221" s="9" t="b">
        <f aca="false">AND(Y221&gt;0,K221)</f>
        <v>0</v>
      </c>
      <c r="AA221" s="9" t="b">
        <f aca="false">AND(Y221=0,J221,ISNUMBER(L221))</f>
        <v>0</v>
      </c>
      <c r="AB221" s="8" t="n">
        <f aca="false">IF(Q221,R221,AB220)</f>
        <v>0.861976658644412</v>
      </c>
      <c r="AC221" s="12" t="n">
        <f aca="false">IF(Q221,A221,AC220)</f>
        <v>44890</v>
      </c>
      <c r="AD221" s="8" t="n">
        <f aca="false">IF(Q221,B221,AD220)</f>
        <v>0.861804297784855</v>
      </c>
      <c r="AE221" s="8" t="str">
        <f aca="false">IF(AA221,L221,"")</f>
        <v/>
      </c>
      <c r="AF221" s="8" t="n">
        <f aca="false">U221</f>
        <v>0.842594980845593</v>
      </c>
      <c r="AG221" s="2" t="n">
        <f aca="false">AG220+IF(Q221,1,0)</f>
        <v>1</v>
      </c>
      <c r="AH221" s="2" t="n">
        <f aca="false">AG220</f>
        <v>1</v>
      </c>
      <c r="AI221" s="10" t="n">
        <f aca="false">X221+Y221*(E221-AB221)-Y221*AD221*Inputs!$B$13*(A221-AC221)</f>
        <v>1034.70910297463</v>
      </c>
      <c r="AJ221" s="10" t="n">
        <v>0</v>
      </c>
      <c r="AK221" s="8" t="n">
        <f aca="false">IF(AND(B221&lt;=U221,NOT(Q221)),B221,U221)*(1-Inputs!$B$12)</f>
        <v>0.842426461849423</v>
      </c>
    </row>
    <row r="222" customFormat="false" ht="15" hidden="false" customHeight="false" outlineLevel="0" collapsed="false">
      <c r="A222" s="6" t="n">
        <v>45006</v>
      </c>
      <c r="B222" s="7" t="n">
        <v>0.948836171275436</v>
      </c>
      <c r="C222" s="7" t="n">
        <v>0.950152414123652</v>
      </c>
      <c r="D222" s="7" t="n">
        <v>0.93849651365612</v>
      </c>
      <c r="E222" s="7" t="n">
        <v>0.942794761316199</v>
      </c>
      <c r="F222" s="8" t="n">
        <f aca="true">IF(ROW()-2&gt;=Inputs!$B$4,AVERAGE(OFFSET(E222,1-Inputs!$B$4,0,Inputs!$B$4,1)),"")</f>
        <v>0.93236456984802</v>
      </c>
      <c r="G222" s="8" t="n">
        <f aca="true">IF(ROW()-2&gt;=Inputs!$B$5,AVERAGE(OFFSET(E222,1-Inputs!$B$5,0,Inputs!$B$5,1)),"")</f>
        <v>0.920967280759797</v>
      </c>
      <c r="H222" s="8" t="n">
        <f aca="false">MAX(C222-D222,ABS(C222-E221),ABS(D222-E221))</f>
        <v>0.0116559004675321</v>
      </c>
      <c r="I222" s="8" t="n">
        <f aca="true">IF(ROW()-2&lt;14,"",IF(ROW()-2=14,AVERAGE(OFFSET(H222,-13,0,14,1)),(I221*13+H222)/14))</f>
        <v>0.0107251941643995</v>
      </c>
      <c r="J222" s="9" t="b">
        <f aca="false">IF(AND(ISNUMBER(F222),ISNUMBER(G222),ISNUMBER(F221),ISNUMBER(G221)),AND(F222&gt;G222,F221&lt;=G221),FALSE())</f>
        <v>0</v>
      </c>
      <c r="K222" s="9" t="b">
        <f aca="false">IF(AND(ISNUMBER(F222),ISNUMBER(G222),ISNUMBER(F221),ISNUMBER(G221)),AND(F222&lt;G222,F221&gt;=G221),FALSE())</f>
        <v>0</v>
      </c>
      <c r="L222" s="8" t="n">
        <f aca="false">IF(ISNUMBER(I222),E222-Inputs!$B$6*I222,"")</f>
        <v>0.9213443729874</v>
      </c>
      <c r="M222" s="9" t="b">
        <f aca="false">AND(Y221&gt;0,Z221)</f>
        <v>0</v>
      </c>
      <c r="N222" s="8" t="n">
        <f aca="false">B222*(1-Inputs!$B$12)</f>
        <v>0.948646404041181</v>
      </c>
      <c r="O222" s="10" t="n">
        <f aca="false">IF(M222,Y221*(N222-AB221)-Inputs!$B$9-Y221*AD221*Inputs!$B$13*(A222-AC221),0)</f>
        <v>0</v>
      </c>
      <c r="P222" s="10" t="n">
        <f aca="false">X221+O222</f>
        <v>999</v>
      </c>
      <c r="Q222" s="9" t="b">
        <f aca="false">AND(IF(M222,0,Y221)=0,AA221,IF(ISNUMBER(AE221),B222&gt;AE221,FALSE()))</f>
        <v>0</v>
      </c>
      <c r="R222" s="8" t="n">
        <f aca="false">B222*(1+Inputs!$B$12)</f>
        <v>0.949025938509691</v>
      </c>
      <c r="S222" s="11" t="n">
        <f aca="false">IF(Q222,MIN(P222*Inputs!$B$3/(R222-AE221),P222*Inputs!$B$11/R222),0)</f>
        <v>0</v>
      </c>
      <c r="T222" s="11" t="n">
        <f aca="false">IF(Q222,S222,IF(M222,0,Y221))</f>
        <v>515.951204214585</v>
      </c>
      <c r="U222" s="8" t="n">
        <f aca="false">IF(Q222,AE221,AF221)</f>
        <v>0.842594980845593</v>
      </c>
      <c r="V222" s="9" t="b">
        <f aca="false">AND(T222&gt;0,D222&lt;=U222)</f>
        <v>0</v>
      </c>
      <c r="W222" s="10" t="n">
        <f aca="false">IF(V222,T222*(AK222-AB222)-Inputs!$B$9-T222*AD222*Inputs!$B$13*(A222-AC222),0)</f>
        <v>0</v>
      </c>
      <c r="X222" s="10" t="n">
        <f aca="false">P222-IF(Q222,Inputs!$B$9,0)+W222</f>
        <v>999</v>
      </c>
      <c r="Y222" s="11" t="n">
        <f aca="false">IF(V222,0,T222)</f>
        <v>515.951204214585</v>
      </c>
      <c r="Z222" s="9" t="b">
        <f aca="false">AND(Y222&gt;0,K222)</f>
        <v>0</v>
      </c>
      <c r="AA222" s="9" t="b">
        <f aca="false">AND(Y222=0,J222,ISNUMBER(L222))</f>
        <v>0</v>
      </c>
      <c r="AB222" s="8" t="n">
        <f aca="false">IF(Q222,R222,AB221)</f>
        <v>0.861976658644412</v>
      </c>
      <c r="AC222" s="12" t="n">
        <f aca="false">IF(Q222,A222,AC221)</f>
        <v>44890</v>
      </c>
      <c r="AD222" s="8" t="n">
        <f aca="false">IF(Q222,B222,AD221)</f>
        <v>0.861804297784855</v>
      </c>
      <c r="AE222" s="8" t="str">
        <f aca="false">IF(AA222,L222,"")</f>
        <v/>
      </c>
      <c r="AF222" s="8" t="n">
        <f aca="false">U222</f>
        <v>0.842594980845593</v>
      </c>
      <c r="AG222" s="2" t="n">
        <f aca="false">AG221+IF(Q222,1,0)</f>
        <v>1</v>
      </c>
      <c r="AH222" s="2" t="n">
        <f aca="false">AG221</f>
        <v>1</v>
      </c>
      <c r="AI222" s="10" t="n">
        <f aca="false">X222+Y222*(E222-AB222)-Y222*AD222*Inputs!$B$13*(A222-AC222)</f>
        <v>1031.51284616871</v>
      </c>
      <c r="AJ222" s="10" t="n">
        <v>0</v>
      </c>
      <c r="AK222" s="8" t="n">
        <f aca="false">IF(AND(B222&lt;=U222,NOT(Q222)),B222,U222)*(1-Inputs!$B$12)</f>
        <v>0.842426461849423</v>
      </c>
    </row>
    <row r="223" customFormat="false" ht="15" hidden="false" customHeight="false" outlineLevel="0" collapsed="false">
      <c r="A223" s="6" t="n">
        <v>45007</v>
      </c>
      <c r="B223" s="7" t="n">
        <v>0.942794761316199</v>
      </c>
      <c r="C223" s="7" t="n">
        <v>0.942982851224818</v>
      </c>
      <c r="D223" s="7" t="n">
        <v>0.936303630015155</v>
      </c>
      <c r="E223" s="7" t="n">
        <v>0.942663437605475</v>
      </c>
      <c r="F223" s="8" t="n">
        <f aca="true">IF(ROW()-2&gt;=Inputs!$B$4,AVERAGE(OFFSET(E223,1-Inputs!$B$4,0,Inputs!$B$4,1)),"")</f>
        <v>0.932937023205038</v>
      </c>
      <c r="G223" s="8" t="n">
        <f aca="true">IF(ROW()-2&gt;=Inputs!$B$5,AVERAGE(OFFSET(E223,1-Inputs!$B$5,0,Inputs!$B$5,1)),"")</f>
        <v>0.921772208506277</v>
      </c>
      <c r="H223" s="8" t="n">
        <f aca="false">MAX(C223-D223,ABS(C223-E222),ABS(D223-E222))</f>
        <v>0.00667922120966324</v>
      </c>
      <c r="I223" s="8" t="n">
        <f aca="true">IF(ROW()-2&lt;14,"",IF(ROW()-2=14,AVERAGE(OFFSET(H223,-13,0,14,1)),(I222*13+H223)/14))</f>
        <v>0.010436196096204</v>
      </c>
      <c r="J223" s="9" t="b">
        <f aca="false">IF(AND(ISNUMBER(F223),ISNUMBER(G223),ISNUMBER(F222),ISNUMBER(G222)),AND(F223&gt;G223,F222&lt;=G222),FALSE())</f>
        <v>0</v>
      </c>
      <c r="K223" s="9" t="b">
        <f aca="false">IF(AND(ISNUMBER(F223),ISNUMBER(G223),ISNUMBER(F222),ISNUMBER(G222)),AND(F223&lt;G223,F222&gt;=G222),FALSE())</f>
        <v>0</v>
      </c>
      <c r="L223" s="8" t="n">
        <f aca="false">IF(ISNUMBER(I223),E223-Inputs!$B$6*I223,"")</f>
        <v>0.921791045413067</v>
      </c>
      <c r="M223" s="9" t="b">
        <f aca="false">AND(Y222&gt;0,Z222)</f>
        <v>0</v>
      </c>
      <c r="N223" s="8" t="n">
        <f aca="false">B223*(1-Inputs!$B$12)</f>
        <v>0.942606202363936</v>
      </c>
      <c r="O223" s="10" t="n">
        <f aca="false">IF(M223,Y222*(N223-AB222)-Inputs!$B$9-Y222*AD222*Inputs!$B$13*(A223-AC222),0)</f>
        <v>0</v>
      </c>
      <c r="P223" s="10" t="n">
        <f aca="false">X222+O223</f>
        <v>999</v>
      </c>
      <c r="Q223" s="9" t="b">
        <f aca="false">AND(IF(M223,0,Y222)=0,AA222,IF(ISNUMBER(AE222),B223&gt;AE222,FALSE()))</f>
        <v>0</v>
      </c>
      <c r="R223" s="8" t="n">
        <f aca="false">B223*(1+Inputs!$B$12)</f>
        <v>0.942983320268462</v>
      </c>
      <c r="S223" s="11" t="n">
        <f aca="false">IF(Q223,MIN(P223*Inputs!$B$3/(R223-AE222),P223*Inputs!$B$11/R223),0)</f>
        <v>0</v>
      </c>
      <c r="T223" s="11" t="n">
        <f aca="false">IF(Q223,S223,IF(M223,0,Y222))</f>
        <v>515.951204214585</v>
      </c>
      <c r="U223" s="8" t="n">
        <f aca="false">IF(Q223,AE222,AF222)</f>
        <v>0.842594980845593</v>
      </c>
      <c r="V223" s="9" t="b">
        <f aca="false">AND(T223&gt;0,D223&lt;=U223)</f>
        <v>0</v>
      </c>
      <c r="W223" s="10" t="n">
        <f aca="false">IF(V223,T223*(AK223-AB223)-Inputs!$B$9-T223*AD223*Inputs!$B$13*(A223-AC223),0)</f>
        <v>0</v>
      </c>
      <c r="X223" s="10" t="n">
        <f aca="false">P223-IF(Q223,Inputs!$B$9,0)+W223</f>
        <v>999</v>
      </c>
      <c r="Y223" s="11" t="n">
        <f aca="false">IF(V223,0,T223)</f>
        <v>515.951204214585</v>
      </c>
      <c r="Z223" s="9" t="b">
        <f aca="false">AND(Y223&gt;0,K223)</f>
        <v>0</v>
      </c>
      <c r="AA223" s="9" t="b">
        <f aca="false">AND(Y223=0,J223,ISNUMBER(L223))</f>
        <v>0</v>
      </c>
      <c r="AB223" s="8" t="n">
        <f aca="false">IF(Q223,R223,AB222)</f>
        <v>0.861976658644412</v>
      </c>
      <c r="AC223" s="12" t="n">
        <f aca="false">IF(Q223,A223,AC222)</f>
        <v>44890</v>
      </c>
      <c r="AD223" s="8" t="n">
        <f aca="false">IF(Q223,B223,AD222)</f>
        <v>0.861804297784855</v>
      </c>
      <c r="AE223" s="8" t="str">
        <f aca="false">IF(AA223,L223,"")</f>
        <v/>
      </c>
      <c r="AF223" s="8" t="n">
        <f aca="false">U223</f>
        <v>0.842594980845593</v>
      </c>
      <c r="AG223" s="2" t="n">
        <f aca="false">AG222+IF(Q223,1,0)</f>
        <v>1</v>
      </c>
      <c r="AH223" s="2" t="n">
        <f aca="false">AG222</f>
        <v>1</v>
      </c>
      <c r="AI223" s="10" t="n">
        <f aca="false">X223+Y223*(E223-AB223)-Y223*AD223*Inputs!$B$13*(A223-AC223)</f>
        <v>1031.36590547972</v>
      </c>
      <c r="AJ223" s="10" t="n">
        <v>0</v>
      </c>
      <c r="AK223" s="8" t="n">
        <f aca="false">IF(AND(B223&lt;=U223,NOT(Q223)),B223,U223)*(1-Inputs!$B$12)</f>
        <v>0.842426461849423</v>
      </c>
    </row>
    <row r="224" customFormat="false" ht="15" hidden="false" customHeight="false" outlineLevel="0" collapsed="false">
      <c r="A224" s="6" t="n">
        <v>45008</v>
      </c>
      <c r="B224" s="7" t="n">
        <v>0.942663437605475</v>
      </c>
      <c r="C224" s="7" t="n">
        <v>0.953006338058347</v>
      </c>
      <c r="D224" s="7" t="n">
        <v>0.937455395821154</v>
      </c>
      <c r="E224" s="7" t="n">
        <v>0.947813957589568</v>
      </c>
      <c r="F224" s="8" t="n">
        <f aca="true">IF(ROW()-2&gt;=Inputs!$B$4,AVERAGE(OFFSET(E224,1-Inputs!$B$4,0,Inputs!$B$4,1)),"")</f>
        <v>0.933416448879399</v>
      </c>
      <c r="G224" s="8" t="n">
        <f aca="true">IF(ROW()-2&gt;=Inputs!$B$5,AVERAGE(OFFSET(E224,1-Inputs!$B$5,0,Inputs!$B$5,1)),"")</f>
        <v>0.922694117110329</v>
      </c>
      <c r="H224" s="8" t="n">
        <f aca="false">MAX(C224-D224,ABS(C224-E223),ABS(D224-E223))</f>
        <v>0.0155509422371923</v>
      </c>
      <c r="I224" s="8" t="n">
        <f aca="true">IF(ROW()-2&lt;14,"",IF(ROW()-2=14,AVERAGE(OFFSET(H224,-13,0,14,1)),(I223*13+H224)/14))</f>
        <v>0.0108015351062746</v>
      </c>
      <c r="J224" s="9" t="b">
        <f aca="false">IF(AND(ISNUMBER(F224),ISNUMBER(G224),ISNUMBER(F223),ISNUMBER(G223)),AND(F224&gt;G224,F223&lt;=G223),FALSE())</f>
        <v>0</v>
      </c>
      <c r="K224" s="9" t="b">
        <f aca="false">IF(AND(ISNUMBER(F224),ISNUMBER(G224),ISNUMBER(F223),ISNUMBER(G223)),AND(F224&lt;G224,F223&gt;=G223),FALSE())</f>
        <v>0</v>
      </c>
      <c r="L224" s="8" t="n">
        <f aca="false">IF(ISNUMBER(I224),E224-Inputs!$B$6*I224,"")</f>
        <v>0.926210887377018</v>
      </c>
      <c r="M224" s="9" t="b">
        <f aca="false">AND(Y223&gt;0,Z223)</f>
        <v>0</v>
      </c>
      <c r="N224" s="8" t="n">
        <f aca="false">B224*(1-Inputs!$B$12)</f>
        <v>0.942474904917954</v>
      </c>
      <c r="O224" s="10" t="n">
        <f aca="false">IF(M224,Y223*(N224-AB223)-Inputs!$B$9-Y223*AD223*Inputs!$B$13*(A224-AC223),0)</f>
        <v>0</v>
      </c>
      <c r="P224" s="10" t="n">
        <f aca="false">X223+O224</f>
        <v>999</v>
      </c>
      <c r="Q224" s="9" t="b">
        <f aca="false">AND(IF(M224,0,Y223)=0,AA223,IF(ISNUMBER(AE223),B224&gt;AE223,FALSE()))</f>
        <v>0</v>
      </c>
      <c r="R224" s="8" t="n">
        <f aca="false">B224*(1+Inputs!$B$12)</f>
        <v>0.942851970292997</v>
      </c>
      <c r="S224" s="11" t="n">
        <f aca="false">IF(Q224,MIN(P224*Inputs!$B$3/(R224-AE223),P224*Inputs!$B$11/R224),0)</f>
        <v>0</v>
      </c>
      <c r="T224" s="11" t="n">
        <f aca="false">IF(Q224,S224,IF(M224,0,Y223))</f>
        <v>515.951204214585</v>
      </c>
      <c r="U224" s="8" t="n">
        <f aca="false">IF(Q224,AE223,AF223)</f>
        <v>0.842594980845593</v>
      </c>
      <c r="V224" s="9" t="b">
        <f aca="false">AND(T224&gt;0,D224&lt;=U224)</f>
        <v>0</v>
      </c>
      <c r="W224" s="10" t="n">
        <f aca="false">IF(V224,T224*(AK224-AB224)-Inputs!$B$9-T224*AD224*Inputs!$B$13*(A224-AC224),0)</f>
        <v>0</v>
      </c>
      <c r="X224" s="10" t="n">
        <f aca="false">P224-IF(Q224,Inputs!$B$9,0)+W224</f>
        <v>999</v>
      </c>
      <c r="Y224" s="11" t="n">
        <f aca="false">IF(V224,0,T224)</f>
        <v>515.951204214585</v>
      </c>
      <c r="Z224" s="9" t="b">
        <f aca="false">AND(Y224&gt;0,K224)</f>
        <v>0</v>
      </c>
      <c r="AA224" s="9" t="b">
        <f aca="false">AND(Y224=0,J224,ISNUMBER(L224))</f>
        <v>0</v>
      </c>
      <c r="AB224" s="8" t="n">
        <f aca="false">IF(Q224,R224,AB223)</f>
        <v>0.861976658644412</v>
      </c>
      <c r="AC224" s="12" t="n">
        <f aca="false">IF(Q224,A224,AC223)</f>
        <v>44890</v>
      </c>
      <c r="AD224" s="8" t="n">
        <f aca="false">IF(Q224,B224,AD223)</f>
        <v>0.861804297784855</v>
      </c>
      <c r="AE224" s="8" t="str">
        <f aca="false">IF(AA224,L224,"")</f>
        <v/>
      </c>
      <c r="AF224" s="8" t="n">
        <f aca="false">U224</f>
        <v>0.842594980845593</v>
      </c>
      <c r="AG224" s="2" t="n">
        <f aca="false">AG223+IF(Q224,1,0)</f>
        <v>1</v>
      </c>
      <c r="AH224" s="2" t="n">
        <f aca="false">AG223</f>
        <v>1</v>
      </c>
      <c r="AI224" s="10" t="n">
        <f aca="false">X224+Y224*(E224-AB224)-Y224*AD224*Inputs!$B$13*(A224-AC224)</f>
        <v>1033.94413840554</v>
      </c>
      <c r="AJ224" s="10" t="n">
        <v>0</v>
      </c>
      <c r="AK224" s="8" t="n">
        <f aca="false">IF(AND(B224&lt;=U224,NOT(Q224)),B224,U224)*(1-Inputs!$B$12)</f>
        <v>0.842426461849423</v>
      </c>
    </row>
    <row r="225" customFormat="false" ht="15" hidden="false" customHeight="false" outlineLevel="0" collapsed="false">
      <c r="A225" s="6" t="n">
        <v>45009</v>
      </c>
      <c r="B225" s="7" t="n">
        <v>0.947813957589568</v>
      </c>
      <c r="C225" s="7" t="n">
        <v>0.953525836140979</v>
      </c>
      <c r="D225" s="7" t="n">
        <v>0.94162227914658</v>
      </c>
      <c r="E225" s="7" t="n">
        <v>0.946091697788588</v>
      </c>
      <c r="F225" s="8" t="n">
        <f aca="true">IF(ROW()-2&gt;=Inputs!$B$4,AVERAGE(OFFSET(E225,1-Inputs!$B$4,0,Inputs!$B$4,1)),"")</f>
        <v>0.934148112730049</v>
      </c>
      <c r="G225" s="8" t="n">
        <f aca="true">IF(ROW()-2&gt;=Inputs!$B$5,AVERAGE(OFFSET(E225,1-Inputs!$B$5,0,Inputs!$B$5,1)),"")</f>
        <v>0.923507108194895</v>
      </c>
      <c r="H225" s="8" t="n">
        <f aca="false">MAX(C225-D225,ABS(C225-E224),ABS(D225-E224))</f>
        <v>0.0119035569943987</v>
      </c>
      <c r="I225" s="8" t="n">
        <f aca="true">IF(ROW()-2&lt;14,"",IF(ROW()-2=14,AVERAGE(OFFSET(H225,-13,0,14,1)),(I224*13+H225)/14))</f>
        <v>0.0108802509554263</v>
      </c>
      <c r="J225" s="9" t="b">
        <f aca="false">IF(AND(ISNUMBER(F225),ISNUMBER(G225),ISNUMBER(F224),ISNUMBER(G224)),AND(F225&gt;G225,F224&lt;=G224),FALSE())</f>
        <v>0</v>
      </c>
      <c r="K225" s="9" t="b">
        <f aca="false">IF(AND(ISNUMBER(F225),ISNUMBER(G225),ISNUMBER(F224),ISNUMBER(G224)),AND(F225&lt;G225,F224&gt;=G224),FALSE())</f>
        <v>0</v>
      </c>
      <c r="L225" s="8" t="n">
        <f aca="false">IF(ISNUMBER(I225),E225-Inputs!$B$6*I225,"")</f>
        <v>0.924331195877735</v>
      </c>
      <c r="M225" s="9" t="b">
        <f aca="false">AND(Y224&gt;0,Z224)</f>
        <v>0</v>
      </c>
      <c r="N225" s="8" t="n">
        <f aca="false">B225*(1-Inputs!$B$12)</f>
        <v>0.94762439479805</v>
      </c>
      <c r="O225" s="10" t="n">
        <f aca="false">IF(M225,Y224*(N225-AB224)-Inputs!$B$9-Y224*AD224*Inputs!$B$13*(A225-AC224),0)</f>
        <v>0</v>
      </c>
      <c r="P225" s="10" t="n">
        <f aca="false">X224+O225</f>
        <v>999</v>
      </c>
      <c r="Q225" s="9" t="b">
        <f aca="false">AND(IF(M225,0,Y224)=0,AA224,IF(ISNUMBER(AE224),B225&gt;AE224,FALSE()))</f>
        <v>0</v>
      </c>
      <c r="R225" s="8" t="n">
        <f aca="false">B225*(1+Inputs!$B$12)</f>
        <v>0.948003520381086</v>
      </c>
      <c r="S225" s="11" t="n">
        <f aca="false">IF(Q225,MIN(P225*Inputs!$B$3/(R225-AE224),P225*Inputs!$B$11/R225),0)</f>
        <v>0</v>
      </c>
      <c r="T225" s="11" t="n">
        <f aca="false">IF(Q225,S225,IF(M225,0,Y224))</f>
        <v>515.951204214585</v>
      </c>
      <c r="U225" s="8" t="n">
        <f aca="false">IF(Q225,AE224,AF224)</f>
        <v>0.842594980845593</v>
      </c>
      <c r="V225" s="9" t="b">
        <f aca="false">AND(T225&gt;0,D225&lt;=U225)</f>
        <v>0</v>
      </c>
      <c r="W225" s="10" t="n">
        <f aca="false">IF(V225,T225*(AK225-AB225)-Inputs!$B$9-T225*AD225*Inputs!$B$13*(A225-AC225),0)</f>
        <v>0</v>
      </c>
      <c r="X225" s="10" t="n">
        <f aca="false">P225-IF(Q225,Inputs!$B$9,0)+W225</f>
        <v>999</v>
      </c>
      <c r="Y225" s="11" t="n">
        <f aca="false">IF(V225,0,T225)</f>
        <v>515.951204214585</v>
      </c>
      <c r="Z225" s="9" t="b">
        <f aca="false">AND(Y225&gt;0,K225)</f>
        <v>0</v>
      </c>
      <c r="AA225" s="9" t="b">
        <f aca="false">AND(Y225=0,J225,ISNUMBER(L225))</f>
        <v>0</v>
      </c>
      <c r="AB225" s="8" t="n">
        <f aca="false">IF(Q225,R225,AB224)</f>
        <v>0.861976658644412</v>
      </c>
      <c r="AC225" s="12" t="n">
        <f aca="false">IF(Q225,A225,AC224)</f>
        <v>44890</v>
      </c>
      <c r="AD225" s="8" t="n">
        <f aca="false">IF(Q225,B225,AD224)</f>
        <v>0.861804297784855</v>
      </c>
      <c r="AE225" s="8" t="str">
        <f aca="false">IF(AA225,L225,"")</f>
        <v/>
      </c>
      <c r="AF225" s="8" t="n">
        <f aca="false">U225</f>
        <v>0.842594980845593</v>
      </c>
      <c r="AG225" s="2" t="n">
        <f aca="false">AG224+IF(Q225,1,0)</f>
        <v>1</v>
      </c>
      <c r="AH225" s="2" t="n">
        <f aca="false">AG224</f>
        <v>1</v>
      </c>
      <c r="AI225" s="10" t="n">
        <f aca="false">X225+Y225*(E225-AB225)-Y225*AD225*Inputs!$B$13*(A225-AC225)</f>
        <v>1032.97635232495</v>
      </c>
      <c r="AJ225" s="10" t="n">
        <v>0</v>
      </c>
      <c r="AK225" s="8" t="n">
        <f aca="false">IF(AND(B225&lt;=U225,NOT(Q225)),B225,U225)*(1-Inputs!$B$12)</f>
        <v>0.842426461849423</v>
      </c>
    </row>
    <row r="226" customFormat="false" ht="15" hidden="false" customHeight="false" outlineLevel="0" collapsed="false">
      <c r="A226" s="6" t="n">
        <v>45010</v>
      </c>
      <c r="B226" s="7" t="n">
        <v>0.946091697788588</v>
      </c>
      <c r="C226" s="7" t="n">
        <v>0.954100472455048</v>
      </c>
      <c r="D226" s="7" t="n">
        <v>0.943297062162743</v>
      </c>
      <c r="E226" s="7" t="n">
        <v>0.950930959239248</v>
      </c>
      <c r="F226" s="8" t="n">
        <f aca="true">IF(ROW()-2&gt;=Inputs!$B$4,AVERAGE(OFFSET(E226,1-Inputs!$B$4,0,Inputs!$B$4,1)),"")</f>
        <v>0.935185731872326</v>
      </c>
      <c r="G226" s="8" t="n">
        <f aca="true">IF(ROW()-2&gt;=Inputs!$B$5,AVERAGE(OFFSET(E226,1-Inputs!$B$5,0,Inputs!$B$5,1)),"")</f>
        <v>0.92446587311056</v>
      </c>
      <c r="H226" s="8" t="n">
        <f aca="false">MAX(C226-D226,ABS(C226-E225),ABS(D226-E225))</f>
        <v>0.0108034102923052</v>
      </c>
      <c r="I226" s="8" t="n">
        <f aca="true">IF(ROW()-2&lt;14,"",IF(ROW()-2=14,AVERAGE(OFFSET(H226,-13,0,14,1)),(I225*13+H226)/14))</f>
        <v>0.010874762336632</v>
      </c>
      <c r="J226" s="9" t="b">
        <f aca="false">IF(AND(ISNUMBER(F226),ISNUMBER(G226),ISNUMBER(F225),ISNUMBER(G225)),AND(F226&gt;G226,F225&lt;=G225),FALSE())</f>
        <v>0</v>
      </c>
      <c r="K226" s="9" t="b">
        <f aca="false">IF(AND(ISNUMBER(F226),ISNUMBER(G226),ISNUMBER(F225),ISNUMBER(G225)),AND(F226&lt;G226,F225&gt;=G225),FALSE())</f>
        <v>0</v>
      </c>
      <c r="L226" s="8" t="n">
        <f aca="false">IF(ISNUMBER(I226),E226-Inputs!$B$6*I226,"")</f>
        <v>0.929181434565984</v>
      </c>
      <c r="M226" s="9" t="b">
        <f aca="false">AND(Y225&gt;0,Z225)</f>
        <v>0</v>
      </c>
      <c r="N226" s="8" t="n">
        <f aca="false">B226*(1-Inputs!$B$12)</f>
        <v>0.94590247944903</v>
      </c>
      <c r="O226" s="10" t="n">
        <f aca="false">IF(M226,Y225*(N226-AB225)-Inputs!$B$9-Y225*AD225*Inputs!$B$13*(A226-AC225),0)</f>
        <v>0</v>
      </c>
      <c r="P226" s="10" t="n">
        <f aca="false">X225+O226</f>
        <v>999</v>
      </c>
      <c r="Q226" s="9" t="b">
        <f aca="false">AND(IF(M226,0,Y225)=0,AA225,IF(ISNUMBER(AE225),B226&gt;AE225,FALSE()))</f>
        <v>0</v>
      </c>
      <c r="R226" s="8" t="n">
        <f aca="false">B226*(1+Inputs!$B$12)</f>
        <v>0.946280916128145</v>
      </c>
      <c r="S226" s="11" t="n">
        <f aca="false">IF(Q226,MIN(P226*Inputs!$B$3/(R226-AE225),P226*Inputs!$B$11/R226),0)</f>
        <v>0</v>
      </c>
      <c r="T226" s="11" t="n">
        <f aca="false">IF(Q226,S226,IF(M226,0,Y225))</f>
        <v>515.951204214585</v>
      </c>
      <c r="U226" s="8" t="n">
        <f aca="false">IF(Q226,AE225,AF225)</f>
        <v>0.842594980845593</v>
      </c>
      <c r="V226" s="9" t="b">
        <f aca="false">AND(T226&gt;0,D226&lt;=U226)</f>
        <v>0</v>
      </c>
      <c r="W226" s="10" t="n">
        <f aca="false">IF(V226,T226*(AK226-AB226)-Inputs!$B$9-T226*AD226*Inputs!$B$13*(A226-AC226),0)</f>
        <v>0</v>
      </c>
      <c r="X226" s="10" t="n">
        <f aca="false">P226-IF(Q226,Inputs!$B$9,0)+W226</f>
        <v>999</v>
      </c>
      <c r="Y226" s="11" t="n">
        <f aca="false">IF(V226,0,T226)</f>
        <v>515.951204214585</v>
      </c>
      <c r="Z226" s="9" t="b">
        <f aca="false">AND(Y226&gt;0,K226)</f>
        <v>0</v>
      </c>
      <c r="AA226" s="9" t="b">
        <f aca="false">AND(Y226=0,J226,ISNUMBER(L226))</f>
        <v>0</v>
      </c>
      <c r="AB226" s="8" t="n">
        <f aca="false">IF(Q226,R226,AB225)</f>
        <v>0.861976658644412</v>
      </c>
      <c r="AC226" s="12" t="n">
        <f aca="false">IF(Q226,A226,AC225)</f>
        <v>44890</v>
      </c>
      <c r="AD226" s="8" t="n">
        <f aca="false">IF(Q226,B226,AD225)</f>
        <v>0.861804297784855</v>
      </c>
      <c r="AE226" s="8" t="str">
        <f aca="false">IF(AA226,L226,"")</f>
        <v/>
      </c>
      <c r="AF226" s="8" t="n">
        <f aca="false">U226</f>
        <v>0.842594980845593</v>
      </c>
      <c r="AG226" s="2" t="n">
        <f aca="false">AG225+IF(Q226,1,0)</f>
        <v>1</v>
      </c>
      <c r="AH226" s="2" t="n">
        <f aca="false">AG225</f>
        <v>1</v>
      </c>
      <c r="AI226" s="10" t="n">
        <f aca="false">X226+Y226*(E226-AB226)-Y226*AD226*Inputs!$B$13*(A226-AC226)</f>
        <v>1035.39399103562</v>
      </c>
      <c r="AJ226" s="10" t="n">
        <v>0</v>
      </c>
      <c r="AK226" s="8" t="n">
        <f aca="false">IF(AND(B226&lt;=U226,NOT(Q226)),B226,U226)*(1-Inputs!$B$12)</f>
        <v>0.842426461849423</v>
      </c>
    </row>
    <row r="227" customFormat="false" ht="15" hidden="false" customHeight="false" outlineLevel="0" collapsed="false">
      <c r="A227" s="6" t="n">
        <v>45011</v>
      </c>
      <c r="B227" s="7" t="n">
        <v>0.950930959239248</v>
      </c>
      <c r="C227" s="7" t="n">
        <v>0.953762492455466</v>
      </c>
      <c r="D227" s="7" t="n">
        <v>0.948056169056177</v>
      </c>
      <c r="E227" s="7" t="n">
        <v>0.949985896219044</v>
      </c>
      <c r="F227" s="8" t="n">
        <f aca="true">IF(ROW()-2&gt;=Inputs!$B$4,AVERAGE(OFFSET(E227,1-Inputs!$B$4,0,Inputs!$B$4,1)),"")</f>
        <v>0.936222777254652</v>
      </c>
      <c r="G227" s="8" t="n">
        <f aca="true">IF(ROW()-2&gt;=Inputs!$B$5,AVERAGE(OFFSET(E227,1-Inputs!$B$5,0,Inputs!$B$5,1)),"")</f>
        <v>0.925520940765692</v>
      </c>
      <c r="H227" s="8" t="n">
        <f aca="false">MAX(C227-D227,ABS(C227-E226),ABS(D227-E226))</f>
        <v>0.005706323399289</v>
      </c>
      <c r="I227" s="8" t="n">
        <f aca="true">IF(ROW()-2&lt;14,"",IF(ROW()-2=14,AVERAGE(OFFSET(H227,-13,0,14,1)),(I226*13+H227)/14))</f>
        <v>0.0105055881268218</v>
      </c>
      <c r="J227" s="9" t="b">
        <f aca="false">IF(AND(ISNUMBER(F227),ISNUMBER(G227),ISNUMBER(F226),ISNUMBER(G226)),AND(F227&gt;G227,F226&lt;=G226),FALSE())</f>
        <v>0</v>
      </c>
      <c r="K227" s="9" t="b">
        <f aca="false">IF(AND(ISNUMBER(F227),ISNUMBER(G227),ISNUMBER(F226),ISNUMBER(G226)),AND(F227&lt;G227,F226&gt;=G226),FALSE())</f>
        <v>0</v>
      </c>
      <c r="L227" s="8" t="n">
        <f aca="false">IF(ISNUMBER(I227),E227-Inputs!$B$6*I227,"")</f>
        <v>0.9289747199654</v>
      </c>
      <c r="M227" s="9" t="b">
        <f aca="false">AND(Y226&gt;0,Z226)</f>
        <v>0</v>
      </c>
      <c r="N227" s="8" t="n">
        <f aca="false">B227*(1-Inputs!$B$12)</f>
        <v>0.9507407730474</v>
      </c>
      <c r="O227" s="10" t="n">
        <f aca="false">IF(M227,Y226*(N227-AB226)-Inputs!$B$9-Y226*AD226*Inputs!$B$13*(A227-AC226),0)</f>
        <v>0</v>
      </c>
      <c r="P227" s="10" t="n">
        <f aca="false">X226+O227</f>
        <v>999</v>
      </c>
      <c r="Q227" s="9" t="b">
        <f aca="false">AND(IF(M227,0,Y226)=0,AA226,IF(ISNUMBER(AE226),B227&gt;AE226,FALSE()))</f>
        <v>0</v>
      </c>
      <c r="R227" s="8" t="n">
        <f aca="false">B227*(1+Inputs!$B$12)</f>
        <v>0.951121145431096</v>
      </c>
      <c r="S227" s="11" t="n">
        <f aca="false">IF(Q227,MIN(P227*Inputs!$B$3/(R227-AE226),P227*Inputs!$B$11/R227),0)</f>
        <v>0</v>
      </c>
      <c r="T227" s="11" t="n">
        <f aca="false">IF(Q227,S227,IF(M227,0,Y226))</f>
        <v>515.951204214585</v>
      </c>
      <c r="U227" s="8" t="n">
        <f aca="false">IF(Q227,AE226,AF226)</f>
        <v>0.842594980845593</v>
      </c>
      <c r="V227" s="9" t="b">
        <f aca="false">AND(T227&gt;0,D227&lt;=U227)</f>
        <v>0</v>
      </c>
      <c r="W227" s="10" t="n">
        <f aca="false">IF(V227,T227*(AK227-AB227)-Inputs!$B$9-T227*AD227*Inputs!$B$13*(A227-AC227),0)</f>
        <v>0</v>
      </c>
      <c r="X227" s="10" t="n">
        <f aca="false">P227-IF(Q227,Inputs!$B$9,0)+W227</f>
        <v>999</v>
      </c>
      <c r="Y227" s="11" t="n">
        <f aca="false">IF(V227,0,T227)</f>
        <v>515.951204214585</v>
      </c>
      <c r="Z227" s="9" t="b">
        <f aca="false">AND(Y227&gt;0,K227)</f>
        <v>0</v>
      </c>
      <c r="AA227" s="9" t="b">
        <f aca="false">AND(Y227=0,J227,ISNUMBER(L227))</f>
        <v>0</v>
      </c>
      <c r="AB227" s="8" t="n">
        <f aca="false">IF(Q227,R227,AB226)</f>
        <v>0.861976658644412</v>
      </c>
      <c r="AC227" s="12" t="n">
        <f aca="false">IF(Q227,A227,AC226)</f>
        <v>44890</v>
      </c>
      <c r="AD227" s="8" t="n">
        <f aca="false">IF(Q227,B227,AD226)</f>
        <v>0.861804297784855</v>
      </c>
      <c r="AE227" s="8" t="str">
        <f aca="false">IF(AA227,L227,"")</f>
        <v/>
      </c>
      <c r="AF227" s="8" t="n">
        <f aca="false">U227</f>
        <v>0.842594980845593</v>
      </c>
      <c r="AG227" s="2" t="n">
        <f aca="false">AG226+IF(Q227,1,0)</f>
        <v>1</v>
      </c>
      <c r="AH227" s="2" t="n">
        <f aca="false">AG226</f>
        <v>1</v>
      </c>
      <c r="AI227" s="10" t="n">
        <f aca="false">X227+Y227*(E227-AB227)-Y227*AD227*Inputs!$B$13*(A227-AC227)</f>
        <v>1034.82720056999</v>
      </c>
      <c r="AJ227" s="10" t="n">
        <v>0</v>
      </c>
      <c r="AK227" s="8" t="n">
        <f aca="false">IF(AND(B227&lt;=U227,NOT(Q227)),B227,U227)*(1-Inputs!$B$12)</f>
        <v>0.842426461849423</v>
      </c>
    </row>
    <row r="228" customFormat="false" ht="15" hidden="false" customHeight="false" outlineLevel="0" collapsed="false">
      <c r="A228" s="6" t="n">
        <v>45012</v>
      </c>
      <c r="B228" s="7" t="n">
        <v>0.949985896219044</v>
      </c>
      <c r="C228" s="7" t="n">
        <v>0.958033132681826</v>
      </c>
      <c r="D228" s="7" t="n">
        <v>0.939544626254872</v>
      </c>
      <c r="E228" s="7" t="n">
        <v>0.940913377679243</v>
      </c>
      <c r="F228" s="8" t="n">
        <f aca="true">IF(ROW()-2&gt;=Inputs!$B$4,AVERAGE(OFFSET(E228,1-Inputs!$B$4,0,Inputs!$B$4,1)),"")</f>
        <v>0.937040285999754</v>
      </c>
      <c r="G228" s="8" t="n">
        <f aca="true">IF(ROW()-2&gt;=Inputs!$B$5,AVERAGE(OFFSET(E228,1-Inputs!$B$5,0,Inputs!$B$5,1)),"")</f>
        <v>0.926406525835797</v>
      </c>
      <c r="H228" s="8" t="n">
        <f aca="false">MAX(C228-D228,ABS(C228-E227),ABS(D228-E227))</f>
        <v>0.0184885064269539</v>
      </c>
      <c r="I228" s="8" t="n">
        <f aca="true">IF(ROW()-2&lt;14,"",IF(ROW()-2=14,AVERAGE(OFFSET(H228,-13,0,14,1)),(I227*13+H228)/14))</f>
        <v>0.0110757965768312</v>
      </c>
      <c r="J228" s="9" t="b">
        <f aca="false">IF(AND(ISNUMBER(F228),ISNUMBER(G228),ISNUMBER(F227),ISNUMBER(G227)),AND(F228&gt;G228,F227&lt;=G227),FALSE())</f>
        <v>0</v>
      </c>
      <c r="K228" s="9" t="b">
        <f aca="false">IF(AND(ISNUMBER(F228),ISNUMBER(G228),ISNUMBER(F227),ISNUMBER(G227)),AND(F228&lt;G228,F227&gt;=G227),FALSE())</f>
        <v>0</v>
      </c>
      <c r="L228" s="8" t="n">
        <f aca="false">IF(ISNUMBER(I228),E228-Inputs!$B$6*I228,"")</f>
        <v>0.91876178452558</v>
      </c>
      <c r="M228" s="9" t="b">
        <f aca="false">AND(Y227&gt;0,Z227)</f>
        <v>0</v>
      </c>
      <c r="N228" s="8" t="n">
        <f aca="false">B228*(1-Inputs!$B$12)</f>
        <v>0.9497958990398</v>
      </c>
      <c r="O228" s="10" t="n">
        <f aca="false">IF(M228,Y227*(N228-AB227)-Inputs!$B$9-Y227*AD227*Inputs!$B$13*(A228-AC227),0)</f>
        <v>0</v>
      </c>
      <c r="P228" s="10" t="n">
        <f aca="false">X227+O228</f>
        <v>999</v>
      </c>
      <c r="Q228" s="9" t="b">
        <f aca="false">AND(IF(M228,0,Y227)=0,AA227,IF(ISNUMBER(AE227),B228&gt;AE227,FALSE()))</f>
        <v>0</v>
      </c>
      <c r="R228" s="8" t="n">
        <f aca="false">B228*(1+Inputs!$B$12)</f>
        <v>0.950175893398288</v>
      </c>
      <c r="S228" s="11" t="n">
        <f aca="false">IF(Q228,MIN(P228*Inputs!$B$3/(R228-AE227),P228*Inputs!$B$11/R228),0)</f>
        <v>0</v>
      </c>
      <c r="T228" s="11" t="n">
        <f aca="false">IF(Q228,S228,IF(M228,0,Y227))</f>
        <v>515.951204214585</v>
      </c>
      <c r="U228" s="8" t="n">
        <f aca="false">IF(Q228,AE227,AF227)</f>
        <v>0.842594980845593</v>
      </c>
      <c r="V228" s="9" t="b">
        <f aca="false">AND(T228&gt;0,D228&lt;=U228)</f>
        <v>0</v>
      </c>
      <c r="W228" s="10" t="n">
        <f aca="false">IF(V228,T228*(AK228-AB228)-Inputs!$B$9-T228*AD228*Inputs!$B$13*(A228-AC228),0)</f>
        <v>0</v>
      </c>
      <c r="X228" s="10" t="n">
        <f aca="false">P228-IF(Q228,Inputs!$B$9,0)+W228</f>
        <v>999</v>
      </c>
      <c r="Y228" s="11" t="n">
        <f aca="false">IF(V228,0,T228)</f>
        <v>515.951204214585</v>
      </c>
      <c r="Z228" s="9" t="b">
        <f aca="false">AND(Y228&gt;0,K228)</f>
        <v>0</v>
      </c>
      <c r="AA228" s="9" t="b">
        <f aca="false">AND(Y228=0,J228,ISNUMBER(L228))</f>
        <v>0</v>
      </c>
      <c r="AB228" s="8" t="n">
        <f aca="false">IF(Q228,R228,AB227)</f>
        <v>0.861976658644412</v>
      </c>
      <c r="AC228" s="12" t="n">
        <f aca="false">IF(Q228,A228,AC227)</f>
        <v>44890</v>
      </c>
      <c r="AD228" s="8" t="n">
        <f aca="false">IF(Q228,B228,AD227)</f>
        <v>0.861804297784855</v>
      </c>
      <c r="AE228" s="8" t="str">
        <f aca="false">IF(AA228,L228,"")</f>
        <v/>
      </c>
      <c r="AF228" s="8" t="n">
        <f aca="false">U228</f>
        <v>0.842594980845593</v>
      </c>
      <c r="AG228" s="2" t="n">
        <f aca="false">AG227+IF(Q228,1,0)</f>
        <v>1</v>
      </c>
      <c r="AH228" s="2" t="n">
        <f aca="false">AG227</f>
        <v>1</v>
      </c>
      <c r="AI228" s="10" t="n">
        <f aca="false">X228+Y228*(E228-AB228)-Y228*AD228*Inputs!$B$13*(A228-AC228)</f>
        <v>1030.06703964181</v>
      </c>
      <c r="AJ228" s="10" t="n">
        <v>0</v>
      </c>
      <c r="AK228" s="8" t="n">
        <f aca="false">IF(AND(B228&lt;=U228,NOT(Q228)),B228,U228)*(1-Inputs!$B$12)</f>
        <v>0.842426461849423</v>
      </c>
    </row>
    <row r="229" customFormat="false" ht="15" hidden="false" customHeight="false" outlineLevel="0" collapsed="false">
      <c r="A229" s="6" t="n">
        <v>45013</v>
      </c>
      <c r="B229" s="7" t="n">
        <v>0.940913377679243</v>
      </c>
      <c r="C229" s="7" t="n">
        <v>0.945166745615386</v>
      </c>
      <c r="D229" s="7" t="n">
        <v>0.936317558180371</v>
      </c>
      <c r="E229" s="7" t="n">
        <v>0.939029885858804</v>
      </c>
      <c r="F229" s="8" t="n">
        <f aca="true">IF(ROW()-2&gt;=Inputs!$B$4,AVERAGE(OFFSET(E229,1-Inputs!$B$4,0,Inputs!$B$4,1)),"")</f>
        <v>0.937717221718645</v>
      </c>
      <c r="G229" s="8" t="n">
        <f aca="true">IF(ROW()-2&gt;=Inputs!$B$5,AVERAGE(OFFSET(E229,1-Inputs!$B$5,0,Inputs!$B$5,1)),"")</f>
        <v>0.927191141026066</v>
      </c>
      <c r="H229" s="8" t="n">
        <f aca="false">MAX(C229-D229,ABS(C229-E228),ABS(D229-E228))</f>
        <v>0.00884918743501573</v>
      </c>
      <c r="I229" s="8" t="n">
        <f aca="true">IF(ROW()-2&lt;14,"",IF(ROW()-2=14,AVERAGE(OFFSET(H229,-13,0,14,1)),(I228*13+H229)/14))</f>
        <v>0.0109167530667015</v>
      </c>
      <c r="J229" s="9" t="b">
        <f aca="false">IF(AND(ISNUMBER(F229),ISNUMBER(G229),ISNUMBER(F228),ISNUMBER(G228)),AND(F229&gt;G229,F228&lt;=G228),FALSE())</f>
        <v>0</v>
      </c>
      <c r="K229" s="9" t="b">
        <f aca="false">IF(AND(ISNUMBER(F229),ISNUMBER(G229),ISNUMBER(F228),ISNUMBER(G228)),AND(F229&lt;G229,F228&gt;=G228),FALSE())</f>
        <v>0</v>
      </c>
      <c r="L229" s="8" t="n">
        <f aca="false">IF(ISNUMBER(I229),E229-Inputs!$B$6*I229,"")</f>
        <v>0.917196379725401</v>
      </c>
      <c r="M229" s="9" t="b">
        <f aca="false">AND(Y228&gt;0,Z228)</f>
        <v>0</v>
      </c>
      <c r="N229" s="8" t="n">
        <f aca="false">B229*(1-Inputs!$B$12)</f>
        <v>0.940725195003707</v>
      </c>
      <c r="O229" s="10" t="n">
        <f aca="false">IF(M229,Y228*(N229-AB228)-Inputs!$B$9-Y228*AD228*Inputs!$B$13*(A229-AC228),0)</f>
        <v>0</v>
      </c>
      <c r="P229" s="10" t="n">
        <f aca="false">X228+O229</f>
        <v>999</v>
      </c>
      <c r="Q229" s="9" t="b">
        <f aca="false">AND(IF(M229,0,Y228)=0,AA228,IF(ISNUMBER(AE228),B229&gt;AE228,FALSE()))</f>
        <v>0</v>
      </c>
      <c r="R229" s="8" t="n">
        <f aca="false">B229*(1+Inputs!$B$12)</f>
        <v>0.941101560354778</v>
      </c>
      <c r="S229" s="11" t="n">
        <f aca="false">IF(Q229,MIN(P229*Inputs!$B$3/(R229-AE228),P229*Inputs!$B$11/R229),0)</f>
        <v>0</v>
      </c>
      <c r="T229" s="11" t="n">
        <f aca="false">IF(Q229,S229,IF(M229,0,Y228))</f>
        <v>515.951204214585</v>
      </c>
      <c r="U229" s="8" t="n">
        <f aca="false">IF(Q229,AE228,AF228)</f>
        <v>0.842594980845593</v>
      </c>
      <c r="V229" s="9" t="b">
        <f aca="false">AND(T229&gt;0,D229&lt;=U229)</f>
        <v>0</v>
      </c>
      <c r="W229" s="10" t="n">
        <f aca="false">IF(V229,T229*(AK229-AB229)-Inputs!$B$9-T229*AD229*Inputs!$B$13*(A229-AC229),0)</f>
        <v>0</v>
      </c>
      <c r="X229" s="10" t="n">
        <f aca="false">P229-IF(Q229,Inputs!$B$9,0)+W229</f>
        <v>999</v>
      </c>
      <c r="Y229" s="11" t="n">
        <f aca="false">IF(V229,0,T229)</f>
        <v>515.951204214585</v>
      </c>
      <c r="Z229" s="9" t="b">
        <f aca="false">AND(Y229&gt;0,K229)</f>
        <v>0</v>
      </c>
      <c r="AA229" s="9" t="b">
        <f aca="false">AND(Y229=0,J229,ISNUMBER(L229))</f>
        <v>0</v>
      </c>
      <c r="AB229" s="8" t="n">
        <f aca="false">IF(Q229,R229,AB228)</f>
        <v>0.861976658644412</v>
      </c>
      <c r="AC229" s="12" t="n">
        <f aca="false">IF(Q229,A229,AC228)</f>
        <v>44890</v>
      </c>
      <c r="AD229" s="8" t="n">
        <f aca="false">IF(Q229,B229,AD228)</f>
        <v>0.861804297784855</v>
      </c>
      <c r="AE229" s="8" t="str">
        <f aca="false">IF(AA229,L229,"")</f>
        <v/>
      </c>
      <c r="AF229" s="8" t="n">
        <f aca="false">U229</f>
        <v>0.842594980845593</v>
      </c>
      <c r="AG229" s="2" t="n">
        <f aca="false">AG228+IF(Q229,1,0)</f>
        <v>1</v>
      </c>
      <c r="AH229" s="2" t="n">
        <f aca="false">AG228</f>
        <v>1</v>
      </c>
      <c r="AI229" s="10" t="n">
        <f aca="false">X229+Y229*(E229-AB229)-Y229*AD229*Inputs!$B$13*(A229-AC229)</f>
        <v>1029.01606570663</v>
      </c>
      <c r="AJ229" s="10" t="n">
        <v>0</v>
      </c>
      <c r="AK229" s="8" t="n">
        <f aca="false">IF(AND(B229&lt;=U229,NOT(Q229)),B229,U229)*(1-Inputs!$B$12)</f>
        <v>0.842426461849423</v>
      </c>
    </row>
    <row r="230" customFormat="false" ht="15" hidden="false" customHeight="false" outlineLevel="0" collapsed="false">
      <c r="A230" s="6" t="n">
        <v>45014</v>
      </c>
      <c r="B230" s="7" t="n">
        <v>0.939029885858804</v>
      </c>
      <c r="C230" s="7" t="n">
        <v>0.940384905982959</v>
      </c>
      <c r="D230" s="7" t="n">
        <v>0.93335403780046</v>
      </c>
      <c r="E230" s="7" t="n">
        <v>0.936614774410951</v>
      </c>
      <c r="F230" s="8" t="n">
        <f aca="true">IF(ROW()-2&gt;=Inputs!$B$4,AVERAGE(OFFSET(E230,1-Inputs!$B$4,0,Inputs!$B$4,1)),"")</f>
        <v>0.938005406668533</v>
      </c>
      <c r="G230" s="8" t="n">
        <f aca="true">IF(ROW()-2&gt;=Inputs!$B$5,AVERAGE(OFFSET(E230,1-Inputs!$B$5,0,Inputs!$B$5,1)),"")</f>
        <v>0.927860458546044</v>
      </c>
      <c r="H230" s="8" t="n">
        <f aca="false">MAX(C230-D230,ABS(C230-E229),ABS(D230-E229))</f>
        <v>0.00703086818249954</v>
      </c>
      <c r="I230" s="8" t="n">
        <f aca="true">IF(ROW()-2&lt;14,"",IF(ROW()-2=14,AVERAGE(OFFSET(H230,-13,0,14,1)),(I229*13+H230)/14))</f>
        <v>0.0106391898606871</v>
      </c>
      <c r="J230" s="9" t="b">
        <f aca="false">IF(AND(ISNUMBER(F230),ISNUMBER(G230),ISNUMBER(F229),ISNUMBER(G229)),AND(F230&gt;G230,F229&lt;=G229),FALSE())</f>
        <v>0</v>
      </c>
      <c r="K230" s="9" t="b">
        <f aca="false">IF(AND(ISNUMBER(F230),ISNUMBER(G230),ISNUMBER(F229),ISNUMBER(G229)),AND(F230&lt;G230,F229&gt;=G229),FALSE())</f>
        <v>0</v>
      </c>
      <c r="L230" s="8" t="n">
        <f aca="false">IF(ISNUMBER(I230),E230-Inputs!$B$6*I230,"")</f>
        <v>0.915336394689577</v>
      </c>
      <c r="M230" s="9" t="b">
        <f aca="false">AND(Y229&gt;0,Z229)</f>
        <v>0</v>
      </c>
      <c r="N230" s="8" t="n">
        <f aca="false">B230*(1-Inputs!$B$12)</f>
        <v>0.938842079881632</v>
      </c>
      <c r="O230" s="10" t="n">
        <f aca="false">IF(M230,Y229*(N230-AB229)-Inputs!$B$9-Y229*AD229*Inputs!$B$13*(A230-AC229),0)</f>
        <v>0</v>
      </c>
      <c r="P230" s="10" t="n">
        <f aca="false">X229+O230</f>
        <v>999</v>
      </c>
      <c r="Q230" s="9" t="b">
        <f aca="false">AND(IF(M230,0,Y229)=0,AA229,IF(ISNUMBER(AE229),B230&gt;AE229,FALSE()))</f>
        <v>0</v>
      </c>
      <c r="R230" s="8" t="n">
        <f aca="false">B230*(1+Inputs!$B$12)</f>
        <v>0.939217691835975</v>
      </c>
      <c r="S230" s="11" t="n">
        <f aca="false">IF(Q230,MIN(P230*Inputs!$B$3/(R230-AE229),P230*Inputs!$B$11/R230),0)</f>
        <v>0</v>
      </c>
      <c r="T230" s="11" t="n">
        <f aca="false">IF(Q230,S230,IF(M230,0,Y229))</f>
        <v>515.951204214585</v>
      </c>
      <c r="U230" s="8" t="n">
        <f aca="false">IF(Q230,AE229,AF229)</f>
        <v>0.842594980845593</v>
      </c>
      <c r="V230" s="9" t="b">
        <f aca="false">AND(T230&gt;0,D230&lt;=U230)</f>
        <v>0</v>
      </c>
      <c r="W230" s="10" t="n">
        <f aca="false">IF(V230,T230*(AK230-AB230)-Inputs!$B$9-T230*AD230*Inputs!$B$13*(A230-AC230),0)</f>
        <v>0</v>
      </c>
      <c r="X230" s="10" t="n">
        <f aca="false">P230-IF(Q230,Inputs!$B$9,0)+W230</f>
        <v>999</v>
      </c>
      <c r="Y230" s="11" t="n">
        <f aca="false">IF(V230,0,T230)</f>
        <v>515.951204214585</v>
      </c>
      <c r="Z230" s="9" t="b">
        <f aca="false">AND(Y230&gt;0,K230)</f>
        <v>0</v>
      </c>
      <c r="AA230" s="9" t="b">
        <f aca="false">AND(Y230=0,J230,ISNUMBER(L230))</f>
        <v>0</v>
      </c>
      <c r="AB230" s="8" t="n">
        <f aca="false">IF(Q230,R230,AB229)</f>
        <v>0.861976658644412</v>
      </c>
      <c r="AC230" s="12" t="n">
        <f aca="false">IF(Q230,A230,AC229)</f>
        <v>44890</v>
      </c>
      <c r="AD230" s="8" t="n">
        <f aca="false">IF(Q230,B230,AD229)</f>
        <v>0.861804297784855</v>
      </c>
      <c r="AE230" s="8" t="str">
        <f aca="false">IF(AA230,L230,"")</f>
        <v/>
      </c>
      <c r="AF230" s="8" t="n">
        <f aca="false">U230</f>
        <v>0.842594980845593</v>
      </c>
      <c r="AG230" s="2" t="n">
        <f aca="false">AG229+IF(Q230,1,0)</f>
        <v>1</v>
      </c>
      <c r="AH230" s="2" t="n">
        <f aca="false">AG229</f>
        <v>1</v>
      </c>
      <c r="AI230" s="10" t="n">
        <f aca="false">X230+Y230*(E230-AB230)-Y230*AD230*Inputs!$B$13*(A230-AC230)</f>
        <v>1027.69080198449</v>
      </c>
      <c r="AJ230" s="10" t="n">
        <v>0</v>
      </c>
      <c r="AK230" s="8" t="n">
        <f aca="false">IF(AND(B230&lt;=U230,NOT(Q230)),B230,U230)*(1-Inputs!$B$12)</f>
        <v>0.842426461849423</v>
      </c>
    </row>
    <row r="231" customFormat="false" ht="15" hidden="false" customHeight="false" outlineLevel="0" collapsed="false">
      <c r="A231" s="6" t="n">
        <v>45015</v>
      </c>
      <c r="B231" s="7" t="n">
        <v>0.936614774410951</v>
      </c>
      <c r="C231" s="7" t="n">
        <v>0.942206614650887</v>
      </c>
      <c r="D231" s="7" t="n">
        <v>0.931911716560674</v>
      </c>
      <c r="E231" s="7" t="n">
        <v>0.93958525464048</v>
      </c>
      <c r="F231" s="8" t="n">
        <f aca="true">IF(ROW()-2&gt;=Inputs!$B$4,AVERAGE(OFFSET(E231,1-Inputs!$B$4,0,Inputs!$B$4,1)),"")</f>
        <v>0.938371235045875</v>
      </c>
      <c r="G231" s="8" t="n">
        <f aca="true">IF(ROW()-2&gt;=Inputs!$B$5,AVERAGE(OFFSET(E231,1-Inputs!$B$5,0,Inputs!$B$5,1)),"")</f>
        <v>0.928594640365097</v>
      </c>
      <c r="H231" s="8" t="n">
        <f aca="false">MAX(C231-D231,ABS(C231-E230),ABS(D231-E230))</f>
        <v>0.0102948980902128</v>
      </c>
      <c r="I231" s="8" t="n">
        <f aca="true">IF(ROW()-2&lt;14,"",IF(ROW()-2=14,AVERAGE(OFFSET(H231,-13,0,14,1)),(I230*13+H231)/14))</f>
        <v>0.0106145975913675</v>
      </c>
      <c r="J231" s="9" t="b">
        <f aca="false">IF(AND(ISNUMBER(F231),ISNUMBER(G231),ISNUMBER(F230),ISNUMBER(G230)),AND(F231&gt;G231,F230&lt;=G230),FALSE())</f>
        <v>0</v>
      </c>
      <c r="K231" s="9" t="b">
        <f aca="false">IF(AND(ISNUMBER(F231),ISNUMBER(G231),ISNUMBER(F230),ISNUMBER(G230)),AND(F231&lt;G231,F230&gt;=G230),FALSE())</f>
        <v>0</v>
      </c>
      <c r="L231" s="8" t="n">
        <f aca="false">IF(ISNUMBER(I231),E231-Inputs!$B$6*I231,"")</f>
        <v>0.918356059457745</v>
      </c>
      <c r="M231" s="9" t="b">
        <f aca="false">AND(Y230&gt;0,Z230)</f>
        <v>0</v>
      </c>
      <c r="N231" s="8" t="n">
        <f aca="false">B231*(1-Inputs!$B$12)</f>
        <v>0.936427451456069</v>
      </c>
      <c r="O231" s="10" t="n">
        <f aca="false">IF(M231,Y230*(N231-AB230)-Inputs!$B$9-Y230*AD230*Inputs!$B$13*(A231-AC230),0)</f>
        <v>0</v>
      </c>
      <c r="P231" s="10" t="n">
        <f aca="false">X230+O231</f>
        <v>999</v>
      </c>
      <c r="Q231" s="9" t="b">
        <f aca="false">AND(IF(M231,0,Y230)=0,AA230,IF(ISNUMBER(AE230),B231&gt;AE230,FALSE()))</f>
        <v>0</v>
      </c>
      <c r="R231" s="8" t="n">
        <f aca="false">B231*(1+Inputs!$B$12)</f>
        <v>0.936802097365833</v>
      </c>
      <c r="S231" s="11" t="n">
        <f aca="false">IF(Q231,MIN(P231*Inputs!$B$3/(R231-AE230),P231*Inputs!$B$11/R231),0)</f>
        <v>0</v>
      </c>
      <c r="T231" s="11" t="n">
        <f aca="false">IF(Q231,S231,IF(M231,0,Y230))</f>
        <v>515.951204214585</v>
      </c>
      <c r="U231" s="8" t="n">
        <f aca="false">IF(Q231,AE230,AF230)</f>
        <v>0.842594980845593</v>
      </c>
      <c r="V231" s="9" t="b">
        <f aca="false">AND(T231&gt;0,D231&lt;=U231)</f>
        <v>0</v>
      </c>
      <c r="W231" s="10" t="n">
        <f aca="false">IF(V231,T231*(AK231-AB231)-Inputs!$B$9-T231*AD231*Inputs!$B$13*(A231-AC231),0)</f>
        <v>0</v>
      </c>
      <c r="X231" s="10" t="n">
        <f aca="false">P231-IF(Q231,Inputs!$B$9,0)+W231</f>
        <v>999</v>
      </c>
      <c r="Y231" s="11" t="n">
        <f aca="false">IF(V231,0,T231)</f>
        <v>515.951204214585</v>
      </c>
      <c r="Z231" s="9" t="b">
        <f aca="false">AND(Y231&gt;0,K231)</f>
        <v>0</v>
      </c>
      <c r="AA231" s="9" t="b">
        <f aca="false">AND(Y231=0,J231,ISNUMBER(L231))</f>
        <v>0</v>
      </c>
      <c r="AB231" s="8" t="n">
        <f aca="false">IF(Q231,R231,AB230)</f>
        <v>0.861976658644412</v>
      </c>
      <c r="AC231" s="12" t="n">
        <f aca="false">IF(Q231,A231,AC230)</f>
        <v>44890</v>
      </c>
      <c r="AD231" s="8" t="n">
        <f aca="false">IF(Q231,B231,AD230)</f>
        <v>0.861804297784855</v>
      </c>
      <c r="AE231" s="8" t="str">
        <f aca="false">IF(AA231,L231,"")</f>
        <v/>
      </c>
      <c r="AF231" s="8" t="n">
        <f aca="false">U231</f>
        <v>0.842594980845593</v>
      </c>
      <c r="AG231" s="2" t="n">
        <f aca="false">AG230+IF(Q231,1,0)</f>
        <v>1</v>
      </c>
      <c r="AH231" s="2" t="n">
        <f aca="false">AG230</f>
        <v>1</v>
      </c>
      <c r="AI231" s="10" t="n">
        <f aca="false">X231+Y231*(E231-AB231)-Y231*AD231*Inputs!$B$13*(A231-AC231)</f>
        <v>1029.14424077371</v>
      </c>
      <c r="AJ231" s="10" t="n">
        <v>0</v>
      </c>
      <c r="AK231" s="8" t="n">
        <f aca="false">IF(AND(B231&lt;=U231,NOT(Q231)),B231,U231)*(1-Inputs!$B$12)</f>
        <v>0.842426461849423</v>
      </c>
    </row>
    <row r="232" customFormat="false" ht="15" hidden="false" customHeight="false" outlineLevel="0" collapsed="false">
      <c r="A232" s="6" t="n">
        <v>45016</v>
      </c>
      <c r="B232" s="7" t="n">
        <v>0.93958525464048</v>
      </c>
      <c r="C232" s="7" t="n">
        <v>0.942611421530516</v>
      </c>
      <c r="D232" s="7" t="n">
        <v>0.927557887115625</v>
      </c>
      <c r="E232" s="7" t="n">
        <v>0.932816145742712</v>
      </c>
      <c r="F232" s="8" t="n">
        <f aca="true">IF(ROW()-2&gt;=Inputs!$B$4,AVERAGE(OFFSET(E232,1-Inputs!$B$4,0,Inputs!$B$4,1)),"")</f>
        <v>0.938426966956488</v>
      </c>
      <c r="G232" s="8" t="n">
        <f aca="true">IF(ROW()-2&gt;=Inputs!$B$5,AVERAGE(OFFSET(E232,1-Inputs!$B$5,0,Inputs!$B$5,1)),"")</f>
        <v>0.929098462715789</v>
      </c>
      <c r="H232" s="8" t="n">
        <f aca="false">MAX(C232-D232,ABS(C232-E231),ABS(D232-E231))</f>
        <v>0.0150535344148908</v>
      </c>
      <c r="I232" s="8" t="n">
        <f aca="true">IF(ROW()-2&lt;14,"",IF(ROW()-2=14,AVERAGE(OFFSET(H232,-13,0,14,1)),(I231*13+H232)/14))</f>
        <v>0.0109316645073335</v>
      </c>
      <c r="J232" s="9" t="b">
        <f aca="false">IF(AND(ISNUMBER(F232),ISNUMBER(G232),ISNUMBER(F231),ISNUMBER(G231)),AND(F232&gt;G232,F231&lt;=G231),FALSE())</f>
        <v>0</v>
      </c>
      <c r="K232" s="9" t="b">
        <f aca="false">IF(AND(ISNUMBER(F232),ISNUMBER(G232),ISNUMBER(F231),ISNUMBER(G231)),AND(F232&lt;G232,F231&gt;=G231),FALSE())</f>
        <v>0</v>
      </c>
      <c r="L232" s="8" t="n">
        <f aca="false">IF(ISNUMBER(I232),E232-Inputs!$B$6*I232,"")</f>
        <v>0.910952816728045</v>
      </c>
      <c r="M232" s="9" t="b">
        <f aca="false">AND(Y231&gt;0,Z231)</f>
        <v>0</v>
      </c>
      <c r="N232" s="8" t="n">
        <f aca="false">B232*(1-Inputs!$B$12)</f>
        <v>0.939397337589552</v>
      </c>
      <c r="O232" s="10" t="n">
        <f aca="false">IF(M232,Y231*(N232-AB231)-Inputs!$B$9-Y231*AD231*Inputs!$B$13*(A232-AC231),0)</f>
        <v>0</v>
      </c>
      <c r="P232" s="10" t="n">
        <f aca="false">X231+O232</f>
        <v>999</v>
      </c>
      <c r="Q232" s="9" t="b">
        <f aca="false">AND(IF(M232,0,Y231)=0,AA231,IF(ISNUMBER(AE231),B232&gt;AE231,FALSE()))</f>
        <v>0</v>
      </c>
      <c r="R232" s="8" t="n">
        <f aca="false">B232*(1+Inputs!$B$12)</f>
        <v>0.939773171691408</v>
      </c>
      <c r="S232" s="11" t="n">
        <f aca="false">IF(Q232,MIN(P232*Inputs!$B$3/(R232-AE231),P232*Inputs!$B$11/R232),0)</f>
        <v>0</v>
      </c>
      <c r="T232" s="11" t="n">
        <f aca="false">IF(Q232,S232,IF(M232,0,Y231))</f>
        <v>515.951204214585</v>
      </c>
      <c r="U232" s="8" t="n">
        <f aca="false">IF(Q232,AE231,AF231)</f>
        <v>0.842594980845593</v>
      </c>
      <c r="V232" s="9" t="b">
        <f aca="false">AND(T232&gt;0,D232&lt;=U232)</f>
        <v>0</v>
      </c>
      <c r="W232" s="10" t="n">
        <f aca="false">IF(V232,T232*(AK232-AB232)-Inputs!$B$9-T232*AD232*Inputs!$B$13*(A232-AC232),0)</f>
        <v>0</v>
      </c>
      <c r="X232" s="10" t="n">
        <f aca="false">P232-IF(Q232,Inputs!$B$9,0)+W232</f>
        <v>999</v>
      </c>
      <c r="Y232" s="11" t="n">
        <f aca="false">IF(V232,0,T232)</f>
        <v>515.951204214585</v>
      </c>
      <c r="Z232" s="9" t="b">
        <f aca="false">AND(Y232&gt;0,K232)</f>
        <v>0</v>
      </c>
      <c r="AA232" s="9" t="b">
        <f aca="false">AND(Y232=0,J232,ISNUMBER(L232))</f>
        <v>0</v>
      </c>
      <c r="AB232" s="8" t="n">
        <f aca="false">IF(Q232,R232,AB231)</f>
        <v>0.861976658644412</v>
      </c>
      <c r="AC232" s="12" t="n">
        <f aca="false">IF(Q232,A232,AC231)</f>
        <v>44890</v>
      </c>
      <c r="AD232" s="8" t="n">
        <f aca="false">IF(Q232,B232,AD231)</f>
        <v>0.861804297784855</v>
      </c>
      <c r="AE232" s="8" t="str">
        <f aca="false">IF(AA232,L232,"")</f>
        <v/>
      </c>
      <c r="AF232" s="8" t="n">
        <f aca="false">U232</f>
        <v>0.842594980845593</v>
      </c>
      <c r="AG232" s="2" t="n">
        <f aca="false">AG231+IF(Q232,1,0)</f>
        <v>1</v>
      </c>
      <c r="AH232" s="2" t="n">
        <f aca="false">AG231</f>
        <v>1</v>
      </c>
      <c r="AI232" s="10" t="n">
        <f aca="false">X232+Y232*(E232-AB232)-Y232*AD232*Inputs!$B$13*(A232-AC232)</f>
        <v>1025.57252682415</v>
      </c>
      <c r="AJ232" s="10" t="n">
        <v>0</v>
      </c>
      <c r="AK232" s="8" t="n">
        <f aca="false">IF(AND(B232&lt;=U232,NOT(Q232)),B232,U232)*(1-Inputs!$B$12)</f>
        <v>0.842426461849423</v>
      </c>
    </row>
    <row r="233" customFormat="false" ht="15" hidden="false" customHeight="false" outlineLevel="0" collapsed="false">
      <c r="A233" s="6" t="n">
        <v>45017</v>
      </c>
      <c r="B233" s="7" t="n">
        <v>0.932816145742712</v>
      </c>
      <c r="C233" s="7" t="n">
        <v>0.938999696466965</v>
      </c>
      <c r="D233" s="7" t="n">
        <v>0.927713554257142</v>
      </c>
      <c r="E233" s="7" t="n">
        <v>0.932370207845438</v>
      </c>
      <c r="F233" s="8" t="n">
        <f aca="true">IF(ROW()-2&gt;=Inputs!$B$4,AVERAGE(OFFSET(E233,1-Inputs!$B$4,0,Inputs!$B$4,1)),"")</f>
        <v>0.938234391382477</v>
      </c>
      <c r="G233" s="8" t="n">
        <f aca="true">IF(ROW()-2&gt;=Inputs!$B$5,AVERAGE(OFFSET(E233,1-Inputs!$B$5,0,Inputs!$B$5,1)),"")</f>
        <v>0.929702594663134</v>
      </c>
      <c r="H233" s="8" t="n">
        <f aca="false">MAX(C233-D233,ABS(C233-E232),ABS(D233-E232))</f>
        <v>0.0112861422098224</v>
      </c>
      <c r="I233" s="8" t="n">
        <f aca="true">IF(ROW()-2&lt;14,"",IF(ROW()-2=14,AVERAGE(OFFSET(H233,-13,0,14,1)),(I232*13+H233)/14))</f>
        <v>0.0109569843432255</v>
      </c>
      <c r="J233" s="9" t="b">
        <f aca="false">IF(AND(ISNUMBER(F233),ISNUMBER(G233),ISNUMBER(F232),ISNUMBER(G232)),AND(F233&gt;G233,F232&lt;=G232),FALSE())</f>
        <v>0</v>
      </c>
      <c r="K233" s="9" t="b">
        <f aca="false">IF(AND(ISNUMBER(F233),ISNUMBER(G233),ISNUMBER(F232),ISNUMBER(G232)),AND(F233&lt;G233,F232&gt;=G232),FALSE())</f>
        <v>0</v>
      </c>
      <c r="L233" s="8" t="n">
        <f aca="false">IF(ISNUMBER(I233),E233-Inputs!$B$6*I233,"")</f>
        <v>0.910456239158987</v>
      </c>
      <c r="M233" s="9" t="b">
        <f aca="false">AND(Y232&gt;0,Z232)</f>
        <v>0</v>
      </c>
      <c r="N233" s="8" t="n">
        <f aca="false">B233*(1-Inputs!$B$12)</f>
        <v>0.932629582513563</v>
      </c>
      <c r="O233" s="10" t="n">
        <f aca="false">IF(M233,Y232*(N233-AB232)-Inputs!$B$9-Y232*AD232*Inputs!$B$13*(A233-AC232),0)</f>
        <v>0</v>
      </c>
      <c r="P233" s="10" t="n">
        <f aca="false">X232+O233</f>
        <v>999</v>
      </c>
      <c r="Q233" s="9" t="b">
        <f aca="false">AND(IF(M233,0,Y232)=0,AA232,IF(ISNUMBER(AE232),B233&gt;AE232,FALSE()))</f>
        <v>0</v>
      </c>
      <c r="R233" s="8" t="n">
        <f aca="false">B233*(1+Inputs!$B$12)</f>
        <v>0.93300270897186</v>
      </c>
      <c r="S233" s="11" t="n">
        <f aca="false">IF(Q233,MIN(P233*Inputs!$B$3/(R233-AE232),P233*Inputs!$B$11/R233),0)</f>
        <v>0</v>
      </c>
      <c r="T233" s="11" t="n">
        <f aca="false">IF(Q233,S233,IF(M233,0,Y232))</f>
        <v>515.951204214585</v>
      </c>
      <c r="U233" s="8" t="n">
        <f aca="false">IF(Q233,AE232,AF232)</f>
        <v>0.842594980845593</v>
      </c>
      <c r="V233" s="9" t="b">
        <f aca="false">AND(T233&gt;0,D233&lt;=U233)</f>
        <v>0</v>
      </c>
      <c r="W233" s="10" t="n">
        <f aca="false">IF(V233,T233*(AK233-AB233)-Inputs!$B$9-T233*AD233*Inputs!$B$13*(A233-AC233),0)</f>
        <v>0</v>
      </c>
      <c r="X233" s="10" t="n">
        <f aca="false">P233-IF(Q233,Inputs!$B$9,0)+W233</f>
        <v>999</v>
      </c>
      <c r="Y233" s="11" t="n">
        <f aca="false">IF(V233,0,T233)</f>
        <v>515.951204214585</v>
      </c>
      <c r="Z233" s="9" t="b">
        <f aca="false">AND(Y233&gt;0,K233)</f>
        <v>0</v>
      </c>
      <c r="AA233" s="9" t="b">
        <f aca="false">AND(Y233=0,J233,ISNUMBER(L233))</f>
        <v>0</v>
      </c>
      <c r="AB233" s="8" t="n">
        <f aca="false">IF(Q233,R233,AB232)</f>
        <v>0.861976658644412</v>
      </c>
      <c r="AC233" s="12" t="n">
        <f aca="false">IF(Q233,A233,AC232)</f>
        <v>44890</v>
      </c>
      <c r="AD233" s="8" t="n">
        <f aca="false">IF(Q233,B233,AD232)</f>
        <v>0.861804297784855</v>
      </c>
      <c r="AE233" s="8" t="str">
        <f aca="false">IF(AA233,L233,"")</f>
        <v/>
      </c>
      <c r="AF233" s="8" t="n">
        <f aca="false">U233</f>
        <v>0.842594980845593</v>
      </c>
      <c r="AG233" s="2" t="n">
        <f aca="false">AG232+IF(Q233,1,0)</f>
        <v>1</v>
      </c>
      <c r="AH233" s="2" t="n">
        <f aca="false">AG232</f>
        <v>1</v>
      </c>
      <c r="AI233" s="10" t="n">
        <f aca="false">X233+Y233*(E233-AB233)-Y233*AD233*Inputs!$B$13*(A233-AC233)</f>
        <v>1025.26326056674</v>
      </c>
      <c r="AJ233" s="10" t="n">
        <v>0</v>
      </c>
      <c r="AK233" s="8" t="n">
        <f aca="false">IF(AND(B233&lt;=U233,NOT(Q233)),B233,U233)*(1-Inputs!$B$12)</f>
        <v>0.842426461849423</v>
      </c>
    </row>
    <row r="234" customFormat="false" ht="15" hidden="false" customHeight="false" outlineLevel="0" collapsed="false">
      <c r="A234" s="6" t="n">
        <v>45018</v>
      </c>
      <c r="B234" s="7" t="n">
        <v>0.932370207845438</v>
      </c>
      <c r="C234" s="7" t="n">
        <v>0.934958588683419</v>
      </c>
      <c r="D234" s="7" t="n">
        <v>0.921166108145312</v>
      </c>
      <c r="E234" s="7" t="n">
        <v>0.927886319905073</v>
      </c>
      <c r="F234" s="8" t="n">
        <f aca="true">IF(ROW()-2&gt;=Inputs!$B$4,AVERAGE(OFFSET(E234,1-Inputs!$B$4,0,Inputs!$B$4,1)),"")</f>
        <v>0.937848933567332</v>
      </c>
      <c r="G234" s="8" t="n">
        <f aca="true">IF(ROW()-2&gt;=Inputs!$B$5,AVERAGE(OFFSET(E234,1-Inputs!$B$5,0,Inputs!$B$5,1)),"")</f>
        <v>0.930004360352928</v>
      </c>
      <c r="H234" s="8" t="n">
        <f aca="false">MAX(C234-D234,ABS(C234-E233),ABS(D234-E233))</f>
        <v>0.0137924805381068</v>
      </c>
      <c r="I234" s="8" t="n">
        <f aca="true">IF(ROW()-2&lt;14,"",IF(ROW()-2=14,AVERAGE(OFFSET(H234,-13,0,14,1)),(I233*13+H234)/14))</f>
        <v>0.011159519785717</v>
      </c>
      <c r="J234" s="9" t="b">
        <f aca="false">IF(AND(ISNUMBER(F234),ISNUMBER(G234),ISNUMBER(F233),ISNUMBER(G233)),AND(F234&gt;G234,F233&lt;=G233),FALSE())</f>
        <v>0</v>
      </c>
      <c r="K234" s="9" t="b">
        <f aca="false">IF(AND(ISNUMBER(F234),ISNUMBER(G234),ISNUMBER(F233),ISNUMBER(G233)),AND(F234&lt;G234,F233&gt;=G233),FALSE())</f>
        <v>0</v>
      </c>
      <c r="L234" s="8" t="n">
        <f aca="false">IF(ISNUMBER(I234),E234-Inputs!$B$6*I234,"")</f>
        <v>0.905567280333639</v>
      </c>
      <c r="M234" s="9" t="b">
        <f aca="false">AND(Y233&gt;0,Z233)</f>
        <v>0</v>
      </c>
      <c r="N234" s="8" t="n">
        <f aca="false">B234*(1-Inputs!$B$12)</f>
        <v>0.932183733803869</v>
      </c>
      <c r="O234" s="10" t="n">
        <f aca="false">IF(M234,Y233*(N234-AB233)-Inputs!$B$9-Y233*AD233*Inputs!$B$13*(A234-AC233),0)</f>
        <v>0</v>
      </c>
      <c r="P234" s="10" t="n">
        <f aca="false">X233+O234</f>
        <v>999</v>
      </c>
      <c r="Q234" s="9" t="b">
        <f aca="false">AND(IF(M234,0,Y233)=0,AA233,IF(ISNUMBER(AE233),B234&gt;AE233,FALSE()))</f>
        <v>0</v>
      </c>
      <c r="R234" s="8" t="n">
        <f aca="false">B234*(1+Inputs!$B$12)</f>
        <v>0.932556681887007</v>
      </c>
      <c r="S234" s="11" t="n">
        <f aca="false">IF(Q234,MIN(P234*Inputs!$B$3/(R234-AE233),P234*Inputs!$B$11/R234),0)</f>
        <v>0</v>
      </c>
      <c r="T234" s="11" t="n">
        <f aca="false">IF(Q234,S234,IF(M234,0,Y233))</f>
        <v>515.951204214585</v>
      </c>
      <c r="U234" s="8" t="n">
        <f aca="false">IF(Q234,AE233,AF233)</f>
        <v>0.842594980845593</v>
      </c>
      <c r="V234" s="9" t="b">
        <f aca="false">AND(T234&gt;0,D234&lt;=U234)</f>
        <v>0</v>
      </c>
      <c r="W234" s="10" t="n">
        <f aca="false">IF(V234,T234*(AK234-AB234)-Inputs!$B$9-T234*AD234*Inputs!$B$13*(A234-AC234),0)</f>
        <v>0</v>
      </c>
      <c r="X234" s="10" t="n">
        <f aca="false">P234-IF(Q234,Inputs!$B$9,0)+W234</f>
        <v>999</v>
      </c>
      <c r="Y234" s="11" t="n">
        <f aca="false">IF(V234,0,T234)</f>
        <v>515.951204214585</v>
      </c>
      <c r="Z234" s="9" t="b">
        <f aca="false">AND(Y234&gt;0,K234)</f>
        <v>0</v>
      </c>
      <c r="AA234" s="9" t="b">
        <f aca="false">AND(Y234=0,J234,ISNUMBER(L234))</f>
        <v>0</v>
      </c>
      <c r="AB234" s="8" t="n">
        <f aca="false">IF(Q234,R234,AB233)</f>
        <v>0.861976658644412</v>
      </c>
      <c r="AC234" s="12" t="n">
        <f aca="false">IF(Q234,A234,AC233)</f>
        <v>44890</v>
      </c>
      <c r="AD234" s="8" t="n">
        <f aca="false">IF(Q234,B234,AD233)</f>
        <v>0.861804297784855</v>
      </c>
      <c r="AE234" s="8" t="str">
        <f aca="false">IF(AA234,L234,"")</f>
        <v/>
      </c>
      <c r="AF234" s="8" t="n">
        <f aca="false">U234</f>
        <v>0.842594980845593</v>
      </c>
      <c r="AG234" s="2" t="n">
        <f aca="false">AG233+IF(Q234,1,0)</f>
        <v>1</v>
      </c>
      <c r="AH234" s="2" t="n">
        <f aca="false">AG233</f>
        <v>1</v>
      </c>
      <c r="AI234" s="10" t="n">
        <f aca="false">X234+Y234*(E234-AB234)-Y234*AD234*Inputs!$B$13*(A234-AC234)</f>
        <v>1022.87060912204</v>
      </c>
      <c r="AJ234" s="10" t="n">
        <v>0</v>
      </c>
      <c r="AK234" s="8" t="n">
        <f aca="false">IF(AND(B234&lt;=U234,NOT(Q234)),B234,U234)*(1-Inputs!$B$12)</f>
        <v>0.842426461849423</v>
      </c>
    </row>
    <row r="235" customFormat="false" ht="15" hidden="false" customHeight="false" outlineLevel="0" collapsed="false">
      <c r="A235" s="6" t="n">
        <v>45019</v>
      </c>
      <c r="B235" s="7" t="n">
        <v>0.927886319905073</v>
      </c>
      <c r="C235" s="7" t="n">
        <v>0.929471443810978</v>
      </c>
      <c r="D235" s="7" t="n">
        <v>0.920711610113404</v>
      </c>
      <c r="E235" s="7" t="n">
        <v>0.924114096723624</v>
      </c>
      <c r="F235" s="8" t="n">
        <f aca="true">IF(ROW()-2&gt;=Inputs!$B$4,AVERAGE(OFFSET(E235,1-Inputs!$B$4,0,Inputs!$B$4,1)),"")</f>
        <v>0.937446136031815</v>
      </c>
      <c r="G235" s="8" t="n">
        <f aca="true">IF(ROW()-2&gt;=Inputs!$B$5,AVERAGE(OFFSET(E235,1-Inputs!$B$5,0,Inputs!$B$5,1)),"")</f>
        <v>0.93011675243642</v>
      </c>
      <c r="H235" s="8" t="n">
        <f aca="false">MAX(C235-D235,ABS(C235-E234),ABS(D235-E234))</f>
        <v>0.00875983369757383</v>
      </c>
      <c r="I235" s="8" t="n">
        <f aca="true">IF(ROW()-2&lt;14,"",IF(ROW()-2=14,AVERAGE(OFFSET(H235,-13,0,14,1)),(I234*13+H235)/14))</f>
        <v>0.010988113636564</v>
      </c>
      <c r="J235" s="9" t="b">
        <f aca="false">IF(AND(ISNUMBER(F235),ISNUMBER(G235),ISNUMBER(F234),ISNUMBER(G234)),AND(F235&gt;G235,F234&lt;=G234),FALSE())</f>
        <v>0</v>
      </c>
      <c r="K235" s="9" t="b">
        <f aca="false">IF(AND(ISNUMBER(F235),ISNUMBER(G235),ISNUMBER(F234),ISNUMBER(G234)),AND(F235&lt;G235,F234&gt;=G234),FALSE())</f>
        <v>0</v>
      </c>
      <c r="L235" s="8" t="n">
        <f aca="false">IF(ISNUMBER(I235),E235-Inputs!$B$6*I235,"")</f>
        <v>0.902137869450496</v>
      </c>
      <c r="M235" s="9" t="b">
        <f aca="false">AND(Y234&gt;0,Z234)</f>
        <v>0</v>
      </c>
      <c r="N235" s="8" t="n">
        <f aca="false">B235*(1-Inputs!$B$12)</f>
        <v>0.927700742641092</v>
      </c>
      <c r="O235" s="10" t="n">
        <f aca="false">IF(M235,Y234*(N235-AB234)-Inputs!$B$9-Y234*AD234*Inputs!$B$13*(A235-AC234),0)</f>
        <v>0</v>
      </c>
      <c r="P235" s="10" t="n">
        <f aca="false">X234+O235</f>
        <v>999</v>
      </c>
      <c r="Q235" s="9" t="b">
        <f aca="false">AND(IF(M235,0,Y234)=0,AA234,IF(ISNUMBER(AE234),B235&gt;AE234,FALSE()))</f>
        <v>0</v>
      </c>
      <c r="R235" s="8" t="n">
        <f aca="false">B235*(1+Inputs!$B$12)</f>
        <v>0.928071897169054</v>
      </c>
      <c r="S235" s="11" t="n">
        <f aca="false">IF(Q235,MIN(P235*Inputs!$B$3/(R235-AE234),P235*Inputs!$B$11/R235),0)</f>
        <v>0</v>
      </c>
      <c r="T235" s="11" t="n">
        <f aca="false">IF(Q235,S235,IF(M235,0,Y234))</f>
        <v>515.951204214585</v>
      </c>
      <c r="U235" s="8" t="n">
        <f aca="false">IF(Q235,AE234,AF234)</f>
        <v>0.842594980845593</v>
      </c>
      <c r="V235" s="9" t="b">
        <f aca="false">AND(T235&gt;0,D235&lt;=U235)</f>
        <v>0</v>
      </c>
      <c r="W235" s="10" t="n">
        <f aca="false">IF(V235,T235*(AK235-AB235)-Inputs!$B$9-T235*AD235*Inputs!$B$13*(A235-AC235),0)</f>
        <v>0</v>
      </c>
      <c r="X235" s="10" t="n">
        <f aca="false">P235-IF(Q235,Inputs!$B$9,0)+W235</f>
        <v>999</v>
      </c>
      <c r="Y235" s="11" t="n">
        <f aca="false">IF(V235,0,T235)</f>
        <v>515.951204214585</v>
      </c>
      <c r="Z235" s="9" t="b">
        <f aca="false">AND(Y235&gt;0,K235)</f>
        <v>0</v>
      </c>
      <c r="AA235" s="9" t="b">
        <f aca="false">AND(Y235=0,J235,ISNUMBER(L235))</f>
        <v>0</v>
      </c>
      <c r="AB235" s="8" t="n">
        <f aca="false">IF(Q235,R235,AB234)</f>
        <v>0.861976658644412</v>
      </c>
      <c r="AC235" s="12" t="n">
        <f aca="false">IF(Q235,A235,AC234)</f>
        <v>44890</v>
      </c>
      <c r="AD235" s="8" t="n">
        <f aca="false">IF(Q235,B235,AD234)</f>
        <v>0.861804297784855</v>
      </c>
      <c r="AE235" s="8" t="str">
        <f aca="false">IF(AA235,L235,"")</f>
        <v/>
      </c>
      <c r="AF235" s="8" t="n">
        <f aca="false">U235</f>
        <v>0.842594980845593</v>
      </c>
      <c r="AG235" s="2" t="n">
        <f aca="false">AG234+IF(Q235,1,0)</f>
        <v>1</v>
      </c>
      <c r="AH235" s="2" t="n">
        <f aca="false">AG234</f>
        <v>1</v>
      </c>
      <c r="AI235" s="10" t="n">
        <f aca="false">X235+Y235*(E235-AB235)-Y235*AD235*Inputs!$B$13*(A235-AC235)</f>
        <v>1020.8451419667</v>
      </c>
      <c r="AJ235" s="10" t="n">
        <v>0</v>
      </c>
      <c r="AK235" s="8" t="n">
        <f aca="false">IF(AND(B235&lt;=U235,NOT(Q235)),B235,U235)*(1-Inputs!$B$12)</f>
        <v>0.842426461849423</v>
      </c>
    </row>
    <row r="236" customFormat="false" ht="15" hidden="false" customHeight="false" outlineLevel="0" collapsed="false">
      <c r="A236" s="6" t="n">
        <v>45020</v>
      </c>
      <c r="B236" s="7" t="n">
        <v>0.924114096723624</v>
      </c>
      <c r="C236" s="7" t="n">
        <v>0.929581653571182</v>
      </c>
      <c r="D236" s="7" t="n">
        <v>0.920809920671055</v>
      </c>
      <c r="E236" s="7" t="n">
        <v>0.923880651928689</v>
      </c>
      <c r="F236" s="8" t="n">
        <f aca="true">IF(ROW()-2&gt;=Inputs!$B$4,AVERAGE(OFFSET(E236,1-Inputs!$B$4,0,Inputs!$B$4,1)),"")</f>
        <v>0.937604426301057</v>
      </c>
      <c r="G236" s="8" t="n">
        <f aca="true">IF(ROW()-2&gt;=Inputs!$B$5,AVERAGE(OFFSET(E236,1-Inputs!$B$5,0,Inputs!$B$5,1)),"")</f>
        <v>0.930214696324567</v>
      </c>
      <c r="H236" s="8" t="n">
        <f aca="false">MAX(C236-D236,ABS(C236-E235),ABS(D236-E235))</f>
        <v>0.00877173290012723</v>
      </c>
      <c r="I236" s="8" t="n">
        <f aca="true">IF(ROW()-2&lt;14,"",IF(ROW()-2=14,AVERAGE(OFFSET(H236,-13,0,14,1)),(I235*13+H236)/14))</f>
        <v>0.0108298007268185</v>
      </c>
      <c r="J236" s="9" t="b">
        <f aca="false">IF(AND(ISNUMBER(F236),ISNUMBER(G236),ISNUMBER(F235),ISNUMBER(G235)),AND(F236&gt;G236,F235&lt;=G235),FALSE())</f>
        <v>0</v>
      </c>
      <c r="K236" s="9" t="b">
        <f aca="false">IF(AND(ISNUMBER(F236),ISNUMBER(G236),ISNUMBER(F235),ISNUMBER(G235)),AND(F236&lt;G236,F235&gt;=G235),FALSE())</f>
        <v>0</v>
      </c>
      <c r="L236" s="8" t="n">
        <f aca="false">IF(ISNUMBER(I236),E236-Inputs!$B$6*I236,"")</f>
        <v>0.902221050475052</v>
      </c>
      <c r="M236" s="9" t="b">
        <f aca="false">AND(Y235&gt;0,Z235)</f>
        <v>0</v>
      </c>
      <c r="N236" s="8" t="n">
        <f aca="false">B236*(1-Inputs!$B$12)</f>
        <v>0.923929273904279</v>
      </c>
      <c r="O236" s="10" t="n">
        <f aca="false">IF(M236,Y235*(N236-AB235)-Inputs!$B$9-Y235*AD235*Inputs!$B$13*(A236-AC235),0)</f>
        <v>0</v>
      </c>
      <c r="P236" s="10" t="n">
        <f aca="false">X235+O236</f>
        <v>999</v>
      </c>
      <c r="Q236" s="9" t="b">
        <f aca="false">AND(IF(M236,0,Y235)=0,AA235,IF(ISNUMBER(AE235),B236&gt;AE235,FALSE()))</f>
        <v>0</v>
      </c>
      <c r="R236" s="8" t="n">
        <f aca="false">B236*(1+Inputs!$B$12)</f>
        <v>0.924298919542969</v>
      </c>
      <c r="S236" s="11" t="n">
        <f aca="false">IF(Q236,MIN(P236*Inputs!$B$3/(R236-AE235),P236*Inputs!$B$11/R236),0)</f>
        <v>0</v>
      </c>
      <c r="T236" s="11" t="n">
        <f aca="false">IF(Q236,S236,IF(M236,0,Y235))</f>
        <v>515.951204214585</v>
      </c>
      <c r="U236" s="8" t="n">
        <f aca="false">IF(Q236,AE235,AF235)</f>
        <v>0.842594980845593</v>
      </c>
      <c r="V236" s="9" t="b">
        <f aca="false">AND(T236&gt;0,D236&lt;=U236)</f>
        <v>0</v>
      </c>
      <c r="W236" s="10" t="n">
        <f aca="false">IF(V236,T236*(AK236-AB236)-Inputs!$B$9-T236*AD236*Inputs!$B$13*(A236-AC236),0)</f>
        <v>0</v>
      </c>
      <c r="X236" s="10" t="n">
        <f aca="false">P236-IF(Q236,Inputs!$B$9,0)+W236</f>
        <v>999</v>
      </c>
      <c r="Y236" s="11" t="n">
        <f aca="false">IF(V236,0,T236)</f>
        <v>515.951204214585</v>
      </c>
      <c r="Z236" s="9" t="b">
        <f aca="false">AND(Y236&gt;0,K236)</f>
        <v>0</v>
      </c>
      <c r="AA236" s="9" t="b">
        <f aca="false">AND(Y236=0,J236,ISNUMBER(L236))</f>
        <v>0</v>
      </c>
      <c r="AB236" s="8" t="n">
        <f aca="false">IF(Q236,R236,AB235)</f>
        <v>0.861976658644412</v>
      </c>
      <c r="AC236" s="12" t="n">
        <f aca="false">IF(Q236,A236,AC235)</f>
        <v>44890</v>
      </c>
      <c r="AD236" s="8" t="n">
        <f aca="false">IF(Q236,B236,AD235)</f>
        <v>0.861804297784855</v>
      </c>
      <c r="AE236" s="8" t="str">
        <f aca="false">IF(AA236,L236,"")</f>
        <v/>
      </c>
      <c r="AF236" s="8" t="n">
        <f aca="false">U236</f>
        <v>0.842594980845593</v>
      </c>
      <c r="AG236" s="2" t="n">
        <f aca="false">AG235+IF(Q236,1,0)</f>
        <v>1</v>
      </c>
      <c r="AH236" s="2" t="n">
        <f aca="false">AG235</f>
        <v>1</v>
      </c>
      <c r="AI236" s="10" t="n">
        <f aca="false">X236+Y236*(E236-AB236)-Y236*AD236*Inputs!$B$13*(A236-AC236)</f>
        <v>1020.64551178134</v>
      </c>
      <c r="AJ236" s="10" t="n">
        <v>0</v>
      </c>
      <c r="AK236" s="8" t="n">
        <f aca="false">IF(AND(B236&lt;=U236,NOT(Q236)),B236,U236)*(1-Inputs!$B$12)</f>
        <v>0.842426461849423</v>
      </c>
    </row>
    <row r="237" customFormat="false" ht="15" hidden="false" customHeight="false" outlineLevel="0" collapsed="false">
      <c r="A237" s="6" t="n">
        <v>45021</v>
      </c>
      <c r="B237" s="7" t="n">
        <v>0.923880651928689</v>
      </c>
      <c r="C237" s="7" t="n">
        <v>0.927544737417604</v>
      </c>
      <c r="D237" s="7" t="n">
        <v>0.919831385627197</v>
      </c>
      <c r="E237" s="7" t="n">
        <v>0.920530462945252</v>
      </c>
      <c r="F237" s="8" t="n">
        <f aca="true">IF(ROW()-2&gt;=Inputs!$B$4,AVERAGE(OFFSET(E237,1-Inputs!$B$4,0,Inputs!$B$4,1)),"")</f>
        <v>0.9374737276527</v>
      </c>
      <c r="G237" s="8" t="n">
        <f aca="true">IF(ROW()-2&gt;=Inputs!$B$5,AVERAGE(OFFSET(E237,1-Inputs!$B$5,0,Inputs!$B$5,1)),"")</f>
        <v>0.930363910966144</v>
      </c>
      <c r="H237" s="8" t="n">
        <f aca="false">MAX(C237-D237,ABS(C237-E236),ABS(D237-E236))</f>
        <v>0.00771335179040622</v>
      </c>
      <c r="I237" s="8" t="n">
        <f aca="true">IF(ROW()-2&lt;14,"",IF(ROW()-2=14,AVERAGE(OFFSET(H237,-13,0,14,1)),(I236*13+H237)/14))</f>
        <v>0.0106071972313605</v>
      </c>
      <c r="J237" s="9" t="b">
        <f aca="false">IF(AND(ISNUMBER(F237),ISNUMBER(G237),ISNUMBER(F236),ISNUMBER(G236)),AND(F237&gt;G237,F236&lt;=G236),FALSE())</f>
        <v>0</v>
      </c>
      <c r="K237" s="9" t="b">
        <f aca="false">IF(AND(ISNUMBER(F237),ISNUMBER(G237),ISNUMBER(F236),ISNUMBER(G236)),AND(F237&lt;G237,F236&gt;=G236),FALSE())</f>
        <v>0</v>
      </c>
      <c r="L237" s="8" t="n">
        <f aca="false">IF(ISNUMBER(I237),E237-Inputs!$B$6*I237,"")</f>
        <v>0.899316068482531</v>
      </c>
      <c r="M237" s="9" t="b">
        <f aca="false">AND(Y236&gt;0,Z236)</f>
        <v>0</v>
      </c>
      <c r="N237" s="8" t="n">
        <f aca="false">B237*(1-Inputs!$B$12)</f>
        <v>0.923695875798303</v>
      </c>
      <c r="O237" s="10" t="n">
        <f aca="false">IF(M237,Y236*(N237-AB236)-Inputs!$B$9-Y236*AD236*Inputs!$B$13*(A237-AC236),0)</f>
        <v>0</v>
      </c>
      <c r="P237" s="10" t="n">
        <f aca="false">X236+O237</f>
        <v>999</v>
      </c>
      <c r="Q237" s="9" t="b">
        <f aca="false">AND(IF(M237,0,Y236)=0,AA236,IF(ISNUMBER(AE236),B237&gt;AE236,FALSE()))</f>
        <v>0</v>
      </c>
      <c r="R237" s="8" t="n">
        <f aca="false">B237*(1+Inputs!$B$12)</f>
        <v>0.924065428059074</v>
      </c>
      <c r="S237" s="11" t="n">
        <f aca="false">IF(Q237,MIN(P237*Inputs!$B$3/(R237-AE236),P237*Inputs!$B$11/R237),0)</f>
        <v>0</v>
      </c>
      <c r="T237" s="11" t="n">
        <f aca="false">IF(Q237,S237,IF(M237,0,Y236))</f>
        <v>515.951204214585</v>
      </c>
      <c r="U237" s="8" t="n">
        <f aca="false">IF(Q237,AE236,AF236)</f>
        <v>0.842594980845593</v>
      </c>
      <c r="V237" s="9" t="b">
        <f aca="false">AND(T237&gt;0,D237&lt;=U237)</f>
        <v>0</v>
      </c>
      <c r="W237" s="10" t="n">
        <f aca="false">IF(V237,T237*(AK237-AB237)-Inputs!$B$9-T237*AD237*Inputs!$B$13*(A237-AC237),0)</f>
        <v>0</v>
      </c>
      <c r="X237" s="10" t="n">
        <f aca="false">P237-IF(Q237,Inputs!$B$9,0)+W237</f>
        <v>999</v>
      </c>
      <c r="Y237" s="11" t="n">
        <f aca="false">IF(V237,0,T237)</f>
        <v>515.951204214585</v>
      </c>
      <c r="Z237" s="9" t="b">
        <f aca="false">AND(Y237&gt;0,K237)</f>
        <v>0</v>
      </c>
      <c r="AA237" s="9" t="b">
        <f aca="false">AND(Y237=0,J237,ISNUMBER(L237))</f>
        <v>0</v>
      </c>
      <c r="AB237" s="8" t="n">
        <f aca="false">IF(Q237,R237,AB236)</f>
        <v>0.861976658644412</v>
      </c>
      <c r="AC237" s="12" t="n">
        <f aca="false">IF(Q237,A237,AC236)</f>
        <v>44890</v>
      </c>
      <c r="AD237" s="8" t="n">
        <f aca="false">IF(Q237,B237,AD236)</f>
        <v>0.861804297784855</v>
      </c>
      <c r="AE237" s="8" t="str">
        <f aca="false">IF(AA237,L237,"")</f>
        <v/>
      </c>
      <c r="AF237" s="8" t="n">
        <f aca="false">U237</f>
        <v>0.842594980845593</v>
      </c>
      <c r="AG237" s="2" t="n">
        <f aca="false">AG236+IF(Q237,1,0)</f>
        <v>1</v>
      </c>
      <c r="AH237" s="2" t="n">
        <f aca="false">AG236</f>
        <v>1</v>
      </c>
      <c r="AI237" s="10" t="n">
        <f aca="false">X237+Y237*(E237-AB237)-Y237*AD237*Inputs!$B$13*(A237-AC237)</f>
        <v>1018.83779367868</v>
      </c>
      <c r="AJ237" s="10" t="n">
        <v>0</v>
      </c>
      <c r="AK237" s="8" t="n">
        <f aca="false">IF(AND(B237&lt;=U237,NOT(Q237)),B237,U237)*(1-Inputs!$B$12)</f>
        <v>0.842426461849423</v>
      </c>
    </row>
    <row r="238" customFormat="false" ht="15" hidden="false" customHeight="false" outlineLevel="0" collapsed="false">
      <c r="A238" s="6" t="n">
        <v>45022</v>
      </c>
      <c r="B238" s="7" t="n">
        <v>0.920530462945252</v>
      </c>
      <c r="C238" s="7" t="n">
        <v>0.923455308559135</v>
      </c>
      <c r="D238" s="7" t="n">
        <v>0.919967866383967</v>
      </c>
      <c r="E238" s="7" t="n">
        <v>0.920657485272723</v>
      </c>
      <c r="F238" s="8" t="n">
        <f aca="true">IF(ROW()-2&gt;=Inputs!$B$4,AVERAGE(OFFSET(E238,1-Inputs!$B$4,0,Inputs!$B$4,1)),"")</f>
        <v>0.936979595901122</v>
      </c>
      <c r="G238" s="8" t="n">
        <f aca="true">IF(ROW()-2&gt;=Inputs!$B$5,AVERAGE(OFFSET(E238,1-Inputs!$B$5,0,Inputs!$B$5,1)),"")</f>
        <v>0.930616308780803</v>
      </c>
      <c r="H238" s="8" t="n">
        <f aca="false">MAX(C238-D238,ABS(C238-E237),ABS(D238-E237))</f>
        <v>0.0034874421751685</v>
      </c>
      <c r="I238" s="8" t="n">
        <f aca="true">IF(ROW()-2&lt;14,"",IF(ROW()-2=14,AVERAGE(OFFSET(H238,-13,0,14,1)),(I237*13+H238)/14))</f>
        <v>0.0100986432987753</v>
      </c>
      <c r="J238" s="9" t="b">
        <f aca="false">IF(AND(ISNUMBER(F238),ISNUMBER(G238),ISNUMBER(F237),ISNUMBER(G237)),AND(F238&gt;G238,F237&lt;=G237),FALSE())</f>
        <v>0</v>
      </c>
      <c r="K238" s="9" t="b">
        <f aca="false">IF(AND(ISNUMBER(F238),ISNUMBER(G238),ISNUMBER(F237),ISNUMBER(G237)),AND(F238&lt;G238,F237&gt;=G237),FALSE())</f>
        <v>0</v>
      </c>
      <c r="L238" s="8" t="n">
        <f aca="false">IF(ISNUMBER(I238),E238-Inputs!$B$6*I238,"")</f>
        <v>0.900460198675173</v>
      </c>
      <c r="M238" s="9" t="b">
        <f aca="false">AND(Y237&gt;0,Z237)</f>
        <v>0</v>
      </c>
      <c r="N238" s="8" t="n">
        <f aca="false">B238*(1-Inputs!$B$12)</f>
        <v>0.920346356852663</v>
      </c>
      <c r="O238" s="10" t="n">
        <f aca="false">IF(M238,Y237*(N238-AB237)-Inputs!$B$9-Y237*AD237*Inputs!$B$13*(A238-AC237),0)</f>
        <v>0</v>
      </c>
      <c r="P238" s="10" t="n">
        <f aca="false">X237+O238</f>
        <v>999</v>
      </c>
      <c r="Q238" s="9" t="b">
        <f aca="false">AND(IF(M238,0,Y237)=0,AA237,IF(ISNUMBER(AE237),B238&gt;AE237,FALSE()))</f>
        <v>0</v>
      </c>
      <c r="R238" s="8" t="n">
        <f aca="false">B238*(1+Inputs!$B$12)</f>
        <v>0.920714569037841</v>
      </c>
      <c r="S238" s="11" t="n">
        <f aca="false">IF(Q238,MIN(P238*Inputs!$B$3/(R238-AE237),P238*Inputs!$B$11/R238),0)</f>
        <v>0</v>
      </c>
      <c r="T238" s="11" t="n">
        <f aca="false">IF(Q238,S238,IF(M238,0,Y237))</f>
        <v>515.951204214585</v>
      </c>
      <c r="U238" s="8" t="n">
        <f aca="false">IF(Q238,AE237,AF237)</f>
        <v>0.842594980845593</v>
      </c>
      <c r="V238" s="9" t="b">
        <f aca="false">AND(T238&gt;0,D238&lt;=U238)</f>
        <v>0</v>
      </c>
      <c r="W238" s="10" t="n">
        <f aca="false">IF(V238,T238*(AK238-AB238)-Inputs!$B$9-T238*AD238*Inputs!$B$13*(A238-AC238),0)</f>
        <v>0</v>
      </c>
      <c r="X238" s="10" t="n">
        <f aca="false">P238-IF(Q238,Inputs!$B$9,0)+W238</f>
        <v>999</v>
      </c>
      <c r="Y238" s="11" t="n">
        <f aca="false">IF(V238,0,T238)</f>
        <v>515.951204214585</v>
      </c>
      <c r="Z238" s="9" t="b">
        <f aca="false">AND(Y238&gt;0,K238)</f>
        <v>0</v>
      </c>
      <c r="AA238" s="9" t="b">
        <f aca="false">AND(Y238=0,J238,ISNUMBER(L238))</f>
        <v>0</v>
      </c>
      <c r="AB238" s="8" t="n">
        <f aca="false">IF(Q238,R238,AB237)</f>
        <v>0.861976658644412</v>
      </c>
      <c r="AC238" s="12" t="n">
        <f aca="false">IF(Q238,A238,AC237)</f>
        <v>44890</v>
      </c>
      <c r="AD238" s="8" t="n">
        <f aca="false">IF(Q238,B238,AD237)</f>
        <v>0.861804297784855</v>
      </c>
      <c r="AE238" s="8" t="str">
        <f aca="false">IF(AA238,L238,"")</f>
        <v/>
      </c>
      <c r="AF238" s="8" t="n">
        <f aca="false">U238</f>
        <v>0.842594980845593</v>
      </c>
      <c r="AG238" s="2" t="n">
        <f aca="false">AG237+IF(Q238,1,0)</f>
        <v>1</v>
      </c>
      <c r="AH238" s="2" t="n">
        <f aca="false">AG237</f>
        <v>1</v>
      </c>
      <c r="AI238" s="10" t="n">
        <f aca="false">X238+Y238*(E238-AB238)-Y238*AD238*Inputs!$B$13*(A238-AC238)</f>
        <v>1018.8241469392</v>
      </c>
      <c r="AJ238" s="10" t="n">
        <v>0</v>
      </c>
      <c r="AK238" s="8" t="n">
        <f aca="false">IF(AND(B238&lt;=U238,NOT(Q238)),B238,U238)*(1-Inputs!$B$12)</f>
        <v>0.842426461849423</v>
      </c>
    </row>
    <row r="239" customFormat="false" ht="15" hidden="false" customHeight="false" outlineLevel="0" collapsed="false">
      <c r="A239" s="6" t="n">
        <v>45023</v>
      </c>
      <c r="B239" s="7" t="n">
        <v>0.920657485272723</v>
      </c>
      <c r="C239" s="7" t="n">
        <v>0.927504822078638</v>
      </c>
      <c r="D239" s="7" t="n">
        <v>0.920538107314327</v>
      </c>
      <c r="E239" s="7" t="n">
        <v>0.925808435358933</v>
      </c>
      <c r="F239" s="8" t="n">
        <f aca="true">IF(ROW()-2&gt;=Inputs!$B$4,AVERAGE(OFFSET(E239,1-Inputs!$B$4,0,Inputs!$B$4,1)),"")</f>
        <v>0.936589717712152</v>
      </c>
      <c r="G239" s="8" t="n">
        <f aca="true">IF(ROW()-2&gt;=Inputs!$B$5,AVERAGE(OFFSET(E239,1-Inputs!$B$5,0,Inputs!$B$5,1)),"")</f>
        <v>0.931122749468847</v>
      </c>
      <c r="H239" s="8" t="n">
        <f aca="false">MAX(C239-D239,ABS(C239-E238),ABS(D239-E238))</f>
        <v>0.00696671476431066</v>
      </c>
      <c r="I239" s="8" t="n">
        <f aca="true">IF(ROW()-2&lt;14,"",IF(ROW()-2=14,AVERAGE(OFFSET(H239,-13,0,14,1)),(I238*13+H239)/14))</f>
        <v>0.00987493411774212</v>
      </c>
      <c r="J239" s="9" t="b">
        <f aca="false">IF(AND(ISNUMBER(F239),ISNUMBER(G239),ISNUMBER(F238),ISNUMBER(G238)),AND(F239&gt;G239,F238&lt;=G238),FALSE())</f>
        <v>0</v>
      </c>
      <c r="K239" s="9" t="b">
        <f aca="false">IF(AND(ISNUMBER(F239),ISNUMBER(G239),ISNUMBER(F238),ISNUMBER(G238)),AND(F239&lt;G239,F238&gt;=G238),FALSE())</f>
        <v>0</v>
      </c>
      <c r="L239" s="8" t="n">
        <f aca="false">IF(ISNUMBER(I239),E239-Inputs!$B$6*I239,"")</f>
        <v>0.906058567123449</v>
      </c>
      <c r="M239" s="9" t="b">
        <f aca="false">AND(Y238&gt;0,Z238)</f>
        <v>0</v>
      </c>
      <c r="N239" s="8" t="n">
        <f aca="false">B239*(1-Inputs!$B$12)</f>
        <v>0.920473353775669</v>
      </c>
      <c r="O239" s="10" t="n">
        <f aca="false">IF(M239,Y238*(N239-AB238)-Inputs!$B$9-Y238*AD238*Inputs!$B$13*(A239-AC238),0)</f>
        <v>0</v>
      </c>
      <c r="P239" s="10" t="n">
        <f aca="false">X238+O239</f>
        <v>999</v>
      </c>
      <c r="Q239" s="9" t="b">
        <f aca="false">AND(IF(M239,0,Y238)=0,AA238,IF(ISNUMBER(AE238),B239&gt;AE238,FALSE()))</f>
        <v>0</v>
      </c>
      <c r="R239" s="8" t="n">
        <f aca="false">B239*(1+Inputs!$B$12)</f>
        <v>0.920841616769778</v>
      </c>
      <c r="S239" s="11" t="n">
        <f aca="false">IF(Q239,MIN(P239*Inputs!$B$3/(R239-AE238),P239*Inputs!$B$11/R239),0)</f>
        <v>0</v>
      </c>
      <c r="T239" s="11" t="n">
        <f aca="false">IF(Q239,S239,IF(M239,0,Y238))</f>
        <v>515.951204214585</v>
      </c>
      <c r="U239" s="8" t="n">
        <f aca="false">IF(Q239,AE238,AF238)</f>
        <v>0.842594980845593</v>
      </c>
      <c r="V239" s="9" t="b">
        <f aca="false">AND(T239&gt;0,D239&lt;=U239)</f>
        <v>0</v>
      </c>
      <c r="W239" s="10" t="n">
        <f aca="false">IF(V239,T239*(AK239-AB239)-Inputs!$B$9-T239*AD239*Inputs!$B$13*(A239-AC239),0)</f>
        <v>0</v>
      </c>
      <c r="X239" s="10" t="n">
        <f aca="false">P239-IF(Q239,Inputs!$B$9,0)+W239</f>
        <v>999</v>
      </c>
      <c r="Y239" s="11" t="n">
        <f aca="false">IF(V239,0,T239)</f>
        <v>515.951204214585</v>
      </c>
      <c r="Z239" s="9" t="b">
        <f aca="false">AND(Y239&gt;0,K239)</f>
        <v>0</v>
      </c>
      <c r="AA239" s="9" t="b">
        <f aca="false">AND(Y239=0,J239,ISNUMBER(L239))</f>
        <v>0</v>
      </c>
      <c r="AB239" s="8" t="n">
        <f aca="false">IF(Q239,R239,AB238)</f>
        <v>0.861976658644412</v>
      </c>
      <c r="AC239" s="12" t="n">
        <f aca="false">IF(Q239,A239,AC238)</f>
        <v>44890</v>
      </c>
      <c r="AD239" s="8" t="n">
        <f aca="false">IF(Q239,B239,AD238)</f>
        <v>0.861804297784855</v>
      </c>
      <c r="AE239" s="8" t="str">
        <f aca="false">IF(AA239,L239,"")</f>
        <v/>
      </c>
      <c r="AF239" s="8" t="n">
        <f aca="false">U239</f>
        <v>0.842594980845593</v>
      </c>
      <c r="AG239" s="2" t="n">
        <f aca="false">AG238+IF(Q239,1,0)</f>
        <v>1</v>
      </c>
      <c r="AH239" s="2" t="n">
        <f aca="false">AG238</f>
        <v>1</v>
      </c>
      <c r="AI239" s="10" t="n">
        <f aca="false">X239+Y239*(E239-AB239)-Y239*AD239*Inputs!$B$13*(A239-AC239)</f>
        <v>1021.40260177673</v>
      </c>
      <c r="AJ239" s="10" t="n">
        <v>0</v>
      </c>
      <c r="AK239" s="8" t="n">
        <f aca="false">IF(AND(B239&lt;=U239,NOT(Q239)),B239,U239)*(1-Inputs!$B$12)</f>
        <v>0.842426461849423</v>
      </c>
    </row>
    <row r="240" customFormat="false" ht="15" hidden="false" customHeight="false" outlineLevel="0" collapsed="false">
      <c r="A240" s="6" t="n">
        <v>45024</v>
      </c>
      <c r="B240" s="7" t="n">
        <v>0.925808435358933</v>
      </c>
      <c r="C240" s="7" t="n">
        <v>0.932268095509882</v>
      </c>
      <c r="D240" s="7" t="n">
        <v>0.921794612038362</v>
      </c>
      <c r="E240" s="7" t="n">
        <v>0.929857657319406</v>
      </c>
      <c r="F240" s="8" t="n">
        <f aca="true">IF(ROW()-2&gt;=Inputs!$B$4,AVERAGE(OFFSET(E240,1-Inputs!$B$4,0,Inputs!$B$4,1)),"")</f>
        <v>0.936159081833244</v>
      </c>
      <c r="G240" s="8" t="n">
        <f aca="true">IF(ROW()-2&gt;=Inputs!$B$5,AVERAGE(OFFSET(E240,1-Inputs!$B$5,0,Inputs!$B$5,1)),"")</f>
        <v>0.931544177717712</v>
      </c>
      <c r="H240" s="8" t="n">
        <f aca="false">MAX(C240-D240,ABS(C240-E239),ABS(D240-E239))</f>
        <v>0.0104734834715202</v>
      </c>
      <c r="I240" s="8" t="n">
        <f aca="true">IF(ROW()-2&lt;14,"",IF(ROW()-2=14,AVERAGE(OFFSET(H240,-13,0,14,1)),(I239*13+H240)/14))</f>
        <v>0.00991768764301199</v>
      </c>
      <c r="J240" s="9" t="b">
        <f aca="false">IF(AND(ISNUMBER(F240),ISNUMBER(G240),ISNUMBER(F239),ISNUMBER(G239)),AND(F240&gt;G240,F239&lt;=G239),FALSE())</f>
        <v>0</v>
      </c>
      <c r="K240" s="9" t="b">
        <f aca="false">IF(AND(ISNUMBER(F240),ISNUMBER(G240),ISNUMBER(F239),ISNUMBER(G239)),AND(F240&lt;G240,F239&gt;=G239),FALSE())</f>
        <v>0</v>
      </c>
      <c r="L240" s="8" t="n">
        <f aca="false">IF(ISNUMBER(I240),E240-Inputs!$B$6*I240,"")</f>
        <v>0.910022282033382</v>
      </c>
      <c r="M240" s="9" t="b">
        <f aca="false">AND(Y239&gt;0,Z239)</f>
        <v>0</v>
      </c>
      <c r="N240" s="8" t="n">
        <f aca="false">B240*(1-Inputs!$B$12)</f>
        <v>0.925623273671861</v>
      </c>
      <c r="O240" s="10" t="n">
        <f aca="false">IF(M240,Y239*(N240-AB239)-Inputs!$B$9-Y239*AD239*Inputs!$B$13*(A240-AC239),0)</f>
        <v>0</v>
      </c>
      <c r="P240" s="10" t="n">
        <f aca="false">X239+O240</f>
        <v>999</v>
      </c>
      <c r="Q240" s="9" t="b">
        <f aca="false">AND(IF(M240,0,Y239)=0,AA239,IF(ISNUMBER(AE239),B240&gt;AE239,FALSE()))</f>
        <v>0</v>
      </c>
      <c r="R240" s="8" t="n">
        <f aca="false">B240*(1+Inputs!$B$12)</f>
        <v>0.925993597046005</v>
      </c>
      <c r="S240" s="11" t="n">
        <f aca="false">IF(Q240,MIN(P240*Inputs!$B$3/(R240-AE239),P240*Inputs!$B$11/R240),0)</f>
        <v>0</v>
      </c>
      <c r="T240" s="11" t="n">
        <f aca="false">IF(Q240,S240,IF(M240,0,Y239))</f>
        <v>515.951204214585</v>
      </c>
      <c r="U240" s="8" t="n">
        <f aca="false">IF(Q240,AE239,AF239)</f>
        <v>0.842594980845593</v>
      </c>
      <c r="V240" s="9" t="b">
        <f aca="false">AND(T240&gt;0,D240&lt;=U240)</f>
        <v>0</v>
      </c>
      <c r="W240" s="10" t="n">
        <f aca="false">IF(V240,T240*(AK240-AB240)-Inputs!$B$9-T240*AD240*Inputs!$B$13*(A240-AC240),0)</f>
        <v>0</v>
      </c>
      <c r="X240" s="10" t="n">
        <f aca="false">P240-IF(Q240,Inputs!$B$9,0)+W240</f>
        <v>999</v>
      </c>
      <c r="Y240" s="11" t="n">
        <f aca="false">IF(V240,0,T240)</f>
        <v>515.951204214585</v>
      </c>
      <c r="Z240" s="9" t="b">
        <f aca="false">AND(Y240&gt;0,K240)</f>
        <v>0</v>
      </c>
      <c r="AA240" s="9" t="b">
        <f aca="false">AND(Y240=0,J240,ISNUMBER(L240))</f>
        <v>0</v>
      </c>
      <c r="AB240" s="8" t="n">
        <f aca="false">IF(Q240,R240,AB239)</f>
        <v>0.861976658644412</v>
      </c>
      <c r="AC240" s="12" t="n">
        <f aca="false">IF(Q240,A240,AC239)</f>
        <v>44890</v>
      </c>
      <c r="AD240" s="8" t="n">
        <f aca="false">IF(Q240,B240,AD239)</f>
        <v>0.861804297784855</v>
      </c>
      <c r="AE240" s="8" t="str">
        <f aca="false">IF(AA240,L240,"")</f>
        <v/>
      </c>
      <c r="AF240" s="8" t="n">
        <f aca="false">U240</f>
        <v>0.842594980845593</v>
      </c>
      <c r="AG240" s="2" t="n">
        <f aca="false">AG239+IF(Q240,1,0)</f>
        <v>1</v>
      </c>
      <c r="AH240" s="2" t="n">
        <f aca="false">AG239</f>
        <v>1</v>
      </c>
      <c r="AI240" s="10" t="n">
        <f aca="false">X240+Y240*(E240-AB240)-Y240*AD240*Inputs!$B$13*(A240-AC240)</f>
        <v>1023.41261866106</v>
      </c>
      <c r="AJ240" s="10" t="n">
        <v>0</v>
      </c>
      <c r="AK240" s="8" t="n">
        <f aca="false">IF(AND(B240&lt;=U240,NOT(Q240)),B240,U240)*(1-Inputs!$B$12)</f>
        <v>0.842426461849423</v>
      </c>
    </row>
    <row r="241" customFormat="false" ht="15" hidden="false" customHeight="false" outlineLevel="0" collapsed="false">
      <c r="A241" s="6" t="n">
        <v>45025</v>
      </c>
      <c r="B241" s="7" t="n">
        <v>0.929857657319406</v>
      </c>
      <c r="C241" s="7" t="n">
        <v>0.935924955045192</v>
      </c>
      <c r="D241" s="7" t="n">
        <v>0.92811592198951</v>
      </c>
      <c r="E241" s="7" t="n">
        <v>0.934767058207199</v>
      </c>
      <c r="F241" s="8" t="n">
        <f aca="true">IF(ROW()-2&gt;=Inputs!$B$4,AVERAGE(OFFSET(E241,1-Inputs!$B$4,0,Inputs!$B$4,1)),"")</f>
        <v>0.935455626179832</v>
      </c>
      <c r="G241" s="8" t="n">
        <f aca="true">IF(ROW()-2&gt;=Inputs!$B$5,AVERAGE(OFFSET(E241,1-Inputs!$B$5,0,Inputs!$B$5,1)),"")</f>
        <v>0.932033522983372</v>
      </c>
      <c r="H241" s="8" t="n">
        <f aca="false">MAX(C241-D241,ABS(C241-E240),ABS(D241-E240))</f>
        <v>0.00780903305568215</v>
      </c>
      <c r="I241" s="8" t="n">
        <f aca="true">IF(ROW()-2&lt;14,"",IF(ROW()-2=14,AVERAGE(OFFSET(H241,-13,0,14,1)),(I240*13+H241)/14))</f>
        <v>0.00976706945820271</v>
      </c>
      <c r="J241" s="9" t="b">
        <f aca="false">IF(AND(ISNUMBER(F241),ISNUMBER(G241),ISNUMBER(F240),ISNUMBER(G240)),AND(F241&gt;G241,F240&lt;=G240),FALSE())</f>
        <v>0</v>
      </c>
      <c r="K241" s="9" t="b">
        <f aca="false">IF(AND(ISNUMBER(F241),ISNUMBER(G241),ISNUMBER(F240),ISNUMBER(G240)),AND(F241&lt;G241,F240&gt;=G240),FALSE())</f>
        <v>0</v>
      </c>
      <c r="L241" s="8" t="n">
        <f aca="false">IF(ISNUMBER(I241),E241-Inputs!$B$6*I241,"")</f>
        <v>0.915232919290794</v>
      </c>
      <c r="M241" s="9" t="b">
        <f aca="false">AND(Y240&gt;0,Z240)</f>
        <v>0</v>
      </c>
      <c r="N241" s="8" t="n">
        <f aca="false">B241*(1-Inputs!$B$12)</f>
        <v>0.929671685787942</v>
      </c>
      <c r="O241" s="10" t="n">
        <f aca="false">IF(M241,Y240*(N241-AB240)-Inputs!$B$9-Y240*AD240*Inputs!$B$13*(A241-AC240),0)</f>
        <v>0</v>
      </c>
      <c r="P241" s="10" t="n">
        <f aca="false">X240+O241</f>
        <v>999</v>
      </c>
      <c r="Q241" s="9" t="b">
        <f aca="false">AND(IF(M241,0,Y240)=0,AA240,IF(ISNUMBER(AE240),B241&gt;AE240,FALSE()))</f>
        <v>0</v>
      </c>
      <c r="R241" s="8" t="n">
        <f aca="false">B241*(1+Inputs!$B$12)</f>
        <v>0.93004362885087</v>
      </c>
      <c r="S241" s="11" t="n">
        <f aca="false">IF(Q241,MIN(P241*Inputs!$B$3/(R241-AE240),P241*Inputs!$B$11/R241),0)</f>
        <v>0</v>
      </c>
      <c r="T241" s="11" t="n">
        <f aca="false">IF(Q241,S241,IF(M241,0,Y240))</f>
        <v>515.951204214585</v>
      </c>
      <c r="U241" s="8" t="n">
        <f aca="false">IF(Q241,AE240,AF240)</f>
        <v>0.842594980845593</v>
      </c>
      <c r="V241" s="9" t="b">
        <f aca="false">AND(T241&gt;0,D241&lt;=U241)</f>
        <v>0</v>
      </c>
      <c r="W241" s="10" t="n">
        <f aca="false">IF(V241,T241*(AK241-AB241)-Inputs!$B$9-T241*AD241*Inputs!$B$13*(A241-AC241),0)</f>
        <v>0</v>
      </c>
      <c r="X241" s="10" t="n">
        <f aca="false">P241-IF(Q241,Inputs!$B$9,0)+W241</f>
        <v>999</v>
      </c>
      <c r="Y241" s="11" t="n">
        <f aca="false">IF(V241,0,T241)</f>
        <v>515.951204214585</v>
      </c>
      <c r="Z241" s="9" t="b">
        <f aca="false">AND(Y241&gt;0,K241)</f>
        <v>0</v>
      </c>
      <c r="AA241" s="9" t="b">
        <f aca="false">AND(Y241=0,J241,ISNUMBER(L241))</f>
        <v>0</v>
      </c>
      <c r="AB241" s="8" t="n">
        <f aca="false">IF(Q241,R241,AB240)</f>
        <v>0.861976658644412</v>
      </c>
      <c r="AC241" s="12" t="n">
        <f aca="false">IF(Q241,A241,AC240)</f>
        <v>44890</v>
      </c>
      <c r="AD241" s="8" t="n">
        <f aca="false">IF(Q241,B241,AD240)</f>
        <v>0.861804297784855</v>
      </c>
      <c r="AE241" s="8" t="str">
        <f aca="false">IF(AA241,L241,"")</f>
        <v/>
      </c>
      <c r="AF241" s="8" t="n">
        <f aca="false">U241</f>
        <v>0.842594980845593</v>
      </c>
      <c r="AG241" s="2" t="n">
        <f aca="false">AG240+IF(Q241,1,0)</f>
        <v>1</v>
      </c>
      <c r="AH241" s="2" t="n">
        <f aca="false">AG240</f>
        <v>1</v>
      </c>
      <c r="AI241" s="10" t="n">
        <f aca="false">X241+Y241*(E241-AB241)-Y241*AD241*Inputs!$B$13*(A241-AC241)</f>
        <v>1025.86644589879</v>
      </c>
      <c r="AJ241" s="10" t="n">
        <v>0</v>
      </c>
      <c r="AK241" s="8" t="n">
        <f aca="false">IF(AND(B241&lt;=U241,NOT(Q241)),B241,U241)*(1-Inputs!$B$12)</f>
        <v>0.842426461849423</v>
      </c>
    </row>
    <row r="242" customFormat="false" ht="15" hidden="false" customHeight="false" outlineLevel="0" collapsed="false">
      <c r="A242" s="6" t="n">
        <v>45026</v>
      </c>
      <c r="B242" s="7" t="n">
        <v>0.934767058207199</v>
      </c>
      <c r="C242" s="7" t="n">
        <v>0.95476744467489</v>
      </c>
      <c r="D242" s="7" t="n">
        <v>0.932367764021986</v>
      </c>
      <c r="E242" s="7" t="n">
        <v>0.945626826312886</v>
      </c>
      <c r="F242" s="8" t="n">
        <f aca="true">IF(ROW()-2&gt;=Inputs!$B$4,AVERAGE(OFFSET(E242,1-Inputs!$B$4,0,Inputs!$B$4,1)),"")</f>
        <v>0.935597229429667</v>
      </c>
      <c r="G242" s="8" t="n">
        <f aca="true">IF(ROW()-2&gt;=Inputs!$B$5,AVERAGE(OFFSET(E242,1-Inputs!$B$5,0,Inputs!$B$5,1)),"")</f>
        <v>0.932851662816064</v>
      </c>
      <c r="H242" s="8" t="n">
        <f aca="false">MAX(C242-D242,ABS(C242-E241),ABS(D242-E241))</f>
        <v>0.0223996806529041</v>
      </c>
      <c r="I242" s="8" t="n">
        <f aca="true">IF(ROW()-2&lt;14,"",IF(ROW()-2=14,AVERAGE(OFFSET(H242,-13,0,14,1)),(I241*13+H242)/14))</f>
        <v>0.0106693988292528</v>
      </c>
      <c r="J242" s="9" t="b">
        <f aca="false">IF(AND(ISNUMBER(F242),ISNUMBER(G242),ISNUMBER(F241),ISNUMBER(G241)),AND(F242&gt;G242,F241&lt;=G241),FALSE())</f>
        <v>0</v>
      </c>
      <c r="K242" s="9" t="b">
        <f aca="false">IF(AND(ISNUMBER(F242),ISNUMBER(G242),ISNUMBER(F241),ISNUMBER(G241)),AND(F242&lt;G242,F241&gt;=G241),FALSE())</f>
        <v>0</v>
      </c>
      <c r="L242" s="8" t="n">
        <f aca="false">IF(ISNUMBER(I242),E242-Inputs!$B$6*I242,"")</f>
        <v>0.92428802865438</v>
      </c>
      <c r="M242" s="9" t="b">
        <f aca="false">AND(Y241&gt;0,Z241)</f>
        <v>0</v>
      </c>
      <c r="N242" s="8" t="n">
        <f aca="false">B242*(1-Inputs!$B$12)</f>
        <v>0.934580104795558</v>
      </c>
      <c r="O242" s="10" t="n">
        <f aca="false">IF(M242,Y241*(N242-AB241)-Inputs!$B$9-Y241*AD241*Inputs!$B$13*(A242-AC241),0)</f>
        <v>0</v>
      </c>
      <c r="P242" s="10" t="n">
        <f aca="false">X241+O242</f>
        <v>999</v>
      </c>
      <c r="Q242" s="9" t="b">
        <f aca="false">AND(IF(M242,0,Y241)=0,AA241,IF(ISNUMBER(AE241),B242&gt;AE241,FALSE()))</f>
        <v>0</v>
      </c>
      <c r="R242" s="8" t="n">
        <f aca="false">B242*(1+Inputs!$B$12)</f>
        <v>0.934954011618841</v>
      </c>
      <c r="S242" s="11" t="n">
        <f aca="false">IF(Q242,MIN(P242*Inputs!$B$3/(R242-AE241),P242*Inputs!$B$11/R242),0)</f>
        <v>0</v>
      </c>
      <c r="T242" s="11" t="n">
        <f aca="false">IF(Q242,S242,IF(M242,0,Y241))</f>
        <v>515.951204214585</v>
      </c>
      <c r="U242" s="8" t="n">
        <f aca="false">IF(Q242,AE241,AF241)</f>
        <v>0.842594980845593</v>
      </c>
      <c r="V242" s="9" t="b">
        <f aca="false">AND(T242&gt;0,D242&lt;=U242)</f>
        <v>0</v>
      </c>
      <c r="W242" s="10" t="n">
        <f aca="false">IF(V242,T242*(AK242-AB242)-Inputs!$B$9-T242*AD242*Inputs!$B$13*(A242-AC242),0)</f>
        <v>0</v>
      </c>
      <c r="X242" s="10" t="n">
        <f aca="false">P242-IF(Q242,Inputs!$B$9,0)+W242</f>
        <v>999</v>
      </c>
      <c r="Y242" s="11" t="n">
        <f aca="false">IF(V242,0,T242)</f>
        <v>515.951204214585</v>
      </c>
      <c r="Z242" s="9" t="b">
        <f aca="false">AND(Y242&gt;0,K242)</f>
        <v>0</v>
      </c>
      <c r="AA242" s="9" t="b">
        <f aca="false">AND(Y242=0,J242,ISNUMBER(L242))</f>
        <v>0</v>
      </c>
      <c r="AB242" s="8" t="n">
        <f aca="false">IF(Q242,R242,AB241)</f>
        <v>0.861976658644412</v>
      </c>
      <c r="AC242" s="12" t="n">
        <f aca="false">IF(Q242,A242,AC241)</f>
        <v>44890</v>
      </c>
      <c r="AD242" s="8" t="n">
        <f aca="false">IF(Q242,B242,AD241)</f>
        <v>0.861804297784855</v>
      </c>
      <c r="AE242" s="8" t="str">
        <f aca="false">IF(AA242,L242,"")</f>
        <v/>
      </c>
      <c r="AF242" s="8" t="n">
        <f aca="false">U242</f>
        <v>0.842594980845593</v>
      </c>
      <c r="AG242" s="2" t="n">
        <f aca="false">AG241+IF(Q242,1,0)</f>
        <v>1</v>
      </c>
      <c r="AH242" s="2" t="n">
        <f aca="false">AG241</f>
        <v>1</v>
      </c>
      <c r="AI242" s="10" t="n">
        <f aca="false">X242+Y242*(E242-AB242)-Y242*AD242*Inputs!$B$13*(A242-AC242)</f>
        <v>1031.39037226811</v>
      </c>
      <c r="AJ242" s="10" t="n">
        <v>0</v>
      </c>
      <c r="AK242" s="8" t="n">
        <f aca="false">IF(AND(B242&lt;=U242,NOT(Q242)),B242,U242)*(1-Inputs!$B$12)</f>
        <v>0.842426461849423</v>
      </c>
    </row>
    <row r="243" customFormat="false" ht="15" hidden="false" customHeight="false" outlineLevel="0" collapsed="false">
      <c r="A243" s="6" t="n">
        <v>45027</v>
      </c>
      <c r="B243" s="7" t="n">
        <v>0.945626826312886</v>
      </c>
      <c r="C243" s="7" t="n">
        <v>0.953818824923222</v>
      </c>
      <c r="D243" s="7" t="n">
        <v>0.941388695886234</v>
      </c>
      <c r="E243" s="7" t="n">
        <v>0.949783617781689</v>
      </c>
      <c r="F243" s="8" t="n">
        <f aca="true">IF(ROW()-2&gt;=Inputs!$B$4,AVERAGE(OFFSET(E243,1-Inputs!$B$4,0,Inputs!$B$4,1)),"")</f>
        <v>0.935953238438477</v>
      </c>
      <c r="G243" s="8" t="n">
        <f aca="true">IF(ROW()-2&gt;=Inputs!$B$5,AVERAGE(OFFSET(E243,1-Inputs!$B$5,0,Inputs!$B$5,1)),"")</f>
        <v>0.933675880054325</v>
      </c>
      <c r="H243" s="8" t="n">
        <f aca="false">MAX(C243-D243,ABS(C243-E242),ABS(D243-E242))</f>
        <v>0.0124301290369876</v>
      </c>
      <c r="I243" s="8" t="n">
        <f aca="true">IF(ROW()-2&lt;14,"",IF(ROW()-2=14,AVERAGE(OFFSET(H243,-13,0,14,1)),(I242*13+H243)/14))</f>
        <v>0.0107951652726624</v>
      </c>
      <c r="J243" s="9" t="b">
        <f aca="false">IF(AND(ISNUMBER(F243),ISNUMBER(G243),ISNUMBER(F242),ISNUMBER(G242)),AND(F243&gt;G243,F242&lt;=G242),FALSE())</f>
        <v>0</v>
      </c>
      <c r="K243" s="9" t="b">
        <f aca="false">IF(AND(ISNUMBER(F243),ISNUMBER(G243),ISNUMBER(F242),ISNUMBER(G242)),AND(F243&lt;G243,F242&gt;=G242),FALSE())</f>
        <v>0</v>
      </c>
      <c r="L243" s="8" t="n">
        <f aca="false">IF(ISNUMBER(I243),E243-Inputs!$B$6*I243,"")</f>
        <v>0.928193287236364</v>
      </c>
      <c r="M243" s="9" t="b">
        <f aca="false">AND(Y242&gt;0,Z242)</f>
        <v>0</v>
      </c>
      <c r="N243" s="8" t="n">
        <f aca="false">B243*(1-Inputs!$B$12)</f>
        <v>0.945437700947623</v>
      </c>
      <c r="O243" s="10" t="n">
        <f aca="false">IF(M243,Y242*(N243-AB242)-Inputs!$B$9-Y242*AD242*Inputs!$B$13*(A243-AC242),0)</f>
        <v>0</v>
      </c>
      <c r="P243" s="10" t="n">
        <f aca="false">X242+O243</f>
        <v>999</v>
      </c>
      <c r="Q243" s="9" t="b">
        <f aca="false">AND(IF(M243,0,Y242)=0,AA242,IF(ISNUMBER(AE242),B243&gt;AE242,FALSE()))</f>
        <v>0</v>
      </c>
      <c r="R243" s="8" t="n">
        <f aca="false">B243*(1+Inputs!$B$12)</f>
        <v>0.945815951678148</v>
      </c>
      <c r="S243" s="11" t="n">
        <f aca="false">IF(Q243,MIN(P243*Inputs!$B$3/(R243-AE242),P243*Inputs!$B$11/R243),0)</f>
        <v>0</v>
      </c>
      <c r="T243" s="11" t="n">
        <f aca="false">IF(Q243,S243,IF(M243,0,Y242))</f>
        <v>515.951204214585</v>
      </c>
      <c r="U243" s="8" t="n">
        <f aca="false">IF(Q243,AE242,AF242)</f>
        <v>0.842594980845593</v>
      </c>
      <c r="V243" s="9" t="b">
        <f aca="false">AND(T243&gt;0,D243&lt;=U243)</f>
        <v>0</v>
      </c>
      <c r="W243" s="10" t="n">
        <f aca="false">IF(V243,T243*(AK243-AB243)-Inputs!$B$9-T243*AD243*Inputs!$B$13*(A243-AC243),0)</f>
        <v>0</v>
      </c>
      <c r="X243" s="10" t="n">
        <f aca="false">P243-IF(Q243,Inputs!$B$9,0)+W243</f>
        <v>999</v>
      </c>
      <c r="Y243" s="11" t="n">
        <f aca="false">IF(V243,0,T243)</f>
        <v>515.951204214585</v>
      </c>
      <c r="Z243" s="9" t="b">
        <f aca="false">AND(Y243&gt;0,K243)</f>
        <v>0</v>
      </c>
      <c r="AA243" s="9" t="b">
        <f aca="false">AND(Y243=0,J243,ISNUMBER(L243))</f>
        <v>0</v>
      </c>
      <c r="AB243" s="8" t="n">
        <f aca="false">IF(Q243,R243,AB242)</f>
        <v>0.861976658644412</v>
      </c>
      <c r="AC243" s="12" t="n">
        <f aca="false">IF(Q243,A243,AC242)</f>
        <v>44890</v>
      </c>
      <c r="AD243" s="8" t="n">
        <f aca="false">IF(Q243,B243,AD242)</f>
        <v>0.861804297784855</v>
      </c>
      <c r="AE243" s="8" t="str">
        <f aca="false">IF(AA243,L243,"")</f>
        <v/>
      </c>
      <c r="AF243" s="8" t="n">
        <f aca="false">U243</f>
        <v>0.842594980845593</v>
      </c>
      <c r="AG243" s="2" t="n">
        <f aca="false">AG242+IF(Q243,1,0)</f>
        <v>1</v>
      </c>
      <c r="AH243" s="2" t="n">
        <f aca="false">AG242</f>
        <v>1</v>
      </c>
      <c r="AI243" s="10" t="n">
        <f aca="false">X243+Y243*(E243-AB243)-Y243*AD243*Inputs!$B$13*(A243-AC243)</f>
        <v>1033.4558897698</v>
      </c>
      <c r="AJ243" s="10" t="n">
        <v>0</v>
      </c>
      <c r="AK243" s="8" t="n">
        <f aca="false">IF(AND(B243&lt;=U243,NOT(Q243)),B243,U243)*(1-Inputs!$B$12)</f>
        <v>0.842426461849423</v>
      </c>
    </row>
    <row r="244" customFormat="false" ht="15" hidden="false" customHeight="false" outlineLevel="0" collapsed="false">
      <c r="A244" s="6" t="n">
        <v>45028</v>
      </c>
      <c r="B244" s="7" t="n">
        <v>0.949783617781689</v>
      </c>
      <c r="C244" s="7" t="n">
        <v>0.950594920938401</v>
      </c>
      <c r="D244" s="7" t="n">
        <v>0.940305342429114</v>
      </c>
      <c r="E244" s="7" t="n">
        <v>0.944040865399911</v>
      </c>
      <c r="F244" s="8" t="n">
        <f aca="true">IF(ROW()-2&gt;=Inputs!$B$4,AVERAGE(OFFSET(E244,1-Inputs!$B$4,0,Inputs!$B$4,1)),"")</f>
        <v>0.935764583828994</v>
      </c>
      <c r="G244" s="8" t="n">
        <f aca="true">IF(ROW()-2&gt;=Inputs!$B$5,AVERAGE(OFFSET(E244,1-Inputs!$B$5,0,Inputs!$B$5,1)),"")</f>
        <v>0.934006209322109</v>
      </c>
      <c r="H244" s="8" t="n">
        <f aca="false">MAX(C244-D244,ABS(C244-E243),ABS(D244-E243))</f>
        <v>0.0102895785092869</v>
      </c>
      <c r="I244" s="8" t="n">
        <f aca="true">IF(ROW()-2&lt;14,"",IF(ROW()-2=14,AVERAGE(OFFSET(H244,-13,0,14,1)),(I243*13+H244)/14))</f>
        <v>0.0107590519324213</v>
      </c>
      <c r="J244" s="9" t="b">
        <f aca="false">IF(AND(ISNUMBER(F244),ISNUMBER(G244),ISNUMBER(F243),ISNUMBER(G243)),AND(F244&gt;G244,F243&lt;=G243),FALSE())</f>
        <v>0</v>
      </c>
      <c r="K244" s="9" t="b">
        <f aca="false">IF(AND(ISNUMBER(F244),ISNUMBER(G244),ISNUMBER(F243),ISNUMBER(G243)),AND(F244&lt;G244,F243&gt;=G243),FALSE())</f>
        <v>0</v>
      </c>
      <c r="L244" s="8" t="n">
        <f aca="false">IF(ISNUMBER(I244),E244-Inputs!$B$6*I244,"")</f>
        <v>0.922522761535068</v>
      </c>
      <c r="M244" s="9" t="b">
        <f aca="false">AND(Y243&gt;0,Z243)</f>
        <v>0</v>
      </c>
      <c r="N244" s="8" t="n">
        <f aca="false">B244*(1-Inputs!$B$12)</f>
        <v>0.949593661058133</v>
      </c>
      <c r="O244" s="10" t="n">
        <f aca="false">IF(M244,Y243*(N244-AB243)-Inputs!$B$9-Y243*AD243*Inputs!$B$13*(A244-AC243),0)</f>
        <v>0</v>
      </c>
      <c r="P244" s="10" t="n">
        <f aca="false">X243+O244</f>
        <v>999</v>
      </c>
      <c r="Q244" s="9" t="b">
        <f aca="false">AND(IF(M244,0,Y243)=0,AA243,IF(ISNUMBER(AE243),B244&gt;AE243,FALSE()))</f>
        <v>0</v>
      </c>
      <c r="R244" s="8" t="n">
        <f aca="false">B244*(1+Inputs!$B$12)</f>
        <v>0.949973574505246</v>
      </c>
      <c r="S244" s="11" t="n">
        <f aca="false">IF(Q244,MIN(P244*Inputs!$B$3/(R244-AE243),P244*Inputs!$B$11/R244),0)</f>
        <v>0</v>
      </c>
      <c r="T244" s="11" t="n">
        <f aca="false">IF(Q244,S244,IF(M244,0,Y243))</f>
        <v>515.951204214585</v>
      </c>
      <c r="U244" s="8" t="n">
        <f aca="false">IF(Q244,AE243,AF243)</f>
        <v>0.842594980845593</v>
      </c>
      <c r="V244" s="9" t="b">
        <f aca="false">AND(T244&gt;0,D244&lt;=U244)</f>
        <v>0</v>
      </c>
      <c r="W244" s="10" t="n">
        <f aca="false">IF(V244,T244*(AK244-AB244)-Inputs!$B$9-T244*AD244*Inputs!$B$13*(A244-AC244),0)</f>
        <v>0</v>
      </c>
      <c r="X244" s="10" t="n">
        <f aca="false">P244-IF(Q244,Inputs!$B$9,0)+W244</f>
        <v>999</v>
      </c>
      <c r="Y244" s="11" t="n">
        <f aca="false">IF(V244,0,T244)</f>
        <v>515.951204214585</v>
      </c>
      <c r="Z244" s="9" t="b">
        <f aca="false">AND(Y244&gt;0,K244)</f>
        <v>0</v>
      </c>
      <c r="AA244" s="9" t="b">
        <f aca="false">AND(Y244=0,J244,ISNUMBER(L244))</f>
        <v>0</v>
      </c>
      <c r="AB244" s="8" t="n">
        <f aca="false">IF(Q244,R244,AB243)</f>
        <v>0.861976658644412</v>
      </c>
      <c r="AC244" s="12" t="n">
        <f aca="false">IF(Q244,A244,AC243)</f>
        <v>44890</v>
      </c>
      <c r="AD244" s="8" t="n">
        <f aca="false">IF(Q244,B244,AD243)</f>
        <v>0.861804297784855</v>
      </c>
      <c r="AE244" s="8" t="str">
        <f aca="false">IF(AA244,L244,"")</f>
        <v/>
      </c>
      <c r="AF244" s="8" t="n">
        <f aca="false">U244</f>
        <v>0.842594980845593</v>
      </c>
      <c r="AG244" s="2" t="n">
        <f aca="false">AG243+IF(Q244,1,0)</f>
        <v>1</v>
      </c>
      <c r="AH244" s="2" t="n">
        <f aca="false">AG243</f>
        <v>1</v>
      </c>
      <c r="AI244" s="10" t="n">
        <f aca="false">X244+Y244*(E244-AB244)-Y244*AD244*Inputs!$B$13*(A244-AC244)</f>
        <v>1030.41372570061</v>
      </c>
      <c r="AJ244" s="10" t="n">
        <v>0</v>
      </c>
      <c r="AK244" s="8" t="n">
        <f aca="false">IF(AND(B244&lt;=U244,NOT(Q244)),B244,U244)*(1-Inputs!$B$12)</f>
        <v>0.842426461849423</v>
      </c>
    </row>
    <row r="245" customFormat="false" ht="15" hidden="false" customHeight="false" outlineLevel="0" collapsed="false">
      <c r="A245" s="6" t="n">
        <v>45029</v>
      </c>
      <c r="B245" s="7" t="n">
        <v>0.944040865399911</v>
      </c>
      <c r="C245" s="7" t="n">
        <v>0.945325716062757</v>
      </c>
      <c r="D245" s="7" t="n">
        <v>0.941999206436597</v>
      </c>
      <c r="E245" s="7" t="n">
        <v>0.94284602559606</v>
      </c>
      <c r="F245" s="8" t="n">
        <f aca="true">IF(ROW()-2&gt;=Inputs!$B$4,AVERAGE(OFFSET(E245,1-Inputs!$B$4,0,Inputs!$B$4,1)),"")</f>
        <v>0.935602300219368</v>
      </c>
      <c r="G245" s="8" t="n">
        <f aca="true">IF(ROW()-2&gt;=Inputs!$B$5,AVERAGE(OFFSET(E245,1-Inputs!$B$5,0,Inputs!$B$5,1)),"")</f>
        <v>0.934266300829971</v>
      </c>
      <c r="H245" s="8" t="n">
        <f aca="false">MAX(C245-D245,ABS(C245-E244),ABS(D245-E244))</f>
        <v>0.0033265096261601</v>
      </c>
      <c r="I245" s="8" t="n">
        <f aca="true">IF(ROW()-2&lt;14,"",IF(ROW()-2=14,AVERAGE(OFFSET(H245,-13,0,14,1)),(I244*13+H245)/14))</f>
        <v>0.0102281560534027</v>
      </c>
      <c r="J245" s="9" t="b">
        <f aca="false">IF(AND(ISNUMBER(F245),ISNUMBER(G245),ISNUMBER(F244),ISNUMBER(G244)),AND(F245&gt;G245,F244&lt;=G244),FALSE())</f>
        <v>0</v>
      </c>
      <c r="K245" s="9" t="b">
        <f aca="false">IF(AND(ISNUMBER(F245),ISNUMBER(G245),ISNUMBER(F244),ISNUMBER(G244)),AND(F245&lt;G245,F244&gt;=G244),FALSE())</f>
        <v>0</v>
      </c>
      <c r="L245" s="8" t="n">
        <f aca="false">IF(ISNUMBER(I245),E245-Inputs!$B$6*I245,"")</f>
        <v>0.922389713489255</v>
      </c>
      <c r="M245" s="9" t="b">
        <f aca="false">AND(Y244&gt;0,Z244)</f>
        <v>0</v>
      </c>
      <c r="N245" s="8" t="n">
        <f aca="false">B245*(1-Inputs!$B$12)</f>
        <v>0.943852057226831</v>
      </c>
      <c r="O245" s="10" t="n">
        <f aca="false">IF(M245,Y244*(N245-AB244)-Inputs!$B$9-Y244*AD244*Inputs!$B$13*(A245-AC244),0)</f>
        <v>0</v>
      </c>
      <c r="P245" s="10" t="n">
        <f aca="false">X244+O245</f>
        <v>999</v>
      </c>
      <c r="Q245" s="9" t="b">
        <f aca="false">AND(IF(M245,0,Y244)=0,AA244,IF(ISNUMBER(AE244),B245&gt;AE244,FALSE()))</f>
        <v>0</v>
      </c>
      <c r="R245" s="8" t="n">
        <f aca="false">B245*(1+Inputs!$B$12)</f>
        <v>0.944229673572991</v>
      </c>
      <c r="S245" s="11" t="n">
        <f aca="false">IF(Q245,MIN(P245*Inputs!$B$3/(R245-AE244),P245*Inputs!$B$11/R245),0)</f>
        <v>0</v>
      </c>
      <c r="T245" s="11" t="n">
        <f aca="false">IF(Q245,S245,IF(M245,0,Y244))</f>
        <v>515.951204214585</v>
      </c>
      <c r="U245" s="8" t="n">
        <f aca="false">IF(Q245,AE244,AF244)</f>
        <v>0.842594980845593</v>
      </c>
      <c r="V245" s="9" t="b">
        <f aca="false">AND(T245&gt;0,D245&lt;=U245)</f>
        <v>0</v>
      </c>
      <c r="W245" s="10" t="n">
        <f aca="false">IF(V245,T245*(AK245-AB245)-Inputs!$B$9-T245*AD245*Inputs!$B$13*(A245-AC245),0)</f>
        <v>0</v>
      </c>
      <c r="X245" s="10" t="n">
        <f aca="false">P245-IF(Q245,Inputs!$B$9,0)+W245</f>
        <v>999</v>
      </c>
      <c r="Y245" s="11" t="n">
        <f aca="false">IF(V245,0,T245)</f>
        <v>515.951204214585</v>
      </c>
      <c r="Z245" s="9" t="b">
        <f aca="false">AND(Y245&gt;0,K245)</f>
        <v>0</v>
      </c>
      <c r="AA245" s="9" t="b">
        <f aca="false">AND(Y245=0,J245,ISNUMBER(L245))</f>
        <v>0</v>
      </c>
      <c r="AB245" s="8" t="n">
        <f aca="false">IF(Q245,R245,AB244)</f>
        <v>0.861976658644412</v>
      </c>
      <c r="AC245" s="12" t="n">
        <f aca="false">IF(Q245,A245,AC244)</f>
        <v>44890</v>
      </c>
      <c r="AD245" s="8" t="n">
        <f aca="false">IF(Q245,B245,AD244)</f>
        <v>0.861804297784855</v>
      </c>
      <c r="AE245" s="8" t="str">
        <f aca="false">IF(AA245,L245,"")</f>
        <v/>
      </c>
      <c r="AF245" s="8" t="n">
        <f aca="false">U245</f>
        <v>0.842594980845593</v>
      </c>
      <c r="AG245" s="2" t="n">
        <f aca="false">AG244+IF(Q245,1,0)</f>
        <v>1</v>
      </c>
      <c r="AH245" s="2" t="n">
        <f aca="false">AG244</f>
        <v>1</v>
      </c>
      <c r="AI245" s="10" t="n">
        <f aca="false">X245+Y245*(E245-AB245)-Y245*AD245*Inputs!$B$13*(A245-AC245)</f>
        <v>1029.71806260267</v>
      </c>
      <c r="AJ245" s="10" t="n">
        <v>0</v>
      </c>
      <c r="AK245" s="8" t="n">
        <f aca="false">IF(AND(B245&lt;=U245,NOT(Q245)),B245,U245)*(1-Inputs!$B$12)</f>
        <v>0.842426461849423</v>
      </c>
    </row>
    <row r="246" customFormat="false" ht="15" hidden="false" customHeight="false" outlineLevel="0" collapsed="false">
      <c r="A246" s="6" t="n">
        <v>45030</v>
      </c>
      <c r="B246" s="7" t="n">
        <v>0.94284602559606</v>
      </c>
      <c r="C246" s="7" t="n">
        <v>0.943477040742177</v>
      </c>
      <c r="D246" s="7" t="n">
        <v>0.940187083637949</v>
      </c>
      <c r="E246" s="7" t="n">
        <v>0.942142161872148</v>
      </c>
      <c r="F246" s="8" t="n">
        <f aca="true">IF(ROW()-2&gt;=Inputs!$B$4,AVERAGE(OFFSET(E246,1-Inputs!$B$4,0,Inputs!$B$4,1)),"")</f>
        <v>0.935162860351013</v>
      </c>
      <c r="G246" s="8" t="n">
        <f aca="true">IF(ROW()-2&gt;=Inputs!$B$5,AVERAGE(OFFSET(E246,1-Inputs!$B$5,0,Inputs!$B$5,1)),"")</f>
        <v>0.934558007124359</v>
      </c>
      <c r="H246" s="8" t="n">
        <f aca="false">MAX(C246-D246,ABS(C246-E245),ABS(D246-E245))</f>
        <v>0.00328995710422864</v>
      </c>
      <c r="I246" s="8" t="n">
        <f aca="true">IF(ROW()-2&lt;14,"",IF(ROW()-2=14,AVERAGE(OFFSET(H246,-13,0,14,1)),(I245*13+H246)/14))</f>
        <v>0.00973257041417596</v>
      </c>
      <c r="J246" s="9" t="b">
        <f aca="false">IF(AND(ISNUMBER(F246),ISNUMBER(G246),ISNUMBER(F245),ISNUMBER(G245)),AND(F246&gt;G246,F245&lt;=G245),FALSE())</f>
        <v>0</v>
      </c>
      <c r="K246" s="9" t="b">
        <f aca="false">IF(AND(ISNUMBER(F246),ISNUMBER(G246),ISNUMBER(F245),ISNUMBER(G245)),AND(F246&lt;G246,F245&gt;=G245),FALSE())</f>
        <v>0</v>
      </c>
      <c r="L246" s="8" t="n">
        <f aca="false">IF(ISNUMBER(I246),E246-Inputs!$B$6*I246,"")</f>
        <v>0.922677021043796</v>
      </c>
      <c r="M246" s="9" t="b">
        <f aca="false">AND(Y245&gt;0,Z245)</f>
        <v>0</v>
      </c>
      <c r="N246" s="8" t="n">
        <f aca="false">B246*(1-Inputs!$B$12)</f>
        <v>0.942657456390941</v>
      </c>
      <c r="O246" s="10" t="n">
        <f aca="false">IF(M246,Y245*(N246-AB245)-Inputs!$B$9-Y245*AD245*Inputs!$B$13*(A246-AC245),0)</f>
        <v>0</v>
      </c>
      <c r="P246" s="10" t="n">
        <f aca="false">X245+O246</f>
        <v>999</v>
      </c>
      <c r="Q246" s="9" t="b">
        <f aca="false">AND(IF(M246,0,Y245)=0,AA245,IF(ISNUMBER(AE245),B246&gt;AE245,FALSE()))</f>
        <v>0</v>
      </c>
      <c r="R246" s="8" t="n">
        <f aca="false">B246*(1+Inputs!$B$12)</f>
        <v>0.943034594801179</v>
      </c>
      <c r="S246" s="11" t="n">
        <f aca="false">IF(Q246,MIN(P246*Inputs!$B$3/(R246-AE245),P246*Inputs!$B$11/R246),0)</f>
        <v>0</v>
      </c>
      <c r="T246" s="11" t="n">
        <f aca="false">IF(Q246,S246,IF(M246,0,Y245))</f>
        <v>515.951204214585</v>
      </c>
      <c r="U246" s="8" t="n">
        <f aca="false">IF(Q246,AE245,AF245)</f>
        <v>0.842594980845593</v>
      </c>
      <c r="V246" s="9" t="b">
        <f aca="false">AND(T246&gt;0,D246&lt;=U246)</f>
        <v>0</v>
      </c>
      <c r="W246" s="10" t="n">
        <f aca="false">IF(V246,T246*(AK246-AB246)-Inputs!$B$9-T246*AD246*Inputs!$B$13*(A246-AC246),0)</f>
        <v>0</v>
      </c>
      <c r="X246" s="10" t="n">
        <f aca="false">P246-IF(Q246,Inputs!$B$9,0)+W246</f>
        <v>999</v>
      </c>
      <c r="Y246" s="11" t="n">
        <f aca="false">IF(V246,0,T246)</f>
        <v>515.951204214585</v>
      </c>
      <c r="Z246" s="9" t="b">
        <f aca="false">AND(Y246&gt;0,K246)</f>
        <v>0</v>
      </c>
      <c r="AA246" s="9" t="b">
        <f aca="false">AND(Y246=0,J246,ISNUMBER(L246))</f>
        <v>0</v>
      </c>
      <c r="AB246" s="8" t="n">
        <f aca="false">IF(Q246,R246,AB245)</f>
        <v>0.861976658644412</v>
      </c>
      <c r="AC246" s="12" t="n">
        <f aca="false">IF(Q246,A246,AC245)</f>
        <v>44890</v>
      </c>
      <c r="AD246" s="8" t="n">
        <f aca="false">IF(Q246,B246,AD245)</f>
        <v>0.861804297784855</v>
      </c>
      <c r="AE246" s="8" t="str">
        <f aca="false">IF(AA246,L246,"")</f>
        <v/>
      </c>
      <c r="AF246" s="8" t="n">
        <f aca="false">U246</f>
        <v>0.842594980845593</v>
      </c>
      <c r="AG246" s="2" t="n">
        <f aca="false">AG245+IF(Q246,1,0)</f>
        <v>1</v>
      </c>
      <c r="AH246" s="2" t="n">
        <f aca="false">AG245</f>
        <v>1</v>
      </c>
      <c r="AI246" s="10" t="n">
        <f aca="false">X246+Y246*(E246-AB246)-Y246*AD246*Inputs!$B$13*(A246-AC246)</f>
        <v>1029.27571920441</v>
      </c>
      <c r="AJ246" s="10" t="n">
        <v>0</v>
      </c>
      <c r="AK246" s="8" t="n">
        <f aca="false">IF(AND(B246&lt;=U246,NOT(Q246)),B246,U246)*(1-Inputs!$B$12)</f>
        <v>0.842426461849423</v>
      </c>
    </row>
    <row r="247" customFormat="false" ht="15" hidden="false" customHeight="false" outlineLevel="0" collapsed="false">
      <c r="A247" s="6" t="n">
        <v>45031</v>
      </c>
      <c r="B247" s="7" t="n">
        <v>0.942142161872148</v>
      </c>
      <c r="C247" s="7" t="n">
        <v>0.951298972545637</v>
      </c>
      <c r="D247" s="7" t="n">
        <v>0.939042985088773</v>
      </c>
      <c r="E247" s="7" t="n">
        <v>0.945839453211314</v>
      </c>
      <c r="F247" s="8" t="n">
        <f aca="true">IF(ROW()-2&gt;=Inputs!$B$4,AVERAGE(OFFSET(E247,1-Inputs!$B$4,0,Inputs!$B$4,1)),"")</f>
        <v>0.934955538200627</v>
      </c>
      <c r="G247" s="8" t="n">
        <f aca="true">IF(ROW()-2&gt;=Inputs!$B$5,AVERAGE(OFFSET(E247,1-Inputs!$B$5,0,Inputs!$B$5,1)),"")</f>
        <v>0.935087894955722</v>
      </c>
      <c r="H247" s="8" t="n">
        <f aca="false">MAX(C247-D247,ABS(C247-E246),ABS(D247-E246))</f>
        <v>0.0122559874568642</v>
      </c>
      <c r="I247" s="8" t="n">
        <f aca="true">IF(ROW()-2&lt;14,"",IF(ROW()-2=14,AVERAGE(OFFSET(H247,-13,0,14,1)),(I246*13+H247)/14))</f>
        <v>0.00991281448865368</v>
      </c>
      <c r="J247" s="9" t="b">
        <f aca="false">IF(AND(ISNUMBER(F247),ISNUMBER(G247),ISNUMBER(F246),ISNUMBER(G246)),AND(F247&gt;G247,F246&lt;=G246),FALSE())</f>
        <v>0</v>
      </c>
      <c r="K247" s="9" t="b">
        <f aca="false">IF(AND(ISNUMBER(F247),ISNUMBER(G247),ISNUMBER(F246),ISNUMBER(G246)),AND(F247&lt;G247,F246&gt;=G246),FALSE())</f>
        <v>1</v>
      </c>
      <c r="L247" s="8" t="n">
        <f aca="false">IF(ISNUMBER(I247),E247-Inputs!$B$6*I247,"")</f>
        <v>0.926013824234006</v>
      </c>
      <c r="M247" s="9" t="b">
        <f aca="false">AND(Y246&gt;0,Z246)</f>
        <v>0</v>
      </c>
      <c r="N247" s="8" t="n">
        <f aca="false">B247*(1-Inputs!$B$12)</f>
        <v>0.941953733439774</v>
      </c>
      <c r="O247" s="10" t="n">
        <f aca="false">IF(M247,Y246*(N247-AB246)-Inputs!$B$9-Y246*AD246*Inputs!$B$13*(A247-AC246),0)</f>
        <v>0</v>
      </c>
      <c r="P247" s="10" t="n">
        <f aca="false">X246+O247</f>
        <v>999</v>
      </c>
      <c r="Q247" s="9" t="b">
        <f aca="false">AND(IF(M247,0,Y246)=0,AA246,IF(ISNUMBER(AE246),B247&gt;AE246,FALSE()))</f>
        <v>0</v>
      </c>
      <c r="R247" s="8" t="n">
        <f aca="false">B247*(1+Inputs!$B$12)</f>
        <v>0.942330590304522</v>
      </c>
      <c r="S247" s="11" t="n">
        <f aca="false">IF(Q247,MIN(P247*Inputs!$B$3/(R247-AE246),P247*Inputs!$B$11/R247),0)</f>
        <v>0</v>
      </c>
      <c r="T247" s="11" t="n">
        <f aca="false">IF(Q247,S247,IF(M247,0,Y246))</f>
        <v>515.951204214585</v>
      </c>
      <c r="U247" s="8" t="n">
        <f aca="false">IF(Q247,AE246,AF246)</f>
        <v>0.842594980845593</v>
      </c>
      <c r="V247" s="9" t="b">
        <f aca="false">AND(T247&gt;0,D247&lt;=U247)</f>
        <v>0</v>
      </c>
      <c r="W247" s="10" t="n">
        <f aca="false">IF(V247,T247*(AK247-AB247)-Inputs!$B$9-T247*AD247*Inputs!$B$13*(A247-AC247),0)</f>
        <v>0</v>
      </c>
      <c r="X247" s="10" t="n">
        <f aca="false">P247-IF(Q247,Inputs!$B$9,0)+W247</f>
        <v>999</v>
      </c>
      <c r="Y247" s="11" t="n">
        <f aca="false">IF(V247,0,T247)</f>
        <v>515.951204214585</v>
      </c>
      <c r="Z247" s="9" t="b">
        <f aca="false">AND(Y247&gt;0,K247)</f>
        <v>1</v>
      </c>
      <c r="AA247" s="9" t="b">
        <f aca="false">AND(Y247=0,J247,ISNUMBER(L247))</f>
        <v>0</v>
      </c>
      <c r="AB247" s="8" t="n">
        <f aca="false">IF(Q247,R247,AB246)</f>
        <v>0.861976658644412</v>
      </c>
      <c r="AC247" s="12" t="n">
        <f aca="false">IF(Q247,A247,AC246)</f>
        <v>44890</v>
      </c>
      <c r="AD247" s="8" t="n">
        <f aca="false">IF(Q247,B247,AD246)</f>
        <v>0.861804297784855</v>
      </c>
      <c r="AE247" s="8" t="str">
        <f aca="false">IF(AA247,L247,"")</f>
        <v/>
      </c>
      <c r="AF247" s="8" t="n">
        <f aca="false">U247</f>
        <v>0.842594980845593</v>
      </c>
      <c r="AG247" s="2" t="n">
        <f aca="false">AG246+IF(Q247,1,0)</f>
        <v>1</v>
      </c>
      <c r="AH247" s="2" t="n">
        <f aca="false">AG246</f>
        <v>1</v>
      </c>
      <c r="AI247" s="10" t="n">
        <f aca="false">X247+Y247*(E247-AB247)-Y247*AD247*Inputs!$B$13*(A247-AC247)</f>
        <v>1031.10415706088</v>
      </c>
      <c r="AJ247" s="10" t="n">
        <v>0</v>
      </c>
      <c r="AK247" s="8" t="n">
        <f aca="false">IF(AND(B247&lt;=U247,NOT(Q247)),B247,U247)*(1-Inputs!$B$12)</f>
        <v>0.842426461849423</v>
      </c>
    </row>
    <row r="248" customFormat="false" ht="15" hidden="false" customHeight="false" outlineLevel="0" collapsed="false">
      <c r="A248" s="6" t="n">
        <v>45032</v>
      </c>
      <c r="B248" s="7" t="n">
        <v>0.945839453211314</v>
      </c>
      <c r="C248" s="7" t="n">
        <v>0.955297185131802</v>
      </c>
      <c r="D248" s="7" t="n">
        <v>0.943377903477035</v>
      </c>
      <c r="E248" s="7" t="n">
        <v>0.951256914364073</v>
      </c>
      <c r="F248" s="8" t="n">
        <f aca="true">IF(ROW()-2&gt;=Inputs!$B$4,AVERAGE(OFFSET(E248,1-Inputs!$B$4,0,Inputs!$B$4,1)),"")</f>
        <v>0.935472715034868</v>
      </c>
      <c r="G248" s="8" t="n">
        <f aca="true">IF(ROW()-2&gt;=Inputs!$B$5,AVERAGE(OFFSET(E248,1-Inputs!$B$5,0,Inputs!$B$5,1)),"")</f>
        <v>0.935709216399397</v>
      </c>
      <c r="H248" s="8" t="n">
        <f aca="false">MAX(C248-D248,ABS(C248-E247),ABS(D248-E247))</f>
        <v>0.0119192816547671</v>
      </c>
      <c r="I248" s="8" t="n">
        <f aca="true">IF(ROW()-2&lt;14,"",IF(ROW()-2=14,AVERAGE(OFFSET(H248,-13,0,14,1)),(I247*13+H248)/14))</f>
        <v>0.0100561335719475</v>
      </c>
      <c r="J248" s="9" t="b">
        <f aca="false">IF(AND(ISNUMBER(F248),ISNUMBER(G248),ISNUMBER(F247),ISNUMBER(G247)),AND(F248&gt;G248,F247&lt;=G247),FALSE())</f>
        <v>0</v>
      </c>
      <c r="K248" s="9" t="b">
        <f aca="false">IF(AND(ISNUMBER(F248),ISNUMBER(G248),ISNUMBER(F247),ISNUMBER(G247)),AND(F248&lt;G248,F247&gt;=G247),FALSE())</f>
        <v>0</v>
      </c>
      <c r="L248" s="8" t="n">
        <f aca="false">IF(ISNUMBER(I248),E248-Inputs!$B$6*I248,"")</f>
        <v>0.931144647220178</v>
      </c>
      <c r="M248" s="9" t="b">
        <f aca="false">AND(Y247&gt;0,Z247)</f>
        <v>1</v>
      </c>
      <c r="N248" s="8" t="n">
        <f aca="false">B248*(1-Inputs!$B$12)</f>
        <v>0.945650285320671</v>
      </c>
      <c r="O248" s="10" t="n">
        <f aca="false">IF(M248,Y247*(N248-AB247)-Inputs!$B$9-Y247*AD247*Inputs!$B$13*(A248-AC247),0)</f>
        <v>30.9273715976048</v>
      </c>
      <c r="P248" s="10" t="n">
        <f aca="false">X247+O248</f>
        <v>1029.9273715976</v>
      </c>
      <c r="Q248" s="9" t="b">
        <f aca="false">AND(IF(M248,0,Y247)=0,AA247,IF(ISNUMBER(AE247),B248&gt;AE247,FALSE()))</f>
        <v>0</v>
      </c>
      <c r="R248" s="8" t="n">
        <f aca="false">B248*(1+Inputs!$B$12)</f>
        <v>0.946028621101956</v>
      </c>
      <c r="S248" s="11" t="n">
        <f aca="false">IF(Q248,MIN(P248*Inputs!$B$3/(R248-AE247),P248*Inputs!$B$11/R248),0)</f>
        <v>0</v>
      </c>
      <c r="T248" s="11" t="n">
        <f aca="false">IF(Q248,S248,IF(M248,0,Y247))</f>
        <v>0</v>
      </c>
      <c r="U248" s="8" t="n">
        <f aca="false">IF(Q248,AE247,AF247)</f>
        <v>0.842594980845593</v>
      </c>
      <c r="V248" s="9" t="b">
        <f aca="false">AND(T248&gt;0,D248&lt;=U248)</f>
        <v>0</v>
      </c>
      <c r="W248" s="10" t="n">
        <f aca="false">IF(V248,T248*(AK248-AB248)-Inputs!$B$9-T248*AD248*Inputs!$B$13*(A248-AC248),0)</f>
        <v>0</v>
      </c>
      <c r="X248" s="10" t="n">
        <f aca="false">P248-IF(Q248,Inputs!$B$9,0)+W248</f>
        <v>1029.9273715976</v>
      </c>
      <c r="Y248" s="11" t="n">
        <f aca="false">IF(V248,0,T248)</f>
        <v>0</v>
      </c>
      <c r="Z248" s="9" t="b">
        <f aca="false">AND(Y248&gt;0,K248)</f>
        <v>0</v>
      </c>
      <c r="AA248" s="9" t="b">
        <f aca="false">AND(Y248=0,J248,ISNUMBER(L248))</f>
        <v>0</v>
      </c>
      <c r="AB248" s="8" t="n">
        <f aca="false">IF(Q248,R248,AB247)</f>
        <v>0.861976658644412</v>
      </c>
      <c r="AC248" s="12" t="n">
        <f aca="false">IF(Q248,A248,AC247)</f>
        <v>44890</v>
      </c>
      <c r="AD248" s="8" t="n">
        <f aca="false">IF(Q248,B248,AD247)</f>
        <v>0.861804297784855</v>
      </c>
      <c r="AE248" s="8" t="str">
        <f aca="false">IF(AA248,L248,"")</f>
        <v/>
      </c>
      <c r="AF248" s="8" t="n">
        <f aca="false">U248</f>
        <v>0.842594980845593</v>
      </c>
      <c r="AG248" s="2" t="n">
        <f aca="false">AG247+IF(Q248,1,0)</f>
        <v>1</v>
      </c>
      <c r="AH248" s="2" t="n">
        <f aca="false">AG247</f>
        <v>1</v>
      </c>
      <c r="AI248" s="10" t="n">
        <f aca="false">X248+Y248*(E248-AB248)-Y248*AD248*Inputs!$B$13*(A248-AC248)</f>
        <v>1029.9273715976</v>
      </c>
      <c r="AJ248" s="10" t="n">
        <v>0</v>
      </c>
      <c r="AK248" s="8" t="n">
        <f aca="false">IF(AND(B248&lt;=U248,NOT(Q248)),B248,U248)*(1-Inputs!$B$12)</f>
        <v>0.842426461849423</v>
      </c>
    </row>
    <row r="249" customFormat="false" ht="15" hidden="false" customHeight="false" outlineLevel="0" collapsed="false">
      <c r="A249" s="6" t="n">
        <v>45033</v>
      </c>
      <c r="B249" s="7" t="n">
        <v>0.951256914364073</v>
      </c>
      <c r="C249" s="7" t="n">
        <v>0.958128113534613</v>
      </c>
      <c r="D249" s="7" t="n">
        <v>0.950748039862794</v>
      </c>
      <c r="E249" s="7" t="n">
        <v>0.958058034944351</v>
      </c>
      <c r="F249" s="8" t="n">
        <f aca="true">IF(ROW()-2&gt;=Inputs!$B$4,AVERAGE(OFFSET(E249,1-Inputs!$B$4,0,Inputs!$B$4,1)),"")</f>
        <v>0.936424122489145</v>
      </c>
      <c r="G249" s="8" t="n">
        <f aca="true">IF(ROW()-2&gt;=Inputs!$B$5,AVERAGE(OFFSET(E249,1-Inputs!$B$5,0,Inputs!$B$5,1)),"")</f>
        <v>0.936265564236262</v>
      </c>
      <c r="H249" s="8" t="n">
        <f aca="false">MAX(C249-D249,ABS(C249-E248),ABS(D249-E248))</f>
        <v>0.00738007367181948</v>
      </c>
      <c r="I249" s="8" t="n">
        <f aca="true">IF(ROW()-2&lt;14,"",IF(ROW()-2=14,AVERAGE(OFFSET(H249,-13,0,14,1)),(I248*13+H249)/14))</f>
        <v>0.00986498643622407</v>
      </c>
      <c r="J249" s="9" t="b">
        <f aca="false">IF(AND(ISNUMBER(F249),ISNUMBER(G249),ISNUMBER(F248),ISNUMBER(G248)),AND(F249&gt;G249,F248&lt;=G248),FALSE())</f>
        <v>1</v>
      </c>
      <c r="K249" s="9" t="b">
        <f aca="false">IF(AND(ISNUMBER(F249),ISNUMBER(G249),ISNUMBER(F248),ISNUMBER(G248)),AND(F249&lt;G249,F248&gt;=G248),FALSE())</f>
        <v>0</v>
      </c>
      <c r="L249" s="8" t="n">
        <f aca="false">IF(ISNUMBER(I249),E249-Inputs!$B$6*I249,"")</f>
        <v>0.938328062071903</v>
      </c>
      <c r="M249" s="9" t="b">
        <f aca="false">AND(Y248&gt;0,Z248)</f>
        <v>0</v>
      </c>
      <c r="N249" s="8" t="n">
        <f aca="false">B249*(1-Inputs!$B$12)</f>
        <v>0.9510666629812</v>
      </c>
      <c r="O249" s="10" t="n">
        <f aca="false">IF(M249,Y248*(N249-AB248)-Inputs!$B$9-Y248*AD248*Inputs!$B$13*(A249-AC248),0)</f>
        <v>0</v>
      </c>
      <c r="P249" s="10" t="n">
        <f aca="false">X248+O249</f>
        <v>1029.9273715976</v>
      </c>
      <c r="Q249" s="9" t="b">
        <f aca="false">AND(IF(M249,0,Y248)=0,AA248,IF(ISNUMBER(AE248),B249&gt;AE248,FALSE()))</f>
        <v>0</v>
      </c>
      <c r="R249" s="8" t="n">
        <f aca="false">B249*(1+Inputs!$B$12)</f>
        <v>0.951447165746946</v>
      </c>
      <c r="S249" s="11" t="n">
        <f aca="false">IF(Q249,MIN(P249*Inputs!$B$3/(R249-AE248),P249*Inputs!$B$11/R249),0)</f>
        <v>0</v>
      </c>
      <c r="T249" s="11" t="n">
        <f aca="false">IF(Q249,S249,IF(M249,0,Y248))</f>
        <v>0</v>
      </c>
      <c r="U249" s="8" t="n">
        <f aca="false">IF(Q249,AE248,AF248)</f>
        <v>0.842594980845593</v>
      </c>
      <c r="V249" s="9" t="b">
        <f aca="false">AND(T249&gt;0,D249&lt;=U249)</f>
        <v>0</v>
      </c>
      <c r="W249" s="10" t="n">
        <f aca="false">IF(V249,T249*(AK249-AB249)-Inputs!$B$9-T249*AD249*Inputs!$B$13*(A249-AC249),0)</f>
        <v>0</v>
      </c>
      <c r="X249" s="10" t="n">
        <f aca="false">P249-IF(Q249,Inputs!$B$9,0)+W249</f>
        <v>1029.9273715976</v>
      </c>
      <c r="Y249" s="11" t="n">
        <f aca="false">IF(V249,0,T249)</f>
        <v>0</v>
      </c>
      <c r="Z249" s="9" t="b">
        <f aca="false">AND(Y249&gt;0,K249)</f>
        <v>0</v>
      </c>
      <c r="AA249" s="9" t="b">
        <f aca="false">AND(Y249=0,J249,ISNUMBER(L249))</f>
        <v>1</v>
      </c>
      <c r="AB249" s="8" t="n">
        <f aca="false">IF(Q249,R249,AB248)</f>
        <v>0.861976658644412</v>
      </c>
      <c r="AC249" s="12" t="n">
        <f aca="false">IF(Q249,A249,AC248)</f>
        <v>44890</v>
      </c>
      <c r="AD249" s="8" t="n">
        <f aca="false">IF(Q249,B249,AD248)</f>
        <v>0.861804297784855</v>
      </c>
      <c r="AE249" s="8" t="n">
        <f aca="false">IF(AA249,L249,"")</f>
        <v>0.938328062071903</v>
      </c>
      <c r="AF249" s="8" t="n">
        <f aca="false">U249</f>
        <v>0.842594980845593</v>
      </c>
      <c r="AG249" s="2" t="n">
        <f aca="false">AG248+IF(Q249,1,0)</f>
        <v>1</v>
      </c>
      <c r="AH249" s="2" t="n">
        <f aca="false">AG248</f>
        <v>1</v>
      </c>
      <c r="AI249" s="10" t="n">
        <f aca="false">X249+Y249*(E249-AB249)-Y249*AD249*Inputs!$B$13*(A249-AC249)</f>
        <v>1029.9273715976</v>
      </c>
      <c r="AJ249" s="10" t="n">
        <v>0</v>
      </c>
      <c r="AK249" s="8" t="n">
        <f aca="false">IF(AND(B249&lt;=U249,NOT(Q249)),B249,U249)*(1-Inputs!$B$12)</f>
        <v>0.842426461849423</v>
      </c>
    </row>
    <row r="250" customFormat="false" ht="15" hidden="false" customHeight="false" outlineLevel="0" collapsed="false">
      <c r="A250" s="6" t="n">
        <v>45034</v>
      </c>
      <c r="B250" s="7" t="n">
        <v>0.958058034944351</v>
      </c>
      <c r="C250" s="7" t="n">
        <v>0.974392209966248</v>
      </c>
      <c r="D250" s="7" t="n">
        <v>0.956397858601625</v>
      </c>
      <c r="E250" s="7" t="n">
        <v>0.969265405780752</v>
      </c>
      <c r="F250" s="8" t="n">
        <f aca="true">IF(ROW()-2&gt;=Inputs!$B$4,AVERAGE(OFFSET(E250,1-Inputs!$B$4,0,Inputs!$B$4,1)),"")</f>
        <v>0.938056654057636</v>
      </c>
      <c r="G250" s="8" t="n">
        <f aca="true">IF(ROW()-2&gt;=Inputs!$B$5,AVERAGE(OFFSET(E250,1-Inputs!$B$5,0,Inputs!$B$5,1)),"")</f>
        <v>0.936849455936615</v>
      </c>
      <c r="H250" s="8" t="n">
        <f aca="false">MAX(C250-D250,ABS(C250-E249),ABS(D250-E249))</f>
        <v>0.0179943513646234</v>
      </c>
      <c r="I250" s="8" t="n">
        <f aca="true">IF(ROW()-2&lt;14,"",IF(ROW()-2=14,AVERAGE(OFFSET(H250,-13,0,14,1)),(I249*13+H250)/14))</f>
        <v>0.0104456553596812</v>
      </c>
      <c r="J250" s="9" t="b">
        <f aca="false">IF(AND(ISNUMBER(F250),ISNUMBER(G250),ISNUMBER(F249),ISNUMBER(G249)),AND(F250&gt;G250,F249&lt;=G249),FALSE())</f>
        <v>0</v>
      </c>
      <c r="K250" s="9" t="b">
        <f aca="false">IF(AND(ISNUMBER(F250),ISNUMBER(G250),ISNUMBER(F249),ISNUMBER(G249)),AND(F250&lt;G250,F249&gt;=G249),FALSE())</f>
        <v>0</v>
      </c>
      <c r="L250" s="8" t="n">
        <f aca="false">IF(ISNUMBER(I250),E250-Inputs!$B$6*I250,"")</f>
        <v>0.94837409506139</v>
      </c>
      <c r="M250" s="9" t="b">
        <f aca="false">AND(Y249&gt;0,Z249)</f>
        <v>0</v>
      </c>
      <c r="N250" s="8" t="n">
        <f aca="false">B250*(1-Inputs!$B$12)</f>
        <v>0.957866423337362</v>
      </c>
      <c r="O250" s="10" t="n">
        <f aca="false">IF(M250,Y249*(N250-AB249)-Inputs!$B$9-Y249*AD249*Inputs!$B$13*(A250-AC249),0)</f>
        <v>0</v>
      </c>
      <c r="P250" s="10" t="n">
        <f aca="false">X249+O250</f>
        <v>1029.9273715976</v>
      </c>
      <c r="Q250" s="9" t="b">
        <f aca="false">AND(IF(M250,0,Y249)=0,AA249,IF(ISNUMBER(AE249),B250&gt;AE249,FALSE()))</f>
        <v>1</v>
      </c>
      <c r="R250" s="8" t="n">
        <f aca="false">B250*(1+Inputs!$B$12)</f>
        <v>0.95824964655134</v>
      </c>
      <c r="S250" s="11" t="n">
        <f aca="false">IF(Q250,MIN(P250*Inputs!$B$3/(R250-AE249),P250*Inputs!$B$11/R250),0)</f>
        <v>516.99069050491</v>
      </c>
      <c r="T250" s="11" t="n">
        <f aca="false">IF(Q250,S250,IF(M250,0,Y249))</f>
        <v>516.99069050491</v>
      </c>
      <c r="U250" s="8" t="n">
        <f aca="false">IF(Q250,AE249,AF249)</f>
        <v>0.938328062071903</v>
      </c>
      <c r="V250" s="9" t="b">
        <f aca="false">AND(T250&gt;0,D250&lt;=U250)</f>
        <v>0</v>
      </c>
      <c r="W250" s="10" t="n">
        <f aca="false">IF(V250,T250*(AK250-AB250)-Inputs!$B$9-T250*AD250*Inputs!$B$13*(A250-AC250),0)</f>
        <v>0</v>
      </c>
      <c r="X250" s="10" t="n">
        <f aca="false">P250-IF(Q250,Inputs!$B$9,0)+W250</f>
        <v>1028.9273715976</v>
      </c>
      <c r="Y250" s="11" t="n">
        <f aca="false">IF(V250,0,T250)</f>
        <v>516.99069050491</v>
      </c>
      <c r="Z250" s="9" t="b">
        <f aca="false">AND(Y250&gt;0,K250)</f>
        <v>0</v>
      </c>
      <c r="AA250" s="9" t="b">
        <f aca="false">AND(Y250=0,J250,ISNUMBER(L250))</f>
        <v>0</v>
      </c>
      <c r="AB250" s="8" t="n">
        <f aca="false">IF(Q250,R250,AB249)</f>
        <v>0.95824964655134</v>
      </c>
      <c r="AC250" s="12" t="n">
        <f aca="false">IF(Q250,A250,AC249)</f>
        <v>45034</v>
      </c>
      <c r="AD250" s="8" t="n">
        <f aca="false">IF(Q250,B250,AD249)</f>
        <v>0.958058034944351</v>
      </c>
      <c r="AE250" s="8" t="str">
        <f aca="false">IF(AA250,L250,"")</f>
        <v/>
      </c>
      <c r="AF250" s="8" t="n">
        <f aca="false">U250</f>
        <v>0.938328062071903</v>
      </c>
      <c r="AG250" s="2" t="n">
        <f aca="false">AG249+IF(Q250,1,0)</f>
        <v>2</v>
      </c>
      <c r="AH250" s="2" t="n">
        <f aca="false">AG249</f>
        <v>1</v>
      </c>
      <c r="AI250" s="10" t="n">
        <f aca="false">X250+Y250*(E250-AB250)-Y250*AD250*Inputs!$B$13*(A250-AC250)</f>
        <v>1034.62241656805</v>
      </c>
      <c r="AJ250" s="10" t="n">
        <v>0</v>
      </c>
      <c r="AK250" s="8" t="n">
        <f aca="false">IF(AND(B250&lt;=U250,NOT(Q250)),B250,U250)*(1-Inputs!$B$12)</f>
        <v>0.938140396459488</v>
      </c>
    </row>
    <row r="251" customFormat="false" ht="15" hidden="false" customHeight="false" outlineLevel="0" collapsed="false">
      <c r="A251" s="6" t="n">
        <v>45035</v>
      </c>
      <c r="B251" s="7" t="n">
        <v>0.969265405780752</v>
      </c>
      <c r="C251" s="7" t="n">
        <v>0.978069683528629</v>
      </c>
      <c r="D251" s="7" t="n">
        <v>0.967917047071299</v>
      </c>
      <c r="E251" s="7" t="n">
        <v>0.974358066917971</v>
      </c>
      <c r="F251" s="8" t="n">
        <f aca="true">IF(ROW()-2&gt;=Inputs!$B$4,AVERAGE(OFFSET(E251,1-Inputs!$B$4,0,Inputs!$B$4,1)),"")</f>
        <v>0.93979529467151</v>
      </c>
      <c r="G251" s="8" t="n">
        <f aca="true">IF(ROW()-2&gt;=Inputs!$B$5,AVERAGE(OFFSET(E251,1-Inputs!$B$5,0,Inputs!$B$5,1)),"")</f>
        <v>0.937461604544327</v>
      </c>
      <c r="H251" s="8" t="n">
        <f aca="false">MAX(C251-D251,ABS(C251-E250),ABS(D251-E250))</f>
        <v>0.0101526364573294</v>
      </c>
      <c r="I251" s="8" t="n">
        <f aca="true">IF(ROW()-2&lt;14,"",IF(ROW()-2=14,AVERAGE(OFFSET(H251,-13,0,14,1)),(I250*13+H251)/14))</f>
        <v>0.0104247254380846</v>
      </c>
      <c r="J251" s="9" t="b">
        <f aca="false">IF(AND(ISNUMBER(F251),ISNUMBER(G251),ISNUMBER(F250),ISNUMBER(G250)),AND(F251&gt;G251,F250&lt;=G250),FALSE())</f>
        <v>0</v>
      </c>
      <c r="K251" s="9" t="b">
        <f aca="false">IF(AND(ISNUMBER(F251),ISNUMBER(G251),ISNUMBER(F250),ISNUMBER(G250)),AND(F251&lt;G251,F250&gt;=G250),FALSE())</f>
        <v>0</v>
      </c>
      <c r="L251" s="8" t="n">
        <f aca="false">IF(ISNUMBER(I251),E251-Inputs!$B$6*I251,"")</f>
        <v>0.953508616041802</v>
      </c>
      <c r="M251" s="9" t="b">
        <f aca="false">AND(Y250&gt;0,Z250)</f>
        <v>0</v>
      </c>
      <c r="N251" s="8" t="n">
        <f aca="false">B251*(1-Inputs!$B$12)</f>
        <v>0.969071552699596</v>
      </c>
      <c r="O251" s="10" t="n">
        <f aca="false">IF(M251,Y250*(N251-AB250)-Inputs!$B$9-Y250*AD250*Inputs!$B$13*(A251-AC250),0)</f>
        <v>0</v>
      </c>
      <c r="P251" s="10" t="n">
        <f aca="false">X250+O251</f>
        <v>1028.9273715976</v>
      </c>
      <c r="Q251" s="9" t="b">
        <f aca="false">AND(IF(M251,0,Y250)=0,AA250,IF(ISNUMBER(AE250),B251&gt;AE250,FALSE()))</f>
        <v>0</v>
      </c>
      <c r="R251" s="8" t="n">
        <f aca="false">B251*(1+Inputs!$B$12)</f>
        <v>0.969459258861908</v>
      </c>
      <c r="S251" s="11" t="n">
        <f aca="false">IF(Q251,MIN(P251*Inputs!$B$3/(R251-AE250),P251*Inputs!$B$11/R251),0)</f>
        <v>0</v>
      </c>
      <c r="T251" s="11" t="n">
        <f aca="false">IF(Q251,S251,IF(M251,0,Y250))</f>
        <v>516.99069050491</v>
      </c>
      <c r="U251" s="8" t="n">
        <f aca="false">IF(Q251,AE250,AF250)</f>
        <v>0.938328062071903</v>
      </c>
      <c r="V251" s="9" t="b">
        <f aca="false">AND(T251&gt;0,D251&lt;=U251)</f>
        <v>0</v>
      </c>
      <c r="W251" s="10" t="n">
        <f aca="false">IF(V251,T251*(AK251-AB251)-Inputs!$B$9-T251*AD251*Inputs!$B$13*(A251-AC251),0)</f>
        <v>0</v>
      </c>
      <c r="X251" s="10" t="n">
        <f aca="false">P251-IF(Q251,Inputs!$B$9,0)+W251</f>
        <v>1028.9273715976</v>
      </c>
      <c r="Y251" s="11" t="n">
        <f aca="false">IF(V251,0,T251)</f>
        <v>516.99069050491</v>
      </c>
      <c r="Z251" s="9" t="b">
        <f aca="false">AND(Y251&gt;0,K251)</f>
        <v>0</v>
      </c>
      <c r="AA251" s="9" t="b">
        <f aca="false">AND(Y251=0,J251,ISNUMBER(L251))</f>
        <v>0</v>
      </c>
      <c r="AB251" s="8" t="n">
        <f aca="false">IF(Q251,R251,AB250)</f>
        <v>0.95824964655134</v>
      </c>
      <c r="AC251" s="12" t="n">
        <f aca="false">IF(Q251,A251,AC250)</f>
        <v>45034</v>
      </c>
      <c r="AD251" s="8" t="n">
        <f aca="false">IF(Q251,B251,AD250)</f>
        <v>0.958058034944351</v>
      </c>
      <c r="AE251" s="8" t="str">
        <f aca="false">IF(AA251,L251,"")</f>
        <v/>
      </c>
      <c r="AF251" s="8" t="n">
        <f aca="false">U251</f>
        <v>0.938328062071903</v>
      </c>
      <c r="AG251" s="2" t="n">
        <f aca="false">AG250+IF(Q251,1,0)</f>
        <v>2</v>
      </c>
      <c r="AH251" s="2" t="n">
        <f aca="false">AG250</f>
        <v>2</v>
      </c>
      <c r="AI251" s="10" t="n">
        <f aca="false">X251+Y251*(E251-AB251)-Y251*AD251*Inputs!$B$13*(A251-AC251)</f>
        <v>1037.16706959459</v>
      </c>
      <c r="AJ251" s="10" t="n">
        <v>0</v>
      </c>
      <c r="AK251" s="8" t="n">
        <f aca="false">IF(AND(B251&lt;=U251,NOT(Q251)),B251,U251)*(1-Inputs!$B$12)</f>
        <v>0.938140396459488</v>
      </c>
    </row>
    <row r="252" customFormat="false" ht="15" hidden="false" customHeight="false" outlineLevel="0" collapsed="false">
      <c r="A252" s="6" t="n">
        <v>45036</v>
      </c>
      <c r="B252" s="7" t="n">
        <v>0.974358066917971</v>
      </c>
      <c r="C252" s="7" t="n">
        <v>0.976913204310717</v>
      </c>
      <c r="D252" s="7" t="n">
        <v>0.96420834271771</v>
      </c>
      <c r="E252" s="7" t="n">
        <v>0.964826067402596</v>
      </c>
      <c r="F252" s="8" t="n">
        <f aca="true">IF(ROW()-2&gt;=Inputs!$B$4,AVERAGE(OFFSET(E252,1-Inputs!$B$4,0,Inputs!$B$4,1)),"")</f>
        <v>0.941395790754504</v>
      </c>
      <c r="G252" s="8" t="n">
        <f aca="true">IF(ROW()-2&gt;=Inputs!$B$5,AVERAGE(OFFSET(E252,1-Inputs!$B$5,0,Inputs!$B$5,1)),"")</f>
        <v>0.938033051976492</v>
      </c>
      <c r="H252" s="8" t="n">
        <f aca="false">MAX(C252-D252,ABS(C252-E251),ABS(D252-E251))</f>
        <v>0.012704861593007</v>
      </c>
      <c r="I252" s="8" t="n">
        <f aca="true">IF(ROW()-2&lt;14,"",IF(ROW()-2=14,AVERAGE(OFFSET(H252,-13,0,14,1)),(I251*13+H252)/14))</f>
        <v>0.0105875923062933</v>
      </c>
      <c r="J252" s="9" t="b">
        <f aca="false">IF(AND(ISNUMBER(F252),ISNUMBER(G252),ISNUMBER(F251),ISNUMBER(G251)),AND(F252&gt;G252,F251&lt;=G251),FALSE())</f>
        <v>0</v>
      </c>
      <c r="K252" s="9" t="b">
        <f aca="false">IF(AND(ISNUMBER(F252),ISNUMBER(G252),ISNUMBER(F251),ISNUMBER(G251)),AND(F252&lt;G252,F251&gt;=G251),FALSE())</f>
        <v>0</v>
      </c>
      <c r="L252" s="8" t="n">
        <f aca="false">IF(ISNUMBER(I252),E252-Inputs!$B$6*I252,"")</f>
        <v>0.943650882790009</v>
      </c>
      <c r="M252" s="9" t="b">
        <f aca="false">AND(Y251&gt;0,Z251)</f>
        <v>0</v>
      </c>
      <c r="N252" s="8" t="n">
        <f aca="false">B252*(1-Inputs!$B$12)</f>
        <v>0.974163195304587</v>
      </c>
      <c r="O252" s="10" t="n">
        <f aca="false">IF(M252,Y251*(N252-AB251)-Inputs!$B$9-Y251*AD251*Inputs!$B$13*(A252-AC251),0)</f>
        <v>0</v>
      </c>
      <c r="P252" s="10" t="n">
        <f aca="false">X251+O252</f>
        <v>1028.9273715976</v>
      </c>
      <c r="Q252" s="9" t="b">
        <f aca="false">AND(IF(M252,0,Y251)=0,AA251,IF(ISNUMBER(AE251),B252&gt;AE251,FALSE()))</f>
        <v>0</v>
      </c>
      <c r="R252" s="8" t="n">
        <f aca="false">B252*(1+Inputs!$B$12)</f>
        <v>0.974552938531355</v>
      </c>
      <c r="S252" s="11" t="n">
        <f aca="false">IF(Q252,MIN(P252*Inputs!$B$3/(R252-AE251),P252*Inputs!$B$11/R252),0)</f>
        <v>0</v>
      </c>
      <c r="T252" s="11" t="n">
        <f aca="false">IF(Q252,S252,IF(M252,0,Y251))</f>
        <v>516.99069050491</v>
      </c>
      <c r="U252" s="8" t="n">
        <f aca="false">IF(Q252,AE251,AF251)</f>
        <v>0.938328062071903</v>
      </c>
      <c r="V252" s="9" t="b">
        <f aca="false">AND(T252&gt;0,D252&lt;=U252)</f>
        <v>0</v>
      </c>
      <c r="W252" s="10" t="n">
        <f aca="false">IF(V252,T252*(AK252-AB252)-Inputs!$B$9-T252*AD252*Inputs!$B$13*(A252-AC252),0)</f>
        <v>0</v>
      </c>
      <c r="X252" s="10" t="n">
        <f aca="false">P252-IF(Q252,Inputs!$B$9,0)+W252</f>
        <v>1028.9273715976</v>
      </c>
      <c r="Y252" s="11" t="n">
        <f aca="false">IF(V252,0,T252)</f>
        <v>516.99069050491</v>
      </c>
      <c r="Z252" s="9" t="b">
        <f aca="false">AND(Y252&gt;0,K252)</f>
        <v>0</v>
      </c>
      <c r="AA252" s="9" t="b">
        <f aca="false">AND(Y252=0,J252,ISNUMBER(L252))</f>
        <v>0</v>
      </c>
      <c r="AB252" s="8" t="n">
        <f aca="false">IF(Q252,R252,AB251)</f>
        <v>0.95824964655134</v>
      </c>
      <c r="AC252" s="12" t="n">
        <f aca="false">IF(Q252,A252,AC251)</f>
        <v>45034</v>
      </c>
      <c r="AD252" s="8" t="n">
        <f aca="false">IF(Q252,B252,AD251)</f>
        <v>0.958058034944351</v>
      </c>
      <c r="AE252" s="8" t="str">
        <f aca="false">IF(AA252,L252,"")</f>
        <v/>
      </c>
      <c r="AF252" s="8" t="n">
        <f aca="false">U252</f>
        <v>0.938328062071903</v>
      </c>
      <c r="AG252" s="2" t="n">
        <f aca="false">AG251+IF(Q252,1,0)</f>
        <v>2</v>
      </c>
      <c r="AH252" s="2" t="n">
        <f aca="false">AG251</f>
        <v>2</v>
      </c>
      <c r="AI252" s="10" t="n">
        <f aca="false">X252+Y252*(E252-AB252)-Y252*AD252*Inputs!$B$13*(A252-AC252)</f>
        <v>1032.15090921193</v>
      </c>
      <c r="AJ252" s="10" t="n">
        <v>0</v>
      </c>
      <c r="AK252" s="8" t="n">
        <f aca="false">IF(AND(B252&lt;=U252,NOT(Q252)),B252,U252)*(1-Inputs!$B$12)</f>
        <v>0.938140396459488</v>
      </c>
    </row>
    <row r="253" customFormat="false" ht="15" hidden="false" customHeight="false" outlineLevel="0" collapsed="false">
      <c r="A253" s="6" t="n">
        <v>45037</v>
      </c>
      <c r="B253" s="7" t="n">
        <v>0.964826067402596</v>
      </c>
      <c r="C253" s="7" t="n">
        <v>0.975134148058246</v>
      </c>
      <c r="D253" s="7" t="n">
        <v>0.964808356605686</v>
      </c>
      <c r="E253" s="7" t="n">
        <v>0.974941603655496</v>
      </c>
      <c r="F253" s="8" t="n">
        <f aca="true">IF(ROW()-2&gt;=Inputs!$B$4,AVERAGE(OFFSET(E253,1-Inputs!$B$4,0,Inputs!$B$4,1)),"")</f>
        <v>0.943524360545007</v>
      </c>
      <c r="G253" s="8" t="n">
        <f aca="true">IF(ROW()-2&gt;=Inputs!$B$5,AVERAGE(OFFSET(E253,1-Inputs!$B$5,0,Inputs!$B$5,1)),"")</f>
        <v>0.938907596640299</v>
      </c>
      <c r="H253" s="8" t="n">
        <f aca="false">MAX(C253-D253,ABS(C253-E252),ABS(D253-E252))</f>
        <v>0.0103257914525597</v>
      </c>
      <c r="I253" s="8" t="n">
        <f aca="true">IF(ROW()-2&lt;14,"",IF(ROW()-2=14,AVERAGE(OFFSET(H253,-13,0,14,1)),(I252*13+H253)/14))</f>
        <v>0.0105688922453124</v>
      </c>
      <c r="J253" s="9" t="b">
        <f aca="false">IF(AND(ISNUMBER(F253),ISNUMBER(G253),ISNUMBER(F252),ISNUMBER(G252)),AND(F253&gt;G253,F252&lt;=G252),FALSE())</f>
        <v>0</v>
      </c>
      <c r="K253" s="9" t="b">
        <f aca="false">IF(AND(ISNUMBER(F253),ISNUMBER(G253),ISNUMBER(F252),ISNUMBER(G252)),AND(F253&lt;G253,F252&gt;=G252),FALSE())</f>
        <v>0</v>
      </c>
      <c r="L253" s="8" t="n">
        <f aca="false">IF(ISNUMBER(I253),E253-Inputs!$B$6*I253,"")</f>
        <v>0.953803819164871</v>
      </c>
      <c r="M253" s="9" t="b">
        <f aca="false">AND(Y252&gt;0,Z252)</f>
        <v>0</v>
      </c>
      <c r="N253" s="8" t="n">
        <f aca="false">B253*(1-Inputs!$B$12)</f>
        <v>0.964633102189115</v>
      </c>
      <c r="O253" s="10" t="n">
        <f aca="false">IF(M253,Y252*(N253-AB252)-Inputs!$B$9-Y252*AD252*Inputs!$B$13*(A253-AC252),0)</f>
        <v>0</v>
      </c>
      <c r="P253" s="10" t="n">
        <f aca="false">X252+O253</f>
        <v>1028.9273715976</v>
      </c>
      <c r="Q253" s="9" t="b">
        <f aca="false">AND(IF(M253,0,Y252)=0,AA252,IF(ISNUMBER(AE252),B253&gt;AE252,FALSE()))</f>
        <v>0</v>
      </c>
      <c r="R253" s="8" t="n">
        <f aca="false">B253*(1+Inputs!$B$12)</f>
        <v>0.965019032616076</v>
      </c>
      <c r="S253" s="11" t="n">
        <f aca="false">IF(Q253,MIN(P253*Inputs!$B$3/(R253-AE252),P253*Inputs!$B$11/R253),0)</f>
        <v>0</v>
      </c>
      <c r="T253" s="11" t="n">
        <f aca="false">IF(Q253,S253,IF(M253,0,Y252))</f>
        <v>516.99069050491</v>
      </c>
      <c r="U253" s="8" t="n">
        <f aca="false">IF(Q253,AE252,AF252)</f>
        <v>0.938328062071903</v>
      </c>
      <c r="V253" s="9" t="b">
        <f aca="false">AND(T253&gt;0,D253&lt;=U253)</f>
        <v>0</v>
      </c>
      <c r="W253" s="10" t="n">
        <f aca="false">IF(V253,T253*(AK253-AB253)-Inputs!$B$9-T253*AD253*Inputs!$B$13*(A253-AC253),0)</f>
        <v>0</v>
      </c>
      <c r="X253" s="10" t="n">
        <f aca="false">P253-IF(Q253,Inputs!$B$9,0)+W253</f>
        <v>1028.9273715976</v>
      </c>
      <c r="Y253" s="11" t="n">
        <f aca="false">IF(V253,0,T253)</f>
        <v>516.99069050491</v>
      </c>
      <c r="Z253" s="9" t="b">
        <f aca="false">AND(Y253&gt;0,K253)</f>
        <v>0</v>
      </c>
      <c r="AA253" s="9" t="b">
        <f aca="false">AND(Y253=0,J253,ISNUMBER(L253))</f>
        <v>0</v>
      </c>
      <c r="AB253" s="8" t="n">
        <f aca="false">IF(Q253,R253,AB252)</f>
        <v>0.95824964655134</v>
      </c>
      <c r="AC253" s="12" t="n">
        <f aca="false">IF(Q253,A253,AC252)</f>
        <v>45034</v>
      </c>
      <c r="AD253" s="8" t="n">
        <f aca="false">IF(Q253,B253,AD252)</f>
        <v>0.958058034944351</v>
      </c>
      <c r="AE253" s="8" t="str">
        <f aca="false">IF(AA253,L253,"")</f>
        <v/>
      </c>
      <c r="AF253" s="8" t="n">
        <f aca="false">U253</f>
        <v>0.938328062071903</v>
      </c>
      <c r="AG253" s="2" t="n">
        <f aca="false">AG252+IF(Q253,1,0)</f>
        <v>2</v>
      </c>
      <c r="AH253" s="2" t="n">
        <f aca="false">AG252</f>
        <v>2</v>
      </c>
      <c r="AI253" s="10" t="n">
        <f aca="false">X253+Y253*(E253-AB253)-Y253*AD253*Inputs!$B$13*(A253-AC253)</f>
        <v>1037.29234191284</v>
      </c>
      <c r="AJ253" s="10" t="n">
        <v>0</v>
      </c>
      <c r="AK253" s="8" t="n">
        <f aca="false">IF(AND(B253&lt;=U253,NOT(Q253)),B253,U253)*(1-Inputs!$B$12)</f>
        <v>0.938140396459488</v>
      </c>
    </row>
    <row r="254" customFormat="false" ht="15" hidden="false" customHeight="false" outlineLevel="0" collapsed="false">
      <c r="A254" s="6" t="n">
        <v>45038</v>
      </c>
      <c r="B254" s="7" t="n">
        <v>0.974941603655496</v>
      </c>
      <c r="C254" s="7" t="n">
        <v>0.976634745198336</v>
      </c>
      <c r="D254" s="7" t="n">
        <v>0.966761128283054</v>
      </c>
      <c r="E254" s="7" t="n">
        <v>0.967129003700335</v>
      </c>
      <c r="F254" s="8" t="n">
        <f aca="true">IF(ROW()-2&gt;=Inputs!$B$4,AVERAGE(OFFSET(E254,1-Inputs!$B$4,0,Inputs!$B$4,1)),"")</f>
        <v>0.94548649473477</v>
      </c>
      <c r="G254" s="8" t="n">
        <f aca="true">IF(ROW()-2&gt;=Inputs!$B$5,AVERAGE(OFFSET(E254,1-Inputs!$B$5,0,Inputs!$B$5,1)),"")</f>
        <v>0.939485667832259</v>
      </c>
      <c r="H254" s="8" t="n">
        <f aca="false">MAX(C254-D254,ABS(C254-E253),ABS(D254-E253))</f>
        <v>0.00987361691528221</v>
      </c>
      <c r="I254" s="8" t="n">
        <f aca="true">IF(ROW()-2&lt;14,"",IF(ROW()-2=14,AVERAGE(OFFSET(H254,-13,0,14,1)),(I253*13+H254)/14))</f>
        <v>0.0105192297217388</v>
      </c>
      <c r="J254" s="9" t="b">
        <f aca="false">IF(AND(ISNUMBER(F254),ISNUMBER(G254),ISNUMBER(F253),ISNUMBER(G253)),AND(F254&gt;G254,F253&lt;=G253),FALSE())</f>
        <v>0</v>
      </c>
      <c r="K254" s="9" t="b">
        <f aca="false">IF(AND(ISNUMBER(F254),ISNUMBER(G254),ISNUMBER(F253),ISNUMBER(G253)),AND(F254&lt;G254,F253&gt;=G253),FALSE())</f>
        <v>0</v>
      </c>
      <c r="L254" s="8" t="n">
        <f aca="false">IF(ISNUMBER(I254),E254-Inputs!$B$6*I254,"")</f>
        <v>0.946090544256858</v>
      </c>
      <c r="M254" s="9" t="b">
        <f aca="false">AND(Y253&gt;0,Z253)</f>
        <v>0</v>
      </c>
      <c r="N254" s="8" t="n">
        <f aca="false">B254*(1-Inputs!$B$12)</f>
        <v>0.974746615334765</v>
      </c>
      <c r="O254" s="10" t="n">
        <f aca="false">IF(M254,Y253*(N254-AB253)-Inputs!$B$9-Y253*AD253*Inputs!$B$13*(A254-AC253),0)</f>
        <v>0</v>
      </c>
      <c r="P254" s="10" t="n">
        <f aca="false">X253+O254</f>
        <v>1028.9273715976</v>
      </c>
      <c r="Q254" s="9" t="b">
        <f aca="false">AND(IF(M254,0,Y253)=0,AA253,IF(ISNUMBER(AE253),B254&gt;AE253,FALSE()))</f>
        <v>0</v>
      </c>
      <c r="R254" s="8" t="n">
        <f aca="false">B254*(1+Inputs!$B$12)</f>
        <v>0.975136591976227</v>
      </c>
      <c r="S254" s="11" t="n">
        <f aca="false">IF(Q254,MIN(P254*Inputs!$B$3/(R254-AE253),P254*Inputs!$B$11/R254),0)</f>
        <v>0</v>
      </c>
      <c r="T254" s="11" t="n">
        <f aca="false">IF(Q254,S254,IF(M254,0,Y253))</f>
        <v>516.99069050491</v>
      </c>
      <c r="U254" s="8" t="n">
        <f aca="false">IF(Q254,AE253,AF253)</f>
        <v>0.938328062071903</v>
      </c>
      <c r="V254" s="9" t="b">
        <f aca="false">AND(T254&gt;0,D254&lt;=U254)</f>
        <v>0</v>
      </c>
      <c r="W254" s="10" t="n">
        <f aca="false">IF(V254,T254*(AK254-AB254)-Inputs!$B$9-T254*AD254*Inputs!$B$13*(A254-AC254),0)</f>
        <v>0</v>
      </c>
      <c r="X254" s="10" t="n">
        <f aca="false">P254-IF(Q254,Inputs!$B$9,0)+W254</f>
        <v>1028.9273715976</v>
      </c>
      <c r="Y254" s="11" t="n">
        <f aca="false">IF(V254,0,T254)</f>
        <v>516.99069050491</v>
      </c>
      <c r="Z254" s="9" t="b">
        <f aca="false">AND(Y254&gt;0,K254)</f>
        <v>0</v>
      </c>
      <c r="AA254" s="9" t="b">
        <f aca="false">AND(Y254=0,J254,ISNUMBER(L254))</f>
        <v>0</v>
      </c>
      <c r="AB254" s="8" t="n">
        <f aca="false">IF(Q254,R254,AB253)</f>
        <v>0.95824964655134</v>
      </c>
      <c r="AC254" s="12" t="n">
        <f aca="false">IF(Q254,A254,AC253)</f>
        <v>45034</v>
      </c>
      <c r="AD254" s="8" t="n">
        <f aca="false">IF(Q254,B254,AD253)</f>
        <v>0.958058034944351</v>
      </c>
      <c r="AE254" s="8" t="str">
        <f aca="false">IF(AA254,L254,"")</f>
        <v/>
      </c>
      <c r="AF254" s="8" t="n">
        <f aca="false">U254</f>
        <v>0.938328062071903</v>
      </c>
      <c r="AG254" s="2" t="n">
        <f aca="false">AG253+IF(Q254,1,0)</f>
        <v>2</v>
      </c>
      <c r="AH254" s="2" t="n">
        <f aca="false">AG253</f>
        <v>2</v>
      </c>
      <c r="AI254" s="10" t="n">
        <f aca="false">X254+Y254*(E254-AB254)-Y254*AD254*Inputs!$B$13*(A254-AC254)</f>
        <v>1033.16509509608</v>
      </c>
      <c r="AJ254" s="10" t="n">
        <v>0</v>
      </c>
      <c r="AK254" s="8" t="n">
        <f aca="false">IF(AND(B254&lt;=U254,NOT(Q254)),B254,U254)*(1-Inputs!$B$12)</f>
        <v>0.938140396459488</v>
      </c>
    </row>
    <row r="255" customFormat="false" ht="15" hidden="false" customHeight="false" outlineLevel="0" collapsed="false">
      <c r="A255" s="6" t="n">
        <v>45039</v>
      </c>
      <c r="B255" s="7" t="n">
        <v>0.967129003700335</v>
      </c>
      <c r="C255" s="7" t="n">
        <v>0.974759462537811</v>
      </c>
      <c r="D255" s="7" t="n">
        <v>0.966279308077746</v>
      </c>
      <c r="E255" s="7" t="n">
        <v>0.969976424060397</v>
      </c>
      <c r="F255" s="8" t="n">
        <f aca="true">IF(ROW()-2&gt;=Inputs!$B$4,AVERAGE(OFFSET(E255,1-Inputs!$B$4,0,Inputs!$B$4,1)),"")</f>
        <v>0.947779611101609</v>
      </c>
      <c r="G255" s="8" t="n">
        <f aca="true">IF(ROW()-2&gt;=Inputs!$B$5,AVERAGE(OFFSET(E255,1-Inputs!$B$5,0,Inputs!$B$5,1)),"")</f>
        <v>0.940256027897955</v>
      </c>
      <c r="H255" s="8" t="n">
        <f aca="false">MAX(C255-D255,ABS(C255-E254),ABS(D255-E254))</f>
        <v>0.00848015446006567</v>
      </c>
      <c r="I255" s="8" t="n">
        <f aca="true">IF(ROW()-2&lt;14,"",IF(ROW()-2=14,AVERAGE(OFFSET(H255,-13,0,14,1)),(I254*13+H255)/14))</f>
        <v>0.0103735814887621</v>
      </c>
      <c r="J255" s="9" t="b">
        <f aca="false">IF(AND(ISNUMBER(F255),ISNUMBER(G255),ISNUMBER(F254),ISNUMBER(G254)),AND(F255&gt;G255,F254&lt;=G254),FALSE())</f>
        <v>0</v>
      </c>
      <c r="K255" s="9" t="b">
        <f aca="false">IF(AND(ISNUMBER(F255),ISNUMBER(G255),ISNUMBER(F254),ISNUMBER(G254)),AND(F255&lt;G255,F254&gt;=G254),FALSE())</f>
        <v>0</v>
      </c>
      <c r="L255" s="8" t="n">
        <f aca="false">IF(ISNUMBER(I255),E255-Inputs!$B$6*I255,"")</f>
        <v>0.949229261082873</v>
      </c>
      <c r="M255" s="9" t="b">
        <f aca="false">AND(Y254&gt;0,Z254)</f>
        <v>0</v>
      </c>
      <c r="N255" s="8" t="n">
        <f aca="false">B255*(1-Inputs!$B$12)</f>
        <v>0.966935577899595</v>
      </c>
      <c r="O255" s="10" t="n">
        <f aca="false">IF(M255,Y254*(N255-AB254)-Inputs!$B$9-Y254*AD254*Inputs!$B$13*(A255-AC254),0)</f>
        <v>0</v>
      </c>
      <c r="P255" s="10" t="n">
        <f aca="false">X254+O255</f>
        <v>1028.9273715976</v>
      </c>
      <c r="Q255" s="9" t="b">
        <f aca="false">AND(IF(M255,0,Y254)=0,AA254,IF(ISNUMBER(AE254),B255&gt;AE254,FALSE()))</f>
        <v>0</v>
      </c>
      <c r="R255" s="8" t="n">
        <f aca="false">B255*(1+Inputs!$B$12)</f>
        <v>0.967322429501075</v>
      </c>
      <c r="S255" s="11" t="n">
        <f aca="false">IF(Q255,MIN(P255*Inputs!$B$3/(R255-AE254),P255*Inputs!$B$11/R255),0)</f>
        <v>0</v>
      </c>
      <c r="T255" s="11" t="n">
        <f aca="false">IF(Q255,S255,IF(M255,0,Y254))</f>
        <v>516.99069050491</v>
      </c>
      <c r="U255" s="8" t="n">
        <f aca="false">IF(Q255,AE254,AF254)</f>
        <v>0.938328062071903</v>
      </c>
      <c r="V255" s="9" t="b">
        <f aca="false">AND(T255&gt;0,D255&lt;=U255)</f>
        <v>0</v>
      </c>
      <c r="W255" s="10" t="n">
        <f aca="false">IF(V255,T255*(AK255-AB255)-Inputs!$B$9-T255*AD255*Inputs!$B$13*(A255-AC255),0)</f>
        <v>0</v>
      </c>
      <c r="X255" s="10" t="n">
        <f aca="false">P255-IF(Q255,Inputs!$B$9,0)+W255</f>
        <v>1028.9273715976</v>
      </c>
      <c r="Y255" s="11" t="n">
        <f aca="false">IF(V255,0,T255)</f>
        <v>516.99069050491</v>
      </c>
      <c r="Z255" s="9" t="b">
        <f aca="false">AND(Y255&gt;0,K255)</f>
        <v>0</v>
      </c>
      <c r="AA255" s="9" t="b">
        <f aca="false">AND(Y255=0,J255,ISNUMBER(L255))</f>
        <v>0</v>
      </c>
      <c r="AB255" s="8" t="n">
        <f aca="false">IF(Q255,R255,AB254)</f>
        <v>0.95824964655134</v>
      </c>
      <c r="AC255" s="12" t="n">
        <f aca="false">IF(Q255,A255,AC254)</f>
        <v>45034</v>
      </c>
      <c r="AD255" s="8" t="n">
        <f aca="false">IF(Q255,B255,AD254)</f>
        <v>0.958058034944351</v>
      </c>
      <c r="AE255" s="8" t="str">
        <f aca="false">IF(AA255,L255,"")</f>
        <v/>
      </c>
      <c r="AF255" s="8" t="n">
        <f aca="false">U255</f>
        <v>0.938328062071903</v>
      </c>
      <c r="AG255" s="2" t="n">
        <f aca="false">AG254+IF(Q255,1,0)</f>
        <v>2</v>
      </c>
      <c r="AH255" s="2" t="n">
        <f aca="false">AG254</f>
        <v>2</v>
      </c>
      <c r="AI255" s="10" t="n">
        <f aca="false">X255+Y255*(E255-AB255)-Y255*AD255*Inputs!$B$13*(A255-AC255)</f>
        <v>1034.54897954288</v>
      </c>
      <c r="AJ255" s="10" t="n">
        <v>0</v>
      </c>
      <c r="AK255" s="8" t="n">
        <f aca="false">IF(AND(B255&lt;=U255,NOT(Q255)),B255,U255)*(1-Inputs!$B$12)</f>
        <v>0.938140396459488</v>
      </c>
    </row>
    <row r="256" customFormat="false" ht="15" hidden="false" customHeight="false" outlineLevel="0" collapsed="false">
      <c r="A256" s="6" t="n">
        <v>45040</v>
      </c>
      <c r="B256" s="7" t="n">
        <v>0.969976424060397</v>
      </c>
      <c r="C256" s="7" t="n">
        <v>0.97135840282838</v>
      </c>
      <c r="D256" s="7" t="n">
        <v>0.967349601217917</v>
      </c>
      <c r="E256" s="7" t="n">
        <v>0.970296628238806</v>
      </c>
      <c r="F256" s="8" t="n">
        <f aca="true">IF(ROW()-2&gt;=Inputs!$B$4,AVERAGE(OFFSET(E256,1-Inputs!$B$4,0,Inputs!$B$4,1)),"")</f>
        <v>0.950100409917115</v>
      </c>
      <c r="G256" s="8" t="n">
        <f aca="true">IF(ROW()-2&gt;=Inputs!$B$5,AVERAGE(OFFSET(E256,1-Inputs!$B$5,0,Inputs!$B$5,1)),"")</f>
        <v>0.941058388934858</v>
      </c>
      <c r="H256" s="8" t="n">
        <f aca="false">MAX(C256-D256,ABS(C256-E255),ABS(D256-E255))</f>
        <v>0.00400880161046235</v>
      </c>
      <c r="I256" s="8" t="n">
        <f aca="true">IF(ROW()-2&lt;14,"",IF(ROW()-2=14,AVERAGE(OFFSET(H256,-13,0,14,1)),(I255*13+H256)/14))</f>
        <v>0.00991895435459787</v>
      </c>
      <c r="J256" s="9" t="b">
        <f aca="false">IF(AND(ISNUMBER(F256),ISNUMBER(G256),ISNUMBER(F255),ISNUMBER(G255)),AND(F256&gt;G256,F255&lt;=G255),FALSE())</f>
        <v>0</v>
      </c>
      <c r="K256" s="9" t="b">
        <f aca="false">IF(AND(ISNUMBER(F256),ISNUMBER(G256),ISNUMBER(F255),ISNUMBER(G255)),AND(F256&lt;G256,F255&gt;=G255),FALSE())</f>
        <v>0</v>
      </c>
      <c r="L256" s="8" t="n">
        <f aca="false">IF(ISNUMBER(I256),E256-Inputs!$B$6*I256,"")</f>
        <v>0.950458719529611</v>
      </c>
      <c r="M256" s="9" t="b">
        <f aca="false">AND(Y255&gt;0,Z255)</f>
        <v>0</v>
      </c>
      <c r="N256" s="8" t="n">
        <f aca="false">B256*(1-Inputs!$B$12)</f>
        <v>0.969782428775585</v>
      </c>
      <c r="O256" s="10" t="n">
        <f aca="false">IF(M256,Y255*(N256-AB255)-Inputs!$B$9-Y255*AD255*Inputs!$B$13*(A256-AC255),0)</f>
        <v>0</v>
      </c>
      <c r="P256" s="10" t="n">
        <f aca="false">X255+O256</f>
        <v>1028.9273715976</v>
      </c>
      <c r="Q256" s="9" t="b">
        <f aca="false">AND(IF(M256,0,Y255)=0,AA255,IF(ISNUMBER(AE255),B256&gt;AE255,FALSE()))</f>
        <v>0</v>
      </c>
      <c r="R256" s="8" t="n">
        <f aca="false">B256*(1+Inputs!$B$12)</f>
        <v>0.970170419345209</v>
      </c>
      <c r="S256" s="11" t="n">
        <f aca="false">IF(Q256,MIN(P256*Inputs!$B$3/(R256-AE255),P256*Inputs!$B$11/R256),0)</f>
        <v>0</v>
      </c>
      <c r="T256" s="11" t="n">
        <f aca="false">IF(Q256,S256,IF(M256,0,Y255))</f>
        <v>516.99069050491</v>
      </c>
      <c r="U256" s="8" t="n">
        <f aca="false">IF(Q256,AE255,AF255)</f>
        <v>0.938328062071903</v>
      </c>
      <c r="V256" s="9" t="b">
        <f aca="false">AND(T256&gt;0,D256&lt;=U256)</f>
        <v>0</v>
      </c>
      <c r="W256" s="10" t="n">
        <f aca="false">IF(V256,T256*(AK256-AB256)-Inputs!$B$9-T256*AD256*Inputs!$B$13*(A256-AC256),0)</f>
        <v>0</v>
      </c>
      <c r="X256" s="10" t="n">
        <f aca="false">P256-IF(Q256,Inputs!$B$9,0)+W256</f>
        <v>1028.9273715976</v>
      </c>
      <c r="Y256" s="11" t="n">
        <f aca="false">IF(V256,0,T256)</f>
        <v>516.99069050491</v>
      </c>
      <c r="Z256" s="9" t="b">
        <f aca="false">AND(Y256&gt;0,K256)</f>
        <v>0</v>
      </c>
      <c r="AA256" s="9" t="b">
        <f aca="false">AND(Y256=0,J256,ISNUMBER(L256))</f>
        <v>0</v>
      </c>
      <c r="AB256" s="8" t="n">
        <f aca="false">IF(Q256,R256,AB255)</f>
        <v>0.95824964655134</v>
      </c>
      <c r="AC256" s="12" t="n">
        <f aca="false">IF(Q256,A256,AC255)</f>
        <v>45034</v>
      </c>
      <c r="AD256" s="8" t="n">
        <f aca="false">IF(Q256,B256,AD255)</f>
        <v>0.958058034944351</v>
      </c>
      <c r="AE256" s="8" t="str">
        <f aca="false">IF(AA256,L256,"")</f>
        <v/>
      </c>
      <c r="AF256" s="8" t="n">
        <f aca="false">U256</f>
        <v>0.938328062071903</v>
      </c>
      <c r="AG256" s="2" t="n">
        <f aca="false">AG255+IF(Q256,1,0)</f>
        <v>2</v>
      </c>
      <c r="AH256" s="2" t="n">
        <f aca="false">AG255</f>
        <v>2</v>
      </c>
      <c r="AI256" s="10" t="n">
        <f aca="false">X256+Y256*(E256-AB256)-Y256*AD256*Inputs!$B$13*(A256-AC256)</f>
        <v>1034.62631675087</v>
      </c>
      <c r="AJ256" s="10" t="n">
        <v>0</v>
      </c>
      <c r="AK256" s="8" t="n">
        <f aca="false">IF(AND(B256&lt;=U256,NOT(Q256)),B256,U256)*(1-Inputs!$B$12)</f>
        <v>0.938140396459488</v>
      </c>
    </row>
    <row r="257" customFormat="false" ht="15" hidden="false" customHeight="false" outlineLevel="0" collapsed="false">
      <c r="A257" s="6" t="n">
        <v>45041</v>
      </c>
      <c r="B257" s="7" t="n">
        <v>0.970296628238806</v>
      </c>
      <c r="C257" s="7" t="n">
        <v>0.973274330370198</v>
      </c>
      <c r="D257" s="7" t="n">
        <v>0.967875362717769</v>
      </c>
      <c r="E257" s="7" t="n">
        <v>0.969903748641355</v>
      </c>
      <c r="F257" s="8" t="n">
        <f aca="true">IF(ROW()-2&gt;=Inputs!$B$4,AVERAGE(OFFSET(E257,1-Inputs!$B$4,0,Inputs!$B$4,1)),"")</f>
        <v>0.95256907420192</v>
      </c>
      <c r="G257" s="8" t="n">
        <f aca="true">IF(ROW()-2&gt;=Inputs!$B$5,AVERAGE(OFFSET(E257,1-Inputs!$B$5,0,Inputs!$B$5,1)),"")</f>
        <v>0.941871564136234</v>
      </c>
      <c r="H257" s="8" t="n">
        <f aca="false">MAX(C257-D257,ABS(C257-E256),ABS(D257-E256))</f>
        <v>0.00539896765242864</v>
      </c>
      <c r="I257" s="8" t="n">
        <f aca="true">IF(ROW()-2&lt;14,"",IF(ROW()-2=14,AVERAGE(OFFSET(H257,-13,0,14,1)),(I256*13+H257)/14))</f>
        <v>0.00959609816158579</v>
      </c>
      <c r="J257" s="9" t="b">
        <f aca="false">IF(AND(ISNUMBER(F257),ISNUMBER(G257),ISNUMBER(F256),ISNUMBER(G256)),AND(F257&gt;G257,F256&lt;=G256),FALSE())</f>
        <v>0</v>
      </c>
      <c r="K257" s="9" t="b">
        <f aca="false">IF(AND(ISNUMBER(F257),ISNUMBER(G257),ISNUMBER(F256),ISNUMBER(G256)),AND(F257&lt;G257,F256&gt;=G256),FALSE())</f>
        <v>0</v>
      </c>
      <c r="L257" s="8" t="n">
        <f aca="false">IF(ISNUMBER(I257),E257-Inputs!$B$6*I257,"")</f>
        <v>0.950711552318183</v>
      </c>
      <c r="M257" s="9" t="b">
        <f aca="false">AND(Y256&gt;0,Z256)</f>
        <v>0</v>
      </c>
      <c r="N257" s="8" t="n">
        <f aca="false">B257*(1-Inputs!$B$12)</f>
        <v>0.970102568913159</v>
      </c>
      <c r="O257" s="10" t="n">
        <f aca="false">IF(M257,Y256*(N257-AB256)-Inputs!$B$9-Y256*AD256*Inputs!$B$13*(A257-AC256),0)</f>
        <v>0</v>
      </c>
      <c r="P257" s="10" t="n">
        <f aca="false">X256+O257</f>
        <v>1028.9273715976</v>
      </c>
      <c r="Q257" s="9" t="b">
        <f aca="false">AND(IF(M257,0,Y256)=0,AA256,IF(ISNUMBER(AE256),B257&gt;AE256,FALSE()))</f>
        <v>0</v>
      </c>
      <c r="R257" s="8" t="n">
        <f aca="false">B257*(1+Inputs!$B$12)</f>
        <v>0.970490687564454</v>
      </c>
      <c r="S257" s="11" t="n">
        <f aca="false">IF(Q257,MIN(P257*Inputs!$B$3/(R257-AE256),P257*Inputs!$B$11/R257),0)</f>
        <v>0</v>
      </c>
      <c r="T257" s="11" t="n">
        <f aca="false">IF(Q257,S257,IF(M257,0,Y256))</f>
        <v>516.99069050491</v>
      </c>
      <c r="U257" s="8" t="n">
        <f aca="false">IF(Q257,AE256,AF256)</f>
        <v>0.938328062071903</v>
      </c>
      <c r="V257" s="9" t="b">
        <f aca="false">AND(T257&gt;0,D257&lt;=U257)</f>
        <v>0</v>
      </c>
      <c r="W257" s="10" t="n">
        <f aca="false">IF(V257,T257*(AK257-AB257)-Inputs!$B$9-T257*AD257*Inputs!$B$13*(A257-AC257),0)</f>
        <v>0</v>
      </c>
      <c r="X257" s="10" t="n">
        <f aca="false">P257-IF(Q257,Inputs!$B$9,0)+W257</f>
        <v>1028.9273715976</v>
      </c>
      <c r="Y257" s="11" t="n">
        <f aca="false">IF(V257,0,T257)</f>
        <v>516.99069050491</v>
      </c>
      <c r="Z257" s="9" t="b">
        <f aca="false">AND(Y257&gt;0,K257)</f>
        <v>0</v>
      </c>
      <c r="AA257" s="9" t="b">
        <f aca="false">AND(Y257=0,J257,ISNUMBER(L257))</f>
        <v>0</v>
      </c>
      <c r="AB257" s="8" t="n">
        <f aca="false">IF(Q257,R257,AB256)</f>
        <v>0.95824964655134</v>
      </c>
      <c r="AC257" s="12" t="n">
        <f aca="false">IF(Q257,A257,AC256)</f>
        <v>45034</v>
      </c>
      <c r="AD257" s="8" t="n">
        <f aca="false">IF(Q257,B257,AD256)</f>
        <v>0.958058034944351</v>
      </c>
      <c r="AE257" s="8" t="str">
        <f aca="false">IF(AA257,L257,"")</f>
        <v/>
      </c>
      <c r="AF257" s="8" t="n">
        <f aca="false">U257</f>
        <v>0.938328062071903</v>
      </c>
      <c r="AG257" s="2" t="n">
        <f aca="false">AG256+IF(Q257,1,0)</f>
        <v>2</v>
      </c>
      <c r="AH257" s="2" t="n">
        <f aca="false">AG256</f>
        <v>2</v>
      </c>
      <c r="AI257" s="10" t="n">
        <f aca="false">X257+Y257*(E257-AB257)-Y257*AD257*Inputs!$B$13*(A257-AC257)</f>
        <v>1034.33499628519</v>
      </c>
      <c r="AJ257" s="10" t="n">
        <v>0</v>
      </c>
      <c r="AK257" s="8" t="n">
        <f aca="false">IF(AND(B257&lt;=U257,NOT(Q257)),B257,U257)*(1-Inputs!$B$12)</f>
        <v>0.938140396459488</v>
      </c>
    </row>
    <row r="258" customFormat="false" ht="15" hidden="false" customHeight="false" outlineLevel="0" collapsed="false">
      <c r="A258" s="6" t="n">
        <v>45042</v>
      </c>
      <c r="B258" s="7" t="n">
        <v>0.969903748641355</v>
      </c>
      <c r="C258" s="7" t="n">
        <v>0.970613337333066</v>
      </c>
      <c r="D258" s="7" t="n">
        <v>0.967511206186603</v>
      </c>
      <c r="E258" s="7" t="n">
        <v>0.967608852118923</v>
      </c>
      <c r="F258" s="8" t="n">
        <f aca="true">IF(ROW()-2&gt;=Inputs!$B$4,AVERAGE(OFFSET(E258,1-Inputs!$B$4,0,Inputs!$B$4,1)),"")</f>
        <v>0.95491664254423</v>
      </c>
      <c r="G258" s="8" t="n">
        <f aca="true">IF(ROW()-2&gt;=Inputs!$B$5,AVERAGE(OFFSET(E258,1-Inputs!$B$5,0,Inputs!$B$5,1)),"")</f>
        <v>0.942732477123069</v>
      </c>
      <c r="H258" s="8" t="n">
        <f aca="false">MAX(C258-D258,ABS(C258-E257),ABS(D258-E257))</f>
        <v>0.00310213114646329</v>
      </c>
      <c r="I258" s="8" t="n">
        <f aca="true">IF(ROW()-2&lt;14,"",IF(ROW()-2=14,AVERAGE(OFFSET(H258,-13,0,14,1)),(I257*13+H258)/14))</f>
        <v>0.00913224337479132</v>
      </c>
      <c r="J258" s="9" t="b">
        <f aca="false">IF(AND(ISNUMBER(F258),ISNUMBER(G258),ISNUMBER(F257),ISNUMBER(G257)),AND(F258&gt;G258,F257&lt;=G257),FALSE())</f>
        <v>0</v>
      </c>
      <c r="K258" s="9" t="b">
        <f aca="false">IF(AND(ISNUMBER(F258),ISNUMBER(G258),ISNUMBER(F257),ISNUMBER(G257)),AND(F258&lt;G258,F257&gt;=G257),FALSE())</f>
        <v>0</v>
      </c>
      <c r="L258" s="8" t="n">
        <f aca="false">IF(ISNUMBER(I258),E258-Inputs!$B$6*I258,"")</f>
        <v>0.94934436536934</v>
      </c>
      <c r="M258" s="9" t="b">
        <f aca="false">AND(Y257&gt;0,Z257)</f>
        <v>0</v>
      </c>
      <c r="N258" s="8" t="n">
        <f aca="false">B258*(1-Inputs!$B$12)</f>
        <v>0.969709767891626</v>
      </c>
      <c r="O258" s="10" t="n">
        <f aca="false">IF(M258,Y257*(N258-AB257)-Inputs!$B$9-Y257*AD257*Inputs!$B$13*(A258-AC257),0)</f>
        <v>0</v>
      </c>
      <c r="P258" s="10" t="n">
        <f aca="false">X257+O258</f>
        <v>1028.9273715976</v>
      </c>
      <c r="Q258" s="9" t="b">
        <f aca="false">AND(IF(M258,0,Y257)=0,AA257,IF(ISNUMBER(AE257),B258&gt;AE257,FALSE()))</f>
        <v>0</v>
      </c>
      <c r="R258" s="8" t="n">
        <f aca="false">B258*(1+Inputs!$B$12)</f>
        <v>0.970097729391083</v>
      </c>
      <c r="S258" s="11" t="n">
        <f aca="false">IF(Q258,MIN(P258*Inputs!$B$3/(R258-AE257),P258*Inputs!$B$11/R258),0)</f>
        <v>0</v>
      </c>
      <c r="T258" s="11" t="n">
        <f aca="false">IF(Q258,S258,IF(M258,0,Y257))</f>
        <v>516.99069050491</v>
      </c>
      <c r="U258" s="8" t="n">
        <f aca="false">IF(Q258,AE257,AF257)</f>
        <v>0.938328062071903</v>
      </c>
      <c r="V258" s="9" t="b">
        <f aca="false">AND(T258&gt;0,D258&lt;=U258)</f>
        <v>0</v>
      </c>
      <c r="W258" s="10" t="n">
        <f aca="false">IF(V258,T258*(AK258-AB258)-Inputs!$B$9-T258*AD258*Inputs!$B$13*(A258-AC258),0)</f>
        <v>0</v>
      </c>
      <c r="X258" s="10" t="n">
        <f aca="false">P258-IF(Q258,Inputs!$B$9,0)+W258</f>
        <v>1028.9273715976</v>
      </c>
      <c r="Y258" s="11" t="n">
        <f aca="false">IF(V258,0,T258)</f>
        <v>516.99069050491</v>
      </c>
      <c r="Z258" s="9" t="b">
        <f aca="false">AND(Y258&gt;0,K258)</f>
        <v>0</v>
      </c>
      <c r="AA258" s="9" t="b">
        <f aca="false">AND(Y258=0,J258,ISNUMBER(L258))</f>
        <v>0</v>
      </c>
      <c r="AB258" s="8" t="n">
        <f aca="false">IF(Q258,R258,AB257)</f>
        <v>0.95824964655134</v>
      </c>
      <c r="AC258" s="12" t="n">
        <f aca="false">IF(Q258,A258,AC257)</f>
        <v>45034</v>
      </c>
      <c r="AD258" s="8" t="n">
        <f aca="false">IF(Q258,B258,AD257)</f>
        <v>0.958058034944351</v>
      </c>
      <c r="AE258" s="8" t="str">
        <f aca="false">IF(AA258,L258,"")</f>
        <v/>
      </c>
      <c r="AF258" s="8" t="n">
        <f aca="false">U258</f>
        <v>0.938328062071903</v>
      </c>
      <c r="AG258" s="2" t="n">
        <f aca="false">AG257+IF(Q258,1,0)</f>
        <v>2</v>
      </c>
      <c r="AH258" s="2" t="n">
        <f aca="false">AG257</f>
        <v>2</v>
      </c>
      <c r="AI258" s="10" t="n">
        <f aca="false">X258+Y258*(E258-AB258)-Y258*AD258*Inputs!$B$13*(A258-AC258)</f>
        <v>1033.06035077611</v>
      </c>
      <c r="AJ258" s="10" t="n">
        <v>0</v>
      </c>
      <c r="AK258" s="8" t="n">
        <f aca="false">IF(AND(B258&lt;=U258,NOT(Q258)),B258,U258)*(1-Inputs!$B$12)</f>
        <v>0.938140396459488</v>
      </c>
    </row>
    <row r="259" customFormat="false" ht="15" hidden="false" customHeight="false" outlineLevel="0" collapsed="false">
      <c r="A259" s="6" t="n">
        <v>45043</v>
      </c>
      <c r="B259" s="7" t="n">
        <v>0.967608852118923</v>
      </c>
      <c r="C259" s="7" t="n">
        <v>0.972584922905653</v>
      </c>
      <c r="D259" s="7" t="n">
        <v>0.955608294827078</v>
      </c>
      <c r="E259" s="7" t="n">
        <v>0.958873911371505</v>
      </c>
      <c r="F259" s="8" t="n">
        <f aca="true">IF(ROW()-2&gt;=Inputs!$B$4,AVERAGE(OFFSET(E259,1-Inputs!$B$4,0,Inputs!$B$4,1)),"")</f>
        <v>0.956569916344859</v>
      </c>
      <c r="G259" s="8" t="n">
        <f aca="true">IF(ROW()-2&gt;=Inputs!$B$5,AVERAGE(OFFSET(E259,1-Inputs!$B$5,0,Inputs!$B$5,1)),"")</f>
        <v>0.943400131920879</v>
      </c>
      <c r="H259" s="8" t="n">
        <f aca="false">MAX(C259-D259,ABS(C259-E258),ABS(D259-E258))</f>
        <v>0.0169766280785741</v>
      </c>
      <c r="I259" s="8" t="n">
        <f aca="true">IF(ROW()-2&lt;14,"",IF(ROW()-2=14,AVERAGE(OFFSET(H259,-13,0,14,1)),(I258*13+H259)/14))</f>
        <v>0.00969255656791867</v>
      </c>
      <c r="J259" s="9" t="b">
        <f aca="false">IF(AND(ISNUMBER(F259),ISNUMBER(G259),ISNUMBER(F258),ISNUMBER(G258)),AND(F259&gt;G259,F258&lt;=G258),FALSE())</f>
        <v>0</v>
      </c>
      <c r="K259" s="9" t="b">
        <f aca="false">IF(AND(ISNUMBER(F259),ISNUMBER(G259),ISNUMBER(F258),ISNUMBER(G258)),AND(F259&lt;G259,F258&gt;=G258),FALSE())</f>
        <v>0</v>
      </c>
      <c r="L259" s="8" t="n">
        <f aca="false">IF(ISNUMBER(I259),E259-Inputs!$B$6*I259,"")</f>
        <v>0.939488798235668</v>
      </c>
      <c r="M259" s="9" t="b">
        <f aca="false">AND(Y258&gt;0,Z258)</f>
        <v>0</v>
      </c>
      <c r="N259" s="8" t="n">
        <f aca="false">B259*(1-Inputs!$B$12)</f>
        <v>0.967415330348499</v>
      </c>
      <c r="O259" s="10" t="n">
        <f aca="false">IF(M259,Y258*(N259-AB258)-Inputs!$B$9-Y258*AD258*Inputs!$B$13*(A259-AC258),0)</f>
        <v>0</v>
      </c>
      <c r="P259" s="10" t="n">
        <f aca="false">X258+O259</f>
        <v>1028.9273715976</v>
      </c>
      <c r="Q259" s="9" t="b">
        <f aca="false">AND(IF(M259,0,Y258)=0,AA258,IF(ISNUMBER(AE258),B259&gt;AE258,FALSE()))</f>
        <v>0</v>
      </c>
      <c r="R259" s="8" t="n">
        <f aca="false">B259*(1+Inputs!$B$12)</f>
        <v>0.967802373889347</v>
      </c>
      <c r="S259" s="11" t="n">
        <f aca="false">IF(Q259,MIN(P259*Inputs!$B$3/(R259-AE258),P259*Inputs!$B$11/R259),0)</f>
        <v>0</v>
      </c>
      <c r="T259" s="11" t="n">
        <f aca="false">IF(Q259,S259,IF(M259,0,Y258))</f>
        <v>516.99069050491</v>
      </c>
      <c r="U259" s="8" t="n">
        <f aca="false">IF(Q259,AE258,AF258)</f>
        <v>0.938328062071903</v>
      </c>
      <c r="V259" s="9" t="b">
        <f aca="false">AND(T259&gt;0,D259&lt;=U259)</f>
        <v>0</v>
      </c>
      <c r="W259" s="10" t="n">
        <f aca="false">IF(V259,T259*(AK259-AB259)-Inputs!$B$9-T259*AD259*Inputs!$B$13*(A259-AC259),0)</f>
        <v>0</v>
      </c>
      <c r="X259" s="10" t="n">
        <f aca="false">P259-IF(Q259,Inputs!$B$9,0)+W259</f>
        <v>1028.9273715976</v>
      </c>
      <c r="Y259" s="11" t="n">
        <f aca="false">IF(V259,0,T259)</f>
        <v>516.99069050491</v>
      </c>
      <c r="Z259" s="9" t="b">
        <f aca="false">AND(Y259&gt;0,K259)</f>
        <v>0</v>
      </c>
      <c r="AA259" s="9" t="b">
        <f aca="false">AND(Y259=0,J259,ISNUMBER(L259))</f>
        <v>0</v>
      </c>
      <c r="AB259" s="8" t="n">
        <f aca="false">IF(Q259,R259,AB258)</f>
        <v>0.95824964655134</v>
      </c>
      <c r="AC259" s="12" t="n">
        <f aca="false">IF(Q259,A259,AC258)</f>
        <v>45034</v>
      </c>
      <c r="AD259" s="8" t="n">
        <f aca="false">IF(Q259,B259,AD258)</f>
        <v>0.958058034944351</v>
      </c>
      <c r="AE259" s="8" t="str">
        <f aca="false">IF(AA259,L259,"")</f>
        <v/>
      </c>
      <c r="AF259" s="8" t="n">
        <f aca="false">U259</f>
        <v>0.938328062071903</v>
      </c>
      <c r="AG259" s="2" t="n">
        <f aca="false">AG258+IF(Q259,1,0)</f>
        <v>2</v>
      </c>
      <c r="AH259" s="2" t="n">
        <f aca="false">AG258</f>
        <v>2</v>
      </c>
      <c r="AI259" s="10" t="n">
        <f aca="false">X259+Y259*(E259-AB259)-Y259*AD259*Inputs!$B$13*(A259-AC259)</f>
        <v>1028.45626235628</v>
      </c>
      <c r="AJ259" s="10" t="n">
        <v>0</v>
      </c>
      <c r="AK259" s="8" t="n">
        <f aca="false">IF(AND(B259&lt;=U259,NOT(Q259)),B259,U259)*(1-Inputs!$B$12)</f>
        <v>0.938140396459488</v>
      </c>
    </row>
    <row r="260" customFormat="false" ht="15" hidden="false" customHeight="false" outlineLevel="0" collapsed="false">
      <c r="A260" s="6" t="n">
        <v>45044</v>
      </c>
      <c r="B260" s="7" t="n">
        <v>0.958873911371505</v>
      </c>
      <c r="C260" s="7" t="n">
        <v>0.962611540730663</v>
      </c>
      <c r="D260" s="7" t="n">
        <v>0.952660086670937</v>
      </c>
      <c r="E260" s="7" t="n">
        <v>0.952883653186481</v>
      </c>
      <c r="F260" s="8" t="n">
        <f aca="true">IF(ROW()-2&gt;=Inputs!$B$4,AVERAGE(OFFSET(E260,1-Inputs!$B$4,0,Inputs!$B$4,1)),"")</f>
        <v>0.957721216138212</v>
      </c>
      <c r="G260" s="8" t="n">
        <f aca="true">IF(ROW()-2&gt;=Inputs!$B$5,AVERAGE(OFFSET(E260,1-Inputs!$B$5,0,Inputs!$B$5,1)),"")</f>
        <v>0.943840783476345</v>
      </c>
      <c r="H260" s="8" t="n">
        <f aca="false">MAX(C260-D260,ABS(C260-E259),ABS(D260-E259))</f>
        <v>0.00995145405972564</v>
      </c>
      <c r="I260" s="8" t="n">
        <f aca="true">IF(ROW()-2&lt;14,"",IF(ROW()-2=14,AVERAGE(OFFSET(H260,-13,0,14,1)),(I259*13+H260)/14))</f>
        <v>0.00971104924590488</v>
      </c>
      <c r="J260" s="9" t="b">
        <f aca="false">IF(AND(ISNUMBER(F260),ISNUMBER(G260),ISNUMBER(F259),ISNUMBER(G259)),AND(F260&gt;G260,F259&lt;=G259),FALSE())</f>
        <v>0</v>
      </c>
      <c r="K260" s="9" t="b">
        <f aca="false">IF(AND(ISNUMBER(F260),ISNUMBER(G260),ISNUMBER(F259),ISNUMBER(G259)),AND(F260&lt;G260,F259&gt;=G259),FALSE())</f>
        <v>0</v>
      </c>
      <c r="L260" s="8" t="n">
        <f aca="false">IF(ISNUMBER(I260),E260-Inputs!$B$6*I260,"")</f>
        <v>0.933461554694671</v>
      </c>
      <c r="M260" s="9" t="b">
        <f aca="false">AND(Y259&gt;0,Z259)</f>
        <v>0</v>
      </c>
      <c r="N260" s="8" t="n">
        <f aca="false">B260*(1-Inputs!$B$12)</f>
        <v>0.958682136589231</v>
      </c>
      <c r="O260" s="10" t="n">
        <f aca="false">IF(M260,Y259*(N260-AB259)-Inputs!$B$9-Y259*AD259*Inputs!$B$13*(A260-AC259),0)</f>
        <v>0</v>
      </c>
      <c r="P260" s="10" t="n">
        <f aca="false">X259+O260</f>
        <v>1028.9273715976</v>
      </c>
      <c r="Q260" s="9" t="b">
        <f aca="false">AND(IF(M260,0,Y259)=0,AA259,IF(ISNUMBER(AE259),B260&gt;AE259,FALSE()))</f>
        <v>0</v>
      </c>
      <c r="R260" s="8" t="n">
        <f aca="false">B260*(1+Inputs!$B$12)</f>
        <v>0.959065686153779</v>
      </c>
      <c r="S260" s="11" t="n">
        <f aca="false">IF(Q260,MIN(P260*Inputs!$B$3/(R260-AE259),P260*Inputs!$B$11/R260),0)</f>
        <v>0</v>
      </c>
      <c r="T260" s="11" t="n">
        <f aca="false">IF(Q260,S260,IF(M260,0,Y259))</f>
        <v>516.99069050491</v>
      </c>
      <c r="U260" s="8" t="n">
        <f aca="false">IF(Q260,AE259,AF259)</f>
        <v>0.938328062071903</v>
      </c>
      <c r="V260" s="9" t="b">
        <f aca="false">AND(T260&gt;0,D260&lt;=U260)</f>
        <v>0</v>
      </c>
      <c r="W260" s="10" t="n">
        <f aca="false">IF(V260,T260*(AK260-AB260)-Inputs!$B$9-T260*AD260*Inputs!$B$13*(A260-AC260),0)</f>
        <v>0</v>
      </c>
      <c r="X260" s="10" t="n">
        <f aca="false">P260-IF(Q260,Inputs!$B$9,0)+W260</f>
        <v>1028.9273715976</v>
      </c>
      <c r="Y260" s="11" t="n">
        <f aca="false">IF(V260,0,T260)</f>
        <v>516.99069050491</v>
      </c>
      <c r="Z260" s="9" t="b">
        <f aca="false">AND(Y260&gt;0,K260)</f>
        <v>0</v>
      </c>
      <c r="AA260" s="9" t="b">
        <f aca="false">AND(Y260=0,J260,ISNUMBER(L260))</f>
        <v>0</v>
      </c>
      <c r="AB260" s="8" t="n">
        <f aca="false">IF(Q260,R260,AB259)</f>
        <v>0.95824964655134</v>
      </c>
      <c r="AC260" s="12" t="n">
        <f aca="false">IF(Q260,A260,AC259)</f>
        <v>45034</v>
      </c>
      <c r="AD260" s="8" t="n">
        <f aca="false">IF(Q260,B260,AD259)</f>
        <v>0.958058034944351</v>
      </c>
      <c r="AE260" s="8" t="str">
        <f aca="false">IF(AA260,L260,"")</f>
        <v/>
      </c>
      <c r="AF260" s="8" t="n">
        <f aca="false">U260</f>
        <v>0.938328062071903</v>
      </c>
      <c r="AG260" s="2" t="n">
        <f aca="false">AG259+IF(Q260,1,0)</f>
        <v>2</v>
      </c>
      <c r="AH260" s="2" t="n">
        <f aca="false">AG259</f>
        <v>2</v>
      </c>
      <c r="AI260" s="10" t="n">
        <f aca="false">X260+Y260*(E260-AB260)-Y260*AD260*Inputs!$B$13*(A260-AC260)</f>
        <v>1025.2711492696</v>
      </c>
      <c r="AJ260" s="10" t="n">
        <v>0</v>
      </c>
      <c r="AK260" s="8" t="n">
        <f aca="false">IF(AND(B260&lt;=U260,NOT(Q260)),B260,U260)*(1-Inputs!$B$12)</f>
        <v>0.938140396459488</v>
      </c>
    </row>
    <row r="261" customFormat="false" ht="15" hidden="false" customHeight="false" outlineLevel="0" collapsed="false">
      <c r="A261" s="6" t="n">
        <v>45045</v>
      </c>
      <c r="B261" s="7" t="n">
        <v>0.952883653186481</v>
      </c>
      <c r="C261" s="7" t="n">
        <v>0.96815078717926</v>
      </c>
      <c r="D261" s="7" t="n">
        <v>0.951416405514913</v>
      </c>
      <c r="E261" s="7" t="n">
        <v>0.960947363251339</v>
      </c>
      <c r="F261" s="8" t="n">
        <f aca="true">IF(ROW()-2&gt;=Inputs!$B$4,AVERAGE(OFFSET(E261,1-Inputs!$B$4,0,Inputs!$B$4,1)),"")</f>
        <v>0.959030231390419</v>
      </c>
      <c r="G261" s="8" t="n">
        <f aca="true">IF(ROW()-2&gt;=Inputs!$B$5,AVERAGE(OFFSET(E261,1-Inputs!$B$5,0,Inputs!$B$5,1)),"")</f>
        <v>0.944414356999499</v>
      </c>
      <c r="H261" s="8" t="n">
        <f aca="false">MAX(C261-D261,ABS(C261-E260),ABS(D261-E260))</f>
        <v>0.016734381664347</v>
      </c>
      <c r="I261" s="8" t="n">
        <f aca="true">IF(ROW()-2&lt;14,"",IF(ROW()-2=14,AVERAGE(OFFSET(H261,-13,0,14,1)),(I260*13+H261)/14))</f>
        <v>0.0102127158472222</v>
      </c>
      <c r="J261" s="9" t="b">
        <f aca="false">IF(AND(ISNUMBER(F261),ISNUMBER(G261),ISNUMBER(F260),ISNUMBER(G260)),AND(F261&gt;G261,F260&lt;=G260),FALSE())</f>
        <v>0</v>
      </c>
      <c r="K261" s="9" t="b">
        <f aca="false">IF(AND(ISNUMBER(F261),ISNUMBER(G261),ISNUMBER(F260),ISNUMBER(G260)),AND(F261&lt;G261,F260&gt;=G260),FALSE())</f>
        <v>0</v>
      </c>
      <c r="L261" s="8" t="n">
        <f aca="false">IF(ISNUMBER(I261),E261-Inputs!$B$6*I261,"")</f>
        <v>0.940521931556895</v>
      </c>
      <c r="M261" s="9" t="b">
        <f aca="false">AND(Y260&gt;0,Z260)</f>
        <v>0</v>
      </c>
      <c r="N261" s="8" t="n">
        <f aca="false">B261*(1-Inputs!$B$12)</f>
        <v>0.952693076455844</v>
      </c>
      <c r="O261" s="10" t="n">
        <f aca="false">IF(M261,Y260*(N261-AB260)-Inputs!$B$9-Y260*AD260*Inputs!$B$13*(A261-AC260),0)</f>
        <v>0</v>
      </c>
      <c r="P261" s="10" t="n">
        <f aca="false">X260+O261</f>
        <v>1028.9273715976</v>
      </c>
      <c r="Q261" s="9" t="b">
        <f aca="false">AND(IF(M261,0,Y260)=0,AA260,IF(ISNUMBER(AE260),B261&gt;AE260,FALSE()))</f>
        <v>0</v>
      </c>
      <c r="R261" s="8" t="n">
        <f aca="false">B261*(1+Inputs!$B$12)</f>
        <v>0.953074229917118</v>
      </c>
      <c r="S261" s="11" t="n">
        <f aca="false">IF(Q261,MIN(P261*Inputs!$B$3/(R261-AE260),P261*Inputs!$B$11/R261),0)</f>
        <v>0</v>
      </c>
      <c r="T261" s="11" t="n">
        <f aca="false">IF(Q261,S261,IF(M261,0,Y260))</f>
        <v>516.99069050491</v>
      </c>
      <c r="U261" s="8" t="n">
        <f aca="false">IF(Q261,AE260,AF260)</f>
        <v>0.938328062071903</v>
      </c>
      <c r="V261" s="9" t="b">
        <f aca="false">AND(T261&gt;0,D261&lt;=U261)</f>
        <v>0</v>
      </c>
      <c r="W261" s="10" t="n">
        <f aca="false">IF(V261,T261*(AK261-AB261)-Inputs!$B$9-T261*AD261*Inputs!$B$13*(A261-AC261),0)</f>
        <v>0</v>
      </c>
      <c r="X261" s="10" t="n">
        <f aca="false">P261-IF(Q261,Inputs!$B$9,0)+W261</f>
        <v>1028.9273715976</v>
      </c>
      <c r="Y261" s="11" t="n">
        <f aca="false">IF(V261,0,T261)</f>
        <v>516.99069050491</v>
      </c>
      <c r="Z261" s="9" t="b">
        <f aca="false">AND(Y261&gt;0,K261)</f>
        <v>0</v>
      </c>
      <c r="AA261" s="9" t="b">
        <f aca="false">AND(Y261=0,J261,ISNUMBER(L261))</f>
        <v>0</v>
      </c>
      <c r="AB261" s="8" t="n">
        <f aca="false">IF(Q261,R261,AB260)</f>
        <v>0.95824964655134</v>
      </c>
      <c r="AC261" s="12" t="n">
        <f aca="false">IF(Q261,A261,AC260)</f>
        <v>45034</v>
      </c>
      <c r="AD261" s="8" t="n">
        <f aca="false">IF(Q261,B261,AD260)</f>
        <v>0.958058034944351</v>
      </c>
      <c r="AE261" s="8" t="str">
        <f aca="false">IF(AA261,L261,"")</f>
        <v/>
      </c>
      <c r="AF261" s="8" t="n">
        <f aca="false">U261</f>
        <v>0.938328062071903</v>
      </c>
      <c r="AG261" s="2" t="n">
        <f aca="false">AG260+IF(Q261,1,0)</f>
        <v>2</v>
      </c>
      <c r="AH261" s="2" t="n">
        <f aca="false">AG260</f>
        <v>2</v>
      </c>
      <c r="AI261" s="10" t="n">
        <f aca="false">X261+Y261*(E261-AB261)-Y261*AD261*Inputs!$B$13*(A261-AC261)</f>
        <v>1029.35180693275</v>
      </c>
      <c r="AJ261" s="10" t="n">
        <v>0</v>
      </c>
      <c r="AK261" s="8" t="n">
        <f aca="false">IF(AND(B261&lt;=U261,NOT(Q261)),B261,U261)*(1-Inputs!$B$12)</f>
        <v>0.938140396459488</v>
      </c>
    </row>
    <row r="262" customFormat="false" ht="15" hidden="false" customHeight="false" outlineLevel="0" collapsed="false">
      <c r="A262" s="6" t="n">
        <v>45046</v>
      </c>
      <c r="B262" s="7" t="n">
        <v>0.960947363251339</v>
      </c>
      <c r="C262" s="7" t="n">
        <v>0.965877235877712</v>
      </c>
      <c r="D262" s="7" t="n">
        <v>0.94692632813964</v>
      </c>
      <c r="E262" s="7" t="n">
        <v>0.949583345951515</v>
      </c>
      <c r="F262" s="8" t="n">
        <f aca="true">IF(ROW()-2&gt;=Inputs!$B$4,AVERAGE(OFFSET(E262,1-Inputs!$B$4,0,Inputs!$B$4,1)),"")</f>
        <v>0.959228057372351</v>
      </c>
      <c r="G262" s="8" t="n">
        <f aca="true">IF(ROW()-2&gt;=Inputs!$B$5,AVERAGE(OFFSET(E262,1-Inputs!$B$5,0,Inputs!$B$5,1)),"")</f>
        <v>0.94477199376792</v>
      </c>
      <c r="H262" s="8" t="n">
        <f aca="false">MAX(C262-D262,ABS(C262-E261),ABS(D262-E261))</f>
        <v>0.0189509077380723</v>
      </c>
      <c r="I262" s="8" t="n">
        <f aca="true">IF(ROW()-2&lt;14,"",IF(ROW()-2=14,AVERAGE(OFFSET(H262,-13,0,14,1)),(I261*13+H262)/14))</f>
        <v>0.0108368724108543</v>
      </c>
      <c r="J262" s="9" t="b">
        <f aca="false">IF(AND(ISNUMBER(F262),ISNUMBER(G262),ISNUMBER(F261),ISNUMBER(G261)),AND(F262&gt;G262,F261&lt;=G261),FALSE())</f>
        <v>0</v>
      </c>
      <c r="K262" s="9" t="b">
        <f aca="false">IF(AND(ISNUMBER(F262),ISNUMBER(G262),ISNUMBER(F261),ISNUMBER(G261)),AND(F262&lt;G262,F261&gt;=G261),FALSE())</f>
        <v>0</v>
      </c>
      <c r="L262" s="8" t="n">
        <f aca="false">IF(ISNUMBER(I262),E262-Inputs!$B$6*I262,"")</f>
        <v>0.927909601129806</v>
      </c>
      <c r="M262" s="9" t="b">
        <f aca="false">AND(Y261&gt;0,Z261)</f>
        <v>0</v>
      </c>
      <c r="N262" s="8" t="n">
        <f aca="false">B262*(1-Inputs!$B$12)</f>
        <v>0.960755173778689</v>
      </c>
      <c r="O262" s="10" t="n">
        <f aca="false">IF(M262,Y261*(N262-AB261)-Inputs!$B$9-Y261*AD261*Inputs!$B$13*(A262-AC261),0)</f>
        <v>0</v>
      </c>
      <c r="P262" s="10" t="n">
        <f aca="false">X261+O262</f>
        <v>1028.9273715976</v>
      </c>
      <c r="Q262" s="9" t="b">
        <f aca="false">AND(IF(M262,0,Y261)=0,AA261,IF(ISNUMBER(AE261),B262&gt;AE261,FALSE()))</f>
        <v>0</v>
      </c>
      <c r="R262" s="8" t="n">
        <f aca="false">B262*(1+Inputs!$B$12)</f>
        <v>0.961139552723989</v>
      </c>
      <c r="S262" s="11" t="n">
        <f aca="false">IF(Q262,MIN(P262*Inputs!$B$3/(R262-AE261),P262*Inputs!$B$11/R262),0)</f>
        <v>0</v>
      </c>
      <c r="T262" s="11" t="n">
        <f aca="false">IF(Q262,S262,IF(M262,0,Y261))</f>
        <v>516.99069050491</v>
      </c>
      <c r="U262" s="8" t="n">
        <f aca="false">IF(Q262,AE261,AF261)</f>
        <v>0.938328062071903</v>
      </c>
      <c r="V262" s="9" t="b">
        <f aca="false">AND(T262&gt;0,D262&lt;=U262)</f>
        <v>0</v>
      </c>
      <c r="W262" s="10" t="n">
        <f aca="false">IF(V262,T262*(AK262-AB262)-Inputs!$B$9-T262*AD262*Inputs!$B$13*(A262-AC262),0)</f>
        <v>0</v>
      </c>
      <c r="X262" s="10" t="n">
        <f aca="false">P262-IF(Q262,Inputs!$B$9,0)+W262</f>
        <v>1028.9273715976</v>
      </c>
      <c r="Y262" s="11" t="n">
        <f aca="false">IF(V262,0,T262)</f>
        <v>516.99069050491</v>
      </c>
      <c r="Z262" s="9" t="b">
        <f aca="false">AND(Y262&gt;0,K262)</f>
        <v>0</v>
      </c>
      <c r="AA262" s="9" t="b">
        <f aca="false">AND(Y262=0,J262,ISNUMBER(L262))</f>
        <v>0</v>
      </c>
      <c r="AB262" s="8" t="n">
        <f aca="false">IF(Q262,R262,AB261)</f>
        <v>0.95824964655134</v>
      </c>
      <c r="AC262" s="12" t="n">
        <f aca="false">IF(Q262,A262,AC261)</f>
        <v>45034</v>
      </c>
      <c r="AD262" s="8" t="n">
        <f aca="false">IF(Q262,B262,AD261)</f>
        <v>0.958058034944351</v>
      </c>
      <c r="AE262" s="8" t="str">
        <f aca="false">IF(AA262,L262,"")</f>
        <v/>
      </c>
      <c r="AF262" s="8" t="n">
        <f aca="false">U262</f>
        <v>0.938328062071903</v>
      </c>
      <c r="AG262" s="2" t="n">
        <f aca="false">AG261+IF(Q262,1,0)</f>
        <v>2</v>
      </c>
      <c r="AH262" s="2" t="n">
        <f aca="false">AG261</f>
        <v>2</v>
      </c>
      <c r="AI262" s="10" t="n">
        <f aca="false">X262+Y262*(E262-AB262)-Y262*AD262*Inputs!$B$13*(A262-AC262)</f>
        <v>1023.3885104107</v>
      </c>
      <c r="AJ262" s="10" t="n">
        <v>0</v>
      </c>
      <c r="AK262" s="8" t="n">
        <f aca="false">IF(AND(B262&lt;=U262,NOT(Q262)),B262,U262)*(1-Inputs!$B$12)</f>
        <v>0.938140396459488</v>
      </c>
    </row>
    <row r="263" customFormat="false" ht="15" hidden="false" customHeight="false" outlineLevel="0" collapsed="false">
      <c r="A263" s="6" t="n">
        <v>45047</v>
      </c>
      <c r="B263" s="7" t="n">
        <v>0.949583345951515</v>
      </c>
      <c r="C263" s="7" t="n">
        <v>0.952381608791214</v>
      </c>
      <c r="D263" s="7" t="n">
        <v>0.933837251046997</v>
      </c>
      <c r="E263" s="7" t="n">
        <v>0.93734632937434</v>
      </c>
      <c r="F263" s="8" t="n">
        <f aca="true">IF(ROW()-2&gt;=Inputs!$B$4,AVERAGE(OFFSET(E263,1-Inputs!$B$4,0,Inputs!$B$4,1)),"")</f>
        <v>0.958606192951983</v>
      </c>
      <c r="G263" s="8" t="n">
        <f aca="true">IF(ROW()-2&gt;=Inputs!$B$5,AVERAGE(OFFSET(E263,1-Inputs!$B$5,0,Inputs!$B$5,1)),"")</f>
        <v>0.944794485968894</v>
      </c>
      <c r="H263" s="8" t="n">
        <f aca="false">MAX(C263-D263,ABS(C263-E262),ABS(D263-E262))</f>
        <v>0.0185443577442178</v>
      </c>
      <c r="I263" s="8" t="n">
        <f aca="true">IF(ROW()-2&lt;14,"",IF(ROW()-2=14,AVERAGE(OFFSET(H263,-13,0,14,1)),(I262*13+H263)/14))</f>
        <v>0.0113874070775231</v>
      </c>
      <c r="J263" s="9" t="b">
        <f aca="false">IF(AND(ISNUMBER(F263),ISNUMBER(G263),ISNUMBER(F262),ISNUMBER(G262)),AND(F263&gt;G263,F262&lt;=G262),FALSE())</f>
        <v>0</v>
      </c>
      <c r="K263" s="9" t="b">
        <f aca="false">IF(AND(ISNUMBER(F263),ISNUMBER(G263),ISNUMBER(F262),ISNUMBER(G262)),AND(F263&lt;G263,F262&gt;=G262),FALSE())</f>
        <v>0</v>
      </c>
      <c r="L263" s="8" t="n">
        <f aca="false">IF(ISNUMBER(I263),E263-Inputs!$B$6*I263,"")</f>
        <v>0.914571515219294</v>
      </c>
      <c r="M263" s="9" t="b">
        <f aca="false">AND(Y262&gt;0,Z262)</f>
        <v>0</v>
      </c>
      <c r="N263" s="8" t="n">
        <f aca="false">B263*(1-Inputs!$B$12)</f>
        <v>0.949393429282325</v>
      </c>
      <c r="O263" s="10" t="n">
        <f aca="false">IF(M263,Y262*(N263-AB262)-Inputs!$B$9-Y262*AD262*Inputs!$B$13*(A263-AC262),0)</f>
        <v>0</v>
      </c>
      <c r="P263" s="10" t="n">
        <f aca="false">X262+O263</f>
        <v>1028.9273715976</v>
      </c>
      <c r="Q263" s="9" t="b">
        <f aca="false">AND(IF(M263,0,Y262)=0,AA262,IF(ISNUMBER(AE262),B263&gt;AE262,FALSE()))</f>
        <v>0</v>
      </c>
      <c r="R263" s="8" t="n">
        <f aca="false">B263*(1+Inputs!$B$12)</f>
        <v>0.949773262620705</v>
      </c>
      <c r="S263" s="11" t="n">
        <f aca="false">IF(Q263,MIN(P263*Inputs!$B$3/(R263-AE262),P263*Inputs!$B$11/R263),0)</f>
        <v>0</v>
      </c>
      <c r="T263" s="11" t="n">
        <f aca="false">IF(Q263,S263,IF(M263,0,Y262))</f>
        <v>516.99069050491</v>
      </c>
      <c r="U263" s="8" t="n">
        <f aca="false">IF(Q263,AE262,AF262)</f>
        <v>0.938328062071903</v>
      </c>
      <c r="V263" s="9" t="b">
        <f aca="false">AND(T263&gt;0,D263&lt;=U263)</f>
        <v>1</v>
      </c>
      <c r="W263" s="10" t="n">
        <f aca="false">IF(V263,T263*(AK263-AB263)-Inputs!$B$9-T263*AD263*Inputs!$B$13*(A263-AC263),0)</f>
        <v>-12.5429649175086</v>
      </c>
      <c r="X263" s="10" t="n">
        <f aca="false">P263-IF(Q263,Inputs!$B$9,0)+W263</f>
        <v>1016.3844066801</v>
      </c>
      <c r="Y263" s="11" t="n">
        <f aca="false">IF(V263,0,T263)</f>
        <v>0</v>
      </c>
      <c r="Z263" s="9" t="b">
        <f aca="false">AND(Y263&gt;0,K263)</f>
        <v>0</v>
      </c>
      <c r="AA263" s="9" t="b">
        <f aca="false">AND(Y263=0,J263,ISNUMBER(L263))</f>
        <v>0</v>
      </c>
      <c r="AB263" s="8" t="n">
        <f aca="false">IF(Q263,R263,AB262)</f>
        <v>0.95824964655134</v>
      </c>
      <c r="AC263" s="12" t="n">
        <f aca="false">IF(Q263,A263,AC262)</f>
        <v>45034</v>
      </c>
      <c r="AD263" s="8" t="n">
        <f aca="false">IF(Q263,B263,AD262)</f>
        <v>0.958058034944351</v>
      </c>
      <c r="AE263" s="8" t="str">
        <f aca="false">IF(AA263,L263,"")</f>
        <v/>
      </c>
      <c r="AF263" s="8" t="n">
        <f aca="false">U263</f>
        <v>0.938328062071903</v>
      </c>
      <c r="AG263" s="2" t="n">
        <f aca="false">AG262+IF(Q263,1,0)</f>
        <v>2</v>
      </c>
      <c r="AH263" s="2" t="n">
        <f aca="false">AG262</f>
        <v>2</v>
      </c>
      <c r="AI263" s="10" t="n">
        <f aca="false">X263+Y263*(E263-AB263)-Y263*AD263*Inputs!$B$13*(A263-AC263)</f>
        <v>1016.3844066801</v>
      </c>
      <c r="AJ263" s="10" t="n">
        <v>0</v>
      </c>
      <c r="AK263" s="8" t="n">
        <f aca="false">IF(AND(B263&lt;=U263,NOT(Q263)),B263,U263)*(1-Inputs!$B$12)</f>
        <v>0.938140396459488</v>
      </c>
    </row>
    <row r="264" customFormat="false" ht="15" hidden="false" customHeight="false" outlineLevel="0" collapsed="false">
      <c r="A264" s="6" t="n">
        <v>45048</v>
      </c>
      <c r="B264" s="7" t="n">
        <v>0.93734632937434</v>
      </c>
      <c r="C264" s="7" t="n">
        <v>0.940791800691169</v>
      </c>
      <c r="D264" s="7" t="n">
        <v>0.925113672063893</v>
      </c>
      <c r="E264" s="7" t="n">
        <v>0.934071139001785</v>
      </c>
      <c r="F264" s="8" t="n">
        <f aca="true">IF(ROW()-2&gt;=Inputs!$B$4,AVERAGE(OFFSET(E264,1-Inputs!$B$4,0,Inputs!$B$4,1)),"")</f>
        <v>0.958107706632077</v>
      </c>
      <c r="G264" s="8" t="n">
        <f aca="true">IF(ROW()-2&gt;=Inputs!$B$5,AVERAGE(OFFSET(E264,1-Inputs!$B$5,0,Inputs!$B$5,1)),"")</f>
        <v>0.94476399922477</v>
      </c>
      <c r="H264" s="8" t="n">
        <f aca="false">MAX(C264-D264,ABS(C264-E263),ABS(D264-E263))</f>
        <v>0.015678128627276</v>
      </c>
      <c r="I264" s="8" t="n">
        <f aca="true">IF(ROW()-2&lt;14,"",IF(ROW()-2=14,AVERAGE(OFFSET(H264,-13,0,14,1)),(I263*13+H264)/14))</f>
        <v>0.0116938871882198</v>
      </c>
      <c r="J264" s="9" t="b">
        <f aca="false">IF(AND(ISNUMBER(F264),ISNUMBER(G264),ISNUMBER(F263),ISNUMBER(G263)),AND(F264&gt;G264,F263&lt;=G263),FALSE())</f>
        <v>0</v>
      </c>
      <c r="K264" s="9" t="b">
        <f aca="false">IF(AND(ISNUMBER(F264),ISNUMBER(G264),ISNUMBER(F263),ISNUMBER(G263)),AND(F264&lt;G264,F263&gt;=G263),FALSE())</f>
        <v>0</v>
      </c>
      <c r="L264" s="8" t="n">
        <f aca="false">IF(ISNUMBER(I264),E264-Inputs!$B$6*I264,"")</f>
        <v>0.910683364625346</v>
      </c>
      <c r="M264" s="9" t="b">
        <f aca="false">AND(Y263&gt;0,Z263)</f>
        <v>0</v>
      </c>
      <c r="N264" s="8" t="n">
        <f aca="false">B264*(1-Inputs!$B$12)</f>
        <v>0.937158860108465</v>
      </c>
      <c r="O264" s="10" t="n">
        <f aca="false">IF(M264,Y263*(N264-AB263)-Inputs!$B$9-Y263*AD263*Inputs!$B$13*(A264-AC263),0)</f>
        <v>0</v>
      </c>
      <c r="P264" s="10" t="n">
        <f aca="false">X263+O264</f>
        <v>1016.3844066801</v>
      </c>
      <c r="Q264" s="9" t="b">
        <f aca="false">AND(IF(M264,0,Y263)=0,AA263,IF(ISNUMBER(AE263),B264&gt;AE263,FALSE()))</f>
        <v>0</v>
      </c>
      <c r="R264" s="8" t="n">
        <f aca="false">B264*(1+Inputs!$B$12)</f>
        <v>0.937533798640215</v>
      </c>
      <c r="S264" s="11" t="n">
        <f aca="false">IF(Q264,MIN(P264*Inputs!$B$3/(R264-AE263),P264*Inputs!$B$11/R264),0)</f>
        <v>0</v>
      </c>
      <c r="T264" s="11" t="n">
        <f aca="false">IF(Q264,S264,IF(M264,0,Y263))</f>
        <v>0</v>
      </c>
      <c r="U264" s="8" t="n">
        <f aca="false">IF(Q264,AE263,AF263)</f>
        <v>0.938328062071903</v>
      </c>
      <c r="V264" s="9" t="b">
        <f aca="false">AND(T264&gt;0,D264&lt;=U264)</f>
        <v>0</v>
      </c>
      <c r="W264" s="10" t="n">
        <f aca="false">IF(V264,T264*(AK264-AB264)-Inputs!$B$9-T264*AD264*Inputs!$B$13*(A264-AC264),0)</f>
        <v>0</v>
      </c>
      <c r="X264" s="10" t="n">
        <f aca="false">P264-IF(Q264,Inputs!$B$9,0)+W264</f>
        <v>1016.3844066801</v>
      </c>
      <c r="Y264" s="11" t="n">
        <f aca="false">IF(V264,0,T264)</f>
        <v>0</v>
      </c>
      <c r="Z264" s="9" t="b">
        <f aca="false">AND(Y264&gt;0,K264)</f>
        <v>0</v>
      </c>
      <c r="AA264" s="9" t="b">
        <f aca="false">AND(Y264=0,J264,ISNUMBER(L264))</f>
        <v>0</v>
      </c>
      <c r="AB264" s="8" t="n">
        <f aca="false">IF(Q264,R264,AB263)</f>
        <v>0.95824964655134</v>
      </c>
      <c r="AC264" s="12" t="n">
        <f aca="false">IF(Q264,A264,AC263)</f>
        <v>45034</v>
      </c>
      <c r="AD264" s="8" t="n">
        <f aca="false">IF(Q264,B264,AD263)</f>
        <v>0.958058034944351</v>
      </c>
      <c r="AE264" s="8" t="str">
        <f aca="false">IF(AA264,L264,"")</f>
        <v/>
      </c>
      <c r="AF264" s="8" t="n">
        <f aca="false">U264</f>
        <v>0.938328062071903</v>
      </c>
      <c r="AG264" s="2" t="n">
        <f aca="false">AG263+IF(Q264,1,0)</f>
        <v>2</v>
      </c>
      <c r="AH264" s="2" t="n">
        <f aca="false">AG263</f>
        <v>2</v>
      </c>
      <c r="AI264" s="10" t="n">
        <f aca="false">X264+Y264*(E264-AB264)-Y264*AD264*Inputs!$B$13*(A264-AC264)</f>
        <v>1016.3844066801</v>
      </c>
      <c r="AJ264" s="10" t="n">
        <v>0</v>
      </c>
      <c r="AK264" s="8" t="n">
        <f aca="false">IF(AND(B264&lt;=U264,NOT(Q264)),B264,U264)*(1-Inputs!$B$12)</f>
        <v>0.937158860108465</v>
      </c>
    </row>
    <row r="265" customFormat="false" ht="15" hidden="false" customHeight="false" outlineLevel="0" collapsed="false">
      <c r="A265" s="6" t="n">
        <v>45049</v>
      </c>
      <c r="B265" s="7" t="n">
        <v>0.934071139001785</v>
      </c>
      <c r="C265" s="7" t="n">
        <v>0.939135593838091</v>
      </c>
      <c r="D265" s="7" t="n">
        <v>0.92861881345572</v>
      </c>
      <c r="E265" s="7" t="n">
        <v>0.929445527301028</v>
      </c>
      <c r="F265" s="8" t="n">
        <f aca="true">IF(ROW()-2&gt;=Inputs!$B$4,AVERAGE(OFFSET(E265,1-Inputs!$B$4,0,Inputs!$B$4,1)),"")</f>
        <v>0.957437681717326</v>
      </c>
      <c r="G265" s="8" t="n">
        <f aca="true">IF(ROW()-2&gt;=Inputs!$B$5,AVERAGE(OFFSET(E265,1-Inputs!$B$5,0,Inputs!$B$5,1)),"")</f>
        <v>0.944709508822111</v>
      </c>
      <c r="H265" s="8" t="n">
        <f aca="false">MAX(C265-D265,ABS(C265-E264),ABS(D265-E264))</f>
        <v>0.0105167803823711</v>
      </c>
      <c r="I265" s="8" t="n">
        <f aca="true">IF(ROW()-2&lt;14,"",IF(ROW()-2=14,AVERAGE(OFFSET(H265,-13,0,14,1)),(I264*13+H265)/14))</f>
        <v>0.0116098081306592</v>
      </c>
      <c r="J265" s="9" t="b">
        <f aca="false">IF(AND(ISNUMBER(F265),ISNUMBER(G265),ISNUMBER(F264),ISNUMBER(G264)),AND(F265&gt;G265,F264&lt;=G264),FALSE())</f>
        <v>0</v>
      </c>
      <c r="K265" s="9" t="b">
        <f aca="false">IF(AND(ISNUMBER(F265),ISNUMBER(G265),ISNUMBER(F264),ISNUMBER(G264)),AND(F265&lt;G265,F264&gt;=G264),FALSE())</f>
        <v>0</v>
      </c>
      <c r="L265" s="8" t="n">
        <f aca="false">IF(ISNUMBER(I265),E265-Inputs!$B$6*I265,"")</f>
        <v>0.90622591103971</v>
      </c>
      <c r="M265" s="9" t="b">
        <f aca="false">AND(Y264&gt;0,Z264)</f>
        <v>0</v>
      </c>
      <c r="N265" s="8" t="n">
        <f aca="false">B265*(1-Inputs!$B$12)</f>
        <v>0.933884324773985</v>
      </c>
      <c r="O265" s="10" t="n">
        <f aca="false">IF(M265,Y264*(N265-AB264)-Inputs!$B$9-Y264*AD264*Inputs!$B$13*(A265-AC264),0)</f>
        <v>0</v>
      </c>
      <c r="P265" s="10" t="n">
        <f aca="false">X264+O265</f>
        <v>1016.3844066801</v>
      </c>
      <c r="Q265" s="9" t="b">
        <f aca="false">AND(IF(M265,0,Y264)=0,AA264,IF(ISNUMBER(AE264),B265&gt;AE264,FALSE()))</f>
        <v>0</v>
      </c>
      <c r="R265" s="8" t="n">
        <f aca="false">B265*(1+Inputs!$B$12)</f>
        <v>0.934257953229586</v>
      </c>
      <c r="S265" s="11" t="n">
        <f aca="false">IF(Q265,MIN(P265*Inputs!$B$3/(R265-AE264),P265*Inputs!$B$11/R265),0)</f>
        <v>0</v>
      </c>
      <c r="T265" s="11" t="n">
        <f aca="false">IF(Q265,S265,IF(M265,0,Y264))</f>
        <v>0</v>
      </c>
      <c r="U265" s="8" t="n">
        <f aca="false">IF(Q265,AE264,AF264)</f>
        <v>0.938328062071903</v>
      </c>
      <c r="V265" s="9" t="b">
        <f aca="false">AND(T265&gt;0,D265&lt;=U265)</f>
        <v>0</v>
      </c>
      <c r="W265" s="10" t="n">
        <f aca="false">IF(V265,T265*(AK265-AB265)-Inputs!$B$9-T265*AD265*Inputs!$B$13*(A265-AC265),0)</f>
        <v>0</v>
      </c>
      <c r="X265" s="10" t="n">
        <f aca="false">P265-IF(Q265,Inputs!$B$9,0)+W265</f>
        <v>1016.3844066801</v>
      </c>
      <c r="Y265" s="11" t="n">
        <f aca="false">IF(V265,0,T265)</f>
        <v>0</v>
      </c>
      <c r="Z265" s="9" t="b">
        <f aca="false">AND(Y265&gt;0,K265)</f>
        <v>0</v>
      </c>
      <c r="AA265" s="9" t="b">
        <f aca="false">AND(Y265=0,J265,ISNUMBER(L265))</f>
        <v>0</v>
      </c>
      <c r="AB265" s="8" t="n">
        <f aca="false">IF(Q265,R265,AB264)</f>
        <v>0.95824964655134</v>
      </c>
      <c r="AC265" s="12" t="n">
        <f aca="false">IF(Q265,A265,AC264)</f>
        <v>45034</v>
      </c>
      <c r="AD265" s="8" t="n">
        <f aca="false">IF(Q265,B265,AD264)</f>
        <v>0.958058034944351</v>
      </c>
      <c r="AE265" s="8" t="str">
        <f aca="false">IF(AA265,L265,"")</f>
        <v/>
      </c>
      <c r="AF265" s="8" t="n">
        <f aca="false">U265</f>
        <v>0.938328062071903</v>
      </c>
      <c r="AG265" s="2" t="n">
        <f aca="false">AG264+IF(Q265,1,0)</f>
        <v>2</v>
      </c>
      <c r="AH265" s="2" t="n">
        <f aca="false">AG264</f>
        <v>2</v>
      </c>
      <c r="AI265" s="10" t="n">
        <f aca="false">X265+Y265*(E265-AB265)-Y265*AD265*Inputs!$B$13*(A265-AC265)</f>
        <v>1016.3844066801</v>
      </c>
      <c r="AJ265" s="10" t="n">
        <v>0</v>
      </c>
      <c r="AK265" s="8" t="n">
        <f aca="false">IF(AND(B265&lt;=U265,NOT(Q265)),B265,U265)*(1-Inputs!$B$12)</f>
        <v>0.933884324773985</v>
      </c>
    </row>
    <row r="266" customFormat="false" ht="15" hidden="false" customHeight="false" outlineLevel="0" collapsed="false">
      <c r="A266" s="6" t="n">
        <v>45050</v>
      </c>
      <c r="B266" s="7" t="n">
        <v>0.929445527301028</v>
      </c>
      <c r="C266" s="7" t="n">
        <v>0.931598124003594</v>
      </c>
      <c r="D266" s="7" t="n">
        <v>0.927838004521365</v>
      </c>
      <c r="E266" s="7" t="n">
        <v>0.928493979300887</v>
      </c>
      <c r="F266" s="8" t="n">
        <f aca="true">IF(ROW()-2&gt;=Inputs!$B$4,AVERAGE(OFFSET(E266,1-Inputs!$B$4,0,Inputs!$B$4,1)),"")</f>
        <v>0.956755272588763</v>
      </c>
      <c r="G266" s="8" t="n">
        <f aca="true">IF(ROW()-2&gt;=Inputs!$B$5,AVERAGE(OFFSET(E266,1-Inputs!$B$5,0,Inputs!$B$5,1)),"")</f>
        <v>0.944865091477252</v>
      </c>
      <c r="H266" s="8" t="n">
        <f aca="false">MAX(C266-D266,ABS(C266-E265),ABS(D266-E265))</f>
        <v>0.00376011948222854</v>
      </c>
      <c r="I266" s="8" t="n">
        <f aca="true">IF(ROW()-2&lt;14,"",IF(ROW()-2=14,AVERAGE(OFFSET(H266,-13,0,14,1)),(I265*13+H266)/14))</f>
        <v>0.0110491160843427</v>
      </c>
      <c r="J266" s="9" t="b">
        <f aca="false">IF(AND(ISNUMBER(F266),ISNUMBER(G266),ISNUMBER(F265),ISNUMBER(G265)),AND(F266&gt;G266,F265&lt;=G265),FALSE())</f>
        <v>0</v>
      </c>
      <c r="K266" s="9" t="b">
        <f aca="false">IF(AND(ISNUMBER(F266),ISNUMBER(G266),ISNUMBER(F265),ISNUMBER(G265)),AND(F266&lt;G266,F265&gt;=G265),FALSE())</f>
        <v>0</v>
      </c>
      <c r="L266" s="8" t="n">
        <f aca="false">IF(ISNUMBER(I266),E266-Inputs!$B$6*I266,"")</f>
        <v>0.906395747132201</v>
      </c>
      <c r="M266" s="9" t="b">
        <f aca="false">AND(Y265&gt;0,Z265)</f>
        <v>0</v>
      </c>
      <c r="N266" s="8" t="n">
        <f aca="false">B266*(1-Inputs!$B$12)</f>
        <v>0.929259638195568</v>
      </c>
      <c r="O266" s="10" t="n">
        <f aca="false">IF(M266,Y265*(N266-AB265)-Inputs!$B$9-Y265*AD265*Inputs!$B$13*(A266-AC265),0)</f>
        <v>0</v>
      </c>
      <c r="P266" s="10" t="n">
        <f aca="false">X265+O266</f>
        <v>1016.3844066801</v>
      </c>
      <c r="Q266" s="9" t="b">
        <f aca="false">AND(IF(M266,0,Y265)=0,AA265,IF(ISNUMBER(AE265),B266&gt;AE265,FALSE()))</f>
        <v>0</v>
      </c>
      <c r="R266" s="8" t="n">
        <f aca="false">B266*(1+Inputs!$B$12)</f>
        <v>0.929631416406488</v>
      </c>
      <c r="S266" s="11" t="n">
        <f aca="false">IF(Q266,MIN(P266*Inputs!$B$3/(R266-AE265),P266*Inputs!$B$11/R266),0)</f>
        <v>0</v>
      </c>
      <c r="T266" s="11" t="n">
        <f aca="false">IF(Q266,S266,IF(M266,0,Y265))</f>
        <v>0</v>
      </c>
      <c r="U266" s="8" t="n">
        <f aca="false">IF(Q266,AE265,AF265)</f>
        <v>0.938328062071903</v>
      </c>
      <c r="V266" s="9" t="b">
        <f aca="false">AND(T266&gt;0,D266&lt;=U266)</f>
        <v>0</v>
      </c>
      <c r="W266" s="10" t="n">
        <f aca="false">IF(V266,T266*(AK266-AB266)-Inputs!$B$9-T266*AD266*Inputs!$B$13*(A266-AC266),0)</f>
        <v>0</v>
      </c>
      <c r="X266" s="10" t="n">
        <f aca="false">P266-IF(Q266,Inputs!$B$9,0)+W266</f>
        <v>1016.3844066801</v>
      </c>
      <c r="Y266" s="11" t="n">
        <f aca="false">IF(V266,0,T266)</f>
        <v>0</v>
      </c>
      <c r="Z266" s="9" t="b">
        <f aca="false">AND(Y266&gt;0,K266)</f>
        <v>0</v>
      </c>
      <c r="AA266" s="9" t="b">
        <f aca="false">AND(Y266=0,J266,ISNUMBER(L266))</f>
        <v>0</v>
      </c>
      <c r="AB266" s="8" t="n">
        <f aca="false">IF(Q266,R266,AB265)</f>
        <v>0.95824964655134</v>
      </c>
      <c r="AC266" s="12" t="n">
        <f aca="false">IF(Q266,A266,AC265)</f>
        <v>45034</v>
      </c>
      <c r="AD266" s="8" t="n">
        <f aca="false">IF(Q266,B266,AD265)</f>
        <v>0.958058034944351</v>
      </c>
      <c r="AE266" s="8" t="str">
        <f aca="false">IF(AA266,L266,"")</f>
        <v/>
      </c>
      <c r="AF266" s="8" t="n">
        <f aca="false">U266</f>
        <v>0.938328062071903</v>
      </c>
      <c r="AG266" s="2" t="n">
        <f aca="false">AG265+IF(Q266,1,0)</f>
        <v>2</v>
      </c>
      <c r="AH266" s="2" t="n">
        <f aca="false">AG265</f>
        <v>2</v>
      </c>
      <c r="AI266" s="10" t="n">
        <f aca="false">X266+Y266*(E266-AB266)-Y266*AD266*Inputs!$B$13*(A266-AC266)</f>
        <v>1016.3844066801</v>
      </c>
      <c r="AJ266" s="10" t="n">
        <v>0</v>
      </c>
      <c r="AK266" s="8" t="n">
        <f aca="false">IF(AND(B266&lt;=U266,NOT(Q266)),B266,U266)*(1-Inputs!$B$12)</f>
        <v>0.929259638195568</v>
      </c>
    </row>
    <row r="267" customFormat="false" ht="15" hidden="false" customHeight="false" outlineLevel="0" collapsed="false">
      <c r="A267" s="6" t="n">
        <v>45051</v>
      </c>
      <c r="B267" s="7" t="n">
        <v>0.928493979300887</v>
      </c>
      <c r="C267" s="7" t="n">
        <v>0.934121541698134</v>
      </c>
      <c r="D267" s="7" t="n">
        <v>0.927032369308771</v>
      </c>
      <c r="E267" s="7" t="n">
        <v>0.932046856328652</v>
      </c>
      <c r="F267" s="8" t="n">
        <f aca="true">IF(ROW()-2&gt;=Inputs!$B$4,AVERAGE(OFFSET(E267,1-Inputs!$B$4,0,Inputs!$B$4,1)),"")</f>
        <v>0.956065642744629</v>
      </c>
      <c r="G267" s="8" t="n">
        <f aca="true">IF(ROW()-2&gt;=Inputs!$B$5,AVERAGE(OFFSET(E267,1-Inputs!$B$5,0,Inputs!$B$5,1)),"")</f>
        <v>0.945043139885577</v>
      </c>
      <c r="H267" s="8" t="n">
        <f aca="false">MAX(C267-D267,ABS(C267-E266),ABS(D267-E266))</f>
        <v>0.00708917238936357</v>
      </c>
      <c r="I267" s="8" t="n">
        <f aca="true">IF(ROW()-2&lt;14,"",IF(ROW()-2=14,AVERAGE(OFFSET(H267,-13,0,14,1)),(I266*13+H267)/14))</f>
        <v>0.0107662629632728</v>
      </c>
      <c r="J267" s="9" t="b">
        <f aca="false">IF(AND(ISNUMBER(F267),ISNUMBER(G267),ISNUMBER(F266),ISNUMBER(G266)),AND(F267&gt;G267,F266&lt;=G266),FALSE())</f>
        <v>0</v>
      </c>
      <c r="K267" s="9" t="b">
        <f aca="false">IF(AND(ISNUMBER(F267),ISNUMBER(G267),ISNUMBER(F266),ISNUMBER(G266)),AND(F267&lt;G267,F266&gt;=G266),FALSE())</f>
        <v>0</v>
      </c>
      <c r="L267" s="8" t="n">
        <f aca="false">IF(ISNUMBER(I267),E267-Inputs!$B$6*I267,"")</f>
        <v>0.910514330402106</v>
      </c>
      <c r="M267" s="9" t="b">
        <f aca="false">AND(Y266&gt;0,Z266)</f>
        <v>0</v>
      </c>
      <c r="N267" s="8" t="n">
        <f aca="false">B267*(1-Inputs!$B$12)</f>
        <v>0.928308280505027</v>
      </c>
      <c r="O267" s="10" t="n">
        <f aca="false">IF(M267,Y266*(N267-AB266)-Inputs!$B$9-Y266*AD266*Inputs!$B$13*(A267-AC266),0)</f>
        <v>0</v>
      </c>
      <c r="P267" s="10" t="n">
        <f aca="false">X266+O267</f>
        <v>1016.3844066801</v>
      </c>
      <c r="Q267" s="9" t="b">
        <f aca="false">AND(IF(M267,0,Y266)=0,AA266,IF(ISNUMBER(AE266),B267&gt;AE266,FALSE()))</f>
        <v>0</v>
      </c>
      <c r="R267" s="8" t="n">
        <f aca="false">B267*(1+Inputs!$B$12)</f>
        <v>0.928679678096747</v>
      </c>
      <c r="S267" s="11" t="n">
        <f aca="false">IF(Q267,MIN(P267*Inputs!$B$3/(R267-AE266),P267*Inputs!$B$11/R267),0)</f>
        <v>0</v>
      </c>
      <c r="T267" s="11" t="n">
        <f aca="false">IF(Q267,S267,IF(M267,0,Y266))</f>
        <v>0</v>
      </c>
      <c r="U267" s="8" t="n">
        <f aca="false">IF(Q267,AE266,AF266)</f>
        <v>0.938328062071903</v>
      </c>
      <c r="V267" s="9" t="b">
        <f aca="false">AND(T267&gt;0,D267&lt;=U267)</f>
        <v>0</v>
      </c>
      <c r="W267" s="10" t="n">
        <f aca="false">IF(V267,T267*(AK267-AB267)-Inputs!$B$9-T267*AD267*Inputs!$B$13*(A267-AC267),0)</f>
        <v>0</v>
      </c>
      <c r="X267" s="10" t="n">
        <f aca="false">P267-IF(Q267,Inputs!$B$9,0)+W267</f>
        <v>1016.3844066801</v>
      </c>
      <c r="Y267" s="11" t="n">
        <f aca="false">IF(V267,0,T267)</f>
        <v>0</v>
      </c>
      <c r="Z267" s="9" t="b">
        <f aca="false">AND(Y267&gt;0,K267)</f>
        <v>0</v>
      </c>
      <c r="AA267" s="9" t="b">
        <f aca="false">AND(Y267=0,J267,ISNUMBER(L267))</f>
        <v>0</v>
      </c>
      <c r="AB267" s="8" t="n">
        <f aca="false">IF(Q267,R267,AB266)</f>
        <v>0.95824964655134</v>
      </c>
      <c r="AC267" s="12" t="n">
        <f aca="false">IF(Q267,A267,AC266)</f>
        <v>45034</v>
      </c>
      <c r="AD267" s="8" t="n">
        <f aca="false">IF(Q267,B267,AD266)</f>
        <v>0.958058034944351</v>
      </c>
      <c r="AE267" s="8" t="str">
        <f aca="false">IF(AA267,L267,"")</f>
        <v/>
      </c>
      <c r="AF267" s="8" t="n">
        <f aca="false">U267</f>
        <v>0.938328062071903</v>
      </c>
      <c r="AG267" s="2" t="n">
        <f aca="false">AG266+IF(Q267,1,0)</f>
        <v>2</v>
      </c>
      <c r="AH267" s="2" t="n">
        <f aca="false">AG266</f>
        <v>2</v>
      </c>
      <c r="AI267" s="10" t="n">
        <f aca="false">X267+Y267*(E267-AB267)-Y267*AD267*Inputs!$B$13*(A267-AC267)</f>
        <v>1016.3844066801</v>
      </c>
      <c r="AJ267" s="10" t="n">
        <v>0</v>
      </c>
      <c r="AK267" s="8" t="n">
        <f aca="false">IF(AND(B267&lt;=U267,NOT(Q267)),B267,U267)*(1-Inputs!$B$12)</f>
        <v>0.928308280505027</v>
      </c>
    </row>
    <row r="268" customFormat="false" ht="15" hidden="false" customHeight="false" outlineLevel="0" collapsed="false">
      <c r="A268" s="6" t="n">
        <v>45052</v>
      </c>
      <c r="B268" s="7" t="n">
        <v>0.932046856328652</v>
      </c>
      <c r="C268" s="7" t="n">
        <v>0.938601230768316</v>
      </c>
      <c r="D268" s="7" t="n">
        <v>0.917386503707808</v>
      </c>
      <c r="E268" s="7" t="n">
        <v>0.918562770603892</v>
      </c>
      <c r="F268" s="8" t="n">
        <f aca="true">IF(ROW()-2&gt;=Inputs!$B$4,AVERAGE(OFFSET(E268,1-Inputs!$B$4,0,Inputs!$B$4,1)),"")</f>
        <v>0.95443093555662</v>
      </c>
      <c r="G268" s="8" t="n">
        <f aca="true">IF(ROW()-2&gt;=Inputs!$B$5,AVERAGE(OFFSET(E268,1-Inputs!$B$5,0,Inputs!$B$5,1)),"")</f>
        <v>0.944803592891569</v>
      </c>
      <c r="H268" s="8" t="n">
        <f aca="false">MAX(C268-D268,ABS(C268-E267),ABS(D268-E267))</f>
        <v>0.0212147270605076</v>
      </c>
      <c r="I268" s="8" t="n">
        <f aca="true">IF(ROW()-2&lt;14,"",IF(ROW()-2=14,AVERAGE(OFFSET(H268,-13,0,14,1)),(I267*13+H268)/14))</f>
        <v>0.011512581827361</v>
      </c>
      <c r="J268" s="9" t="b">
        <f aca="false">IF(AND(ISNUMBER(F268),ISNUMBER(G268),ISNUMBER(F267),ISNUMBER(G267)),AND(F268&gt;G268,F267&lt;=G267),FALSE())</f>
        <v>0</v>
      </c>
      <c r="K268" s="9" t="b">
        <f aca="false">IF(AND(ISNUMBER(F268),ISNUMBER(G268),ISNUMBER(F267),ISNUMBER(G267)),AND(F268&lt;G268,F267&gt;=G267),FALSE())</f>
        <v>0</v>
      </c>
      <c r="L268" s="8" t="n">
        <f aca="false">IF(ISNUMBER(I268),E268-Inputs!$B$6*I268,"")</f>
        <v>0.89553760694917</v>
      </c>
      <c r="M268" s="9" t="b">
        <f aca="false">AND(Y267&gt;0,Z267)</f>
        <v>0</v>
      </c>
      <c r="N268" s="8" t="n">
        <f aca="false">B268*(1-Inputs!$B$12)</f>
        <v>0.931860446957386</v>
      </c>
      <c r="O268" s="10" t="n">
        <f aca="false">IF(M268,Y267*(N268-AB267)-Inputs!$B$9-Y267*AD267*Inputs!$B$13*(A268-AC267),0)</f>
        <v>0</v>
      </c>
      <c r="P268" s="10" t="n">
        <f aca="false">X267+O268</f>
        <v>1016.3844066801</v>
      </c>
      <c r="Q268" s="9" t="b">
        <f aca="false">AND(IF(M268,0,Y267)=0,AA267,IF(ISNUMBER(AE267),B268&gt;AE267,FALSE()))</f>
        <v>0</v>
      </c>
      <c r="R268" s="8" t="n">
        <f aca="false">B268*(1+Inputs!$B$12)</f>
        <v>0.932233265699917</v>
      </c>
      <c r="S268" s="11" t="n">
        <f aca="false">IF(Q268,MIN(P268*Inputs!$B$3/(R268-AE267),P268*Inputs!$B$11/R268),0)</f>
        <v>0</v>
      </c>
      <c r="T268" s="11" t="n">
        <f aca="false">IF(Q268,S268,IF(M268,0,Y267))</f>
        <v>0</v>
      </c>
      <c r="U268" s="8" t="n">
        <f aca="false">IF(Q268,AE267,AF267)</f>
        <v>0.938328062071903</v>
      </c>
      <c r="V268" s="9" t="b">
        <f aca="false">AND(T268&gt;0,D268&lt;=U268)</f>
        <v>0</v>
      </c>
      <c r="W268" s="10" t="n">
        <f aca="false">IF(V268,T268*(AK268-AB268)-Inputs!$B$9-T268*AD268*Inputs!$B$13*(A268-AC268),0)</f>
        <v>0</v>
      </c>
      <c r="X268" s="10" t="n">
        <f aca="false">P268-IF(Q268,Inputs!$B$9,0)+W268</f>
        <v>1016.3844066801</v>
      </c>
      <c r="Y268" s="11" t="n">
        <f aca="false">IF(V268,0,T268)</f>
        <v>0</v>
      </c>
      <c r="Z268" s="9" t="b">
        <f aca="false">AND(Y268&gt;0,K268)</f>
        <v>0</v>
      </c>
      <c r="AA268" s="9" t="b">
        <f aca="false">AND(Y268=0,J268,ISNUMBER(L268))</f>
        <v>0</v>
      </c>
      <c r="AB268" s="8" t="n">
        <f aca="false">IF(Q268,R268,AB267)</f>
        <v>0.95824964655134</v>
      </c>
      <c r="AC268" s="12" t="n">
        <f aca="false">IF(Q268,A268,AC267)</f>
        <v>45034</v>
      </c>
      <c r="AD268" s="8" t="n">
        <f aca="false">IF(Q268,B268,AD267)</f>
        <v>0.958058034944351</v>
      </c>
      <c r="AE268" s="8" t="str">
        <f aca="false">IF(AA268,L268,"")</f>
        <v/>
      </c>
      <c r="AF268" s="8" t="n">
        <f aca="false">U268</f>
        <v>0.938328062071903</v>
      </c>
      <c r="AG268" s="2" t="n">
        <f aca="false">AG267+IF(Q268,1,0)</f>
        <v>2</v>
      </c>
      <c r="AH268" s="2" t="n">
        <f aca="false">AG267</f>
        <v>2</v>
      </c>
      <c r="AI268" s="10" t="n">
        <f aca="false">X268+Y268*(E268-AB268)-Y268*AD268*Inputs!$B$13*(A268-AC268)</f>
        <v>1016.3844066801</v>
      </c>
      <c r="AJ268" s="10" t="n">
        <v>0</v>
      </c>
      <c r="AK268" s="8" t="n">
        <f aca="false">IF(AND(B268&lt;=U268,NOT(Q268)),B268,U268)*(1-Inputs!$B$12)</f>
        <v>0.931860446957386</v>
      </c>
    </row>
    <row r="269" customFormat="false" ht="15" hidden="false" customHeight="false" outlineLevel="0" collapsed="false">
      <c r="A269" s="6" t="n">
        <v>45053</v>
      </c>
      <c r="B269" s="7" t="n">
        <v>0.918562770603892</v>
      </c>
      <c r="C269" s="7" t="n">
        <v>0.93059452032441</v>
      </c>
      <c r="D269" s="7" t="n">
        <v>0.916029614982124</v>
      </c>
      <c r="E269" s="7" t="n">
        <v>0.924357997807158</v>
      </c>
      <c r="F269" s="8" t="n">
        <f aca="true">IF(ROW()-2&gt;=Inputs!$B$4,AVERAGE(OFFSET(E269,1-Inputs!$B$4,0,Inputs!$B$4,1)),"")</f>
        <v>0.952745933699761</v>
      </c>
      <c r="G269" s="8" t="n">
        <f aca="true">IF(ROW()-2&gt;=Inputs!$B$5,AVERAGE(OFFSET(E269,1-Inputs!$B$5,0,Inputs!$B$5,1)),"")</f>
        <v>0.944618632864946</v>
      </c>
      <c r="H269" s="8" t="n">
        <f aca="false">MAX(C269-D269,ABS(C269-E268),ABS(D269-E268))</f>
        <v>0.0145649053422864</v>
      </c>
      <c r="I269" s="8" t="n">
        <f aca="true">IF(ROW()-2&lt;14,"",IF(ROW()-2=14,AVERAGE(OFFSET(H269,-13,0,14,1)),(I268*13+H269)/14))</f>
        <v>0.0117306049355699</v>
      </c>
      <c r="J269" s="9" t="b">
        <f aca="false">IF(AND(ISNUMBER(F269),ISNUMBER(G269),ISNUMBER(F268),ISNUMBER(G268)),AND(F269&gt;G269,F268&lt;=G268),FALSE())</f>
        <v>0</v>
      </c>
      <c r="K269" s="9" t="b">
        <f aca="false">IF(AND(ISNUMBER(F269),ISNUMBER(G269),ISNUMBER(F268),ISNUMBER(G268)),AND(F269&lt;G269,F268&gt;=G268),FALSE())</f>
        <v>0</v>
      </c>
      <c r="L269" s="8" t="n">
        <f aca="false">IF(ISNUMBER(I269),E269-Inputs!$B$6*I269,"")</f>
        <v>0.900896787936019</v>
      </c>
      <c r="M269" s="9" t="b">
        <f aca="false">AND(Y268&gt;0,Z268)</f>
        <v>0</v>
      </c>
      <c r="N269" s="8" t="n">
        <f aca="false">B269*(1-Inputs!$B$12)</f>
        <v>0.918379058049771</v>
      </c>
      <c r="O269" s="10" t="n">
        <f aca="false">IF(M269,Y268*(N269-AB268)-Inputs!$B$9-Y268*AD268*Inputs!$B$13*(A269-AC268),0)</f>
        <v>0</v>
      </c>
      <c r="P269" s="10" t="n">
        <f aca="false">X268+O269</f>
        <v>1016.3844066801</v>
      </c>
      <c r="Q269" s="9" t="b">
        <f aca="false">AND(IF(M269,0,Y268)=0,AA268,IF(ISNUMBER(AE268),B269&gt;AE268,FALSE()))</f>
        <v>0</v>
      </c>
      <c r="R269" s="8" t="n">
        <f aca="false">B269*(1+Inputs!$B$12)</f>
        <v>0.918746483158013</v>
      </c>
      <c r="S269" s="11" t="n">
        <f aca="false">IF(Q269,MIN(P269*Inputs!$B$3/(R269-AE268),P269*Inputs!$B$11/R269),0)</f>
        <v>0</v>
      </c>
      <c r="T269" s="11" t="n">
        <f aca="false">IF(Q269,S269,IF(M269,0,Y268))</f>
        <v>0</v>
      </c>
      <c r="U269" s="8" t="n">
        <f aca="false">IF(Q269,AE268,AF268)</f>
        <v>0.938328062071903</v>
      </c>
      <c r="V269" s="9" t="b">
        <f aca="false">AND(T269&gt;0,D269&lt;=U269)</f>
        <v>0</v>
      </c>
      <c r="W269" s="10" t="n">
        <f aca="false">IF(V269,T269*(AK269-AB269)-Inputs!$B$9-T269*AD269*Inputs!$B$13*(A269-AC269),0)</f>
        <v>0</v>
      </c>
      <c r="X269" s="10" t="n">
        <f aca="false">P269-IF(Q269,Inputs!$B$9,0)+W269</f>
        <v>1016.3844066801</v>
      </c>
      <c r="Y269" s="11" t="n">
        <f aca="false">IF(V269,0,T269)</f>
        <v>0</v>
      </c>
      <c r="Z269" s="9" t="b">
        <f aca="false">AND(Y269&gt;0,K269)</f>
        <v>0</v>
      </c>
      <c r="AA269" s="9" t="b">
        <f aca="false">AND(Y269=0,J269,ISNUMBER(L269))</f>
        <v>0</v>
      </c>
      <c r="AB269" s="8" t="n">
        <f aca="false">IF(Q269,R269,AB268)</f>
        <v>0.95824964655134</v>
      </c>
      <c r="AC269" s="12" t="n">
        <f aca="false">IF(Q269,A269,AC268)</f>
        <v>45034</v>
      </c>
      <c r="AD269" s="8" t="n">
        <f aca="false">IF(Q269,B269,AD268)</f>
        <v>0.958058034944351</v>
      </c>
      <c r="AE269" s="8" t="str">
        <f aca="false">IF(AA269,L269,"")</f>
        <v/>
      </c>
      <c r="AF269" s="8" t="n">
        <f aca="false">U269</f>
        <v>0.938328062071903</v>
      </c>
      <c r="AG269" s="2" t="n">
        <f aca="false">AG268+IF(Q269,1,0)</f>
        <v>2</v>
      </c>
      <c r="AH269" s="2" t="n">
        <f aca="false">AG268</f>
        <v>2</v>
      </c>
      <c r="AI269" s="10" t="n">
        <f aca="false">X269+Y269*(E269-AB269)-Y269*AD269*Inputs!$B$13*(A269-AC269)</f>
        <v>1016.3844066801</v>
      </c>
      <c r="AJ269" s="10" t="n">
        <v>0</v>
      </c>
      <c r="AK269" s="8" t="n">
        <f aca="false">IF(AND(B269&lt;=U269,NOT(Q269)),B269,U269)*(1-Inputs!$B$12)</f>
        <v>0.918379058049771</v>
      </c>
    </row>
    <row r="270" customFormat="false" ht="15" hidden="false" customHeight="false" outlineLevel="0" collapsed="false">
      <c r="A270" s="6" t="n">
        <v>45054</v>
      </c>
      <c r="B270" s="7" t="n">
        <v>0.924357997807158</v>
      </c>
      <c r="C270" s="7" t="n">
        <v>0.928227860412492</v>
      </c>
      <c r="D270" s="7" t="n">
        <v>0.922239523308764</v>
      </c>
      <c r="E270" s="7" t="n">
        <v>0.924265099228105</v>
      </c>
      <c r="F270" s="8" t="n">
        <f aca="true">IF(ROW()-2&gt;=Inputs!$B$4,AVERAGE(OFFSET(E270,1-Inputs!$B$4,0,Inputs!$B$4,1)),"")</f>
        <v>0.950495918372128</v>
      </c>
      <c r="G270" s="8" t="n">
        <f aca="true">IF(ROW()-2&gt;=Inputs!$B$5,AVERAGE(OFFSET(E270,1-Inputs!$B$5,0,Inputs!$B$5,1)),"")</f>
        <v>0.944334527351557</v>
      </c>
      <c r="H270" s="8" t="n">
        <f aca="false">MAX(C270-D270,ABS(C270-E269),ABS(D270-E269))</f>
        <v>0.00598833710372793</v>
      </c>
      <c r="I270" s="8" t="n">
        <f aca="true">IF(ROW()-2&lt;14,"",IF(ROW()-2=14,AVERAGE(OFFSET(H270,-13,0,14,1)),(I269*13+H270)/14))</f>
        <v>0.0113204429475812</v>
      </c>
      <c r="J270" s="9" t="b">
        <f aca="false">IF(AND(ISNUMBER(F270),ISNUMBER(G270),ISNUMBER(F269),ISNUMBER(G269)),AND(F270&gt;G270,F269&lt;=G269),FALSE())</f>
        <v>0</v>
      </c>
      <c r="K270" s="9" t="b">
        <f aca="false">IF(AND(ISNUMBER(F270),ISNUMBER(G270),ISNUMBER(F269),ISNUMBER(G269)),AND(F270&lt;G270,F269&gt;=G269),FALSE())</f>
        <v>0</v>
      </c>
      <c r="L270" s="8" t="n">
        <f aca="false">IF(ISNUMBER(I270),E270-Inputs!$B$6*I270,"")</f>
        <v>0.901624213332943</v>
      </c>
      <c r="M270" s="9" t="b">
        <f aca="false">AND(Y269&gt;0,Z269)</f>
        <v>0</v>
      </c>
      <c r="N270" s="8" t="n">
        <f aca="false">B270*(1-Inputs!$B$12)</f>
        <v>0.924173126207597</v>
      </c>
      <c r="O270" s="10" t="n">
        <f aca="false">IF(M270,Y269*(N270-AB269)-Inputs!$B$9-Y269*AD269*Inputs!$B$13*(A270-AC269),0)</f>
        <v>0</v>
      </c>
      <c r="P270" s="10" t="n">
        <f aca="false">X269+O270</f>
        <v>1016.3844066801</v>
      </c>
      <c r="Q270" s="9" t="b">
        <f aca="false">AND(IF(M270,0,Y269)=0,AA269,IF(ISNUMBER(AE269),B270&gt;AE269,FALSE()))</f>
        <v>0</v>
      </c>
      <c r="R270" s="8" t="n">
        <f aca="false">B270*(1+Inputs!$B$12)</f>
        <v>0.92454286940672</v>
      </c>
      <c r="S270" s="11" t="n">
        <f aca="false">IF(Q270,MIN(P270*Inputs!$B$3/(R270-AE269),P270*Inputs!$B$11/R270),0)</f>
        <v>0</v>
      </c>
      <c r="T270" s="11" t="n">
        <f aca="false">IF(Q270,S270,IF(M270,0,Y269))</f>
        <v>0</v>
      </c>
      <c r="U270" s="8" t="n">
        <f aca="false">IF(Q270,AE269,AF269)</f>
        <v>0.938328062071903</v>
      </c>
      <c r="V270" s="9" t="b">
        <f aca="false">AND(T270&gt;0,D270&lt;=U270)</f>
        <v>0</v>
      </c>
      <c r="W270" s="10" t="n">
        <f aca="false">IF(V270,T270*(AK270-AB270)-Inputs!$B$9-T270*AD270*Inputs!$B$13*(A270-AC270),0)</f>
        <v>0</v>
      </c>
      <c r="X270" s="10" t="n">
        <f aca="false">P270-IF(Q270,Inputs!$B$9,0)+W270</f>
        <v>1016.3844066801</v>
      </c>
      <c r="Y270" s="11" t="n">
        <f aca="false">IF(V270,0,T270)</f>
        <v>0</v>
      </c>
      <c r="Z270" s="9" t="b">
        <f aca="false">AND(Y270&gt;0,K270)</f>
        <v>0</v>
      </c>
      <c r="AA270" s="9" t="b">
        <f aca="false">AND(Y270=0,J270,ISNUMBER(L270))</f>
        <v>0</v>
      </c>
      <c r="AB270" s="8" t="n">
        <f aca="false">IF(Q270,R270,AB269)</f>
        <v>0.95824964655134</v>
      </c>
      <c r="AC270" s="12" t="n">
        <f aca="false">IF(Q270,A270,AC269)</f>
        <v>45034</v>
      </c>
      <c r="AD270" s="8" t="n">
        <f aca="false">IF(Q270,B270,AD269)</f>
        <v>0.958058034944351</v>
      </c>
      <c r="AE270" s="8" t="str">
        <f aca="false">IF(AA270,L270,"")</f>
        <v/>
      </c>
      <c r="AF270" s="8" t="n">
        <f aca="false">U270</f>
        <v>0.938328062071903</v>
      </c>
      <c r="AG270" s="2" t="n">
        <f aca="false">AG269+IF(Q270,1,0)</f>
        <v>2</v>
      </c>
      <c r="AH270" s="2" t="n">
        <f aca="false">AG269</f>
        <v>2</v>
      </c>
      <c r="AI270" s="10" t="n">
        <f aca="false">X270+Y270*(E270-AB270)-Y270*AD270*Inputs!$B$13*(A270-AC270)</f>
        <v>1016.3844066801</v>
      </c>
      <c r="AJ270" s="10" t="n">
        <v>0</v>
      </c>
      <c r="AK270" s="8" t="n">
        <f aca="false">IF(AND(B270&lt;=U270,NOT(Q270)),B270,U270)*(1-Inputs!$B$12)</f>
        <v>0.924173126207597</v>
      </c>
    </row>
    <row r="271" customFormat="false" ht="15" hidden="false" customHeight="false" outlineLevel="0" collapsed="false">
      <c r="A271" s="6" t="n">
        <v>45055</v>
      </c>
      <c r="B271" s="7" t="n">
        <v>0.924265099228105</v>
      </c>
      <c r="C271" s="7" t="n">
        <v>0.926705231016121</v>
      </c>
      <c r="D271" s="7" t="n">
        <v>0.918370276717172</v>
      </c>
      <c r="E271" s="7" t="n">
        <v>0.920091407854489</v>
      </c>
      <c r="F271" s="8" t="n">
        <f aca="true">IF(ROW()-2&gt;=Inputs!$B$4,AVERAGE(OFFSET(E271,1-Inputs!$B$4,0,Inputs!$B$4,1)),"")</f>
        <v>0.947782585418954</v>
      </c>
      <c r="G271" s="8" t="n">
        <f aca="true">IF(ROW()-2&gt;=Inputs!$B$5,AVERAGE(OFFSET(E271,1-Inputs!$B$5,0,Inputs!$B$5,1)),"")</f>
        <v>0.943759632083138</v>
      </c>
      <c r="H271" s="8" t="n">
        <f aca="false">MAX(C271-D271,ABS(C271-E270),ABS(D271-E270))</f>
        <v>0.00833495429894893</v>
      </c>
      <c r="I271" s="8" t="n">
        <f aca="true">IF(ROW()-2&lt;14,"",IF(ROW()-2=14,AVERAGE(OFFSET(H271,-13,0,14,1)),(I270*13+H271)/14))</f>
        <v>0.0111071937583932</v>
      </c>
      <c r="J271" s="9" t="b">
        <f aca="false">IF(AND(ISNUMBER(F271),ISNUMBER(G271),ISNUMBER(F270),ISNUMBER(G270)),AND(F271&gt;G271,F270&lt;=G270),FALSE())</f>
        <v>0</v>
      </c>
      <c r="K271" s="9" t="b">
        <f aca="false">IF(AND(ISNUMBER(F271),ISNUMBER(G271),ISNUMBER(F270),ISNUMBER(G270)),AND(F271&lt;G271,F270&gt;=G270),FALSE())</f>
        <v>0</v>
      </c>
      <c r="L271" s="8" t="n">
        <f aca="false">IF(ISNUMBER(I271),E271-Inputs!$B$6*I271,"")</f>
        <v>0.897877020337703</v>
      </c>
      <c r="M271" s="9" t="b">
        <f aca="false">AND(Y270&gt;0,Z270)</f>
        <v>0</v>
      </c>
      <c r="N271" s="8" t="n">
        <f aca="false">B271*(1-Inputs!$B$12)</f>
        <v>0.92408024620826</v>
      </c>
      <c r="O271" s="10" t="n">
        <f aca="false">IF(M271,Y270*(N271-AB270)-Inputs!$B$9-Y270*AD270*Inputs!$B$13*(A271-AC270),0)</f>
        <v>0</v>
      </c>
      <c r="P271" s="10" t="n">
        <f aca="false">X270+O271</f>
        <v>1016.3844066801</v>
      </c>
      <c r="Q271" s="9" t="b">
        <f aca="false">AND(IF(M271,0,Y270)=0,AA270,IF(ISNUMBER(AE270),B271&gt;AE270,FALSE()))</f>
        <v>0</v>
      </c>
      <c r="R271" s="8" t="n">
        <f aca="false">B271*(1+Inputs!$B$12)</f>
        <v>0.924449952247951</v>
      </c>
      <c r="S271" s="11" t="n">
        <f aca="false">IF(Q271,MIN(P271*Inputs!$B$3/(R271-AE270),P271*Inputs!$B$11/R271),0)</f>
        <v>0</v>
      </c>
      <c r="T271" s="11" t="n">
        <f aca="false">IF(Q271,S271,IF(M271,0,Y270))</f>
        <v>0</v>
      </c>
      <c r="U271" s="8" t="n">
        <f aca="false">IF(Q271,AE270,AF270)</f>
        <v>0.938328062071903</v>
      </c>
      <c r="V271" s="9" t="b">
        <f aca="false">AND(T271&gt;0,D271&lt;=U271)</f>
        <v>0</v>
      </c>
      <c r="W271" s="10" t="n">
        <f aca="false">IF(V271,T271*(AK271-AB271)-Inputs!$B$9-T271*AD271*Inputs!$B$13*(A271-AC271),0)</f>
        <v>0</v>
      </c>
      <c r="X271" s="10" t="n">
        <f aca="false">P271-IF(Q271,Inputs!$B$9,0)+W271</f>
        <v>1016.3844066801</v>
      </c>
      <c r="Y271" s="11" t="n">
        <f aca="false">IF(V271,0,T271)</f>
        <v>0</v>
      </c>
      <c r="Z271" s="9" t="b">
        <f aca="false">AND(Y271&gt;0,K271)</f>
        <v>0</v>
      </c>
      <c r="AA271" s="9" t="b">
        <f aca="false">AND(Y271=0,J271,ISNUMBER(L271))</f>
        <v>0</v>
      </c>
      <c r="AB271" s="8" t="n">
        <f aca="false">IF(Q271,R271,AB270)</f>
        <v>0.95824964655134</v>
      </c>
      <c r="AC271" s="12" t="n">
        <f aca="false">IF(Q271,A271,AC270)</f>
        <v>45034</v>
      </c>
      <c r="AD271" s="8" t="n">
        <f aca="false">IF(Q271,B271,AD270)</f>
        <v>0.958058034944351</v>
      </c>
      <c r="AE271" s="8" t="str">
        <f aca="false">IF(AA271,L271,"")</f>
        <v/>
      </c>
      <c r="AF271" s="8" t="n">
        <f aca="false">U271</f>
        <v>0.938328062071903</v>
      </c>
      <c r="AG271" s="2" t="n">
        <f aca="false">AG270+IF(Q271,1,0)</f>
        <v>2</v>
      </c>
      <c r="AH271" s="2" t="n">
        <f aca="false">AG270</f>
        <v>2</v>
      </c>
      <c r="AI271" s="10" t="n">
        <f aca="false">X271+Y271*(E271-AB271)-Y271*AD271*Inputs!$B$13*(A271-AC271)</f>
        <v>1016.3844066801</v>
      </c>
      <c r="AJ271" s="10" t="n">
        <v>0</v>
      </c>
      <c r="AK271" s="8" t="n">
        <f aca="false">IF(AND(B271&lt;=U271,NOT(Q271)),B271,U271)*(1-Inputs!$B$12)</f>
        <v>0.92408024620826</v>
      </c>
    </row>
    <row r="272" customFormat="false" ht="15" hidden="false" customHeight="false" outlineLevel="0" collapsed="false">
      <c r="A272" s="6" t="n">
        <v>45056</v>
      </c>
      <c r="B272" s="7" t="n">
        <v>0.920091407854489</v>
      </c>
      <c r="C272" s="7" t="n">
        <v>0.928035418450323</v>
      </c>
      <c r="D272" s="7" t="n">
        <v>0.917027488494359</v>
      </c>
      <c r="E272" s="7" t="n">
        <v>0.92716878260082</v>
      </c>
      <c r="F272" s="8" t="n">
        <f aca="true">IF(ROW()-2&gt;=Inputs!$B$4,AVERAGE(OFFSET(E272,1-Inputs!$B$4,0,Inputs!$B$4,1)),"")</f>
        <v>0.945899721178865</v>
      </c>
      <c r="G272" s="8" t="n">
        <f aca="true">IF(ROW()-2&gt;=Inputs!$B$5,AVERAGE(OFFSET(E272,1-Inputs!$B$5,0,Inputs!$B$5,1)),"")</f>
        <v>0.94344711250883</v>
      </c>
      <c r="H272" s="8" t="n">
        <f aca="false">MAX(C272-D272,ABS(C272-E271),ABS(D272-E271))</f>
        <v>0.0110079299559642</v>
      </c>
      <c r="I272" s="8" t="n">
        <f aca="true">IF(ROW()-2&lt;14,"",IF(ROW()-2=14,AVERAGE(OFFSET(H272,-13,0,14,1)),(I271*13+H272)/14))</f>
        <v>0.0111001034867911</v>
      </c>
      <c r="J272" s="9" t="b">
        <f aca="false">IF(AND(ISNUMBER(F272),ISNUMBER(G272),ISNUMBER(F271),ISNUMBER(G271)),AND(F272&gt;G272,F271&lt;=G271),FALSE())</f>
        <v>0</v>
      </c>
      <c r="K272" s="9" t="b">
        <f aca="false">IF(AND(ISNUMBER(F272),ISNUMBER(G272),ISNUMBER(F271),ISNUMBER(G271)),AND(F272&lt;G272,F271&gt;=G271),FALSE())</f>
        <v>0</v>
      </c>
      <c r="L272" s="8" t="n">
        <f aca="false">IF(ISNUMBER(I272),E272-Inputs!$B$6*I272,"")</f>
        <v>0.904968575627238</v>
      </c>
      <c r="M272" s="9" t="b">
        <f aca="false">AND(Y271&gt;0,Z271)</f>
        <v>0</v>
      </c>
      <c r="N272" s="8" t="n">
        <f aca="false">B272*(1-Inputs!$B$12)</f>
        <v>0.919907389572919</v>
      </c>
      <c r="O272" s="10" t="n">
        <f aca="false">IF(M272,Y271*(N272-AB271)-Inputs!$B$9-Y271*AD271*Inputs!$B$13*(A272-AC271),0)</f>
        <v>0</v>
      </c>
      <c r="P272" s="10" t="n">
        <f aca="false">X271+O272</f>
        <v>1016.3844066801</v>
      </c>
      <c r="Q272" s="9" t="b">
        <f aca="false">AND(IF(M272,0,Y271)=0,AA271,IF(ISNUMBER(AE271),B272&gt;AE271,FALSE()))</f>
        <v>0</v>
      </c>
      <c r="R272" s="8" t="n">
        <f aca="false">B272*(1+Inputs!$B$12)</f>
        <v>0.92027542613606</v>
      </c>
      <c r="S272" s="11" t="n">
        <f aca="false">IF(Q272,MIN(P272*Inputs!$B$3/(R272-AE271),P272*Inputs!$B$11/R272),0)</f>
        <v>0</v>
      </c>
      <c r="T272" s="11" t="n">
        <f aca="false">IF(Q272,S272,IF(M272,0,Y271))</f>
        <v>0</v>
      </c>
      <c r="U272" s="8" t="n">
        <f aca="false">IF(Q272,AE271,AF271)</f>
        <v>0.938328062071903</v>
      </c>
      <c r="V272" s="9" t="b">
        <f aca="false">AND(T272&gt;0,D272&lt;=U272)</f>
        <v>0</v>
      </c>
      <c r="W272" s="10" t="n">
        <f aca="false">IF(V272,T272*(AK272-AB272)-Inputs!$B$9-T272*AD272*Inputs!$B$13*(A272-AC272),0)</f>
        <v>0</v>
      </c>
      <c r="X272" s="10" t="n">
        <f aca="false">P272-IF(Q272,Inputs!$B$9,0)+W272</f>
        <v>1016.3844066801</v>
      </c>
      <c r="Y272" s="11" t="n">
        <f aca="false">IF(V272,0,T272)</f>
        <v>0</v>
      </c>
      <c r="Z272" s="9" t="b">
        <f aca="false">AND(Y272&gt;0,K272)</f>
        <v>0</v>
      </c>
      <c r="AA272" s="9" t="b">
        <f aca="false">AND(Y272=0,J272,ISNUMBER(L272))</f>
        <v>0</v>
      </c>
      <c r="AB272" s="8" t="n">
        <f aca="false">IF(Q272,R272,AB271)</f>
        <v>0.95824964655134</v>
      </c>
      <c r="AC272" s="12" t="n">
        <f aca="false">IF(Q272,A272,AC271)</f>
        <v>45034</v>
      </c>
      <c r="AD272" s="8" t="n">
        <f aca="false">IF(Q272,B272,AD271)</f>
        <v>0.958058034944351</v>
      </c>
      <c r="AE272" s="8" t="str">
        <f aca="false">IF(AA272,L272,"")</f>
        <v/>
      </c>
      <c r="AF272" s="8" t="n">
        <f aca="false">U272</f>
        <v>0.938328062071903</v>
      </c>
      <c r="AG272" s="2" t="n">
        <f aca="false">AG271+IF(Q272,1,0)</f>
        <v>2</v>
      </c>
      <c r="AH272" s="2" t="n">
        <f aca="false">AG271</f>
        <v>2</v>
      </c>
      <c r="AI272" s="10" t="n">
        <f aca="false">X272+Y272*(E272-AB272)-Y272*AD272*Inputs!$B$13*(A272-AC272)</f>
        <v>1016.3844066801</v>
      </c>
      <c r="AJ272" s="10" t="n">
        <v>0</v>
      </c>
      <c r="AK272" s="8" t="n">
        <f aca="false">IF(AND(B272&lt;=U272,NOT(Q272)),B272,U272)*(1-Inputs!$B$12)</f>
        <v>0.919907389572919</v>
      </c>
    </row>
    <row r="273" customFormat="false" ht="15" hidden="false" customHeight="false" outlineLevel="0" collapsed="false">
      <c r="A273" s="6" t="n">
        <v>45057</v>
      </c>
      <c r="B273" s="7" t="n">
        <v>0.92716878260082</v>
      </c>
      <c r="C273" s="7" t="n">
        <v>0.929585390700818</v>
      </c>
      <c r="D273" s="7" t="n">
        <v>0.924001716467471</v>
      </c>
      <c r="E273" s="7" t="n">
        <v>0.925616899432565</v>
      </c>
      <c r="F273" s="8" t="n">
        <f aca="true">IF(ROW()-2&gt;=Inputs!$B$4,AVERAGE(OFFSET(E273,1-Inputs!$B$4,0,Inputs!$B$4,1)),"")</f>
        <v>0.943433485967719</v>
      </c>
      <c r="G273" s="8" t="n">
        <f aca="true">IF(ROW()-2&gt;=Inputs!$B$5,AVERAGE(OFFSET(E273,1-Inputs!$B$5,0,Inputs!$B$5,1)),"")</f>
        <v>0.943106181745372</v>
      </c>
      <c r="H273" s="8" t="n">
        <f aca="false">MAX(C273-D273,ABS(C273-E272),ABS(D273-E272))</f>
        <v>0.00558367423334749</v>
      </c>
      <c r="I273" s="8" t="n">
        <f aca="true">IF(ROW()-2&lt;14,"",IF(ROW()-2=14,AVERAGE(OFFSET(H273,-13,0,14,1)),(I272*13+H273)/14))</f>
        <v>0.0107060728258309</v>
      </c>
      <c r="J273" s="9" t="b">
        <f aca="false">IF(AND(ISNUMBER(F273),ISNUMBER(G273),ISNUMBER(F272),ISNUMBER(G272)),AND(F273&gt;G273,F272&lt;=G272),FALSE())</f>
        <v>0</v>
      </c>
      <c r="K273" s="9" t="b">
        <f aca="false">IF(AND(ISNUMBER(F273),ISNUMBER(G273),ISNUMBER(F272),ISNUMBER(G272)),AND(F273&lt;G273,F272&gt;=G272),FALSE())</f>
        <v>0</v>
      </c>
      <c r="L273" s="8" t="n">
        <f aca="false">IF(ISNUMBER(I273),E273-Inputs!$B$6*I273,"")</f>
        <v>0.904204753780903</v>
      </c>
      <c r="M273" s="9" t="b">
        <f aca="false">AND(Y272&gt;0,Z272)</f>
        <v>0</v>
      </c>
      <c r="N273" s="8" t="n">
        <f aca="false">B273*(1-Inputs!$B$12)</f>
        <v>0.9269833488443</v>
      </c>
      <c r="O273" s="10" t="n">
        <f aca="false">IF(M273,Y272*(N273-AB272)-Inputs!$B$9-Y272*AD272*Inputs!$B$13*(A273-AC272),0)</f>
        <v>0</v>
      </c>
      <c r="P273" s="10" t="n">
        <f aca="false">X272+O273</f>
        <v>1016.3844066801</v>
      </c>
      <c r="Q273" s="9" t="b">
        <f aca="false">AND(IF(M273,0,Y272)=0,AA272,IF(ISNUMBER(AE272),B273&gt;AE272,FALSE()))</f>
        <v>0</v>
      </c>
      <c r="R273" s="8" t="n">
        <f aca="false">B273*(1+Inputs!$B$12)</f>
        <v>0.927354216357341</v>
      </c>
      <c r="S273" s="11" t="n">
        <f aca="false">IF(Q273,MIN(P273*Inputs!$B$3/(R273-AE272),P273*Inputs!$B$11/R273),0)</f>
        <v>0</v>
      </c>
      <c r="T273" s="11" t="n">
        <f aca="false">IF(Q273,S273,IF(M273,0,Y272))</f>
        <v>0</v>
      </c>
      <c r="U273" s="8" t="n">
        <f aca="false">IF(Q273,AE272,AF272)</f>
        <v>0.938328062071903</v>
      </c>
      <c r="V273" s="9" t="b">
        <f aca="false">AND(T273&gt;0,D273&lt;=U273)</f>
        <v>0</v>
      </c>
      <c r="W273" s="10" t="n">
        <f aca="false">IF(V273,T273*(AK273-AB273)-Inputs!$B$9-T273*AD273*Inputs!$B$13*(A273-AC273),0)</f>
        <v>0</v>
      </c>
      <c r="X273" s="10" t="n">
        <f aca="false">P273-IF(Q273,Inputs!$B$9,0)+W273</f>
        <v>1016.3844066801</v>
      </c>
      <c r="Y273" s="11" t="n">
        <f aca="false">IF(V273,0,T273)</f>
        <v>0</v>
      </c>
      <c r="Z273" s="9" t="b">
        <f aca="false">AND(Y273&gt;0,K273)</f>
        <v>0</v>
      </c>
      <c r="AA273" s="9" t="b">
        <f aca="false">AND(Y273=0,J273,ISNUMBER(L273))</f>
        <v>0</v>
      </c>
      <c r="AB273" s="8" t="n">
        <f aca="false">IF(Q273,R273,AB272)</f>
        <v>0.95824964655134</v>
      </c>
      <c r="AC273" s="12" t="n">
        <f aca="false">IF(Q273,A273,AC272)</f>
        <v>45034</v>
      </c>
      <c r="AD273" s="8" t="n">
        <f aca="false">IF(Q273,B273,AD272)</f>
        <v>0.958058034944351</v>
      </c>
      <c r="AE273" s="8" t="str">
        <f aca="false">IF(AA273,L273,"")</f>
        <v/>
      </c>
      <c r="AF273" s="8" t="n">
        <f aca="false">U273</f>
        <v>0.938328062071903</v>
      </c>
      <c r="AG273" s="2" t="n">
        <f aca="false">AG272+IF(Q273,1,0)</f>
        <v>2</v>
      </c>
      <c r="AH273" s="2" t="n">
        <f aca="false">AG272</f>
        <v>2</v>
      </c>
      <c r="AI273" s="10" t="n">
        <f aca="false">X273+Y273*(E273-AB273)-Y273*AD273*Inputs!$B$13*(A273-AC273)</f>
        <v>1016.3844066801</v>
      </c>
      <c r="AJ273" s="10" t="n">
        <v>0</v>
      </c>
      <c r="AK273" s="8" t="n">
        <f aca="false">IF(AND(B273&lt;=U273,NOT(Q273)),B273,U273)*(1-Inputs!$B$12)</f>
        <v>0.9269833488443</v>
      </c>
    </row>
    <row r="274" customFormat="false" ht="15" hidden="false" customHeight="false" outlineLevel="0" collapsed="false">
      <c r="A274" s="6" t="n">
        <v>45058</v>
      </c>
      <c r="B274" s="7" t="n">
        <v>0.925616899432565</v>
      </c>
      <c r="C274" s="7" t="n">
        <v>0.926251922475955</v>
      </c>
      <c r="D274" s="7" t="n">
        <v>0.919002624677524</v>
      </c>
      <c r="E274" s="7" t="n">
        <v>0.920028800357268</v>
      </c>
      <c r="F274" s="8" t="n">
        <f aca="true">IF(ROW()-2&gt;=Inputs!$B$4,AVERAGE(OFFSET(E274,1-Inputs!$B$4,0,Inputs!$B$4,1)),"")</f>
        <v>0.941078475800566</v>
      </c>
      <c r="G274" s="8" t="n">
        <f aca="true">IF(ROW()-2&gt;=Inputs!$B$5,AVERAGE(OFFSET(E274,1-Inputs!$B$5,0,Inputs!$B$5,1)),"")</f>
        <v>0.942550478600726</v>
      </c>
      <c r="H274" s="8" t="n">
        <f aca="false">MAX(C274-D274,ABS(C274-E273),ABS(D274-E273))</f>
        <v>0.00724929779843064</v>
      </c>
      <c r="I274" s="8" t="n">
        <f aca="true">IF(ROW()-2&lt;14,"",IF(ROW()-2=14,AVERAGE(OFFSET(H274,-13,0,14,1)),(I273*13+H274)/14))</f>
        <v>0.0104591603238737</v>
      </c>
      <c r="J274" s="9" t="b">
        <f aca="false">IF(AND(ISNUMBER(F274),ISNUMBER(G274),ISNUMBER(F273),ISNUMBER(G273)),AND(F274&gt;G274,F273&lt;=G273),FALSE())</f>
        <v>0</v>
      </c>
      <c r="K274" s="9" t="b">
        <f aca="false">IF(AND(ISNUMBER(F274),ISNUMBER(G274),ISNUMBER(F273),ISNUMBER(G273)),AND(F274&lt;G274,F273&gt;=G273),FALSE())</f>
        <v>1</v>
      </c>
      <c r="L274" s="8" t="n">
        <f aca="false">IF(ISNUMBER(I274),E274-Inputs!$B$6*I274,"")</f>
        <v>0.89911047970952</v>
      </c>
      <c r="M274" s="9" t="b">
        <f aca="false">AND(Y273&gt;0,Z273)</f>
        <v>0</v>
      </c>
      <c r="N274" s="8" t="n">
        <f aca="false">B274*(1-Inputs!$B$12)</f>
        <v>0.925431776052678</v>
      </c>
      <c r="O274" s="10" t="n">
        <f aca="false">IF(M274,Y273*(N274-AB273)-Inputs!$B$9-Y273*AD273*Inputs!$B$13*(A274-AC273),0)</f>
        <v>0</v>
      </c>
      <c r="P274" s="10" t="n">
        <f aca="false">X273+O274</f>
        <v>1016.3844066801</v>
      </c>
      <c r="Q274" s="9" t="b">
        <f aca="false">AND(IF(M274,0,Y273)=0,AA273,IF(ISNUMBER(AE273),B274&gt;AE273,FALSE()))</f>
        <v>0</v>
      </c>
      <c r="R274" s="8" t="n">
        <f aca="false">B274*(1+Inputs!$B$12)</f>
        <v>0.925802022812451</v>
      </c>
      <c r="S274" s="11" t="n">
        <f aca="false">IF(Q274,MIN(P274*Inputs!$B$3/(R274-AE273),P274*Inputs!$B$11/R274),0)</f>
        <v>0</v>
      </c>
      <c r="T274" s="11" t="n">
        <f aca="false">IF(Q274,S274,IF(M274,0,Y273))</f>
        <v>0</v>
      </c>
      <c r="U274" s="8" t="n">
        <f aca="false">IF(Q274,AE273,AF273)</f>
        <v>0.938328062071903</v>
      </c>
      <c r="V274" s="9" t="b">
        <f aca="false">AND(T274&gt;0,D274&lt;=U274)</f>
        <v>0</v>
      </c>
      <c r="W274" s="10" t="n">
        <f aca="false">IF(V274,T274*(AK274-AB274)-Inputs!$B$9-T274*AD274*Inputs!$B$13*(A274-AC274),0)</f>
        <v>0</v>
      </c>
      <c r="X274" s="10" t="n">
        <f aca="false">P274-IF(Q274,Inputs!$B$9,0)+W274</f>
        <v>1016.3844066801</v>
      </c>
      <c r="Y274" s="11" t="n">
        <f aca="false">IF(V274,0,T274)</f>
        <v>0</v>
      </c>
      <c r="Z274" s="9" t="b">
        <f aca="false">AND(Y274&gt;0,K274)</f>
        <v>0</v>
      </c>
      <c r="AA274" s="9" t="b">
        <f aca="false">AND(Y274=0,J274,ISNUMBER(L274))</f>
        <v>0</v>
      </c>
      <c r="AB274" s="8" t="n">
        <f aca="false">IF(Q274,R274,AB273)</f>
        <v>0.95824964655134</v>
      </c>
      <c r="AC274" s="12" t="n">
        <f aca="false">IF(Q274,A274,AC273)</f>
        <v>45034</v>
      </c>
      <c r="AD274" s="8" t="n">
        <f aca="false">IF(Q274,B274,AD273)</f>
        <v>0.958058034944351</v>
      </c>
      <c r="AE274" s="8" t="str">
        <f aca="false">IF(AA274,L274,"")</f>
        <v/>
      </c>
      <c r="AF274" s="8" t="n">
        <f aca="false">U274</f>
        <v>0.938328062071903</v>
      </c>
      <c r="AG274" s="2" t="n">
        <f aca="false">AG273+IF(Q274,1,0)</f>
        <v>2</v>
      </c>
      <c r="AH274" s="2" t="n">
        <f aca="false">AG273</f>
        <v>2</v>
      </c>
      <c r="AI274" s="10" t="n">
        <f aca="false">X274+Y274*(E274-AB274)-Y274*AD274*Inputs!$B$13*(A274-AC274)</f>
        <v>1016.3844066801</v>
      </c>
      <c r="AJ274" s="10" t="n">
        <v>0</v>
      </c>
      <c r="AK274" s="8" t="n">
        <f aca="false">IF(AND(B274&lt;=U274,NOT(Q274)),B274,U274)*(1-Inputs!$B$12)</f>
        <v>0.925431776052678</v>
      </c>
    </row>
    <row r="275" customFormat="false" ht="15" hidden="false" customHeight="false" outlineLevel="0" collapsed="false">
      <c r="A275" s="6" t="n">
        <v>45059</v>
      </c>
      <c r="B275" s="7" t="n">
        <v>0.920028800357268</v>
      </c>
      <c r="C275" s="7" t="n">
        <v>0.922521622357778</v>
      </c>
      <c r="D275" s="7" t="n">
        <v>0.910274691432093</v>
      </c>
      <c r="E275" s="7" t="n">
        <v>0.915550402452479</v>
      </c>
      <c r="F275" s="8" t="n">
        <f aca="true">IF(ROW()-2&gt;=Inputs!$B$4,AVERAGE(OFFSET(E275,1-Inputs!$B$4,0,Inputs!$B$4,1)),"")</f>
        <v>0.93835717472017</v>
      </c>
      <c r="G275" s="8" t="n">
        <f aca="true">IF(ROW()-2&gt;=Inputs!$B$5,AVERAGE(OFFSET(E275,1-Inputs!$B$5,0,Inputs!$B$5,1)),"")</f>
        <v>0.941939652694004</v>
      </c>
      <c r="H275" s="8" t="n">
        <f aca="false">MAX(C275-D275,ABS(C275-E274),ABS(D275-E274))</f>
        <v>0.0122469309256846</v>
      </c>
      <c r="I275" s="8" t="n">
        <f aca="true">IF(ROW()-2&lt;14,"",IF(ROW()-2=14,AVERAGE(OFFSET(H275,-13,0,14,1)),(I274*13+H275)/14))</f>
        <v>0.0105868582240031</v>
      </c>
      <c r="J275" s="9" t="b">
        <f aca="false">IF(AND(ISNUMBER(F275),ISNUMBER(G275),ISNUMBER(F274),ISNUMBER(G274)),AND(F275&gt;G275,F274&lt;=G274),FALSE())</f>
        <v>0</v>
      </c>
      <c r="K275" s="9" t="b">
        <f aca="false">IF(AND(ISNUMBER(F275),ISNUMBER(G275),ISNUMBER(F274),ISNUMBER(G274)),AND(F275&lt;G275,F274&gt;=G274),FALSE())</f>
        <v>0</v>
      </c>
      <c r="L275" s="8" t="n">
        <f aca="false">IF(ISNUMBER(I275),E275-Inputs!$B$6*I275,"")</f>
        <v>0.894376686004473</v>
      </c>
      <c r="M275" s="9" t="b">
        <f aca="false">AND(Y274&gt;0,Z274)</f>
        <v>0</v>
      </c>
      <c r="N275" s="8" t="n">
        <f aca="false">B275*(1-Inputs!$B$12)</f>
        <v>0.919844794597196</v>
      </c>
      <c r="O275" s="10" t="n">
        <f aca="false">IF(M275,Y274*(N275-AB274)-Inputs!$B$9-Y274*AD274*Inputs!$B$13*(A275-AC274),0)</f>
        <v>0</v>
      </c>
      <c r="P275" s="10" t="n">
        <f aca="false">X274+O275</f>
        <v>1016.3844066801</v>
      </c>
      <c r="Q275" s="9" t="b">
        <f aca="false">AND(IF(M275,0,Y274)=0,AA274,IF(ISNUMBER(AE274),B275&gt;AE274,FALSE()))</f>
        <v>0</v>
      </c>
      <c r="R275" s="8" t="n">
        <f aca="false">B275*(1+Inputs!$B$12)</f>
        <v>0.920212806117339</v>
      </c>
      <c r="S275" s="11" t="n">
        <f aca="false">IF(Q275,MIN(P275*Inputs!$B$3/(R275-AE274),P275*Inputs!$B$11/R275),0)</f>
        <v>0</v>
      </c>
      <c r="T275" s="11" t="n">
        <f aca="false">IF(Q275,S275,IF(M275,0,Y274))</f>
        <v>0</v>
      </c>
      <c r="U275" s="8" t="n">
        <f aca="false">IF(Q275,AE274,AF274)</f>
        <v>0.938328062071903</v>
      </c>
      <c r="V275" s="9" t="b">
        <f aca="false">AND(T275&gt;0,D275&lt;=U275)</f>
        <v>0</v>
      </c>
      <c r="W275" s="10" t="n">
        <f aca="false">IF(V275,T275*(AK275-AB275)-Inputs!$B$9-T275*AD275*Inputs!$B$13*(A275-AC275),0)</f>
        <v>0</v>
      </c>
      <c r="X275" s="10" t="n">
        <f aca="false">P275-IF(Q275,Inputs!$B$9,0)+W275</f>
        <v>1016.3844066801</v>
      </c>
      <c r="Y275" s="11" t="n">
        <f aca="false">IF(V275,0,T275)</f>
        <v>0</v>
      </c>
      <c r="Z275" s="9" t="b">
        <f aca="false">AND(Y275&gt;0,K275)</f>
        <v>0</v>
      </c>
      <c r="AA275" s="9" t="b">
        <f aca="false">AND(Y275=0,J275,ISNUMBER(L275))</f>
        <v>0</v>
      </c>
      <c r="AB275" s="8" t="n">
        <f aca="false">IF(Q275,R275,AB274)</f>
        <v>0.95824964655134</v>
      </c>
      <c r="AC275" s="12" t="n">
        <f aca="false">IF(Q275,A275,AC274)</f>
        <v>45034</v>
      </c>
      <c r="AD275" s="8" t="n">
        <f aca="false">IF(Q275,B275,AD274)</f>
        <v>0.958058034944351</v>
      </c>
      <c r="AE275" s="8" t="str">
        <f aca="false">IF(AA275,L275,"")</f>
        <v/>
      </c>
      <c r="AF275" s="8" t="n">
        <f aca="false">U275</f>
        <v>0.938328062071903</v>
      </c>
      <c r="AG275" s="2" t="n">
        <f aca="false">AG274+IF(Q275,1,0)</f>
        <v>2</v>
      </c>
      <c r="AH275" s="2" t="n">
        <f aca="false">AG274</f>
        <v>2</v>
      </c>
      <c r="AI275" s="10" t="n">
        <f aca="false">X275+Y275*(E275-AB275)-Y275*AD275*Inputs!$B$13*(A275-AC275)</f>
        <v>1016.3844066801</v>
      </c>
      <c r="AJ275" s="10" t="n">
        <v>0</v>
      </c>
      <c r="AK275" s="8" t="n">
        <f aca="false">IF(AND(B275&lt;=U275,NOT(Q275)),B275,U275)*(1-Inputs!$B$12)</f>
        <v>0.919844794597196</v>
      </c>
    </row>
    <row r="276" customFormat="false" ht="15" hidden="false" customHeight="false" outlineLevel="0" collapsed="false">
      <c r="A276" s="6" t="n">
        <v>45060</v>
      </c>
      <c r="B276" s="7" t="n">
        <v>0.915550402452479</v>
      </c>
      <c r="C276" s="7" t="n">
        <v>0.915668584143743</v>
      </c>
      <c r="D276" s="7" t="n">
        <v>0.911195506681748</v>
      </c>
      <c r="E276" s="7" t="n">
        <v>0.911461732558147</v>
      </c>
      <c r="F276" s="8" t="n">
        <f aca="true">IF(ROW()-2&gt;=Inputs!$B$4,AVERAGE(OFFSET(E276,1-Inputs!$B$4,0,Inputs!$B$4,1)),"")</f>
        <v>0.935415429936137</v>
      </c>
      <c r="G276" s="8" t="n">
        <f aca="true">IF(ROW()-2&gt;=Inputs!$B$5,AVERAGE(OFFSET(E276,1-Inputs!$B$5,0,Inputs!$B$5,1)),"")</f>
        <v>0.941150268160382</v>
      </c>
      <c r="H276" s="8" t="n">
        <f aca="false">MAX(C276-D276,ABS(C276-E275),ABS(D276-E275))</f>
        <v>0.00447307746199488</v>
      </c>
      <c r="I276" s="8" t="n">
        <f aca="true">IF(ROW()-2&lt;14,"",IF(ROW()-2=14,AVERAGE(OFFSET(H276,-13,0,14,1)),(I275*13+H276)/14))</f>
        <v>0.0101501595981453</v>
      </c>
      <c r="J276" s="9" t="b">
        <f aca="false">IF(AND(ISNUMBER(F276),ISNUMBER(G276),ISNUMBER(F275),ISNUMBER(G275)),AND(F276&gt;G276,F275&lt;=G275),FALSE())</f>
        <v>0</v>
      </c>
      <c r="K276" s="9" t="b">
        <f aca="false">IF(AND(ISNUMBER(F276),ISNUMBER(G276),ISNUMBER(F275),ISNUMBER(G275)),AND(F276&lt;G276,F275&gt;=G275),FALSE())</f>
        <v>0</v>
      </c>
      <c r="L276" s="8" t="n">
        <f aca="false">IF(ISNUMBER(I276),E276-Inputs!$B$6*I276,"")</f>
        <v>0.891161413361857</v>
      </c>
      <c r="M276" s="9" t="b">
        <f aca="false">AND(Y275&gt;0,Z275)</f>
        <v>0</v>
      </c>
      <c r="N276" s="8" t="n">
        <f aca="false">B276*(1-Inputs!$B$12)</f>
        <v>0.915367292371989</v>
      </c>
      <c r="O276" s="10" t="n">
        <f aca="false">IF(M276,Y275*(N276-AB275)-Inputs!$B$9-Y275*AD275*Inputs!$B$13*(A276-AC275),0)</f>
        <v>0</v>
      </c>
      <c r="P276" s="10" t="n">
        <f aca="false">X275+O276</f>
        <v>1016.3844066801</v>
      </c>
      <c r="Q276" s="9" t="b">
        <f aca="false">AND(IF(M276,0,Y275)=0,AA275,IF(ISNUMBER(AE275),B276&gt;AE275,FALSE()))</f>
        <v>0</v>
      </c>
      <c r="R276" s="8" t="n">
        <f aca="false">B276*(1+Inputs!$B$12)</f>
        <v>0.91573351253297</v>
      </c>
      <c r="S276" s="11" t="n">
        <f aca="false">IF(Q276,MIN(P276*Inputs!$B$3/(R276-AE275),P276*Inputs!$B$11/R276),0)</f>
        <v>0</v>
      </c>
      <c r="T276" s="11" t="n">
        <f aca="false">IF(Q276,S276,IF(M276,0,Y275))</f>
        <v>0</v>
      </c>
      <c r="U276" s="8" t="n">
        <f aca="false">IF(Q276,AE275,AF275)</f>
        <v>0.938328062071903</v>
      </c>
      <c r="V276" s="9" t="b">
        <f aca="false">AND(T276&gt;0,D276&lt;=U276)</f>
        <v>0</v>
      </c>
      <c r="W276" s="10" t="n">
        <f aca="false">IF(V276,T276*(AK276-AB276)-Inputs!$B$9-T276*AD276*Inputs!$B$13*(A276-AC276),0)</f>
        <v>0</v>
      </c>
      <c r="X276" s="10" t="n">
        <f aca="false">P276-IF(Q276,Inputs!$B$9,0)+W276</f>
        <v>1016.3844066801</v>
      </c>
      <c r="Y276" s="11" t="n">
        <f aca="false">IF(V276,0,T276)</f>
        <v>0</v>
      </c>
      <c r="Z276" s="9" t="b">
        <f aca="false">AND(Y276&gt;0,K276)</f>
        <v>0</v>
      </c>
      <c r="AA276" s="9" t="b">
        <f aca="false">AND(Y276=0,J276,ISNUMBER(L276))</f>
        <v>0</v>
      </c>
      <c r="AB276" s="8" t="n">
        <f aca="false">IF(Q276,R276,AB275)</f>
        <v>0.95824964655134</v>
      </c>
      <c r="AC276" s="12" t="n">
        <f aca="false">IF(Q276,A276,AC275)</f>
        <v>45034</v>
      </c>
      <c r="AD276" s="8" t="n">
        <f aca="false">IF(Q276,B276,AD275)</f>
        <v>0.958058034944351</v>
      </c>
      <c r="AE276" s="8" t="str">
        <f aca="false">IF(AA276,L276,"")</f>
        <v/>
      </c>
      <c r="AF276" s="8" t="n">
        <f aca="false">U276</f>
        <v>0.938328062071903</v>
      </c>
      <c r="AG276" s="2" t="n">
        <f aca="false">AG275+IF(Q276,1,0)</f>
        <v>2</v>
      </c>
      <c r="AH276" s="2" t="n">
        <f aca="false">AG275</f>
        <v>2</v>
      </c>
      <c r="AI276" s="10" t="n">
        <f aca="false">X276+Y276*(E276-AB276)-Y276*AD276*Inputs!$B$13*(A276-AC276)</f>
        <v>1016.3844066801</v>
      </c>
      <c r="AJ276" s="10" t="n">
        <v>0</v>
      </c>
      <c r="AK276" s="8" t="n">
        <f aca="false">IF(AND(B276&lt;=U276,NOT(Q276)),B276,U276)*(1-Inputs!$B$12)</f>
        <v>0.915367292371989</v>
      </c>
    </row>
    <row r="277" customFormat="false" ht="15" hidden="false" customHeight="false" outlineLevel="0" collapsed="false">
      <c r="A277" s="6" t="n">
        <v>45061</v>
      </c>
      <c r="B277" s="7" t="n">
        <v>0.911461732558147</v>
      </c>
      <c r="C277" s="7" t="n">
        <v>0.917383384017752</v>
      </c>
      <c r="D277" s="7" t="n">
        <v>0.910708566956679</v>
      </c>
      <c r="E277" s="7" t="n">
        <v>0.913406280576384</v>
      </c>
      <c r="F277" s="8" t="n">
        <f aca="true">IF(ROW()-2&gt;=Inputs!$B$4,AVERAGE(OFFSET(E277,1-Inputs!$B$4,0,Inputs!$B$4,1)),"")</f>
        <v>0.932590556532888</v>
      </c>
      <c r="G277" s="8" t="n">
        <f aca="true">IF(ROW()-2&gt;=Inputs!$B$5,AVERAGE(OFFSET(E277,1-Inputs!$B$5,0,Inputs!$B$5,1)),"")</f>
        <v>0.940418675847529</v>
      </c>
      <c r="H277" s="8" t="n">
        <f aca="false">MAX(C277-D277,ABS(C277-E276),ABS(D277-E276))</f>
        <v>0.00667481706107387</v>
      </c>
      <c r="I277" s="8" t="n">
        <f aca="true">IF(ROW()-2&lt;14,"",IF(ROW()-2=14,AVERAGE(OFFSET(H277,-13,0,14,1)),(I276*13+H277)/14))</f>
        <v>0.00990192084549737</v>
      </c>
      <c r="J277" s="9" t="b">
        <f aca="false">IF(AND(ISNUMBER(F277),ISNUMBER(G277),ISNUMBER(F276),ISNUMBER(G276)),AND(F277&gt;G277,F276&lt;=G276),FALSE())</f>
        <v>0</v>
      </c>
      <c r="K277" s="9" t="b">
        <f aca="false">IF(AND(ISNUMBER(F277),ISNUMBER(G277),ISNUMBER(F276),ISNUMBER(G276)),AND(F277&lt;G277,F276&gt;=G276),FALSE())</f>
        <v>0</v>
      </c>
      <c r="L277" s="8" t="n">
        <f aca="false">IF(ISNUMBER(I277),E277-Inputs!$B$6*I277,"")</f>
        <v>0.893602438885389</v>
      </c>
      <c r="M277" s="9" t="b">
        <f aca="false">AND(Y276&gt;0,Z276)</f>
        <v>0</v>
      </c>
      <c r="N277" s="8" t="n">
        <f aca="false">B277*(1-Inputs!$B$12)</f>
        <v>0.911279440211636</v>
      </c>
      <c r="O277" s="10" t="n">
        <f aca="false">IF(M277,Y276*(N277-AB276)-Inputs!$B$9-Y276*AD276*Inputs!$B$13*(A277-AC276),0)</f>
        <v>0</v>
      </c>
      <c r="P277" s="10" t="n">
        <f aca="false">X276+O277</f>
        <v>1016.3844066801</v>
      </c>
      <c r="Q277" s="9" t="b">
        <f aca="false">AND(IF(M277,0,Y276)=0,AA276,IF(ISNUMBER(AE276),B277&gt;AE276,FALSE()))</f>
        <v>0</v>
      </c>
      <c r="R277" s="8" t="n">
        <f aca="false">B277*(1+Inputs!$B$12)</f>
        <v>0.911644024904659</v>
      </c>
      <c r="S277" s="11" t="n">
        <f aca="false">IF(Q277,MIN(P277*Inputs!$B$3/(R277-AE276),P277*Inputs!$B$11/R277),0)</f>
        <v>0</v>
      </c>
      <c r="T277" s="11" t="n">
        <f aca="false">IF(Q277,S277,IF(M277,0,Y276))</f>
        <v>0</v>
      </c>
      <c r="U277" s="8" t="n">
        <f aca="false">IF(Q277,AE276,AF276)</f>
        <v>0.938328062071903</v>
      </c>
      <c r="V277" s="9" t="b">
        <f aca="false">AND(T277&gt;0,D277&lt;=U277)</f>
        <v>0</v>
      </c>
      <c r="W277" s="10" t="n">
        <f aca="false">IF(V277,T277*(AK277-AB277)-Inputs!$B$9-T277*AD277*Inputs!$B$13*(A277-AC277),0)</f>
        <v>0</v>
      </c>
      <c r="X277" s="10" t="n">
        <f aca="false">P277-IF(Q277,Inputs!$B$9,0)+W277</f>
        <v>1016.3844066801</v>
      </c>
      <c r="Y277" s="11" t="n">
        <f aca="false">IF(V277,0,T277)</f>
        <v>0</v>
      </c>
      <c r="Z277" s="9" t="b">
        <f aca="false">AND(Y277&gt;0,K277)</f>
        <v>0</v>
      </c>
      <c r="AA277" s="9" t="b">
        <f aca="false">AND(Y277=0,J277,ISNUMBER(L277))</f>
        <v>0</v>
      </c>
      <c r="AB277" s="8" t="n">
        <f aca="false">IF(Q277,R277,AB276)</f>
        <v>0.95824964655134</v>
      </c>
      <c r="AC277" s="12" t="n">
        <f aca="false">IF(Q277,A277,AC276)</f>
        <v>45034</v>
      </c>
      <c r="AD277" s="8" t="n">
        <f aca="false">IF(Q277,B277,AD276)</f>
        <v>0.958058034944351</v>
      </c>
      <c r="AE277" s="8" t="str">
        <f aca="false">IF(AA277,L277,"")</f>
        <v/>
      </c>
      <c r="AF277" s="8" t="n">
        <f aca="false">U277</f>
        <v>0.938328062071903</v>
      </c>
      <c r="AG277" s="2" t="n">
        <f aca="false">AG276+IF(Q277,1,0)</f>
        <v>2</v>
      </c>
      <c r="AH277" s="2" t="n">
        <f aca="false">AG276</f>
        <v>2</v>
      </c>
      <c r="AI277" s="10" t="n">
        <f aca="false">X277+Y277*(E277-AB277)-Y277*AD277*Inputs!$B$13*(A277-AC277)</f>
        <v>1016.3844066801</v>
      </c>
      <c r="AJ277" s="10" t="n">
        <v>0</v>
      </c>
      <c r="AK277" s="8" t="n">
        <f aca="false">IF(AND(B277&lt;=U277,NOT(Q277)),B277,U277)*(1-Inputs!$B$12)</f>
        <v>0.911279440211636</v>
      </c>
    </row>
    <row r="278" customFormat="false" ht="15" hidden="false" customHeight="false" outlineLevel="0" collapsed="false">
      <c r="A278" s="6" t="n">
        <v>45062</v>
      </c>
      <c r="B278" s="7" t="n">
        <v>0.913406280576384</v>
      </c>
      <c r="C278" s="7" t="n">
        <v>0.914501492005299</v>
      </c>
      <c r="D278" s="7" t="n">
        <v>0.908677992895265</v>
      </c>
      <c r="E278" s="7" t="n">
        <v>0.913297023885044</v>
      </c>
      <c r="F278" s="8" t="n">
        <f aca="true">IF(ROW()-2&gt;=Inputs!$B$4,AVERAGE(OFFSET(E278,1-Inputs!$B$4,0,Inputs!$B$4,1)),"")</f>
        <v>0.929874965121194</v>
      </c>
      <c r="G278" s="8" t="n">
        <f aca="true">IF(ROW()-2&gt;=Inputs!$B$5,AVERAGE(OFFSET(E278,1-Inputs!$B$5,0,Inputs!$B$5,1)),"")</f>
        <v>0.939866348771644</v>
      </c>
      <c r="H278" s="8" t="n">
        <f aca="false">MAX(C278-D278,ABS(C278-E277),ABS(D278-E277))</f>
        <v>0.00582349911003433</v>
      </c>
      <c r="I278" s="8" t="n">
        <f aca="true">IF(ROW()-2&lt;14,"",IF(ROW()-2=14,AVERAGE(OFFSET(H278,-13,0,14,1)),(I277*13+H278)/14))</f>
        <v>0.00961060500725</v>
      </c>
      <c r="J278" s="9" t="b">
        <f aca="false">IF(AND(ISNUMBER(F278),ISNUMBER(G278),ISNUMBER(F277),ISNUMBER(G277)),AND(F278&gt;G278,F277&lt;=G277),FALSE())</f>
        <v>0</v>
      </c>
      <c r="K278" s="9" t="b">
        <f aca="false">IF(AND(ISNUMBER(F278),ISNUMBER(G278),ISNUMBER(F277),ISNUMBER(G277)),AND(F278&lt;G278,F277&gt;=G277),FALSE())</f>
        <v>0</v>
      </c>
      <c r="L278" s="8" t="n">
        <f aca="false">IF(ISNUMBER(I278),E278-Inputs!$B$6*I278,"")</f>
        <v>0.894075813870544</v>
      </c>
      <c r="M278" s="9" t="b">
        <f aca="false">AND(Y277&gt;0,Z277)</f>
        <v>0</v>
      </c>
      <c r="N278" s="8" t="n">
        <f aca="false">B278*(1-Inputs!$B$12)</f>
        <v>0.913223599320269</v>
      </c>
      <c r="O278" s="10" t="n">
        <f aca="false">IF(M278,Y277*(N278-AB277)-Inputs!$B$9-Y277*AD277*Inputs!$B$13*(A278-AC277),0)</f>
        <v>0</v>
      </c>
      <c r="P278" s="10" t="n">
        <f aca="false">X277+O278</f>
        <v>1016.3844066801</v>
      </c>
      <c r="Q278" s="9" t="b">
        <f aca="false">AND(IF(M278,0,Y277)=0,AA277,IF(ISNUMBER(AE277),B278&gt;AE277,FALSE()))</f>
        <v>0</v>
      </c>
      <c r="R278" s="8" t="n">
        <f aca="false">B278*(1+Inputs!$B$12)</f>
        <v>0.913588961832499</v>
      </c>
      <c r="S278" s="11" t="n">
        <f aca="false">IF(Q278,MIN(P278*Inputs!$B$3/(R278-AE277),P278*Inputs!$B$11/R278),0)</f>
        <v>0</v>
      </c>
      <c r="T278" s="11" t="n">
        <f aca="false">IF(Q278,S278,IF(M278,0,Y277))</f>
        <v>0</v>
      </c>
      <c r="U278" s="8" t="n">
        <f aca="false">IF(Q278,AE277,AF277)</f>
        <v>0.938328062071903</v>
      </c>
      <c r="V278" s="9" t="b">
        <f aca="false">AND(T278&gt;0,D278&lt;=U278)</f>
        <v>0</v>
      </c>
      <c r="W278" s="10" t="n">
        <f aca="false">IF(V278,T278*(AK278-AB278)-Inputs!$B$9-T278*AD278*Inputs!$B$13*(A278-AC278),0)</f>
        <v>0</v>
      </c>
      <c r="X278" s="10" t="n">
        <f aca="false">P278-IF(Q278,Inputs!$B$9,0)+W278</f>
        <v>1016.3844066801</v>
      </c>
      <c r="Y278" s="11" t="n">
        <f aca="false">IF(V278,0,T278)</f>
        <v>0</v>
      </c>
      <c r="Z278" s="9" t="b">
        <f aca="false">AND(Y278&gt;0,K278)</f>
        <v>0</v>
      </c>
      <c r="AA278" s="9" t="b">
        <f aca="false">AND(Y278=0,J278,ISNUMBER(L278))</f>
        <v>0</v>
      </c>
      <c r="AB278" s="8" t="n">
        <f aca="false">IF(Q278,R278,AB277)</f>
        <v>0.95824964655134</v>
      </c>
      <c r="AC278" s="12" t="n">
        <f aca="false">IF(Q278,A278,AC277)</f>
        <v>45034</v>
      </c>
      <c r="AD278" s="8" t="n">
        <f aca="false">IF(Q278,B278,AD277)</f>
        <v>0.958058034944351</v>
      </c>
      <c r="AE278" s="8" t="str">
        <f aca="false">IF(AA278,L278,"")</f>
        <v/>
      </c>
      <c r="AF278" s="8" t="n">
        <f aca="false">U278</f>
        <v>0.938328062071903</v>
      </c>
      <c r="AG278" s="2" t="n">
        <f aca="false">AG277+IF(Q278,1,0)</f>
        <v>2</v>
      </c>
      <c r="AH278" s="2" t="n">
        <f aca="false">AG277</f>
        <v>2</v>
      </c>
      <c r="AI278" s="10" t="n">
        <f aca="false">X278+Y278*(E278-AB278)-Y278*AD278*Inputs!$B$13*(A278-AC278)</f>
        <v>1016.3844066801</v>
      </c>
      <c r="AJ278" s="10" t="n">
        <v>0</v>
      </c>
      <c r="AK278" s="8" t="n">
        <f aca="false">IF(AND(B278&lt;=U278,NOT(Q278)),B278,U278)*(1-Inputs!$B$12)</f>
        <v>0.913223599320269</v>
      </c>
    </row>
    <row r="279" customFormat="false" ht="15" hidden="false" customHeight="false" outlineLevel="0" collapsed="false">
      <c r="A279" s="6" t="n">
        <v>45063</v>
      </c>
      <c r="B279" s="7" t="n">
        <v>0.913297023885044</v>
      </c>
      <c r="C279" s="7" t="n">
        <v>0.914684076888959</v>
      </c>
      <c r="D279" s="7" t="n">
        <v>0.910824855880819</v>
      </c>
      <c r="E279" s="7" t="n">
        <v>0.91245722601798</v>
      </c>
      <c r="F279" s="8" t="n">
        <f aca="true">IF(ROW()-2&gt;=Inputs!$B$4,AVERAGE(OFFSET(E279,1-Inputs!$B$4,0,Inputs!$B$4,1)),"")</f>
        <v>0.927554130853518</v>
      </c>
      <c r="G279" s="8" t="n">
        <f aca="true">IF(ROW()-2&gt;=Inputs!$B$5,AVERAGE(OFFSET(E279,1-Inputs!$B$5,0,Inputs!$B$5,1)),"")</f>
        <v>0.939334895574828</v>
      </c>
      <c r="H279" s="8" t="n">
        <f aca="false">MAX(C279-D279,ABS(C279-E278),ABS(D279-E278))</f>
        <v>0.00385922100814029</v>
      </c>
      <c r="I279" s="8" t="n">
        <f aca="true">IF(ROW()-2&lt;14,"",IF(ROW()-2=14,AVERAGE(OFFSET(H279,-13,0,14,1)),(I278*13+H279)/14))</f>
        <v>0.00919979186445645</v>
      </c>
      <c r="J279" s="9" t="b">
        <f aca="false">IF(AND(ISNUMBER(F279),ISNUMBER(G279),ISNUMBER(F278),ISNUMBER(G278)),AND(F279&gt;G279,F278&lt;=G278),FALSE())</f>
        <v>0</v>
      </c>
      <c r="K279" s="9" t="b">
        <f aca="false">IF(AND(ISNUMBER(F279),ISNUMBER(G279),ISNUMBER(F278),ISNUMBER(G278)),AND(F279&lt;G279,F278&gt;=G278),FALSE())</f>
        <v>0</v>
      </c>
      <c r="L279" s="8" t="n">
        <f aca="false">IF(ISNUMBER(I279),E279-Inputs!$B$6*I279,"")</f>
        <v>0.894057642289068</v>
      </c>
      <c r="M279" s="9" t="b">
        <f aca="false">AND(Y278&gt;0,Z278)</f>
        <v>0</v>
      </c>
      <c r="N279" s="8" t="n">
        <f aca="false">B279*(1-Inputs!$B$12)</f>
        <v>0.913114364480267</v>
      </c>
      <c r="O279" s="10" t="n">
        <f aca="false">IF(M279,Y278*(N279-AB278)-Inputs!$B$9-Y278*AD278*Inputs!$B$13*(A279-AC278),0)</f>
        <v>0</v>
      </c>
      <c r="P279" s="10" t="n">
        <f aca="false">X278+O279</f>
        <v>1016.3844066801</v>
      </c>
      <c r="Q279" s="9" t="b">
        <f aca="false">AND(IF(M279,0,Y278)=0,AA278,IF(ISNUMBER(AE278),B279&gt;AE278,FALSE()))</f>
        <v>0</v>
      </c>
      <c r="R279" s="8" t="n">
        <f aca="false">B279*(1+Inputs!$B$12)</f>
        <v>0.913479683289821</v>
      </c>
      <c r="S279" s="11" t="n">
        <f aca="false">IF(Q279,MIN(P279*Inputs!$B$3/(R279-AE278),P279*Inputs!$B$11/R279),0)</f>
        <v>0</v>
      </c>
      <c r="T279" s="11" t="n">
        <f aca="false">IF(Q279,S279,IF(M279,0,Y278))</f>
        <v>0</v>
      </c>
      <c r="U279" s="8" t="n">
        <f aca="false">IF(Q279,AE278,AF278)</f>
        <v>0.938328062071903</v>
      </c>
      <c r="V279" s="9" t="b">
        <f aca="false">AND(T279&gt;0,D279&lt;=U279)</f>
        <v>0</v>
      </c>
      <c r="W279" s="10" t="n">
        <f aca="false">IF(V279,T279*(AK279-AB279)-Inputs!$B$9-T279*AD279*Inputs!$B$13*(A279-AC279),0)</f>
        <v>0</v>
      </c>
      <c r="X279" s="10" t="n">
        <f aca="false">P279-IF(Q279,Inputs!$B$9,0)+W279</f>
        <v>1016.3844066801</v>
      </c>
      <c r="Y279" s="11" t="n">
        <f aca="false">IF(V279,0,T279)</f>
        <v>0</v>
      </c>
      <c r="Z279" s="9" t="b">
        <f aca="false">AND(Y279&gt;0,K279)</f>
        <v>0</v>
      </c>
      <c r="AA279" s="9" t="b">
        <f aca="false">AND(Y279=0,J279,ISNUMBER(L279))</f>
        <v>0</v>
      </c>
      <c r="AB279" s="8" t="n">
        <f aca="false">IF(Q279,R279,AB278)</f>
        <v>0.95824964655134</v>
      </c>
      <c r="AC279" s="12" t="n">
        <f aca="false">IF(Q279,A279,AC278)</f>
        <v>45034</v>
      </c>
      <c r="AD279" s="8" t="n">
        <f aca="false">IF(Q279,B279,AD278)</f>
        <v>0.958058034944351</v>
      </c>
      <c r="AE279" s="8" t="str">
        <f aca="false">IF(AA279,L279,"")</f>
        <v/>
      </c>
      <c r="AF279" s="8" t="n">
        <f aca="false">U279</f>
        <v>0.938328062071903</v>
      </c>
      <c r="AG279" s="2" t="n">
        <f aca="false">AG278+IF(Q279,1,0)</f>
        <v>2</v>
      </c>
      <c r="AH279" s="2" t="n">
        <f aca="false">AG278</f>
        <v>2</v>
      </c>
      <c r="AI279" s="10" t="n">
        <f aca="false">X279+Y279*(E279-AB279)-Y279*AD279*Inputs!$B$13*(A279-AC279)</f>
        <v>1016.3844066801</v>
      </c>
      <c r="AJ279" s="10" t="n">
        <v>0</v>
      </c>
      <c r="AK279" s="8" t="n">
        <f aca="false">IF(AND(B279&lt;=U279,NOT(Q279)),B279,U279)*(1-Inputs!$B$12)</f>
        <v>0.913114364480267</v>
      </c>
    </row>
    <row r="280" customFormat="false" ht="15" hidden="false" customHeight="false" outlineLevel="0" collapsed="false">
      <c r="A280" s="6" t="n">
        <v>45064</v>
      </c>
      <c r="B280" s="7" t="n">
        <v>0.91245722601798</v>
      </c>
      <c r="C280" s="7" t="n">
        <v>0.915147125191274</v>
      </c>
      <c r="D280" s="7" t="n">
        <v>0.907150194605283</v>
      </c>
      <c r="E280" s="7" t="n">
        <v>0.909375671239449</v>
      </c>
      <c r="F280" s="8" t="n">
        <f aca="true">IF(ROW()-2&gt;=Inputs!$B$4,AVERAGE(OFFSET(E280,1-Inputs!$B$4,0,Inputs!$B$4,1)),"")</f>
        <v>0.925378731756166</v>
      </c>
      <c r="G280" s="8" t="n">
        <f aca="true">IF(ROW()-2&gt;=Inputs!$B$5,AVERAGE(OFFSET(E280,1-Inputs!$B$5,0,Inputs!$B$5,1)),"")</f>
        <v>0.938790113511398</v>
      </c>
      <c r="H280" s="8" t="n">
        <f aca="false">MAX(C280-D280,ABS(C280-E279),ABS(D280-E279))</f>
        <v>0.00799693058599105</v>
      </c>
      <c r="I280" s="8" t="n">
        <f aca="true">IF(ROW()-2&lt;14,"",IF(ROW()-2=14,AVERAGE(OFFSET(H280,-13,0,14,1)),(I279*13+H280)/14))</f>
        <v>0.00911387320170892</v>
      </c>
      <c r="J280" s="9" t="b">
        <f aca="false">IF(AND(ISNUMBER(F280),ISNUMBER(G280),ISNUMBER(F279),ISNUMBER(G279)),AND(F280&gt;G280,F279&lt;=G279),FALSE())</f>
        <v>0</v>
      </c>
      <c r="K280" s="9" t="b">
        <f aca="false">IF(AND(ISNUMBER(F280),ISNUMBER(G280),ISNUMBER(F279),ISNUMBER(G279)),AND(F280&lt;G280,F279&gt;=G279),FALSE())</f>
        <v>0</v>
      </c>
      <c r="L280" s="8" t="n">
        <f aca="false">IF(ISNUMBER(I280),E280-Inputs!$B$6*I280,"")</f>
        <v>0.891147924836031</v>
      </c>
      <c r="M280" s="9" t="b">
        <f aca="false">AND(Y279&gt;0,Z279)</f>
        <v>0</v>
      </c>
      <c r="N280" s="8" t="n">
        <f aca="false">B280*(1-Inputs!$B$12)</f>
        <v>0.912274734572777</v>
      </c>
      <c r="O280" s="10" t="n">
        <f aca="false">IF(M280,Y279*(N280-AB279)-Inputs!$B$9-Y279*AD279*Inputs!$B$13*(A280-AC279),0)</f>
        <v>0</v>
      </c>
      <c r="P280" s="10" t="n">
        <f aca="false">X279+O280</f>
        <v>1016.3844066801</v>
      </c>
      <c r="Q280" s="9" t="b">
        <f aca="false">AND(IF(M280,0,Y279)=0,AA279,IF(ISNUMBER(AE279),B280&gt;AE279,FALSE()))</f>
        <v>0</v>
      </c>
      <c r="R280" s="8" t="n">
        <f aca="false">B280*(1+Inputs!$B$12)</f>
        <v>0.912639717463184</v>
      </c>
      <c r="S280" s="11" t="n">
        <f aca="false">IF(Q280,MIN(P280*Inputs!$B$3/(R280-AE279),P280*Inputs!$B$11/R280),0)</f>
        <v>0</v>
      </c>
      <c r="T280" s="11" t="n">
        <f aca="false">IF(Q280,S280,IF(M280,0,Y279))</f>
        <v>0</v>
      </c>
      <c r="U280" s="8" t="n">
        <f aca="false">IF(Q280,AE279,AF279)</f>
        <v>0.938328062071903</v>
      </c>
      <c r="V280" s="9" t="b">
        <f aca="false">AND(T280&gt;0,D280&lt;=U280)</f>
        <v>0</v>
      </c>
      <c r="W280" s="10" t="n">
        <f aca="false">IF(V280,T280*(AK280-AB280)-Inputs!$B$9-T280*AD280*Inputs!$B$13*(A280-AC280),0)</f>
        <v>0</v>
      </c>
      <c r="X280" s="10" t="n">
        <f aca="false">P280-IF(Q280,Inputs!$B$9,0)+W280</f>
        <v>1016.3844066801</v>
      </c>
      <c r="Y280" s="11" t="n">
        <f aca="false">IF(V280,0,T280)</f>
        <v>0</v>
      </c>
      <c r="Z280" s="9" t="b">
        <f aca="false">AND(Y280&gt;0,K280)</f>
        <v>0</v>
      </c>
      <c r="AA280" s="9" t="b">
        <f aca="false">AND(Y280=0,J280,ISNUMBER(L280))</f>
        <v>0</v>
      </c>
      <c r="AB280" s="8" t="n">
        <f aca="false">IF(Q280,R280,AB279)</f>
        <v>0.95824964655134</v>
      </c>
      <c r="AC280" s="12" t="n">
        <f aca="false">IF(Q280,A280,AC279)</f>
        <v>45034</v>
      </c>
      <c r="AD280" s="8" t="n">
        <f aca="false">IF(Q280,B280,AD279)</f>
        <v>0.958058034944351</v>
      </c>
      <c r="AE280" s="8" t="str">
        <f aca="false">IF(AA280,L280,"")</f>
        <v/>
      </c>
      <c r="AF280" s="8" t="n">
        <f aca="false">U280</f>
        <v>0.938328062071903</v>
      </c>
      <c r="AG280" s="2" t="n">
        <f aca="false">AG279+IF(Q280,1,0)</f>
        <v>2</v>
      </c>
      <c r="AH280" s="2" t="n">
        <f aca="false">AG279</f>
        <v>2</v>
      </c>
      <c r="AI280" s="10" t="n">
        <f aca="false">X280+Y280*(E280-AB280)-Y280*AD280*Inputs!$B$13*(A280-AC280)</f>
        <v>1016.3844066801</v>
      </c>
      <c r="AJ280" s="10" t="n">
        <v>0</v>
      </c>
      <c r="AK280" s="8" t="n">
        <f aca="false">IF(AND(B280&lt;=U280,NOT(Q280)),B280,U280)*(1-Inputs!$B$12)</f>
        <v>0.912274734572777</v>
      </c>
    </row>
    <row r="281" customFormat="false" ht="15" hidden="false" customHeight="false" outlineLevel="0" collapsed="false">
      <c r="A281" s="6" t="n">
        <v>45065</v>
      </c>
      <c r="B281" s="7" t="n">
        <v>0.909375671239449</v>
      </c>
      <c r="C281" s="7" t="n">
        <v>0.91734880454611</v>
      </c>
      <c r="D281" s="7" t="n">
        <v>0.901158620677755</v>
      </c>
      <c r="E281" s="7" t="n">
        <v>0.902250824112811</v>
      </c>
      <c r="F281" s="8" t="n">
        <f aca="true">IF(ROW()-2&gt;=Inputs!$B$4,AVERAGE(OFFSET(E281,1-Inputs!$B$4,0,Inputs!$B$4,1)),"")</f>
        <v>0.92244390479924</v>
      </c>
      <c r="G281" s="8" t="n">
        <f aca="true">IF(ROW()-2&gt;=Inputs!$B$5,AVERAGE(OFFSET(E281,1-Inputs!$B$5,0,Inputs!$B$5,1)),"")</f>
        <v>0.938043424900845</v>
      </c>
      <c r="H281" s="8" t="n">
        <f aca="false">MAX(C281-D281,ABS(C281-E280),ABS(D281-E280))</f>
        <v>0.0161901838683547</v>
      </c>
      <c r="I281" s="8" t="n">
        <f aca="true">IF(ROW()-2&lt;14,"",IF(ROW()-2=14,AVERAGE(OFFSET(H281,-13,0,14,1)),(I280*13+H281)/14))</f>
        <v>0.00961932396361219</v>
      </c>
      <c r="J281" s="9" t="b">
        <f aca="false">IF(AND(ISNUMBER(F281),ISNUMBER(G281),ISNUMBER(F280),ISNUMBER(G280)),AND(F281&gt;G281,F280&lt;=G280),FALSE())</f>
        <v>0</v>
      </c>
      <c r="K281" s="9" t="b">
        <f aca="false">IF(AND(ISNUMBER(F281),ISNUMBER(G281),ISNUMBER(F280),ISNUMBER(G280)),AND(F281&lt;G281,F280&gt;=G280),FALSE())</f>
        <v>0</v>
      </c>
      <c r="L281" s="8" t="n">
        <f aca="false">IF(ISNUMBER(I281),E281-Inputs!$B$6*I281,"")</f>
        <v>0.883012176185587</v>
      </c>
      <c r="M281" s="9" t="b">
        <f aca="false">AND(Y280&gt;0,Z280)</f>
        <v>0</v>
      </c>
      <c r="N281" s="8" t="n">
        <f aca="false">B281*(1-Inputs!$B$12)</f>
        <v>0.909193796105201</v>
      </c>
      <c r="O281" s="10" t="n">
        <f aca="false">IF(M281,Y280*(N281-AB280)-Inputs!$B$9-Y280*AD280*Inputs!$B$13*(A281-AC280),0)</f>
        <v>0</v>
      </c>
      <c r="P281" s="10" t="n">
        <f aca="false">X280+O281</f>
        <v>1016.3844066801</v>
      </c>
      <c r="Q281" s="9" t="b">
        <f aca="false">AND(IF(M281,0,Y280)=0,AA280,IF(ISNUMBER(AE280),B281&gt;AE280,FALSE()))</f>
        <v>0</v>
      </c>
      <c r="R281" s="8" t="n">
        <f aca="false">B281*(1+Inputs!$B$12)</f>
        <v>0.909557546373697</v>
      </c>
      <c r="S281" s="11" t="n">
        <f aca="false">IF(Q281,MIN(P281*Inputs!$B$3/(R281-AE280),P281*Inputs!$B$11/R281),0)</f>
        <v>0</v>
      </c>
      <c r="T281" s="11" t="n">
        <f aca="false">IF(Q281,S281,IF(M281,0,Y280))</f>
        <v>0</v>
      </c>
      <c r="U281" s="8" t="n">
        <f aca="false">IF(Q281,AE280,AF280)</f>
        <v>0.938328062071903</v>
      </c>
      <c r="V281" s="9" t="b">
        <f aca="false">AND(T281&gt;0,D281&lt;=U281)</f>
        <v>0</v>
      </c>
      <c r="W281" s="10" t="n">
        <f aca="false">IF(V281,T281*(AK281-AB281)-Inputs!$B$9-T281*AD281*Inputs!$B$13*(A281-AC281),0)</f>
        <v>0</v>
      </c>
      <c r="X281" s="10" t="n">
        <f aca="false">P281-IF(Q281,Inputs!$B$9,0)+W281</f>
        <v>1016.3844066801</v>
      </c>
      <c r="Y281" s="11" t="n">
        <f aca="false">IF(V281,0,T281)</f>
        <v>0</v>
      </c>
      <c r="Z281" s="9" t="b">
        <f aca="false">AND(Y281&gt;0,K281)</f>
        <v>0</v>
      </c>
      <c r="AA281" s="9" t="b">
        <f aca="false">AND(Y281=0,J281,ISNUMBER(L281))</f>
        <v>0</v>
      </c>
      <c r="AB281" s="8" t="n">
        <f aca="false">IF(Q281,R281,AB280)</f>
        <v>0.95824964655134</v>
      </c>
      <c r="AC281" s="12" t="n">
        <f aca="false">IF(Q281,A281,AC280)</f>
        <v>45034</v>
      </c>
      <c r="AD281" s="8" t="n">
        <f aca="false">IF(Q281,B281,AD280)</f>
        <v>0.958058034944351</v>
      </c>
      <c r="AE281" s="8" t="str">
        <f aca="false">IF(AA281,L281,"")</f>
        <v/>
      </c>
      <c r="AF281" s="8" t="n">
        <f aca="false">U281</f>
        <v>0.938328062071903</v>
      </c>
      <c r="AG281" s="2" t="n">
        <f aca="false">AG280+IF(Q281,1,0)</f>
        <v>2</v>
      </c>
      <c r="AH281" s="2" t="n">
        <f aca="false">AG280</f>
        <v>2</v>
      </c>
      <c r="AI281" s="10" t="n">
        <f aca="false">X281+Y281*(E281-AB281)-Y281*AD281*Inputs!$B$13*(A281-AC281)</f>
        <v>1016.3844066801</v>
      </c>
      <c r="AJ281" s="10" t="n">
        <v>0</v>
      </c>
      <c r="AK281" s="8" t="n">
        <f aca="false">IF(AND(B281&lt;=U281,NOT(Q281)),B281,U281)*(1-Inputs!$B$12)</f>
        <v>0.909193796105201</v>
      </c>
    </row>
    <row r="282" customFormat="false" ht="15" hidden="false" customHeight="false" outlineLevel="0" collapsed="false">
      <c r="A282" s="6" t="n">
        <v>45066</v>
      </c>
      <c r="B282" s="7" t="n">
        <v>0.902250824112811</v>
      </c>
      <c r="C282" s="7" t="n">
        <v>0.912746336280303</v>
      </c>
      <c r="D282" s="7" t="n">
        <v>0.898966377815095</v>
      </c>
      <c r="E282" s="7" t="n">
        <v>0.909967772166781</v>
      </c>
      <c r="F282" s="8" t="n">
        <f aca="true">IF(ROW()-2&gt;=Inputs!$B$4,AVERAGE(OFFSET(E282,1-Inputs!$B$4,0,Inputs!$B$4,1)),"")</f>
        <v>0.920463126110003</v>
      </c>
      <c r="G282" s="8" t="n">
        <f aca="true">IF(ROW()-2&gt;=Inputs!$B$5,AVERAGE(OFFSET(E282,1-Inputs!$B$5,0,Inputs!$B$5,1)),"")</f>
        <v>0.937586457429326</v>
      </c>
      <c r="H282" s="8" t="n">
        <f aca="false">MAX(C282-D282,ABS(C282-E281),ABS(D282-E281))</f>
        <v>0.0137799584652076</v>
      </c>
      <c r="I282" s="8" t="n">
        <f aca="true">IF(ROW()-2&lt;14,"",IF(ROW()-2=14,AVERAGE(OFFSET(H282,-13,0,14,1)),(I281*13+H282)/14))</f>
        <v>0.00991651214229758</v>
      </c>
      <c r="J282" s="9" t="b">
        <f aca="false">IF(AND(ISNUMBER(F282),ISNUMBER(G282),ISNUMBER(F281),ISNUMBER(G281)),AND(F282&gt;G282,F281&lt;=G281),FALSE())</f>
        <v>0</v>
      </c>
      <c r="K282" s="9" t="b">
        <f aca="false">IF(AND(ISNUMBER(F282),ISNUMBER(G282),ISNUMBER(F281),ISNUMBER(G281)),AND(F282&lt;G282,F281&gt;=G281),FALSE())</f>
        <v>0</v>
      </c>
      <c r="L282" s="8" t="n">
        <f aca="false">IF(ISNUMBER(I282),E282-Inputs!$B$6*I282,"")</f>
        <v>0.890134747882186</v>
      </c>
      <c r="M282" s="9" t="b">
        <f aca="false">AND(Y281&gt;0,Z281)</f>
        <v>0</v>
      </c>
      <c r="N282" s="8" t="n">
        <f aca="false">B282*(1-Inputs!$B$12)</f>
        <v>0.902070373947989</v>
      </c>
      <c r="O282" s="10" t="n">
        <f aca="false">IF(M282,Y281*(N282-AB281)-Inputs!$B$9-Y281*AD281*Inputs!$B$13*(A282-AC281),0)</f>
        <v>0</v>
      </c>
      <c r="P282" s="10" t="n">
        <f aca="false">X281+O282</f>
        <v>1016.3844066801</v>
      </c>
      <c r="Q282" s="9" t="b">
        <f aca="false">AND(IF(M282,0,Y281)=0,AA281,IF(ISNUMBER(AE281),B282&gt;AE281,FALSE()))</f>
        <v>0</v>
      </c>
      <c r="R282" s="8" t="n">
        <f aca="false">B282*(1+Inputs!$B$12)</f>
        <v>0.902431274277634</v>
      </c>
      <c r="S282" s="11" t="n">
        <f aca="false">IF(Q282,MIN(P282*Inputs!$B$3/(R282-AE281),P282*Inputs!$B$11/R282),0)</f>
        <v>0</v>
      </c>
      <c r="T282" s="11" t="n">
        <f aca="false">IF(Q282,S282,IF(M282,0,Y281))</f>
        <v>0</v>
      </c>
      <c r="U282" s="8" t="n">
        <f aca="false">IF(Q282,AE281,AF281)</f>
        <v>0.938328062071903</v>
      </c>
      <c r="V282" s="9" t="b">
        <f aca="false">AND(T282&gt;0,D282&lt;=U282)</f>
        <v>0</v>
      </c>
      <c r="W282" s="10" t="n">
        <f aca="false">IF(V282,T282*(AK282-AB282)-Inputs!$B$9-T282*AD282*Inputs!$B$13*(A282-AC282),0)</f>
        <v>0</v>
      </c>
      <c r="X282" s="10" t="n">
        <f aca="false">P282-IF(Q282,Inputs!$B$9,0)+W282</f>
        <v>1016.3844066801</v>
      </c>
      <c r="Y282" s="11" t="n">
        <f aca="false">IF(V282,0,T282)</f>
        <v>0</v>
      </c>
      <c r="Z282" s="9" t="b">
        <f aca="false">AND(Y282&gt;0,K282)</f>
        <v>0</v>
      </c>
      <c r="AA282" s="9" t="b">
        <f aca="false">AND(Y282=0,J282,ISNUMBER(L282))</f>
        <v>0</v>
      </c>
      <c r="AB282" s="8" t="n">
        <f aca="false">IF(Q282,R282,AB281)</f>
        <v>0.95824964655134</v>
      </c>
      <c r="AC282" s="12" t="n">
        <f aca="false">IF(Q282,A282,AC281)</f>
        <v>45034</v>
      </c>
      <c r="AD282" s="8" t="n">
        <f aca="false">IF(Q282,B282,AD281)</f>
        <v>0.958058034944351</v>
      </c>
      <c r="AE282" s="8" t="str">
        <f aca="false">IF(AA282,L282,"")</f>
        <v/>
      </c>
      <c r="AF282" s="8" t="n">
        <f aca="false">U282</f>
        <v>0.938328062071903</v>
      </c>
      <c r="AG282" s="2" t="n">
        <f aca="false">AG281+IF(Q282,1,0)</f>
        <v>2</v>
      </c>
      <c r="AH282" s="2" t="n">
        <f aca="false">AG281</f>
        <v>2</v>
      </c>
      <c r="AI282" s="10" t="n">
        <f aca="false">X282+Y282*(E282-AB282)-Y282*AD282*Inputs!$B$13*(A282-AC282)</f>
        <v>1016.3844066801</v>
      </c>
      <c r="AJ282" s="10" t="n">
        <v>0</v>
      </c>
      <c r="AK282" s="8" t="n">
        <f aca="false">IF(AND(B282&lt;=U282,NOT(Q282)),B282,U282)*(1-Inputs!$B$12)</f>
        <v>0.902070373947989</v>
      </c>
    </row>
    <row r="283" customFormat="false" ht="15" hidden="false" customHeight="false" outlineLevel="0" collapsed="false">
      <c r="A283" s="6" t="n">
        <v>45067</v>
      </c>
      <c r="B283" s="7" t="n">
        <v>0.909967772166781</v>
      </c>
      <c r="C283" s="7" t="n">
        <v>0.912466990598172</v>
      </c>
      <c r="D283" s="7" t="n">
        <v>0.898693465123441</v>
      </c>
      <c r="E283" s="7" t="n">
        <v>0.901419321554215</v>
      </c>
      <c r="F283" s="8" t="n">
        <f aca="true">IF(ROW()-2&gt;=Inputs!$B$4,AVERAGE(OFFSET(E283,1-Inputs!$B$4,0,Inputs!$B$4,1)),"")</f>
        <v>0.918666775718997</v>
      </c>
      <c r="G283" s="8" t="n">
        <f aca="true">IF(ROW()-2&gt;=Inputs!$B$5,AVERAGE(OFFSET(E283,1-Inputs!$B$5,0,Inputs!$B$5,1)),"")</f>
        <v>0.936967439703502</v>
      </c>
      <c r="H283" s="8" t="n">
        <f aca="false">MAX(C283-D283,ABS(C283-E282),ABS(D283-E282))</f>
        <v>0.0137735254747303</v>
      </c>
      <c r="I283" s="8" t="n">
        <f aca="true">IF(ROW()-2&lt;14,"",IF(ROW()-2=14,AVERAGE(OFFSET(H283,-13,0,14,1)),(I282*13+H283)/14))</f>
        <v>0.0101920130946142</v>
      </c>
      <c r="J283" s="9" t="b">
        <f aca="false">IF(AND(ISNUMBER(F283),ISNUMBER(G283),ISNUMBER(F282),ISNUMBER(G282)),AND(F283&gt;G283,F282&lt;=G282),FALSE())</f>
        <v>0</v>
      </c>
      <c r="K283" s="9" t="b">
        <f aca="false">IF(AND(ISNUMBER(F283),ISNUMBER(G283),ISNUMBER(F282),ISNUMBER(G282)),AND(F283&lt;G283,F282&gt;=G282),FALSE())</f>
        <v>0</v>
      </c>
      <c r="L283" s="8" t="n">
        <f aca="false">IF(ISNUMBER(I283),E283-Inputs!$B$6*I283,"")</f>
        <v>0.881035295364987</v>
      </c>
      <c r="M283" s="9" t="b">
        <f aca="false">AND(Y282&gt;0,Z282)</f>
        <v>0</v>
      </c>
      <c r="N283" s="8" t="n">
        <f aca="false">B283*(1-Inputs!$B$12)</f>
        <v>0.909785778612348</v>
      </c>
      <c r="O283" s="10" t="n">
        <f aca="false">IF(M283,Y282*(N283-AB282)-Inputs!$B$9-Y282*AD282*Inputs!$B$13*(A283-AC282),0)</f>
        <v>0</v>
      </c>
      <c r="P283" s="10" t="n">
        <f aca="false">X282+O283</f>
        <v>1016.3844066801</v>
      </c>
      <c r="Q283" s="9" t="b">
        <f aca="false">AND(IF(M283,0,Y282)=0,AA282,IF(ISNUMBER(AE282),B283&gt;AE282,FALSE()))</f>
        <v>0</v>
      </c>
      <c r="R283" s="8" t="n">
        <f aca="false">B283*(1+Inputs!$B$12)</f>
        <v>0.910149765721214</v>
      </c>
      <c r="S283" s="11" t="n">
        <f aca="false">IF(Q283,MIN(P283*Inputs!$B$3/(R283-AE282),P283*Inputs!$B$11/R283),0)</f>
        <v>0</v>
      </c>
      <c r="T283" s="11" t="n">
        <f aca="false">IF(Q283,S283,IF(M283,0,Y282))</f>
        <v>0</v>
      </c>
      <c r="U283" s="8" t="n">
        <f aca="false">IF(Q283,AE282,AF282)</f>
        <v>0.938328062071903</v>
      </c>
      <c r="V283" s="9" t="b">
        <f aca="false">AND(T283&gt;0,D283&lt;=U283)</f>
        <v>0</v>
      </c>
      <c r="W283" s="10" t="n">
        <f aca="false">IF(V283,T283*(AK283-AB283)-Inputs!$B$9-T283*AD283*Inputs!$B$13*(A283-AC283),0)</f>
        <v>0</v>
      </c>
      <c r="X283" s="10" t="n">
        <f aca="false">P283-IF(Q283,Inputs!$B$9,0)+W283</f>
        <v>1016.3844066801</v>
      </c>
      <c r="Y283" s="11" t="n">
        <f aca="false">IF(V283,0,T283)</f>
        <v>0</v>
      </c>
      <c r="Z283" s="9" t="b">
        <f aca="false">AND(Y283&gt;0,K283)</f>
        <v>0</v>
      </c>
      <c r="AA283" s="9" t="b">
        <f aca="false">AND(Y283=0,J283,ISNUMBER(L283))</f>
        <v>0</v>
      </c>
      <c r="AB283" s="8" t="n">
        <f aca="false">IF(Q283,R283,AB282)</f>
        <v>0.95824964655134</v>
      </c>
      <c r="AC283" s="12" t="n">
        <f aca="false">IF(Q283,A283,AC282)</f>
        <v>45034</v>
      </c>
      <c r="AD283" s="8" t="n">
        <f aca="false">IF(Q283,B283,AD282)</f>
        <v>0.958058034944351</v>
      </c>
      <c r="AE283" s="8" t="str">
        <f aca="false">IF(AA283,L283,"")</f>
        <v/>
      </c>
      <c r="AF283" s="8" t="n">
        <f aca="false">U283</f>
        <v>0.938328062071903</v>
      </c>
      <c r="AG283" s="2" t="n">
        <f aca="false">AG282+IF(Q283,1,0)</f>
        <v>2</v>
      </c>
      <c r="AH283" s="2" t="n">
        <f aca="false">AG282</f>
        <v>2</v>
      </c>
      <c r="AI283" s="10" t="n">
        <f aca="false">X283+Y283*(E283-AB283)-Y283*AD283*Inputs!$B$13*(A283-AC283)</f>
        <v>1016.3844066801</v>
      </c>
      <c r="AJ283" s="10" t="n">
        <v>0</v>
      </c>
      <c r="AK283" s="8" t="n">
        <f aca="false">IF(AND(B283&lt;=U283,NOT(Q283)),B283,U283)*(1-Inputs!$B$12)</f>
        <v>0.909785778612348</v>
      </c>
    </row>
    <row r="284" customFormat="false" ht="15" hidden="false" customHeight="false" outlineLevel="0" collapsed="false">
      <c r="A284" s="6" t="n">
        <v>45068</v>
      </c>
      <c r="B284" s="7" t="n">
        <v>0.901419321554215</v>
      </c>
      <c r="C284" s="7" t="n">
        <v>0.906944722107876</v>
      </c>
      <c r="D284" s="7" t="n">
        <v>0.897698075978696</v>
      </c>
      <c r="E284" s="7" t="n">
        <v>0.90004683982133</v>
      </c>
      <c r="F284" s="8" t="n">
        <f aca="true">IF(ROW()-2&gt;=Inputs!$B$4,AVERAGE(OFFSET(E284,1-Inputs!$B$4,0,Inputs!$B$4,1)),"")</f>
        <v>0.916965560759974</v>
      </c>
      <c r="G284" s="8" t="n">
        <f aca="true">IF(ROW()-2&gt;=Inputs!$B$5,AVERAGE(OFFSET(E284,1-Inputs!$B$5,0,Inputs!$B$5,1)),"")</f>
        <v>0.936410650101827</v>
      </c>
      <c r="H284" s="8" t="n">
        <f aca="false">MAX(C284-D284,ABS(C284-E283),ABS(D284-E283))</f>
        <v>0.00924664612917969</v>
      </c>
      <c r="I284" s="8" t="n">
        <f aca="true">IF(ROW()-2&lt;14,"",IF(ROW()-2=14,AVERAGE(OFFSET(H284,-13,0,14,1)),(I283*13+H284)/14))</f>
        <v>0.0101244868827975</v>
      </c>
      <c r="J284" s="9" t="b">
        <f aca="false">IF(AND(ISNUMBER(F284),ISNUMBER(G284),ISNUMBER(F283),ISNUMBER(G283)),AND(F284&gt;G284,F283&lt;=G283),FALSE())</f>
        <v>0</v>
      </c>
      <c r="K284" s="9" t="b">
        <f aca="false">IF(AND(ISNUMBER(F284),ISNUMBER(G284),ISNUMBER(F283),ISNUMBER(G283)),AND(F284&lt;G284,F283&gt;=G283),FALSE())</f>
        <v>0</v>
      </c>
      <c r="L284" s="8" t="n">
        <f aca="false">IF(ISNUMBER(I284),E284-Inputs!$B$6*I284,"")</f>
        <v>0.879797866055735</v>
      </c>
      <c r="M284" s="9" t="b">
        <f aca="false">AND(Y283&gt;0,Z283)</f>
        <v>0</v>
      </c>
      <c r="N284" s="8" t="n">
        <f aca="false">B284*(1-Inputs!$B$12)</f>
        <v>0.901239037689904</v>
      </c>
      <c r="O284" s="10" t="n">
        <f aca="false">IF(M284,Y283*(N284-AB283)-Inputs!$B$9-Y283*AD283*Inputs!$B$13*(A284-AC283),0)</f>
        <v>0</v>
      </c>
      <c r="P284" s="10" t="n">
        <f aca="false">X283+O284</f>
        <v>1016.3844066801</v>
      </c>
      <c r="Q284" s="9" t="b">
        <f aca="false">AND(IF(M284,0,Y283)=0,AA283,IF(ISNUMBER(AE283),B284&gt;AE283,FALSE()))</f>
        <v>0</v>
      </c>
      <c r="R284" s="8" t="n">
        <f aca="false">B284*(1+Inputs!$B$12)</f>
        <v>0.901599605418526</v>
      </c>
      <c r="S284" s="11" t="n">
        <f aca="false">IF(Q284,MIN(P284*Inputs!$B$3/(R284-AE283),P284*Inputs!$B$11/R284),0)</f>
        <v>0</v>
      </c>
      <c r="T284" s="11" t="n">
        <f aca="false">IF(Q284,S284,IF(M284,0,Y283))</f>
        <v>0</v>
      </c>
      <c r="U284" s="8" t="n">
        <f aca="false">IF(Q284,AE283,AF283)</f>
        <v>0.938328062071903</v>
      </c>
      <c r="V284" s="9" t="b">
        <f aca="false">AND(T284&gt;0,D284&lt;=U284)</f>
        <v>0</v>
      </c>
      <c r="W284" s="10" t="n">
        <f aca="false">IF(V284,T284*(AK284-AB284)-Inputs!$B$9-T284*AD284*Inputs!$B$13*(A284-AC284),0)</f>
        <v>0</v>
      </c>
      <c r="X284" s="10" t="n">
        <f aca="false">P284-IF(Q284,Inputs!$B$9,0)+W284</f>
        <v>1016.3844066801</v>
      </c>
      <c r="Y284" s="11" t="n">
        <f aca="false">IF(V284,0,T284)</f>
        <v>0</v>
      </c>
      <c r="Z284" s="9" t="b">
        <f aca="false">AND(Y284&gt;0,K284)</f>
        <v>0</v>
      </c>
      <c r="AA284" s="9" t="b">
        <f aca="false">AND(Y284=0,J284,ISNUMBER(L284))</f>
        <v>0</v>
      </c>
      <c r="AB284" s="8" t="n">
        <f aca="false">IF(Q284,R284,AB283)</f>
        <v>0.95824964655134</v>
      </c>
      <c r="AC284" s="12" t="n">
        <f aca="false">IF(Q284,A284,AC283)</f>
        <v>45034</v>
      </c>
      <c r="AD284" s="8" t="n">
        <f aca="false">IF(Q284,B284,AD283)</f>
        <v>0.958058034944351</v>
      </c>
      <c r="AE284" s="8" t="str">
        <f aca="false">IF(AA284,L284,"")</f>
        <v/>
      </c>
      <c r="AF284" s="8" t="n">
        <f aca="false">U284</f>
        <v>0.938328062071903</v>
      </c>
      <c r="AG284" s="2" t="n">
        <f aca="false">AG283+IF(Q284,1,0)</f>
        <v>2</v>
      </c>
      <c r="AH284" s="2" t="n">
        <f aca="false">AG283</f>
        <v>2</v>
      </c>
      <c r="AI284" s="10" t="n">
        <f aca="false">X284+Y284*(E284-AB284)-Y284*AD284*Inputs!$B$13*(A284-AC284)</f>
        <v>1016.3844066801</v>
      </c>
      <c r="AJ284" s="10" t="n">
        <v>0</v>
      </c>
      <c r="AK284" s="8" t="n">
        <f aca="false">IF(AND(B284&lt;=U284,NOT(Q284)),B284,U284)*(1-Inputs!$B$12)</f>
        <v>0.901239037689904</v>
      </c>
    </row>
    <row r="285" customFormat="false" ht="15" hidden="false" customHeight="false" outlineLevel="0" collapsed="false">
      <c r="A285" s="6" t="n">
        <v>45069</v>
      </c>
      <c r="B285" s="7" t="n">
        <v>0.90004683982133</v>
      </c>
      <c r="C285" s="7" t="n">
        <v>0.908963855063474</v>
      </c>
      <c r="D285" s="7" t="n">
        <v>0.89831966471811</v>
      </c>
      <c r="E285" s="7" t="n">
        <v>0.902123316757577</v>
      </c>
      <c r="F285" s="8" t="n">
        <f aca="true">IF(ROW()-2&gt;=Inputs!$B$4,AVERAGE(OFFSET(E285,1-Inputs!$B$4,0,Inputs!$B$4,1)),"")</f>
        <v>0.915599450232802</v>
      </c>
      <c r="G285" s="8" t="n">
        <f aca="true">IF(ROW()-2&gt;=Inputs!$B$5,AVERAGE(OFFSET(E285,1-Inputs!$B$5,0,Inputs!$B$5,1)),"")</f>
        <v>0.935970834502506</v>
      </c>
      <c r="H285" s="8" t="n">
        <f aca="false">MAX(C285-D285,ABS(C285-E284),ABS(D285-E284))</f>
        <v>0.0106441903453631</v>
      </c>
      <c r="I285" s="8" t="n">
        <f aca="true">IF(ROW()-2&lt;14,"",IF(ROW()-2=14,AVERAGE(OFFSET(H285,-13,0,14,1)),(I284*13+H285)/14))</f>
        <v>0.010161608558695</v>
      </c>
      <c r="J285" s="9" t="b">
        <f aca="false">IF(AND(ISNUMBER(F285),ISNUMBER(G285),ISNUMBER(F284),ISNUMBER(G284)),AND(F285&gt;G285,F284&lt;=G284),FALSE())</f>
        <v>0</v>
      </c>
      <c r="K285" s="9" t="b">
        <f aca="false">IF(AND(ISNUMBER(F285),ISNUMBER(G285),ISNUMBER(F284),ISNUMBER(G284)),AND(F285&lt;G285,F284&gt;=G284),FALSE())</f>
        <v>0</v>
      </c>
      <c r="L285" s="8" t="n">
        <f aca="false">IF(ISNUMBER(I285),E285-Inputs!$B$6*I285,"")</f>
        <v>0.881800099640187</v>
      </c>
      <c r="M285" s="9" t="b">
        <f aca="false">AND(Y284&gt;0,Z284)</f>
        <v>0</v>
      </c>
      <c r="N285" s="8" t="n">
        <f aca="false">B285*(1-Inputs!$B$12)</f>
        <v>0.899866830453365</v>
      </c>
      <c r="O285" s="10" t="n">
        <f aca="false">IF(M285,Y284*(N285-AB284)-Inputs!$B$9-Y284*AD284*Inputs!$B$13*(A285-AC284),0)</f>
        <v>0</v>
      </c>
      <c r="P285" s="10" t="n">
        <f aca="false">X284+O285</f>
        <v>1016.3844066801</v>
      </c>
      <c r="Q285" s="9" t="b">
        <f aca="false">AND(IF(M285,0,Y284)=0,AA284,IF(ISNUMBER(AE284),B285&gt;AE284,FALSE()))</f>
        <v>0</v>
      </c>
      <c r="R285" s="8" t="n">
        <f aca="false">B285*(1+Inputs!$B$12)</f>
        <v>0.900226849189294</v>
      </c>
      <c r="S285" s="11" t="n">
        <f aca="false">IF(Q285,MIN(P285*Inputs!$B$3/(R285-AE284),P285*Inputs!$B$11/R285),0)</f>
        <v>0</v>
      </c>
      <c r="T285" s="11" t="n">
        <f aca="false">IF(Q285,S285,IF(M285,0,Y284))</f>
        <v>0</v>
      </c>
      <c r="U285" s="8" t="n">
        <f aca="false">IF(Q285,AE284,AF284)</f>
        <v>0.938328062071903</v>
      </c>
      <c r="V285" s="9" t="b">
        <f aca="false">AND(T285&gt;0,D285&lt;=U285)</f>
        <v>0</v>
      </c>
      <c r="W285" s="10" t="n">
        <f aca="false">IF(V285,T285*(AK285-AB285)-Inputs!$B$9-T285*AD285*Inputs!$B$13*(A285-AC285),0)</f>
        <v>0</v>
      </c>
      <c r="X285" s="10" t="n">
        <f aca="false">P285-IF(Q285,Inputs!$B$9,0)+W285</f>
        <v>1016.3844066801</v>
      </c>
      <c r="Y285" s="11" t="n">
        <f aca="false">IF(V285,0,T285)</f>
        <v>0</v>
      </c>
      <c r="Z285" s="9" t="b">
        <f aca="false">AND(Y285&gt;0,K285)</f>
        <v>0</v>
      </c>
      <c r="AA285" s="9" t="b">
        <f aca="false">AND(Y285=0,J285,ISNUMBER(L285))</f>
        <v>0</v>
      </c>
      <c r="AB285" s="8" t="n">
        <f aca="false">IF(Q285,R285,AB284)</f>
        <v>0.95824964655134</v>
      </c>
      <c r="AC285" s="12" t="n">
        <f aca="false">IF(Q285,A285,AC284)</f>
        <v>45034</v>
      </c>
      <c r="AD285" s="8" t="n">
        <f aca="false">IF(Q285,B285,AD284)</f>
        <v>0.958058034944351</v>
      </c>
      <c r="AE285" s="8" t="str">
        <f aca="false">IF(AA285,L285,"")</f>
        <v/>
      </c>
      <c r="AF285" s="8" t="n">
        <f aca="false">U285</f>
        <v>0.938328062071903</v>
      </c>
      <c r="AG285" s="2" t="n">
        <f aca="false">AG284+IF(Q285,1,0)</f>
        <v>2</v>
      </c>
      <c r="AH285" s="2" t="n">
        <f aca="false">AG284</f>
        <v>2</v>
      </c>
      <c r="AI285" s="10" t="n">
        <f aca="false">X285+Y285*(E285-AB285)-Y285*AD285*Inputs!$B$13*(A285-AC285)</f>
        <v>1016.3844066801</v>
      </c>
      <c r="AJ285" s="10" t="n">
        <v>0</v>
      </c>
      <c r="AK285" s="8" t="n">
        <f aca="false">IF(AND(B285&lt;=U285,NOT(Q285)),B285,U285)*(1-Inputs!$B$12)</f>
        <v>0.899866830453365</v>
      </c>
    </row>
    <row r="286" customFormat="false" ht="15" hidden="false" customHeight="false" outlineLevel="0" collapsed="false">
      <c r="A286" s="6" t="n">
        <v>45070</v>
      </c>
      <c r="B286" s="7" t="n">
        <v>0.902123316757577</v>
      </c>
      <c r="C286" s="7" t="n">
        <v>0.905826573662988</v>
      </c>
      <c r="D286" s="7" t="n">
        <v>0.897783872921638</v>
      </c>
      <c r="E286" s="7" t="n">
        <v>0.898474347616407</v>
      </c>
      <c r="F286" s="8" t="n">
        <f aca="true">IF(ROW()-2&gt;=Inputs!$B$4,AVERAGE(OFFSET(E286,1-Inputs!$B$4,0,Inputs!$B$4,1)),"")</f>
        <v>0.914098468648578</v>
      </c>
      <c r="G286" s="8" t="n">
        <f aca="true">IF(ROW()-2&gt;=Inputs!$B$5,AVERAGE(OFFSET(E286,1-Inputs!$B$5,0,Inputs!$B$5,1)),"")</f>
        <v>0.93546270841626</v>
      </c>
      <c r="H286" s="8" t="n">
        <f aca="false">MAX(C286-D286,ABS(C286-E285),ABS(D286-E285))</f>
        <v>0.00804270074134927</v>
      </c>
      <c r="I286" s="8" t="n">
        <f aca="true">IF(ROW()-2&lt;14,"",IF(ROW()-2=14,AVERAGE(OFFSET(H286,-13,0,14,1)),(I285*13+H286)/14))</f>
        <v>0.0100102580003132</v>
      </c>
      <c r="J286" s="9" t="b">
        <f aca="false">IF(AND(ISNUMBER(F286),ISNUMBER(G286),ISNUMBER(F285),ISNUMBER(G285)),AND(F286&gt;G286,F285&lt;=G285),FALSE())</f>
        <v>0</v>
      </c>
      <c r="K286" s="9" t="b">
        <f aca="false">IF(AND(ISNUMBER(F286),ISNUMBER(G286),ISNUMBER(F285),ISNUMBER(G285)),AND(F286&lt;G286,F285&gt;=G285),FALSE())</f>
        <v>0</v>
      </c>
      <c r="L286" s="8" t="n">
        <f aca="false">IF(ISNUMBER(I286),E286-Inputs!$B$6*I286,"")</f>
        <v>0.878453831615781</v>
      </c>
      <c r="M286" s="9" t="b">
        <f aca="false">AND(Y285&gt;0,Z285)</f>
        <v>0</v>
      </c>
      <c r="N286" s="8" t="n">
        <f aca="false">B286*(1-Inputs!$B$12)</f>
        <v>0.901942892094226</v>
      </c>
      <c r="O286" s="10" t="n">
        <f aca="false">IF(M286,Y285*(N286-AB285)-Inputs!$B$9-Y285*AD285*Inputs!$B$13*(A286-AC285),0)</f>
        <v>0</v>
      </c>
      <c r="P286" s="10" t="n">
        <f aca="false">X285+O286</f>
        <v>1016.3844066801</v>
      </c>
      <c r="Q286" s="9" t="b">
        <f aca="false">AND(IF(M286,0,Y285)=0,AA285,IF(ISNUMBER(AE285),B286&gt;AE285,FALSE()))</f>
        <v>0</v>
      </c>
      <c r="R286" s="8" t="n">
        <f aca="false">B286*(1+Inputs!$B$12)</f>
        <v>0.902303741420929</v>
      </c>
      <c r="S286" s="11" t="n">
        <f aca="false">IF(Q286,MIN(P286*Inputs!$B$3/(R286-AE285),P286*Inputs!$B$11/R286),0)</f>
        <v>0</v>
      </c>
      <c r="T286" s="11" t="n">
        <f aca="false">IF(Q286,S286,IF(M286,0,Y285))</f>
        <v>0</v>
      </c>
      <c r="U286" s="8" t="n">
        <f aca="false">IF(Q286,AE285,AF285)</f>
        <v>0.938328062071903</v>
      </c>
      <c r="V286" s="9" t="b">
        <f aca="false">AND(T286&gt;0,D286&lt;=U286)</f>
        <v>0</v>
      </c>
      <c r="W286" s="10" t="n">
        <f aca="false">IF(V286,T286*(AK286-AB286)-Inputs!$B$9-T286*AD286*Inputs!$B$13*(A286-AC286),0)</f>
        <v>0</v>
      </c>
      <c r="X286" s="10" t="n">
        <f aca="false">P286-IF(Q286,Inputs!$B$9,0)+W286</f>
        <v>1016.3844066801</v>
      </c>
      <c r="Y286" s="11" t="n">
        <f aca="false">IF(V286,0,T286)</f>
        <v>0</v>
      </c>
      <c r="Z286" s="9" t="b">
        <f aca="false">AND(Y286&gt;0,K286)</f>
        <v>0</v>
      </c>
      <c r="AA286" s="9" t="b">
        <f aca="false">AND(Y286=0,J286,ISNUMBER(L286))</f>
        <v>0</v>
      </c>
      <c r="AB286" s="8" t="n">
        <f aca="false">IF(Q286,R286,AB285)</f>
        <v>0.95824964655134</v>
      </c>
      <c r="AC286" s="12" t="n">
        <f aca="false">IF(Q286,A286,AC285)</f>
        <v>45034</v>
      </c>
      <c r="AD286" s="8" t="n">
        <f aca="false">IF(Q286,B286,AD285)</f>
        <v>0.958058034944351</v>
      </c>
      <c r="AE286" s="8" t="str">
        <f aca="false">IF(AA286,L286,"")</f>
        <v/>
      </c>
      <c r="AF286" s="8" t="n">
        <f aca="false">U286</f>
        <v>0.938328062071903</v>
      </c>
      <c r="AG286" s="2" t="n">
        <f aca="false">AG285+IF(Q286,1,0)</f>
        <v>2</v>
      </c>
      <c r="AH286" s="2" t="n">
        <f aca="false">AG285</f>
        <v>2</v>
      </c>
      <c r="AI286" s="10" t="n">
        <f aca="false">X286+Y286*(E286-AB286)-Y286*AD286*Inputs!$B$13*(A286-AC286)</f>
        <v>1016.3844066801</v>
      </c>
      <c r="AJ286" s="10" t="n">
        <v>0</v>
      </c>
      <c r="AK286" s="8" t="n">
        <f aca="false">IF(AND(B286&lt;=U286,NOT(Q286)),B286,U286)*(1-Inputs!$B$12)</f>
        <v>0.901942892094226</v>
      </c>
    </row>
    <row r="287" customFormat="false" ht="15" hidden="false" customHeight="false" outlineLevel="0" collapsed="false">
      <c r="A287" s="6" t="n">
        <v>45071</v>
      </c>
      <c r="B287" s="7" t="n">
        <v>0.898474347616407</v>
      </c>
      <c r="C287" s="7" t="n">
        <v>0.904550140694162</v>
      </c>
      <c r="D287" s="7" t="n">
        <v>0.883134657058295</v>
      </c>
      <c r="E287" s="7" t="n">
        <v>0.888030755748262</v>
      </c>
      <c r="F287" s="8" t="n">
        <f aca="true">IF(ROW()-2&gt;=Inputs!$B$4,AVERAGE(OFFSET(E287,1-Inputs!$B$4,0,Inputs!$B$4,1)),"")</f>
        <v>0.911897663619558</v>
      </c>
      <c r="G287" s="8" t="n">
        <f aca="true">IF(ROW()-2&gt;=Inputs!$B$5,AVERAGE(OFFSET(E287,1-Inputs!$B$5,0,Inputs!$B$5,1)),"")</f>
        <v>0.934812714272321</v>
      </c>
      <c r="H287" s="8" t="n">
        <f aca="false">MAX(C287-D287,ABS(C287-E286),ABS(D287-E286))</f>
        <v>0.0214154836358671</v>
      </c>
      <c r="I287" s="8" t="n">
        <f aca="true">IF(ROW()-2&lt;14,"",IF(ROW()-2=14,AVERAGE(OFFSET(H287,-13,0,14,1)),(I286*13+H287)/14))</f>
        <v>0.0108249169742813</v>
      </c>
      <c r="J287" s="9" t="b">
        <f aca="false">IF(AND(ISNUMBER(F287),ISNUMBER(G287),ISNUMBER(F286),ISNUMBER(G286)),AND(F287&gt;G287,F286&lt;=G286),FALSE())</f>
        <v>0</v>
      </c>
      <c r="K287" s="9" t="b">
        <f aca="false">IF(AND(ISNUMBER(F287),ISNUMBER(G287),ISNUMBER(F286),ISNUMBER(G286)),AND(F287&lt;G287,F286&gt;=G286),FALSE())</f>
        <v>0</v>
      </c>
      <c r="L287" s="8" t="n">
        <f aca="false">IF(ISNUMBER(I287),E287-Inputs!$B$6*I287,"")</f>
        <v>0.8663809217997</v>
      </c>
      <c r="M287" s="9" t="b">
        <f aca="false">AND(Y286&gt;0,Z286)</f>
        <v>0</v>
      </c>
      <c r="N287" s="8" t="n">
        <f aca="false">B287*(1-Inputs!$B$12)</f>
        <v>0.898294652746884</v>
      </c>
      <c r="O287" s="10" t="n">
        <f aca="false">IF(M287,Y286*(N287-AB286)-Inputs!$B$9-Y286*AD286*Inputs!$B$13*(A287-AC286),0)</f>
        <v>0</v>
      </c>
      <c r="P287" s="10" t="n">
        <f aca="false">X286+O287</f>
        <v>1016.3844066801</v>
      </c>
      <c r="Q287" s="9" t="b">
        <f aca="false">AND(IF(M287,0,Y286)=0,AA286,IF(ISNUMBER(AE286),B287&gt;AE286,FALSE()))</f>
        <v>0</v>
      </c>
      <c r="R287" s="8" t="n">
        <f aca="false">B287*(1+Inputs!$B$12)</f>
        <v>0.89865404248593</v>
      </c>
      <c r="S287" s="11" t="n">
        <f aca="false">IF(Q287,MIN(P287*Inputs!$B$3/(R287-AE286),P287*Inputs!$B$11/R287),0)</f>
        <v>0</v>
      </c>
      <c r="T287" s="11" t="n">
        <f aca="false">IF(Q287,S287,IF(M287,0,Y286))</f>
        <v>0</v>
      </c>
      <c r="U287" s="8" t="n">
        <f aca="false">IF(Q287,AE286,AF286)</f>
        <v>0.938328062071903</v>
      </c>
      <c r="V287" s="9" t="b">
        <f aca="false">AND(T287&gt;0,D287&lt;=U287)</f>
        <v>0</v>
      </c>
      <c r="W287" s="10" t="n">
        <f aca="false">IF(V287,T287*(AK287-AB287)-Inputs!$B$9-T287*AD287*Inputs!$B$13*(A287-AC287),0)</f>
        <v>0</v>
      </c>
      <c r="X287" s="10" t="n">
        <f aca="false">P287-IF(Q287,Inputs!$B$9,0)+W287</f>
        <v>1016.3844066801</v>
      </c>
      <c r="Y287" s="11" t="n">
        <f aca="false">IF(V287,0,T287)</f>
        <v>0</v>
      </c>
      <c r="Z287" s="9" t="b">
        <f aca="false">AND(Y287&gt;0,K287)</f>
        <v>0</v>
      </c>
      <c r="AA287" s="9" t="b">
        <f aca="false">AND(Y287=0,J287,ISNUMBER(L287))</f>
        <v>0</v>
      </c>
      <c r="AB287" s="8" t="n">
        <f aca="false">IF(Q287,R287,AB286)</f>
        <v>0.95824964655134</v>
      </c>
      <c r="AC287" s="12" t="n">
        <f aca="false">IF(Q287,A287,AC286)</f>
        <v>45034</v>
      </c>
      <c r="AD287" s="8" t="n">
        <f aca="false">IF(Q287,B287,AD286)</f>
        <v>0.958058034944351</v>
      </c>
      <c r="AE287" s="8" t="str">
        <f aca="false">IF(AA287,L287,"")</f>
        <v/>
      </c>
      <c r="AF287" s="8" t="n">
        <f aca="false">U287</f>
        <v>0.938328062071903</v>
      </c>
      <c r="AG287" s="2" t="n">
        <f aca="false">AG286+IF(Q287,1,0)</f>
        <v>2</v>
      </c>
      <c r="AH287" s="2" t="n">
        <f aca="false">AG286</f>
        <v>2</v>
      </c>
      <c r="AI287" s="10" t="n">
        <f aca="false">X287+Y287*(E287-AB287)-Y287*AD287*Inputs!$B$13*(A287-AC287)</f>
        <v>1016.3844066801</v>
      </c>
      <c r="AJ287" s="10" t="n">
        <v>0</v>
      </c>
      <c r="AK287" s="8" t="n">
        <f aca="false">IF(AND(B287&lt;=U287,NOT(Q287)),B287,U287)*(1-Inputs!$B$12)</f>
        <v>0.898294652746884</v>
      </c>
    </row>
    <row r="288" customFormat="false" ht="15" hidden="false" customHeight="false" outlineLevel="0" collapsed="false">
      <c r="A288" s="6" t="n">
        <v>45072</v>
      </c>
      <c r="B288" s="7" t="n">
        <v>0.888030755748262</v>
      </c>
      <c r="C288" s="7" t="n">
        <v>0.895093144590479</v>
      </c>
      <c r="D288" s="7" t="n">
        <v>0.882279736837259</v>
      </c>
      <c r="E288" s="7" t="n">
        <v>0.891718954477189</v>
      </c>
      <c r="F288" s="8" t="n">
        <f aca="true">IF(ROW()-2&gt;=Inputs!$B$4,AVERAGE(OFFSET(E288,1-Inputs!$B$4,0,Inputs!$B$4,1)),"")</f>
        <v>0.910555472813223</v>
      </c>
      <c r="G288" s="8" t="n">
        <f aca="true">IF(ROW()-2&gt;=Inputs!$B$5,AVERAGE(OFFSET(E288,1-Inputs!$B$5,0,Inputs!$B$5,1)),"")</f>
        <v>0.93423394365641</v>
      </c>
      <c r="H288" s="8" t="n">
        <f aca="false">MAX(C288-D288,ABS(C288-E287),ABS(D288-E287))</f>
        <v>0.0128134077532198</v>
      </c>
      <c r="I288" s="8" t="n">
        <f aca="true">IF(ROW()-2&lt;14,"",IF(ROW()-2=14,AVERAGE(OFFSET(H288,-13,0,14,1)),(I287*13+H288)/14))</f>
        <v>0.0109669520299198</v>
      </c>
      <c r="J288" s="9" t="b">
        <f aca="false">IF(AND(ISNUMBER(F288),ISNUMBER(G288),ISNUMBER(F287),ISNUMBER(G287)),AND(F288&gt;G288,F287&lt;=G287),FALSE())</f>
        <v>0</v>
      </c>
      <c r="K288" s="9" t="b">
        <f aca="false">IF(AND(ISNUMBER(F288),ISNUMBER(G288),ISNUMBER(F287),ISNUMBER(G287)),AND(F288&lt;G288,F287&gt;=G287),FALSE())</f>
        <v>0</v>
      </c>
      <c r="L288" s="8" t="n">
        <f aca="false">IF(ISNUMBER(I288),E288-Inputs!$B$6*I288,"")</f>
        <v>0.86978505041735</v>
      </c>
      <c r="M288" s="9" t="b">
        <f aca="false">AND(Y287&gt;0,Z287)</f>
        <v>0</v>
      </c>
      <c r="N288" s="8" t="n">
        <f aca="false">B288*(1-Inputs!$B$12)</f>
        <v>0.887853149597113</v>
      </c>
      <c r="O288" s="10" t="n">
        <f aca="false">IF(M288,Y287*(N288-AB287)-Inputs!$B$9-Y287*AD287*Inputs!$B$13*(A288-AC287),0)</f>
        <v>0</v>
      </c>
      <c r="P288" s="10" t="n">
        <f aca="false">X287+O288</f>
        <v>1016.3844066801</v>
      </c>
      <c r="Q288" s="9" t="b">
        <f aca="false">AND(IF(M288,0,Y287)=0,AA287,IF(ISNUMBER(AE287),B288&gt;AE287,FALSE()))</f>
        <v>0</v>
      </c>
      <c r="R288" s="8" t="n">
        <f aca="false">B288*(1+Inputs!$B$12)</f>
        <v>0.888208361899412</v>
      </c>
      <c r="S288" s="11" t="n">
        <f aca="false">IF(Q288,MIN(P288*Inputs!$B$3/(R288-AE287),P288*Inputs!$B$11/R288),0)</f>
        <v>0</v>
      </c>
      <c r="T288" s="11" t="n">
        <f aca="false">IF(Q288,S288,IF(M288,0,Y287))</f>
        <v>0</v>
      </c>
      <c r="U288" s="8" t="n">
        <f aca="false">IF(Q288,AE287,AF287)</f>
        <v>0.938328062071903</v>
      </c>
      <c r="V288" s="9" t="b">
        <f aca="false">AND(T288&gt;0,D288&lt;=U288)</f>
        <v>0</v>
      </c>
      <c r="W288" s="10" t="n">
        <f aca="false">IF(V288,T288*(AK288-AB288)-Inputs!$B$9-T288*AD288*Inputs!$B$13*(A288-AC288),0)</f>
        <v>0</v>
      </c>
      <c r="X288" s="10" t="n">
        <f aca="false">P288-IF(Q288,Inputs!$B$9,0)+W288</f>
        <v>1016.3844066801</v>
      </c>
      <c r="Y288" s="11" t="n">
        <f aca="false">IF(V288,0,T288)</f>
        <v>0</v>
      </c>
      <c r="Z288" s="9" t="b">
        <f aca="false">AND(Y288&gt;0,K288)</f>
        <v>0</v>
      </c>
      <c r="AA288" s="9" t="b">
        <f aca="false">AND(Y288=0,J288,ISNUMBER(L288))</f>
        <v>0</v>
      </c>
      <c r="AB288" s="8" t="n">
        <f aca="false">IF(Q288,R288,AB287)</f>
        <v>0.95824964655134</v>
      </c>
      <c r="AC288" s="12" t="n">
        <f aca="false">IF(Q288,A288,AC287)</f>
        <v>45034</v>
      </c>
      <c r="AD288" s="8" t="n">
        <f aca="false">IF(Q288,B288,AD287)</f>
        <v>0.958058034944351</v>
      </c>
      <c r="AE288" s="8" t="str">
        <f aca="false">IF(AA288,L288,"")</f>
        <v/>
      </c>
      <c r="AF288" s="8" t="n">
        <f aca="false">U288</f>
        <v>0.938328062071903</v>
      </c>
      <c r="AG288" s="2" t="n">
        <f aca="false">AG287+IF(Q288,1,0)</f>
        <v>2</v>
      </c>
      <c r="AH288" s="2" t="n">
        <f aca="false">AG287</f>
        <v>2</v>
      </c>
      <c r="AI288" s="10" t="n">
        <f aca="false">X288+Y288*(E288-AB288)-Y288*AD288*Inputs!$B$13*(A288-AC288)</f>
        <v>1016.3844066801</v>
      </c>
      <c r="AJ288" s="10" t="n">
        <v>0</v>
      </c>
      <c r="AK288" s="8" t="n">
        <f aca="false">IF(AND(B288&lt;=U288,NOT(Q288)),B288,U288)*(1-Inputs!$B$12)</f>
        <v>0.887853149597113</v>
      </c>
    </row>
    <row r="289" customFormat="false" ht="15" hidden="false" customHeight="false" outlineLevel="0" collapsed="false">
      <c r="A289" s="6" t="n">
        <v>45073</v>
      </c>
      <c r="B289" s="7" t="n">
        <v>0.891718954477189</v>
      </c>
      <c r="C289" s="7" t="n">
        <v>0.907798398685801</v>
      </c>
      <c r="D289" s="7" t="n">
        <v>0.890692505503927</v>
      </c>
      <c r="E289" s="7" t="n">
        <v>0.905018958950444</v>
      </c>
      <c r="F289" s="8" t="n">
        <f aca="true">IF(ROW()-2&gt;=Inputs!$B$4,AVERAGE(OFFSET(E289,1-Inputs!$B$4,0,Inputs!$B$4,1)),"")</f>
        <v>0.909588520870387</v>
      </c>
      <c r="G289" s="8" t="n">
        <f aca="true">IF(ROW()-2&gt;=Inputs!$B$5,AVERAGE(OFFSET(E289,1-Inputs!$B$5,0,Inputs!$B$5,1)),"")</f>
        <v>0.93381815412824</v>
      </c>
      <c r="H289" s="8" t="n">
        <f aca="false">MAX(C289-D289,ABS(C289-E288),ABS(D289-E288))</f>
        <v>0.0171058931818748</v>
      </c>
      <c r="I289" s="8" t="n">
        <f aca="true">IF(ROW()-2&lt;14,"",IF(ROW()-2=14,AVERAGE(OFFSET(H289,-13,0,14,1)),(I288*13+H289)/14))</f>
        <v>0.011405447826488</v>
      </c>
      <c r="J289" s="9" t="b">
        <f aca="false">IF(AND(ISNUMBER(F289),ISNUMBER(G289),ISNUMBER(F288),ISNUMBER(G288)),AND(F289&gt;G289,F288&lt;=G288),FALSE())</f>
        <v>0</v>
      </c>
      <c r="K289" s="9" t="b">
        <f aca="false">IF(AND(ISNUMBER(F289),ISNUMBER(G289),ISNUMBER(F288),ISNUMBER(G288)),AND(F289&lt;G289,F288&gt;=G288),FALSE())</f>
        <v>0</v>
      </c>
      <c r="L289" s="8" t="n">
        <f aca="false">IF(ISNUMBER(I289),E289-Inputs!$B$6*I289,"")</f>
        <v>0.882208063297468</v>
      </c>
      <c r="M289" s="9" t="b">
        <f aca="false">AND(Y288&gt;0,Z288)</f>
        <v>0</v>
      </c>
      <c r="N289" s="8" t="n">
        <f aca="false">B289*(1-Inputs!$B$12)</f>
        <v>0.891540610686294</v>
      </c>
      <c r="O289" s="10" t="n">
        <f aca="false">IF(M289,Y288*(N289-AB288)-Inputs!$B$9-Y288*AD288*Inputs!$B$13*(A289-AC288),0)</f>
        <v>0</v>
      </c>
      <c r="P289" s="10" t="n">
        <f aca="false">X288+O289</f>
        <v>1016.3844066801</v>
      </c>
      <c r="Q289" s="9" t="b">
        <f aca="false">AND(IF(M289,0,Y288)=0,AA288,IF(ISNUMBER(AE288),B289&gt;AE288,FALSE()))</f>
        <v>0</v>
      </c>
      <c r="R289" s="8" t="n">
        <f aca="false">B289*(1+Inputs!$B$12)</f>
        <v>0.891897298268085</v>
      </c>
      <c r="S289" s="11" t="n">
        <f aca="false">IF(Q289,MIN(P289*Inputs!$B$3/(R289-AE288),P289*Inputs!$B$11/R289),0)</f>
        <v>0</v>
      </c>
      <c r="T289" s="11" t="n">
        <f aca="false">IF(Q289,S289,IF(M289,0,Y288))</f>
        <v>0</v>
      </c>
      <c r="U289" s="8" t="n">
        <f aca="false">IF(Q289,AE288,AF288)</f>
        <v>0.938328062071903</v>
      </c>
      <c r="V289" s="9" t="b">
        <f aca="false">AND(T289&gt;0,D289&lt;=U289)</f>
        <v>0</v>
      </c>
      <c r="W289" s="10" t="n">
        <f aca="false">IF(V289,T289*(AK289-AB289)-Inputs!$B$9-T289*AD289*Inputs!$B$13*(A289-AC289),0)</f>
        <v>0</v>
      </c>
      <c r="X289" s="10" t="n">
        <f aca="false">P289-IF(Q289,Inputs!$B$9,0)+W289</f>
        <v>1016.3844066801</v>
      </c>
      <c r="Y289" s="11" t="n">
        <f aca="false">IF(V289,0,T289)</f>
        <v>0</v>
      </c>
      <c r="Z289" s="9" t="b">
        <f aca="false">AND(Y289&gt;0,K289)</f>
        <v>0</v>
      </c>
      <c r="AA289" s="9" t="b">
        <f aca="false">AND(Y289=0,J289,ISNUMBER(L289))</f>
        <v>0</v>
      </c>
      <c r="AB289" s="8" t="n">
        <f aca="false">IF(Q289,R289,AB288)</f>
        <v>0.95824964655134</v>
      </c>
      <c r="AC289" s="12" t="n">
        <f aca="false">IF(Q289,A289,AC288)</f>
        <v>45034</v>
      </c>
      <c r="AD289" s="8" t="n">
        <f aca="false">IF(Q289,B289,AD288)</f>
        <v>0.958058034944351</v>
      </c>
      <c r="AE289" s="8" t="str">
        <f aca="false">IF(AA289,L289,"")</f>
        <v/>
      </c>
      <c r="AF289" s="8" t="n">
        <f aca="false">U289</f>
        <v>0.938328062071903</v>
      </c>
      <c r="AG289" s="2" t="n">
        <f aca="false">AG288+IF(Q289,1,0)</f>
        <v>2</v>
      </c>
      <c r="AH289" s="2" t="n">
        <f aca="false">AG288</f>
        <v>2</v>
      </c>
      <c r="AI289" s="10" t="n">
        <f aca="false">X289+Y289*(E289-AB289)-Y289*AD289*Inputs!$B$13*(A289-AC289)</f>
        <v>1016.3844066801</v>
      </c>
      <c r="AJ289" s="10" t="n">
        <v>0</v>
      </c>
      <c r="AK289" s="8" t="n">
        <f aca="false">IF(AND(B289&lt;=U289,NOT(Q289)),B289,U289)*(1-Inputs!$B$12)</f>
        <v>0.891540610686294</v>
      </c>
    </row>
    <row r="290" customFormat="false" ht="15" hidden="false" customHeight="false" outlineLevel="0" collapsed="false">
      <c r="A290" s="6" t="n">
        <v>45074</v>
      </c>
      <c r="B290" s="7" t="n">
        <v>0.905018958950444</v>
      </c>
      <c r="C290" s="7" t="n">
        <v>0.914807947201605</v>
      </c>
      <c r="D290" s="7" t="n">
        <v>0.901497032620345</v>
      </c>
      <c r="E290" s="7" t="n">
        <v>0.914281199816045</v>
      </c>
      <c r="F290" s="8" t="n">
        <f aca="true">IF(ROW()-2&gt;=Inputs!$B$4,AVERAGE(OFFSET(E290,1-Inputs!$B$4,0,Inputs!$B$4,1)),"")</f>
        <v>0.909089325899784</v>
      </c>
      <c r="G290" s="8" t="n">
        <f aca="true">IF(ROW()-2&gt;=Inputs!$B$5,AVERAGE(OFFSET(E290,1-Inputs!$B$5,0,Inputs!$B$5,1)),"")</f>
        <v>0.933506624978173</v>
      </c>
      <c r="H290" s="8" t="n">
        <f aca="false">MAX(C290-D290,ABS(C290-E289),ABS(D290-E289))</f>
        <v>0.0133109145812595</v>
      </c>
      <c r="I290" s="8" t="n">
        <f aca="true">IF(ROW()-2&lt;14,"",IF(ROW()-2=14,AVERAGE(OFFSET(H290,-13,0,14,1)),(I289*13+H290)/14))</f>
        <v>0.011541552594686</v>
      </c>
      <c r="J290" s="9" t="b">
        <f aca="false">IF(AND(ISNUMBER(F290),ISNUMBER(G290),ISNUMBER(F289),ISNUMBER(G289)),AND(F290&gt;G290,F289&lt;=G289),FALSE())</f>
        <v>0</v>
      </c>
      <c r="K290" s="9" t="b">
        <f aca="false">IF(AND(ISNUMBER(F290),ISNUMBER(G290),ISNUMBER(F289),ISNUMBER(G289)),AND(F290&lt;G290,F289&gt;=G289),FALSE())</f>
        <v>0</v>
      </c>
      <c r="L290" s="8" t="n">
        <f aca="false">IF(ISNUMBER(I290),E290-Inputs!$B$6*I290,"")</f>
        <v>0.891198094626673</v>
      </c>
      <c r="M290" s="9" t="b">
        <f aca="false">AND(Y289&gt;0,Z289)</f>
        <v>0</v>
      </c>
      <c r="N290" s="8" t="n">
        <f aca="false">B290*(1-Inputs!$B$12)</f>
        <v>0.904837955158653</v>
      </c>
      <c r="O290" s="10" t="n">
        <f aca="false">IF(M290,Y289*(N290-AB289)-Inputs!$B$9-Y289*AD289*Inputs!$B$13*(A290-AC289),0)</f>
        <v>0</v>
      </c>
      <c r="P290" s="10" t="n">
        <f aca="false">X289+O290</f>
        <v>1016.3844066801</v>
      </c>
      <c r="Q290" s="9" t="b">
        <f aca="false">AND(IF(M290,0,Y289)=0,AA289,IF(ISNUMBER(AE289),B290&gt;AE289,FALSE()))</f>
        <v>0</v>
      </c>
      <c r="R290" s="8" t="n">
        <f aca="false">B290*(1+Inputs!$B$12)</f>
        <v>0.905199962742234</v>
      </c>
      <c r="S290" s="11" t="n">
        <f aca="false">IF(Q290,MIN(P290*Inputs!$B$3/(R290-AE289),P290*Inputs!$B$11/R290),0)</f>
        <v>0</v>
      </c>
      <c r="T290" s="11" t="n">
        <f aca="false">IF(Q290,S290,IF(M290,0,Y289))</f>
        <v>0</v>
      </c>
      <c r="U290" s="8" t="n">
        <f aca="false">IF(Q290,AE289,AF289)</f>
        <v>0.938328062071903</v>
      </c>
      <c r="V290" s="9" t="b">
        <f aca="false">AND(T290&gt;0,D290&lt;=U290)</f>
        <v>0</v>
      </c>
      <c r="W290" s="10" t="n">
        <f aca="false">IF(V290,T290*(AK290-AB290)-Inputs!$B$9-T290*AD290*Inputs!$B$13*(A290-AC290),0)</f>
        <v>0</v>
      </c>
      <c r="X290" s="10" t="n">
        <f aca="false">P290-IF(Q290,Inputs!$B$9,0)+W290</f>
        <v>1016.3844066801</v>
      </c>
      <c r="Y290" s="11" t="n">
        <f aca="false">IF(V290,0,T290)</f>
        <v>0</v>
      </c>
      <c r="Z290" s="9" t="b">
        <f aca="false">AND(Y290&gt;0,K290)</f>
        <v>0</v>
      </c>
      <c r="AA290" s="9" t="b">
        <f aca="false">AND(Y290=0,J290,ISNUMBER(L290))</f>
        <v>0</v>
      </c>
      <c r="AB290" s="8" t="n">
        <f aca="false">IF(Q290,R290,AB289)</f>
        <v>0.95824964655134</v>
      </c>
      <c r="AC290" s="12" t="n">
        <f aca="false">IF(Q290,A290,AC289)</f>
        <v>45034</v>
      </c>
      <c r="AD290" s="8" t="n">
        <f aca="false">IF(Q290,B290,AD289)</f>
        <v>0.958058034944351</v>
      </c>
      <c r="AE290" s="8" t="str">
        <f aca="false">IF(AA290,L290,"")</f>
        <v/>
      </c>
      <c r="AF290" s="8" t="n">
        <f aca="false">U290</f>
        <v>0.938328062071903</v>
      </c>
      <c r="AG290" s="2" t="n">
        <f aca="false">AG289+IF(Q290,1,0)</f>
        <v>2</v>
      </c>
      <c r="AH290" s="2" t="n">
        <f aca="false">AG289</f>
        <v>2</v>
      </c>
      <c r="AI290" s="10" t="n">
        <f aca="false">X290+Y290*(E290-AB290)-Y290*AD290*Inputs!$B$13*(A290-AC290)</f>
        <v>1016.3844066801</v>
      </c>
      <c r="AJ290" s="10" t="n">
        <v>0</v>
      </c>
      <c r="AK290" s="8" t="n">
        <f aca="false">IF(AND(B290&lt;=U290,NOT(Q290)),B290,U290)*(1-Inputs!$B$12)</f>
        <v>0.904837955158653</v>
      </c>
    </row>
    <row r="291" customFormat="false" ht="15" hidden="false" customHeight="false" outlineLevel="0" collapsed="false">
      <c r="A291" s="6" t="n">
        <v>45075</v>
      </c>
      <c r="B291" s="7" t="n">
        <v>0.914281199816045</v>
      </c>
      <c r="C291" s="7" t="n">
        <v>0.922657987239967</v>
      </c>
      <c r="D291" s="7" t="n">
        <v>0.912779264419142</v>
      </c>
      <c r="E291" s="7" t="n">
        <v>0.918402558669438</v>
      </c>
      <c r="F291" s="8" t="n">
        <f aca="true">IF(ROW()-2&gt;=Inputs!$B$4,AVERAGE(OFFSET(E291,1-Inputs!$B$4,0,Inputs!$B$4,1)),"")</f>
        <v>0.909004883440532</v>
      </c>
      <c r="G291" s="8" t="n">
        <f aca="true">IF(ROW()-2&gt;=Inputs!$B$5,AVERAGE(OFFSET(E291,1-Inputs!$B$5,0,Inputs!$B$5,1)),"")</f>
        <v>0.933179334987418</v>
      </c>
      <c r="H291" s="8" t="n">
        <f aca="false">MAX(C291-D291,ABS(C291-E290),ABS(D291-E290))</f>
        <v>0.00987872282082525</v>
      </c>
      <c r="I291" s="8" t="n">
        <f aca="true">IF(ROW()-2&lt;14,"",IF(ROW()-2=14,AVERAGE(OFFSET(H291,-13,0,14,1)),(I290*13+H291)/14))</f>
        <v>0.0114227790394102</v>
      </c>
      <c r="J291" s="9" t="b">
        <f aca="false">IF(AND(ISNUMBER(F291),ISNUMBER(G291),ISNUMBER(F290),ISNUMBER(G290)),AND(F291&gt;G291,F290&lt;=G290),FALSE())</f>
        <v>0</v>
      </c>
      <c r="K291" s="9" t="b">
        <f aca="false">IF(AND(ISNUMBER(F291),ISNUMBER(G291),ISNUMBER(F290),ISNUMBER(G290)),AND(F291&lt;G291,F290&gt;=G290),FALSE())</f>
        <v>0</v>
      </c>
      <c r="L291" s="8" t="n">
        <f aca="false">IF(ISNUMBER(I291),E291-Inputs!$B$6*I291,"")</f>
        <v>0.895557000590618</v>
      </c>
      <c r="M291" s="9" t="b">
        <f aca="false">AND(Y290&gt;0,Z290)</f>
        <v>0</v>
      </c>
      <c r="N291" s="8" t="n">
        <f aca="false">B291*(1-Inputs!$B$12)</f>
        <v>0.914098343576082</v>
      </c>
      <c r="O291" s="10" t="n">
        <f aca="false">IF(M291,Y290*(N291-AB290)-Inputs!$B$9-Y290*AD290*Inputs!$B$13*(A291-AC290),0)</f>
        <v>0</v>
      </c>
      <c r="P291" s="10" t="n">
        <f aca="false">X290+O291</f>
        <v>1016.3844066801</v>
      </c>
      <c r="Q291" s="9" t="b">
        <f aca="false">AND(IF(M291,0,Y290)=0,AA290,IF(ISNUMBER(AE290),B291&gt;AE290,FALSE()))</f>
        <v>0</v>
      </c>
      <c r="R291" s="8" t="n">
        <f aca="false">B291*(1+Inputs!$B$12)</f>
        <v>0.914464056056008</v>
      </c>
      <c r="S291" s="11" t="n">
        <f aca="false">IF(Q291,MIN(P291*Inputs!$B$3/(R291-AE290),P291*Inputs!$B$11/R291),0)</f>
        <v>0</v>
      </c>
      <c r="T291" s="11" t="n">
        <f aca="false">IF(Q291,S291,IF(M291,0,Y290))</f>
        <v>0</v>
      </c>
      <c r="U291" s="8" t="n">
        <f aca="false">IF(Q291,AE290,AF290)</f>
        <v>0.938328062071903</v>
      </c>
      <c r="V291" s="9" t="b">
        <f aca="false">AND(T291&gt;0,D291&lt;=U291)</f>
        <v>0</v>
      </c>
      <c r="W291" s="10" t="n">
        <f aca="false">IF(V291,T291*(AK291-AB291)-Inputs!$B$9-T291*AD291*Inputs!$B$13*(A291-AC291),0)</f>
        <v>0</v>
      </c>
      <c r="X291" s="10" t="n">
        <f aca="false">P291-IF(Q291,Inputs!$B$9,0)+W291</f>
        <v>1016.3844066801</v>
      </c>
      <c r="Y291" s="11" t="n">
        <f aca="false">IF(V291,0,T291)</f>
        <v>0</v>
      </c>
      <c r="Z291" s="9" t="b">
        <f aca="false">AND(Y291&gt;0,K291)</f>
        <v>0</v>
      </c>
      <c r="AA291" s="9" t="b">
        <f aca="false">AND(Y291=0,J291,ISNUMBER(L291))</f>
        <v>0</v>
      </c>
      <c r="AB291" s="8" t="n">
        <f aca="false">IF(Q291,R291,AB290)</f>
        <v>0.95824964655134</v>
      </c>
      <c r="AC291" s="12" t="n">
        <f aca="false">IF(Q291,A291,AC290)</f>
        <v>45034</v>
      </c>
      <c r="AD291" s="8" t="n">
        <f aca="false">IF(Q291,B291,AD290)</f>
        <v>0.958058034944351</v>
      </c>
      <c r="AE291" s="8" t="str">
        <f aca="false">IF(AA291,L291,"")</f>
        <v/>
      </c>
      <c r="AF291" s="8" t="n">
        <f aca="false">U291</f>
        <v>0.938328062071903</v>
      </c>
      <c r="AG291" s="2" t="n">
        <f aca="false">AG290+IF(Q291,1,0)</f>
        <v>2</v>
      </c>
      <c r="AH291" s="2" t="n">
        <f aca="false">AG290</f>
        <v>2</v>
      </c>
      <c r="AI291" s="10" t="n">
        <f aca="false">X291+Y291*(E291-AB291)-Y291*AD291*Inputs!$B$13*(A291-AC291)</f>
        <v>1016.3844066801</v>
      </c>
      <c r="AJ291" s="10" t="n">
        <v>0</v>
      </c>
      <c r="AK291" s="8" t="n">
        <f aca="false">IF(AND(B291&lt;=U291,NOT(Q291)),B291,U291)*(1-Inputs!$B$12)</f>
        <v>0.914098343576082</v>
      </c>
    </row>
    <row r="292" customFormat="false" ht="15" hidden="false" customHeight="false" outlineLevel="0" collapsed="false">
      <c r="A292" s="6" t="n">
        <v>45076</v>
      </c>
      <c r="B292" s="7" t="n">
        <v>0.918402558669438</v>
      </c>
      <c r="C292" s="7" t="n">
        <v>0.921164291378359</v>
      </c>
      <c r="D292" s="7" t="n">
        <v>0.908561965175499</v>
      </c>
      <c r="E292" s="7" t="n">
        <v>0.913642396472497</v>
      </c>
      <c r="F292" s="8" t="n">
        <f aca="true">IF(ROW()-2&gt;=Inputs!$B$4,AVERAGE(OFFSET(E292,1-Inputs!$B$4,0,Inputs!$B$4,1)),"")</f>
        <v>0.908328564134116</v>
      </c>
      <c r="G292" s="8" t="n">
        <f aca="true">IF(ROW()-2&gt;=Inputs!$B$5,AVERAGE(OFFSET(E292,1-Inputs!$B$5,0,Inputs!$B$5,1)),"")</f>
        <v>0.93253964639061</v>
      </c>
      <c r="H292" s="8" t="n">
        <f aca="false">MAX(C292-D292,ABS(C292-E291),ABS(D292-E291))</f>
        <v>0.0126023262028607</v>
      </c>
      <c r="I292" s="8" t="n">
        <f aca="true">IF(ROW()-2&lt;14,"",IF(ROW()-2=14,AVERAGE(OFFSET(H292,-13,0,14,1)),(I291*13+H292)/14))</f>
        <v>0.0115070324082281</v>
      </c>
      <c r="J292" s="9" t="b">
        <f aca="false">IF(AND(ISNUMBER(F292),ISNUMBER(G292),ISNUMBER(F291),ISNUMBER(G291)),AND(F292&gt;G292,F291&lt;=G291),FALSE())</f>
        <v>0</v>
      </c>
      <c r="K292" s="9" t="b">
        <f aca="false">IF(AND(ISNUMBER(F292),ISNUMBER(G292),ISNUMBER(F291),ISNUMBER(G291)),AND(F292&lt;G292,F291&gt;=G291),FALSE())</f>
        <v>0</v>
      </c>
      <c r="L292" s="8" t="n">
        <f aca="false">IF(ISNUMBER(I292),E292-Inputs!$B$6*I292,"")</f>
        <v>0.89062833165604</v>
      </c>
      <c r="M292" s="9" t="b">
        <f aca="false">AND(Y291&gt;0,Z291)</f>
        <v>0</v>
      </c>
      <c r="N292" s="8" t="n">
        <f aca="false">B292*(1-Inputs!$B$12)</f>
        <v>0.918218878157705</v>
      </c>
      <c r="O292" s="10" t="n">
        <f aca="false">IF(M292,Y291*(N292-AB291)-Inputs!$B$9-Y291*AD291*Inputs!$B$13*(A292-AC291),0)</f>
        <v>0</v>
      </c>
      <c r="P292" s="10" t="n">
        <f aca="false">X291+O292</f>
        <v>1016.3844066801</v>
      </c>
      <c r="Q292" s="9" t="b">
        <f aca="false">AND(IF(M292,0,Y291)=0,AA291,IF(ISNUMBER(AE291),B292&gt;AE291,FALSE()))</f>
        <v>0</v>
      </c>
      <c r="R292" s="8" t="n">
        <f aca="false">B292*(1+Inputs!$B$12)</f>
        <v>0.918586239181172</v>
      </c>
      <c r="S292" s="11" t="n">
        <f aca="false">IF(Q292,MIN(P292*Inputs!$B$3/(R292-AE291),P292*Inputs!$B$11/R292),0)</f>
        <v>0</v>
      </c>
      <c r="T292" s="11" t="n">
        <f aca="false">IF(Q292,S292,IF(M292,0,Y291))</f>
        <v>0</v>
      </c>
      <c r="U292" s="8" t="n">
        <f aca="false">IF(Q292,AE291,AF291)</f>
        <v>0.938328062071903</v>
      </c>
      <c r="V292" s="9" t="b">
        <f aca="false">AND(T292&gt;0,D292&lt;=U292)</f>
        <v>0</v>
      </c>
      <c r="W292" s="10" t="n">
        <f aca="false">IF(V292,T292*(AK292-AB292)-Inputs!$B$9-T292*AD292*Inputs!$B$13*(A292-AC292),0)</f>
        <v>0</v>
      </c>
      <c r="X292" s="10" t="n">
        <f aca="false">P292-IF(Q292,Inputs!$B$9,0)+W292</f>
        <v>1016.3844066801</v>
      </c>
      <c r="Y292" s="11" t="n">
        <f aca="false">IF(V292,0,T292)</f>
        <v>0</v>
      </c>
      <c r="Z292" s="9" t="b">
        <f aca="false">AND(Y292&gt;0,K292)</f>
        <v>0</v>
      </c>
      <c r="AA292" s="9" t="b">
        <f aca="false">AND(Y292=0,J292,ISNUMBER(L292))</f>
        <v>0</v>
      </c>
      <c r="AB292" s="8" t="n">
        <f aca="false">IF(Q292,R292,AB291)</f>
        <v>0.95824964655134</v>
      </c>
      <c r="AC292" s="12" t="n">
        <f aca="false">IF(Q292,A292,AC291)</f>
        <v>45034</v>
      </c>
      <c r="AD292" s="8" t="n">
        <f aca="false">IF(Q292,B292,AD291)</f>
        <v>0.958058034944351</v>
      </c>
      <c r="AE292" s="8" t="str">
        <f aca="false">IF(AA292,L292,"")</f>
        <v/>
      </c>
      <c r="AF292" s="8" t="n">
        <f aca="false">U292</f>
        <v>0.938328062071903</v>
      </c>
      <c r="AG292" s="2" t="n">
        <f aca="false">AG291+IF(Q292,1,0)</f>
        <v>2</v>
      </c>
      <c r="AH292" s="2" t="n">
        <f aca="false">AG291</f>
        <v>2</v>
      </c>
      <c r="AI292" s="10" t="n">
        <f aca="false">X292+Y292*(E292-AB292)-Y292*AD292*Inputs!$B$13*(A292-AC292)</f>
        <v>1016.3844066801</v>
      </c>
      <c r="AJ292" s="10" t="n">
        <v>0</v>
      </c>
      <c r="AK292" s="8" t="n">
        <f aca="false">IF(AND(B292&lt;=U292,NOT(Q292)),B292,U292)*(1-Inputs!$B$12)</f>
        <v>0.918218878157705</v>
      </c>
    </row>
    <row r="293" customFormat="false" ht="15" hidden="false" customHeight="false" outlineLevel="0" collapsed="false">
      <c r="A293" s="6" t="n">
        <v>45077</v>
      </c>
      <c r="B293" s="7" t="n">
        <v>0.913642396472497</v>
      </c>
      <c r="C293" s="7" t="n">
        <v>0.914856414199268</v>
      </c>
      <c r="D293" s="7" t="n">
        <v>0.902169244111914</v>
      </c>
      <c r="E293" s="7" t="n">
        <v>0.906104279597537</v>
      </c>
      <c r="F293" s="8" t="n">
        <f aca="true">IF(ROW()-2&gt;=Inputs!$B$4,AVERAGE(OFFSET(E293,1-Inputs!$B$4,0,Inputs!$B$4,1)),"")</f>
        <v>0.907352933142364</v>
      </c>
      <c r="G293" s="8" t="n">
        <f aca="true">IF(ROW()-2&gt;=Inputs!$B$5,AVERAGE(OFFSET(E293,1-Inputs!$B$5,0,Inputs!$B$5,1)),"")</f>
        <v>0.931666059626927</v>
      </c>
      <c r="H293" s="8" t="n">
        <f aca="false">MAX(C293-D293,ABS(C293-E292),ABS(D293-E292))</f>
        <v>0.0126871700873538</v>
      </c>
      <c r="I293" s="8" t="n">
        <f aca="true">IF(ROW()-2&lt;14,"",IF(ROW()-2=14,AVERAGE(OFFSET(H293,-13,0,14,1)),(I292*13+H293)/14))</f>
        <v>0.0115913279567371</v>
      </c>
      <c r="J293" s="9" t="b">
        <f aca="false">IF(AND(ISNUMBER(F293),ISNUMBER(G293),ISNUMBER(F292),ISNUMBER(G292)),AND(F293&gt;G293,F292&lt;=G292),FALSE())</f>
        <v>0</v>
      </c>
      <c r="K293" s="9" t="b">
        <f aca="false">IF(AND(ISNUMBER(F293),ISNUMBER(G293),ISNUMBER(F292),ISNUMBER(G292)),AND(F293&lt;G293,F292&gt;=G292),FALSE())</f>
        <v>0</v>
      </c>
      <c r="L293" s="8" t="n">
        <f aca="false">IF(ISNUMBER(I293),E293-Inputs!$B$6*I293,"")</f>
        <v>0.882921623684063</v>
      </c>
      <c r="M293" s="9" t="b">
        <f aca="false">AND(Y292&gt;0,Z292)</f>
        <v>0</v>
      </c>
      <c r="N293" s="8" t="n">
        <f aca="false">B293*(1-Inputs!$B$12)</f>
        <v>0.913459667993202</v>
      </c>
      <c r="O293" s="10" t="n">
        <f aca="false">IF(M293,Y292*(N293-AB292)-Inputs!$B$9-Y292*AD292*Inputs!$B$13*(A293-AC292),0)</f>
        <v>0</v>
      </c>
      <c r="P293" s="10" t="n">
        <f aca="false">X292+O293</f>
        <v>1016.3844066801</v>
      </c>
      <c r="Q293" s="9" t="b">
        <f aca="false">AND(IF(M293,0,Y292)=0,AA292,IF(ISNUMBER(AE292),B293&gt;AE292,FALSE()))</f>
        <v>0</v>
      </c>
      <c r="R293" s="8" t="n">
        <f aca="false">B293*(1+Inputs!$B$12)</f>
        <v>0.913825124951791</v>
      </c>
      <c r="S293" s="11" t="n">
        <f aca="false">IF(Q293,MIN(P293*Inputs!$B$3/(R293-AE292),P293*Inputs!$B$11/R293),0)</f>
        <v>0</v>
      </c>
      <c r="T293" s="11" t="n">
        <f aca="false">IF(Q293,S293,IF(M293,0,Y292))</f>
        <v>0</v>
      </c>
      <c r="U293" s="8" t="n">
        <f aca="false">IF(Q293,AE292,AF292)</f>
        <v>0.938328062071903</v>
      </c>
      <c r="V293" s="9" t="b">
        <f aca="false">AND(T293&gt;0,D293&lt;=U293)</f>
        <v>0</v>
      </c>
      <c r="W293" s="10" t="n">
        <f aca="false">IF(V293,T293*(AK293-AB293)-Inputs!$B$9-T293*AD293*Inputs!$B$13*(A293-AC293),0)</f>
        <v>0</v>
      </c>
      <c r="X293" s="10" t="n">
        <f aca="false">P293-IF(Q293,Inputs!$B$9,0)+W293</f>
        <v>1016.3844066801</v>
      </c>
      <c r="Y293" s="11" t="n">
        <f aca="false">IF(V293,0,T293)</f>
        <v>0</v>
      </c>
      <c r="Z293" s="9" t="b">
        <f aca="false">AND(Y293&gt;0,K293)</f>
        <v>0</v>
      </c>
      <c r="AA293" s="9" t="b">
        <f aca="false">AND(Y293=0,J293,ISNUMBER(L293))</f>
        <v>0</v>
      </c>
      <c r="AB293" s="8" t="n">
        <f aca="false">IF(Q293,R293,AB292)</f>
        <v>0.95824964655134</v>
      </c>
      <c r="AC293" s="12" t="n">
        <f aca="false">IF(Q293,A293,AC292)</f>
        <v>45034</v>
      </c>
      <c r="AD293" s="8" t="n">
        <f aca="false">IF(Q293,B293,AD292)</f>
        <v>0.958058034944351</v>
      </c>
      <c r="AE293" s="8" t="str">
        <f aca="false">IF(AA293,L293,"")</f>
        <v/>
      </c>
      <c r="AF293" s="8" t="n">
        <f aca="false">U293</f>
        <v>0.938328062071903</v>
      </c>
      <c r="AG293" s="2" t="n">
        <f aca="false">AG292+IF(Q293,1,0)</f>
        <v>2</v>
      </c>
      <c r="AH293" s="2" t="n">
        <f aca="false">AG292</f>
        <v>2</v>
      </c>
      <c r="AI293" s="10" t="n">
        <f aca="false">X293+Y293*(E293-AB293)-Y293*AD293*Inputs!$B$13*(A293-AC293)</f>
        <v>1016.3844066801</v>
      </c>
      <c r="AJ293" s="10" t="n">
        <v>0</v>
      </c>
      <c r="AK293" s="8" t="n">
        <f aca="false">IF(AND(B293&lt;=U293,NOT(Q293)),B293,U293)*(1-Inputs!$B$12)</f>
        <v>0.913459667993202</v>
      </c>
    </row>
    <row r="294" customFormat="false" ht="15" hidden="false" customHeight="false" outlineLevel="0" collapsed="false">
      <c r="A294" s="6" t="n">
        <v>45078</v>
      </c>
      <c r="B294" s="7" t="n">
        <v>0.906104279597537</v>
      </c>
      <c r="C294" s="7" t="n">
        <v>0.913637186766146</v>
      </c>
      <c r="D294" s="7" t="n">
        <v>0.901025051666154</v>
      </c>
      <c r="E294" s="7" t="n">
        <v>0.906629118367277</v>
      </c>
      <c r="F294" s="8" t="n">
        <f aca="true">IF(ROW()-2&gt;=Inputs!$B$4,AVERAGE(OFFSET(E294,1-Inputs!$B$4,0,Inputs!$B$4,1)),"")</f>
        <v>0.906682949042865</v>
      </c>
      <c r="G294" s="8" t="n">
        <f aca="true">IF(ROW()-2&gt;=Inputs!$B$5,AVERAGE(OFFSET(E294,1-Inputs!$B$5,0,Inputs!$B$5,1)),"")</f>
        <v>0.930917824686274</v>
      </c>
      <c r="H294" s="8" t="n">
        <f aca="false">MAX(C294-D294,ABS(C294-E293),ABS(D294-E293))</f>
        <v>0.0126121350999918</v>
      </c>
      <c r="I294" s="8" t="n">
        <f aca="true">IF(ROW()-2&lt;14,"",IF(ROW()-2=14,AVERAGE(OFFSET(H294,-13,0,14,1)),(I293*13+H294)/14))</f>
        <v>0.0116642427526838</v>
      </c>
      <c r="J294" s="9" t="b">
        <f aca="false">IF(AND(ISNUMBER(F294),ISNUMBER(G294),ISNUMBER(F293),ISNUMBER(G293)),AND(F294&gt;G294,F293&lt;=G293),FALSE())</f>
        <v>0</v>
      </c>
      <c r="K294" s="9" t="b">
        <f aca="false">IF(AND(ISNUMBER(F294),ISNUMBER(G294),ISNUMBER(F293),ISNUMBER(G293)),AND(F294&lt;G294,F293&gt;=G293),FALSE())</f>
        <v>0</v>
      </c>
      <c r="L294" s="8" t="n">
        <f aca="false">IF(ISNUMBER(I294),E294-Inputs!$B$6*I294,"")</f>
        <v>0.883300632861909</v>
      </c>
      <c r="M294" s="9" t="b">
        <f aca="false">AND(Y293&gt;0,Z293)</f>
        <v>0</v>
      </c>
      <c r="N294" s="8" t="n">
        <f aca="false">B294*(1-Inputs!$B$12)</f>
        <v>0.905923058741618</v>
      </c>
      <c r="O294" s="10" t="n">
        <f aca="false">IF(M294,Y293*(N294-AB293)-Inputs!$B$9-Y293*AD293*Inputs!$B$13*(A294-AC293),0)</f>
        <v>0</v>
      </c>
      <c r="P294" s="10" t="n">
        <f aca="false">X293+O294</f>
        <v>1016.3844066801</v>
      </c>
      <c r="Q294" s="9" t="b">
        <f aca="false">AND(IF(M294,0,Y293)=0,AA293,IF(ISNUMBER(AE293),B294&gt;AE293,FALSE()))</f>
        <v>0</v>
      </c>
      <c r="R294" s="8" t="n">
        <f aca="false">B294*(1+Inputs!$B$12)</f>
        <v>0.906285500453457</v>
      </c>
      <c r="S294" s="11" t="n">
        <f aca="false">IF(Q294,MIN(P294*Inputs!$B$3/(R294-AE293),P294*Inputs!$B$11/R294),0)</f>
        <v>0</v>
      </c>
      <c r="T294" s="11" t="n">
        <f aca="false">IF(Q294,S294,IF(M294,0,Y293))</f>
        <v>0</v>
      </c>
      <c r="U294" s="8" t="n">
        <f aca="false">IF(Q294,AE293,AF293)</f>
        <v>0.938328062071903</v>
      </c>
      <c r="V294" s="9" t="b">
        <f aca="false">AND(T294&gt;0,D294&lt;=U294)</f>
        <v>0</v>
      </c>
      <c r="W294" s="10" t="n">
        <f aca="false">IF(V294,T294*(AK294-AB294)-Inputs!$B$9-T294*AD294*Inputs!$B$13*(A294-AC294),0)</f>
        <v>0</v>
      </c>
      <c r="X294" s="10" t="n">
        <f aca="false">P294-IF(Q294,Inputs!$B$9,0)+W294</f>
        <v>1016.3844066801</v>
      </c>
      <c r="Y294" s="11" t="n">
        <f aca="false">IF(V294,0,T294)</f>
        <v>0</v>
      </c>
      <c r="Z294" s="9" t="b">
        <f aca="false">AND(Y294&gt;0,K294)</f>
        <v>0</v>
      </c>
      <c r="AA294" s="9" t="b">
        <f aca="false">AND(Y294=0,J294,ISNUMBER(L294))</f>
        <v>0</v>
      </c>
      <c r="AB294" s="8" t="n">
        <f aca="false">IF(Q294,R294,AB293)</f>
        <v>0.95824964655134</v>
      </c>
      <c r="AC294" s="12" t="n">
        <f aca="false">IF(Q294,A294,AC293)</f>
        <v>45034</v>
      </c>
      <c r="AD294" s="8" t="n">
        <f aca="false">IF(Q294,B294,AD293)</f>
        <v>0.958058034944351</v>
      </c>
      <c r="AE294" s="8" t="str">
        <f aca="false">IF(AA294,L294,"")</f>
        <v/>
      </c>
      <c r="AF294" s="8" t="n">
        <f aca="false">U294</f>
        <v>0.938328062071903</v>
      </c>
      <c r="AG294" s="2" t="n">
        <f aca="false">AG293+IF(Q294,1,0)</f>
        <v>2</v>
      </c>
      <c r="AH294" s="2" t="n">
        <f aca="false">AG293</f>
        <v>2</v>
      </c>
      <c r="AI294" s="10" t="n">
        <f aca="false">X294+Y294*(E294-AB294)-Y294*AD294*Inputs!$B$13*(A294-AC294)</f>
        <v>1016.3844066801</v>
      </c>
      <c r="AJ294" s="10" t="n">
        <v>0</v>
      </c>
      <c r="AK294" s="8" t="n">
        <f aca="false">IF(AND(B294&lt;=U294,NOT(Q294)),B294,U294)*(1-Inputs!$B$12)</f>
        <v>0.905923058741618</v>
      </c>
    </row>
    <row r="295" customFormat="false" ht="15" hidden="false" customHeight="false" outlineLevel="0" collapsed="false">
      <c r="A295" s="6" t="n">
        <v>45079</v>
      </c>
      <c r="B295" s="7" t="n">
        <v>0.906629118367277</v>
      </c>
      <c r="C295" s="7" t="n">
        <v>0.91748739970182</v>
      </c>
      <c r="D295" s="7" t="n">
        <v>0.903795492157268</v>
      </c>
      <c r="E295" s="7" t="n">
        <v>0.908545680656711</v>
      </c>
      <c r="F295" s="8" t="n">
        <f aca="true">IF(ROW()-2&gt;=Inputs!$B$4,AVERAGE(OFFSET(E295,1-Inputs!$B$4,0,Inputs!$B$4,1)),"")</f>
        <v>0.906332712953076</v>
      </c>
      <c r="G295" s="8" t="n">
        <f aca="true">IF(ROW()-2&gt;=Inputs!$B$5,AVERAGE(OFFSET(E295,1-Inputs!$B$5,0,Inputs!$B$5,1)),"")</f>
        <v>0.930231817787487</v>
      </c>
      <c r="H295" s="8" t="n">
        <f aca="false">MAX(C295-D295,ABS(C295-E294),ABS(D295-E294))</f>
        <v>0.013691907544552</v>
      </c>
      <c r="I295" s="8" t="n">
        <f aca="true">IF(ROW()-2&lt;14,"",IF(ROW()-2=14,AVERAGE(OFFSET(H295,-13,0,14,1)),(I294*13+H295)/14))</f>
        <v>0.011809075952103</v>
      </c>
      <c r="J295" s="9" t="b">
        <f aca="false">IF(AND(ISNUMBER(F295),ISNUMBER(G295),ISNUMBER(F294),ISNUMBER(G294)),AND(F295&gt;G295,F294&lt;=G294),FALSE())</f>
        <v>0</v>
      </c>
      <c r="K295" s="9" t="b">
        <f aca="false">IF(AND(ISNUMBER(F295),ISNUMBER(G295),ISNUMBER(F294),ISNUMBER(G294)),AND(F295&lt;G295,F294&gt;=G294),FALSE())</f>
        <v>0</v>
      </c>
      <c r="L295" s="8" t="n">
        <f aca="false">IF(ISNUMBER(I295),E295-Inputs!$B$6*I295,"")</f>
        <v>0.884927528752505</v>
      </c>
      <c r="M295" s="9" t="b">
        <f aca="false">AND(Y294&gt;0,Z294)</f>
        <v>0</v>
      </c>
      <c r="N295" s="8" t="n">
        <f aca="false">B295*(1-Inputs!$B$12)</f>
        <v>0.906447792543604</v>
      </c>
      <c r="O295" s="10" t="n">
        <f aca="false">IF(M295,Y294*(N295-AB294)-Inputs!$B$9-Y294*AD294*Inputs!$B$13*(A295-AC294),0)</f>
        <v>0</v>
      </c>
      <c r="P295" s="10" t="n">
        <f aca="false">X294+O295</f>
        <v>1016.3844066801</v>
      </c>
      <c r="Q295" s="9" t="b">
        <f aca="false">AND(IF(M295,0,Y294)=0,AA294,IF(ISNUMBER(AE294),B295&gt;AE294,FALSE()))</f>
        <v>0</v>
      </c>
      <c r="R295" s="8" t="n">
        <f aca="false">B295*(1+Inputs!$B$12)</f>
        <v>0.906810444190951</v>
      </c>
      <c r="S295" s="11" t="n">
        <f aca="false">IF(Q295,MIN(P295*Inputs!$B$3/(R295-AE294),P295*Inputs!$B$11/R295),0)</f>
        <v>0</v>
      </c>
      <c r="T295" s="11" t="n">
        <f aca="false">IF(Q295,S295,IF(M295,0,Y294))</f>
        <v>0</v>
      </c>
      <c r="U295" s="8" t="n">
        <f aca="false">IF(Q295,AE294,AF294)</f>
        <v>0.938328062071903</v>
      </c>
      <c r="V295" s="9" t="b">
        <f aca="false">AND(T295&gt;0,D295&lt;=U295)</f>
        <v>0</v>
      </c>
      <c r="W295" s="10" t="n">
        <f aca="false">IF(V295,T295*(AK295-AB295)-Inputs!$B$9-T295*AD295*Inputs!$B$13*(A295-AC295),0)</f>
        <v>0</v>
      </c>
      <c r="X295" s="10" t="n">
        <f aca="false">P295-IF(Q295,Inputs!$B$9,0)+W295</f>
        <v>1016.3844066801</v>
      </c>
      <c r="Y295" s="11" t="n">
        <f aca="false">IF(V295,0,T295)</f>
        <v>0</v>
      </c>
      <c r="Z295" s="9" t="b">
        <f aca="false">AND(Y295&gt;0,K295)</f>
        <v>0</v>
      </c>
      <c r="AA295" s="9" t="b">
        <f aca="false">AND(Y295=0,J295,ISNUMBER(L295))</f>
        <v>0</v>
      </c>
      <c r="AB295" s="8" t="n">
        <f aca="false">IF(Q295,R295,AB294)</f>
        <v>0.95824964655134</v>
      </c>
      <c r="AC295" s="12" t="n">
        <f aca="false">IF(Q295,A295,AC294)</f>
        <v>45034</v>
      </c>
      <c r="AD295" s="8" t="n">
        <f aca="false">IF(Q295,B295,AD294)</f>
        <v>0.958058034944351</v>
      </c>
      <c r="AE295" s="8" t="str">
        <f aca="false">IF(AA295,L295,"")</f>
        <v/>
      </c>
      <c r="AF295" s="8" t="n">
        <f aca="false">U295</f>
        <v>0.938328062071903</v>
      </c>
      <c r="AG295" s="2" t="n">
        <f aca="false">AG294+IF(Q295,1,0)</f>
        <v>2</v>
      </c>
      <c r="AH295" s="2" t="n">
        <f aca="false">AG294</f>
        <v>2</v>
      </c>
      <c r="AI295" s="10" t="n">
        <f aca="false">X295+Y295*(E295-AB295)-Y295*AD295*Inputs!$B$13*(A295-AC295)</f>
        <v>1016.3844066801</v>
      </c>
      <c r="AJ295" s="10" t="n">
        <v>0</v>
      </c>
      <c r="AK295" s="8" t="n">
        <f aca="false">IF(AND(B295&lt;=U295,NOT(Q295)),B295,U295)*(1-Inputs!$B$12)</f>
        <v>0.906447792543604</v>
      </c>
    </row>
    <row r="296" customFormat="false" ht="15" hidden="false" customHeight="false" outlineLevel="0" collapsed="false">
      <c r="A296" s="6" t="n">
        <v>45080</v>
      </c>
      <c r="B296" s="7" t="n">
        <v>0.908545680656711</v>
      </c>
      <c r="C296" s="7" t="n">
        <v>0.915635232950035</v>
      </c>
      <c r="D296" s="7" t="n">
        <v>0.906493121648885</v>
      </c>
      <c r="E296" s="7" t="n">
        <v>0.915294942128267</v>
      </c>
      <c r="F296" s="8" t="n">
        <f aca="true">IF(ROW()-2&gt;=Inputs!$B$4,AVERAGE(OFFSET(E296,1-Inputs!$B$4,0,Inputs!$B$4,1)),"")</f>
        <v>0.906524373431582</v>
      </c>
      <c r="G296" s="8" t="n">
        <f aca="true">IF(ROW()-2&gt;=Inputs!$B$5,AVERAGE(OFFSET(E296,1-Inputs!$B$5,0,Inputs!$B$5,1)),"")</f>
        <v>0.929694873392609</v>
      </c>
      <c r="H296" s="8" t="n">
        <f aca="false">MAX(C296-D296,ABS(C296-E295),ABS(D296-E295))</f>
        <v>0.00914211130114961</v>
      </c>
      <c r="I296" s="8" t="n">
        <f aca="true">IF(ROW()-2&lt;14,"",IF(ROW()-2=14,AVERAGE(OFFSET(H296,-13,0,14,1)),(I295*13+H296)/14))</f>
        <v>0.0116185784770349</v>
      </c>
      <c r="J296" s="9" t="b">
        <f aca="false">IF(AND(ISNUMBER(F296),ISNUMBER(G296),ISNUMBER(F295),ISNUMBER(G295)),AND(F296&gt;G296,F295&lt;=G295),FALSE())</f>
        <v>0</v>
      </c>
      <c r="K296" s="9" t="b">
        <f aca="false">IF(AND(ISNUMBER(F296),ISNUMBER(G296),ISNUMBER(F295),ISNUMBER(G295)),AND(F296&lt;G296,F295&gt;=G295),FALSE())</f>
        <v>0</v>
      </c>
      <c r="L296" s="8" t="n">
        <f aca="false">IF(ISNUMBER(I296),E296-Inputs!$B$6*I296,"")</f>
        <v>0.892057785174197</v>
      </c>
      <c r="M296" s="9" t="b">
        <f aca="false">AND(Y295&gt;0,Z295)</f>
        <v>0</v>
      </c>
      <c r="N296" s="8" t="n">
        <f aca="false">B296*(1-Inputs!$B$12)</f>
        <v>0.90836397152058</v>
      </c>
      <c r="O296" s="10" t="n">
        <f aca="false">IF(M296,Y295*(N296-AB295)-Inputs!$B$9-Y295*AD295*Inputs!$B$13*(A296-AC295),0)</f>
        <v>0</v>
      </c>
      <c r="P296" s="10" t="n">
        <f aca="false">X295+O296</f>
        <v>1016.3844066801</v>
      </c>
      <c r="Q296" s="9" t="b">
        <f aca="false">AND(IF(M296,0,Y295)=0,AA295,IF(ISNUMBER(AE295),B296&gt;AE295,FALSE()))</f>
        <v>0</v>
      </c>
      <c r="R296" s="8" t="n">
        <f aca="false">B296*(1+Inputs!$B$12)</f>
        <v>0.908727389792842</v>
      </c>
      <c r="S296" s="11" t="n">
        <f aca="false">IF(Q296,MIN(P296*Inputs!$B$3/(R296-AE295),P296*Inputs!$B$11/R296),0)</f>
        <v>0</v>
      </c>
      <c r="T296" s="11" t="n">
        <f aca="false">IF(Q296,S296,IF(M296,0,Y295))</f>
        <v>0</v>
      </c>
      <c r="U296" s="8" t="n">
        <f aca="false">IF(Q296,AE295,AF295)</f>
        <v>0.938328062071903</v>
      </c>
      <c r="V296" s="9" t="b">
        <f aca="false">AND(T296&gt;0,D296&lt;=U296)</f>
        <v>0</v>
      </c>
      <c r="W296" s="10" t="n">
        <f aca="false">IF(V296,T296*(AK296-AB296)-Inputs!$B$9-T296*AD296*Inputs!$B$13*(A296-AC296),0)</f>
        <v>0</v>
      </c>
      <c r="X296" s="10" t="n">
        <f aca="false">P296-IF(Q296,Inputs!$B$9,0)+W296</f>
        <v>1016.3844066801</v>
      </c>
      <c r="Y296" s="11" t="n">
        <f aca="false">IF(V296,0,T296)</f>
        <v>0</v>
      </c>
      <c r="Z296" s="9" t="b">
        <f aca="false">AND(Y296&gt;0,K296)</f>
        <v>0</v>
      </c>
      <c r="AA296" s="9" t="b">
        <f aca="false">AND(Y296=0,J296,ISNUMBER(L296))</f>
        <v>0</v>
      </c>
      <c r="AB296" s="8" t="n">
        <f aca="false">IF(Q296,R296,AB295)</f>
        <v>0.95824964655134</v>
      </c>
      <c r="AC296" s="12" t="n">
        <f aca="false">IF(Q296,A296,AC295)</f>
        <v>45034</v>
      </c>
      <c r="AD296" s="8" t="n">
        <f aca="false">IF(Q296,B296,AD295)</f>
        <v>0.958058034944351</v>
      </c>
      <c r="AE296" s="8" t="str">
        <f aca="false">IF(AA296,L296,"")</f>
        <v/>
      </c>
      <c r="AF296" s="8" t="n">
        <f aca="false">U296</f>
        <v>0.938328062071903</v>
      </c>
      <c r="AG296" s="2" t="n">
        <f aca="false">AG295+IF(Q296,1,0)</f>
        <v>2</v>
      </c>
      <c r="AH296" s="2" t="n">
        <f aca="false">AG295</f>
        <v>2</v>
      </c>
      <c r="AI296" s="10" t="n">
        <f aca="false">X296+Y296*(E296-AB296)-Y296*AD296*Inputs!$B$13*(A296-AC296)</f>
        <v>1016.3844066801</v>
      </c>
      <c r="AJ296" s="10" t="n">
        <v>0</v>
      </c>
      <c r="AK296" s="8" t="n">
        <f aca="false">IF(AND(B296&lt;=U296,NOT(Q296)),B296,U296)*(1-Inputs!$B$12)</f>
        <v>0.90836397152058</v>
      </c>
    </row>
    <row r="297" customFormat="false" ht="15" hidden="false" customHeight="false" outlineLevel="0" collapsed="false">
      <c r="A297" s="6" t="n">
        <v>45081</v>
      </c>
      <c r="B297" s="7" t="n">
        <v>0.915294942128267</v>
      </c>
      <c r="C297" s="7" t="n">
        <v>0.927256267171111</v>
      </c>
      <c r="D297" s="7" t="n">
        <v>0.912105415422945</v>
      </c>
      <c r="E297" s="7" t="n">
        <v>0.921675785717762</v>
      </c>
      <c r="F297" s="8" t="n">
        <f aca="true">IF(ROW()-2&gt;=Inputs!$B$4,AVERAGE(OFFSET(E297,1-Inputs!$B$4,0,Inputs!$B$4,1)),"")</f>
        <v>0.906937848688651</v>
      </c>
      <c r="G297" s="8" t="n">
        <f aca="true">IF(ROW()-2&gt;=Inputs!$B$5,AVERAGE(OFFSET(E297,1-Inputs!$B$5,0,Inputs!$B$5,1)),"")</f>
        <v>0.929211600042738</v>
      </c>
      <c r="H297" s="8" t="n">
        <f aca="false">MAX(C297-D297,ABS(C297-E296),ABS(D297-E296))</f>
        <v>0.0151508517481661</v>
      </c>
      <c r="I297" s="8" t="n">
        <f aca="true">IF(ROW()-2&lt;14,"",IF(ROW()-2=14,AVERAGE(OFFSET(H297,-13,0,14,1)),(I296*13+H297)/14))</f>
        <v>0.0118708837106871</v>
      </c>
      <c r="J297" s="9" t="b">
        <f aca="false">IF(AND(ISNUMBER(F297),ISNUMBER(G297),ISNUMBER(F296),ISNUMBER(G296)),AND(F297&gt;G297,F296&lt;=G296),FALSE())</f>
        <v>0</v>
      </c>
      <c r="K297" s="9" t="b">
        <f aca="false">IF(AND(ISNUMBER(F297),ISNUMBER(G297),ISNUMBER(F296),ISNUMBER(G296)),AND(F297&lt;G297,F296&gt;=G296),FALSE())</f>
        <v>0</v>
      </c>
      <c r="L297" s="8" t="n">
        <f aca="false">IF(ISNUMBER(I297),E297-Inputs!$B$6*I297,"")</f>
        <v>0.897934018296388</v>
      </c>
      <c r="M297" s="9" t="b">
        <f aca="false">AND(Y296&gt;0,Z296)</f>
        <v>0</v>
      </c>
      <c r="N297" s="8" t="n">
        <f aca="false">B297*(1-Inputs!$B$12)</f>
        <v>0.915111883139841</v>
      </c>
      <c r="O297" s="10" t="n">
        <f aca="false">IF(M297,Y296*(N297-AB296)-Inputs!$B$9-Y296*AD296*Inputs!$B$13*(A297-AC296),0)</f>
        <v>0</v>
      </c>
      <c r="P297" s="10" t="n">
        <f aca="false">X296+O297</f>
        <v>1016.3844066801</v>
      </c>
      <c r="Q297" s="9" t="b">
        <f aca="false">AND(IF(M297,0,Y296)=0,AA296,IF(ISNUMBER(AE296),B297&gt;AE296,FALSE()))</f>
        <v>0</v>
      </c>
      <c r="R297" s="8" t="n">
        <f aca="false">B297*(1+Inputs!$B$12)</f>
        <v>0.915478001116692</v>
      </c>
      <c r="S297" s="11" t="n">
        <f aca="false">IF(Q297,MIN(P297*Inputs!$B$3/(R297-AE296),P297*Inputs!$B$11/R297),0)</f>
        <v>0</v>
      </c>
      <c r="T297" s="11" t="n">
        <f aca="false">IF(Q297,S297,IF(M297,0,Y296))</f>
        <v>0</v>
      </c>
      <c r="U297" s="8" t="n">
        <f aca="false">IF(Q297,AE296,AF296)</f>
        <v>0.938328062071903</v>
      </c>
      <c r="V297" s="9" t="b">
        <f aca="false">AND(T297&gt;0,D297&lt;=U297)</f>
        <v>0</v>
      </c>
      <c r="W297" s="10" t="n">
        <f aca="false">IF(V297,T297*(AK297-AB297)-Inputs!$B$9-T297*AD297*Inputs!$B$13*(A297-AC297),0)</f>
        <v>0</v>
      </c>
      <c r="X297" s="10" t="n">
        <f aca="false">P297-IF(Q297,Inputs!$B$9,0)+W297</f>
        <v>1016.3844066801</v>
      </c>
      <c r="Y297" s="11" t="n">
        <f aca="false">IF(V297,0,T297)</f>
        <v>0</v>
      </c>
      <c r="Z297" s="9" t="b">
        <f aca="false">AND(Y297&gt;0,K297)</f>
        <v>0</v>
      </c>
      <c r="AA297" s="9" t="b">
        <f aca="false">AND(Y297=0,J297,ISNUMBER(L297))</f>
        <v>0</v>
      </c>
      <c r="AB297" s="8" t="n">
        <f aca="false">IF(Q297,R297,AB296)</f>
        <v>0.95824964655134</v>
      </c>
      <c r="AC297" s="12" t="n">
        <f aca="false">IF(Q297,A297,AC296)</f>
        <v>45034</v>
      </c>
      <c r="AD297" s="8" t="n">
        <f aca="false">IF(Q297,B297,AD296)</f>
        <v>0.958058034944351</v>
      </c>
      <c r="AE297" s="8" t="str">
        <f aca="false">IF(AA297,L297,"")</f>
        <v/>
      </c>
      <c r="AF297" s="8" t="n">
        <f aca="false">U297</f>
        <v>0.938328062071903</v>
      </c>
      <c r="AG297" s="2" t="n">
        <f aca="false">AG296+IF(Q297,1,0)</f>
        <v>2</v>
      </c>
      <c r="AH297" s="2" t="n">
        <f aca="false">AG296</f>
        <v>2</v>
      </c>
      <c r="AI297" s="10" t="n">
        <f aca="false">X297+Y297*(E297-AB297)-Y297*AD297*Inputs!$B$13*(A297-AC297)</f>
        <v>1016.3844066801</v>
      </c>
      <c r="AJ297" s="10" t="n">
        <v>0</v>
      </c>
      <c r="AK297" s="8" t="n">
        <f aca="false">IF(AND(B297&lt;=U297,NOT(Q297)),B297,U297)*(1-Inputs!$B$12)</f>
        <v>0.915111883139841</v>
      </c>
    </row>
    <row r="298" customFormat="false" ht="15" hidden="false" customHeight="false" outlineLevel="0" collapsed="false">
      <c r="A298" s="6" t="n">
        <v>45082</v>
      </c>
      <c r="B298" s="7" t="n">
        <v>0.921675785717762</v>
      </c>
      <c r="C298" s="7" t="n">
        <v>0.937809193493795</v>
      </c>
      <c r="D298" s="7" t="n">
        <v>0.920506682447793</v>
      </c>
      <c r="E298" s="7" t="n">
        <v>0.931912309666939</v>
      </c>
      <c r="F298" s="8" t="n">
        <f aca="true">IF(ROW()-2&gt;=Inputs!$B$4,AVERAGE(OFFSET(E298,1-Inputs!$B$4,0,Inputs!$B$4,1)),"")</f>
        <v>0.907868612977746</v>
      </c>
      <c r="G298" s="8" t="n">
        <f aca="true">IF(ROW()-2&gt;=Inputs!$B$5,AVERAGE(OFFSET(E298,1-Inputs!$B$5,0,Inputs!$B$5,1)),"")</f>
        <v>0.928824707948796</v>
      </c>
      <c r="H298" s="8" t="n">
        <f aca="false">MAX(C298-D298,ABS(C298-E297),ABS(D298-E297))</f>
        <v>0.0173025110460017</v>
      </c>
      <c r="I298" s="8" t="n">
        <f aca="true">IF(ROW()-2&lt;14,"",IF(ROW()-2=14,AVERAGE(OFFSET(H298,-13,0,14,1)),(I297*13+H298)/14))</f>
        <v>0.012258857091781</v>
      </c>
      <c r="J298" s="9" t="b">
        <f aca="false">IF(AND(ISNUMBER(F298),ISNUMBER(G298),ISNUMBER(F297),ISNUMBER(G297)),AND(F298&gt;G298,F297&lt;=G297),FALSE())</f>
        <v>0</v>
      </c>
      <c r="K298" s="9" t="b">
        <f aca="false">IF(AND(ISNUMBER(F298),ISNUMBER(G298),ISNUMBER(F297),ISNUMBER(G297)),AND(F298&lt;G298,F297&gt;=G297),FALSE())</f>
        <v>0</v>
      </c>
      <c r="L298" s="8" t="n">
        <f aca="false">IF(ISNUMBER(I298),E298-Inputs!$B$6*I298,"")</f>
        <v>0.907394595483377</v>
      </c>
      <c r="M298" s="9" t="b">
        <f aca="false">AND(Y297&gt;0,Z297)</f>
        <v>0</v>
      </c>
      <c r="N298" s="8" t="n">
        <f aca="false">B298*(1-Inputs!$B$12)</f>
        <v>0.921491450560619</v>
      </c>
      <c r="O298" s="10" t="n">
        <f aca="false">IF(M298,Y297*(N298-AB297)-Inputs!$B$9-Y297*AD297*Inputs!$B$13*(A298-AC297),0)</f>
        <v>0</v>
      </c>
      <c r="P298" s="10" t="n">
        <f aca="false">X297+O298</f>
        <v>1016.3844066801</v>
      </c>
      <c r="Q298" s="9" t="b">
        <f aca="false">AND(IF(M298,0,Y297)=0,AA297,IF(ISNUMBER(AE297),B298&gt;AE297,FALSE()))</f>
        <v>0</v>
      </c>
      <c r="R298" s="8" t="n">
        <f aca="false">B298*(1+Inputs!$B$12)</f>
        <v>0.921860120874906</v>
      </c>
      <c r="S298" s="11" t="n">
        <f aca="false">IF(Q298,MIN(P298*Inputs!$B$3/(R298-AE297),P298*Inputs!$B$11/R298),0)</f>
        <v>0</v>
      </c>
      <c r="T298" s="11" t="n">
        <f aca="false">IF(Q298,S298,IF(M298,0,Y297))</f>
        <v>0</v>
      </c>
      <c r="U298" s="8" t="n">
        <f aca="false">IF(Q298,AE297,AF297)</f>
        <v>0.938328062071903</v>
      </c>
      <c r="V298" s="9" t="b">
        <f aca="false">AND(T298&gt;0,D298&lt;=U298)</f>
        <v>0</v>
      </c>
      <c r="W298" s="10" t="n">
        <f aca="false">IF(V298,T298*(AK298-AB298)-Inputs!$B$9-T298*AD298*Inputs!$B$13*(A298-AC298),0)</f>
        <v>0</v>
      </c>
      <c r="X298" s="10" t="n">
        <f aca="false">P298-IF(Q298,Inputs!$B$9,0)+W298</f>
        <v>1016.3844066801</v>
      </c>
      <c r="Y298" s="11" t="n">
        <f aca="false">IF(V298,0,T298)</f>
        <v>0</v>
      </c>
      <c r="Z298" s="9" t="b">
        <f aca="false">AND(Y298&gt;0,K298)</f>
        <v>0</v>
      </c>
      <c r="AA298" s="9" t="b">
        <f aca="false">AND(Y298=0,J298,ISNUMBER(L298))</f>
        <v>0</v>
      </c>
      <c r="AB298" s="8" t="n">
        <f aca="false">IF(Q298,R298,AB297)</f>
        <v>0.95824964655134</v>
      </c>
      <c r="AC298" s="12" t="n">
        <f aca="false">IF(Q298,A298,AC297)</f>
        <v>45034</v>
      </c>
      <c r="AD298" s="8" t="n">
        <f aca="false">IF(Q298,B298,AD297)</f>
        <v>0.958058034944351</v>
      </c>
      <c r="AE298" s="8" t="str">
        <f aca="false">IF(AA298,L298,"")</f>
        <v/>
      </c>
      <c r="AF298" s="8" t="n">
        <f aca="false">U298</f>
        <v>0.938328062071903</v>
      </c>
      <c r="AG298" s="2" t="n">
        <f aca="false">AG297+IF(Q298,1,0)</f>
        <v>2</v>
      </c>
      <c r="AH298" s="2" t="n">
        <f aca="false">AG297</f>
        <v>2</v>
      </c>
      <c r="AI298" s="10" t="n">
        <f aca="false">X298+Y298*(E298-AB298)-Y298*AD298*Inputs!$B$13*(A298-AC298)</f>
        <v>1016.3844066801</v>
      </c>
      <c r="AJ298" s="10" t="n">
        <v>0</v>
      </c>
      <c r="AK298" s="8" t="n">
        <f aca="false">IF(AND(B298&lt;=U298,NOT(Q298)),B298,U298)*(1-Inputs!$B$12)</f>
        <v>0.921491450560619</v>
      </c>
    </row>
    <row r="299" customFormat="false" ht="15" hidden="false" customHeight="false" outlineLevel="0" collapsed="false">
      <c r="A299" s="6" t="n">
        <v>45083</v>
      </c>
      <c r="B299" s="7" t="n">
        <v>0.931912309666939</v>
      </c>
      <c r="C299" s="7" t="n">
        <v>0.93385841996091</v>
      </c>
      <c r="D299" s="7" t="n">
        <v>0.92711401086603</v>
      </c>
      <c r="E299" s="7" t="n">
        <v>0.928273150480614</v>
      </c>
      <c r="F299" s="8" t="n">
        <f aca="true">IF(ROW()-2&gt;=Inputs!$B$4,AVERAGE(OFFSET(E299,1-Inputs!$B$4,0,Inputs!$B$4,1)),"")</f>
        <v>0.908659409200878</v>
      </c>
      <c r="G299" s="8" t="n">
        <f aca="true">IF(ROW()-2&gt;=Inputs!$B$5,AVERAGE(OFFSET(E299,1-Inputs!$B$5,0,Inputs!$B$5,1)),"")</f>
        <v>0.928229010259521</v>
      </c>
      <c r="H299" s="8" t="n">
        <f aca="false">MAX(C299-D299,ABS(C299-E298),ABS(D299-E298))</f>
        <v>0.00674440909487961</v>
      </c>
      <c r="I299" s="8" t="n">
        <f aca="true">IF(ROW()-2&lt;14,"",IF(ROW()-2=14,AVERAGE(OFFSET(H299,-13,0,14,1)),(I298*13+H299)/14))</f>
        <v>0.0118649679491452</v>
      </c>
      <c r="J299" s="9" t="b">
        <f aca="false">IF(AND(ISNUMBER(F299),ISNUMBER(G299),ISNUMBER(F298),ISNUMBER(G298)),AND(F299&gt;G299,F298&lt;=G298),FALSE())</f>
        <v>0</v>
      </c>
      <c r="K299" s="9" t="b">
        <f aca="false">IF(AND(ISNUMBER(F299),ISNUMBER(G299),ISNUMBER(F298),ISNUMBER(G298)),AND(F299&lt;G299,F298&gt;=G298),FALSE())</f>
        <v>0</v>
      </c>
      <c r="L299" s="8" t="n">
        <f aca="false">IF(ISNUMBER(I299),E299-Inputs!$B$6*I299,"")</f>
        <v>0.904543214582324</v>
      </c>
      <c r="M299" s="9" t="b">
        <f aca="false">AND(Y298&gt;0,Z298)</f>
        <v>0</v>
      </c>
      <c r="N299" s="8" t="n">
        <f aca="false">B299*(1-Inputs!$B$12)</f>
        <v>0.931725927205005</v>
      </c>
      <c r="O299" s="10" t="n">
        <f aca="false">IF(M299,Y298*(N299-AB298)-Inputs!$B$9-Y298*AD298*Inputs!$B$13*(A299-AC298),0)</f>
        <v>0</v>
      </c>
      <c r="P299" s="10" t="n">
        <f aca="false">X298+O299</f>
        <v>1016.3844066801</v>
      </c>
      <c r="Q299" s="9" t="b">
        <f aca="false">AND(IF(M299,0,Y298)=0,AA298,IF(ISNUMBER(AE298),B299&gt;AE298,FALSE()))</f>
        <v>0</v>
      </c>
      <c r="R299" s="8" t="n">
        <f aca="false">B299*(1+Inputs!$B$12)</f>
        <v>0.932098692128872</v>
      </c>
      <c r="S299" s="11" t="n">
        <f aca="false">IF(Q299,MIN(P299*Inputs!$B$3/(R299-AE298),P299*Inputs!$B$11/R299),0)</f>
        <v>0</v>
      </c>
      <c r="T299" s="11" t="n">
        <f aca="false">IF(Q299,S299,IF(M299,0,Y298))</f>
        <v>0</v>
      </c>
      <c r="U299" s="8" t="n">
        <f aca="false">IF(Q299,AE298,AF298)</f>
        <v>0.938328062071903</v>
      </c>
      <c r="V299" s="9" t="b">
        <f aca="false">AND(T299&gt;0,D299&lt;=U299)</f>
        <v>0</v>
      </c>
      <c r="W299" s="10" t="n">
        <f aca="false">IF(V299,T299*(AK299-AB299)-Inputs!$B$9-T299*AD299*Inputs!$B$13*(A299-AC299),0)</f>
        <v>0</v>
      </c>
      <c r="X299" s="10" t="n">
        <f aca="false">P299-IF(Q299,Inputs!$B$9,0)+W299</f>
        <v>1016.3844066801</v>
      </c>
      <c r="Y299" s="11" t="n">
        <f aca="false">IF(V299,0,T299)</f>
        <v>0</v>
      </c>
      <c r="Z299" s="9" t="b">
        <f aca="false">AND(Y299&gt;0,K299)</f>
        <v>0</v>
      </c>
      <c r="AA299" s="9" t="b">
        <f aca="false">AND(Y299=0,J299,ISNUMBER(L299))</f>
        <v>0</v>
      </c>
      <c r="AB299" s="8" t="n">
        <f aca="false">IF(Q299,R299,AB298)</f>
        <v>0.95824964655134</v>
      </c>
      <c r="AC299" s="12" t="n">
        <f aca="false">IF(Q299,A299,AC298)</f>
        <v>45034</v>
      </c>
      <c r="AD299" s="8" t="n">
        <f aca="false">IF(Q299,B299,AD298)</f>
        <v>0.958058034944351</v>
      </c>
      <c r="AE299" s="8" t="str">
        <f aca="false">IF(AA299,L299,"")</f>
        <v/>
      </c>
      <c r="AF299" s="8" t="n">
        <f aca="false">U299</f>
        <v>0.938328062071903</v>
      </c>
      <c r="AG299" s="2" t="n">
        <f aca="false">AG298+IF(Q299,1,0)</f>
        <v>2</v>
      </c>
      <c r="AH299" s="2" t="n">
        <f aca="false">AG298</f>
        <v>2</v>
      </c>
      <c r="AI299" s="10" t="n">
        <f aca="false">X299+Y299*(E299-AB299)-Y299*AD299*Inputs!$B$13*(A299-AC299)</f>
        <v>1016.3844066801</v>
      </c>
      <c r="AJ299" s="10" t="n">
        <v>0</v>
      </c>
      <c r="AK299" s="8" t="n">
        <f aca="false">IF(AND(B299&lt;=U299,NOT(Q299)),B299,U299)*(1-Inputs!$B$12)</f>
        <v>0.931725927205005</v>
      </c>
    </row>
    <row r="300" customFormat="false" ht="15" hidden="false" customHeight="false" outlineLevel="0" collapsed="false">
      <c r="A300" s="6" t="n">
        <v>45084</v>
      </c>
      <c r="B300" s="7" t="n">
        <v>0.928273150480614</v>
      </c>
      <c r="C300" s="7" t="n">
        <v>0.929726837540407</v>
      </c>
      <c r="D300" s="7" t="n">
        <v>0.918889643750289</v>
      </c>
      <c r="E300" s="7" t="n">
        <v>0.922376022799806</v>
      </c>
      <c r="F300" s="8" t="n">
        <f aca="true">IF(ROW()-2&gt;=Inputs!$B$4,AVERAGE(OFFSET(E300,1-Inputs!$B$4,0,Inputs!$B$4,1)),"")</f>
        <v>0.909309426778896</v>
      </c>
      <c r="G300" s="8" t="n">
        <f aca="true">IF(ROW()-2&gt;=Inputs!$B$5,AVERAGE(OFFSET(E300,1-Inputs!$B$5,0,Inputs!$B$5,1)),"")</f>
        <v>0.927291222599902</v>
      </c>
      <c r="H300" s="8" t="n">
        <f aca="false">MAX(C300-D300,ABS(C300-E299),ABS(D300-E299))</f>
        <v>0.0108371937901175</v>
      </c>
      <c r="I300" s="8" t="n">
        <f aca="true">IF(ROW()-2&lt;14,"",IF(ROW()-2=14,AVERAGE(OFFSET(H300,-13,0,14,1)),(I299*13+H300)/14))</f>
        <v>0.0117915555092146</v>
      </c>
      <c r="J300" s="9" t="b">
        <f aca="false">IF(AND(ISNUMBER(F300),ISNUMBER(G300),ISNUMBER(F299),ISNUMBER(G299)),AND(F300&gt;G300,F299&lt;=G299),FALSE())</f>
        <v>0</v>
      </c>
      <c r="K300" s="9" t="b">
        <f aca="false">IF(AND(ISNUMBER(F300),ISNUMBER(G300),ISNUMBER(F299),ISNUMBER(G299)),AND(F300&lt;G300,F299&gt;=G299),FALSE())</f>
        <v>0</v>
      </c>
      <c r="L300" s="8" t="n">
        <f aca="false">IF(ISNUMBER(I300),E300-Inputs!$B$6*I300,"")</f>
        <v>0.898792911781376</v>
      </c>
      <c r="M300" s="9" t="b">
        <f aca="false">AND(Y299&gt;0,Z299)</f>
        <v>0</v>
      </c>
      <c r="N300" s="8" t="n">
        <f aca="false">B300*(1-Inputs!$B$12)</f>
        <v>0.928087495850518</v>
      </c>
      <c r="O300" s="10" t="n">
        <f aca="false">IF(M300,Y299*(N300-AB299)-Inputs!$B$9-Y299*AD299*Inputs!$B$13*(A300-AC299),0)</f>
        <v>0</v>
      </c>
      <c r="P300" s="10" t="n">
        <f aca="false">X299+O300</f>
        <v>1016.3844066801</v>
      </c>
      <c r="Q300" s="9" t="b">
        <f aca="false">AND(IF(M300,0,Y299)=0,AA299,IF(ISNUMBER(AE299),B300&gt;AE299,FALSE()))</f>
        <v>0</v>
      </c>
      <c r="R300" s="8" t="n">
        <f aca="false">B300*(1+Inputs!$B$12)</f>
        <v>0.92845880511071</v>
      </c>
      <c r="S300" s="11" t="n">
        <f aca="false">IF(Q300,MIN(P300*Inputs!$B$3/(R300-AE299),P300*Inputs!$B$11/R300),0)</f>
        <v>0</v>
      </c>
      <c r="T300" s="11" t="n">
        <f aca="false">IF(Q300,S300,IF(M300,0,Y299))</f>
        <v>0</v>
      </c>
      <c r="U300" s="8" t="n">
        <f aca="false">IF(Q300,AE299,AF299)</f>
        <v>0.938328062071903</v>
      </c>
      <c r="V300" s="9" t="b">
        <f aca="false">AND(T300&gt;0,D300&lt;=U300)</f>
        <v>0</v>
      </c>
      <c r="W300" s="10" t="n">
        <f aca="false">IF(V300,T300*(AK300-AB300)-Inputs!$B$9-T300*AD300*Inputs!$B$13*(A300-AC300),0)</f>
        <v>0</v>
      </c>
      <c r="X300" s="10" t="n">
        <f aca="false">P300-IF(Q300,Inputs!$B$9,0)+W300</f>
        <v>1016.3844066801</v>
      </c>
      <c r="Y300" s="11" t="n">
        <f aca="false">IF(V300,0,T300)</f>
        <v>0</v>
      </c>
      <c r="Z300" s="9" t="b">
        <f aca="false">AND(Y300&gt;0,K300)</f>
        <v>0</v>
      </c>
      <c r="AA300" s="9" t="b">
        <f aca="false">AND(Y300=0,J300,ISNUMBER(L300))</f>
        <v>0</v>
      </c>
      <c r="AB300" s="8" t="n">
        <f aca="false">IF(Q300,R300,AB299)</f>
        <v>0.95824964655134</v>
      </c>
      <c r="AC300" s="12" t="n">
        <f aca="false">IF(Q300,A300,AC299)</f>
        <v>45034</v>
      </c>
      <c r="AD300" s="8" t="n">
        <f aca="false">IF(Q300,B300,AD299)</f>
        <v>0.958058034944351</v>
      </c>
      <c r="AE300" s="8" t="str">
        <f aca="false">IF(AA300,L300,"")</f>
        <v/>
      </c>
      <c r="AF300" s="8" t="n">
        <f aca="false">U300</f>
        <v>0.938328062071903</v>
      </c>
      <c r="AG300" s="2" t="n">
        <f aca="false">AG299+IF(Q300,1,0)</f>
        <v>2</v>
      </c>
      <c r="AH300" s="2" t="n">
        <f aca="false">AG299</f>
        <v>2</v>
      </c>
      <c r="AI300" s="10" t="n">
        <f aca="false">X300+Y300*(E300-AB300)-Y300*AD300*Inputs!$B$13*(A300-AC300)</f>
        <v>1016.3844066801</v>
      </c>
      <c r="AJ300" s="10" t="n">
        <v>0</v>
      </c>
      <c r="AK300" s="8" t="n">
        <f aca="false">IF(AND(B300&lt;=U300,NOT(Q300)),B300,U300)*(1-Inputs!$B$12)</f>
        <v>0.928087495850518</v>
      </c>
    </row>
    <row r="301" customFormat="false" ht="15" hidden="false" customHeight="false" outlineLevel="0" collapsed="false">
      <c r="A301" s="6" t="n">
        <v>45085</v>
      </c>
      <c r="B301" s="7" t="n">
        <v>0.922376022799806</v>
      </c>
      <c r="C301" s="7" t="n">
        <v>0.923740794013508</v>
      </c>
      <c r="D301" s="7" t="n">
        <v>0.915804225504469</v>
      </c>
      <c r="E301" s="7" t="n">
        <v>0.916360733980991</v>
      </c>
      <c r="F301" s="8" t="n">
        <f aca="true">IF(ROW()-2&gt;=Inputs!$B$4,AVERAGE(OFFSET(E301,1-Inputs!$B$4,0,Inputs!$B$4,1)),"")</f>
        <v>0.910014922272304</v>
      </c>
      <c r="G301" s="8" t="n">
        <f aca="true">IF(ROW()-2&gt;=Inputs!$B$5,AVERAGE(OFFSET(E301,1-Inputs!$B$5,0,Inputs!$B$5,1)),"")</f>
        <v>0.926131275941162</v>
      </c>
      <c r="H301" s="8" t="n">
        <f aca="false">MAX(C301-D301,ABS(C301-E300),ABS(D301-E300))</f>
        <v>0.00793656850903923</v>
      </c>
      <c r="I301" s="8" t="n">
        <f aca="true">IF(ROW()-2&lt;14,"",IF(ROW()-2=14,AVERAGE(OFFSET(H301,-13,0,14,1)),(I300*13+H301)/14))</f>
        <v>0.0115161992949164</v>
      </c>
      <c r="J301" s="9" t="b">
        <f aca="false">IF(AND(ISNUMBER(F301),ISNUMBER(G301),ISNUMBER(F300),ISNUMBER(G300)),AND(F301&gt;G301,F300&lt;=G300),FALSE())</f>
        <v>0</v>
      </c>
      <c r="K301" s="9" t="b">
        <f aca="false">IF(AND(ISNUMBER(F301),ISNUMBER(G301),ISNUMBER(F300),ISNUMBER(G300)),AND(F301&lt;G301,F300&gt;=G300),FALSE())</f>
        <v>0</v>
      </c>
      <c r="L301" s="8" t="n">
        <f aca="false">IF(ISNUMBER(I301),E301-Inputs!$B$6*I301,"")</f>
        <v>0.893328335391158</v>
      </c>
      <c r="M301" s="9" t="b">
        <f aca="false">AND(Y300&gt;0,Z300)</f>
        <v>0</v>
      </c>
      <c r="N301" s="8" t="n">
        <f aca="false">B301*(1-Inputs!$B$12)</f>
        <v>0.922191547595246</v>
      </c>
      <c r="O301" s="10" t="n">
        <f aca="false">IF(M301,Y300*(N301-AB300)-Inputs!$B$9-Y300*AD300*Inputs!$B$13*(A301-AC300),0)</f>
        <v>0</v>
      </c>
      <c r="P301" s="10" t="n">
        <f aca="false">X300+O301</f>
        <v>1016.3844066801</v>
      </c>
      <c r="Q301" s="9" t="b">
        <f aca="false">AND(IF(M301,0,Y300)=0,AA300,IF(ISNUMBER(AE300),B301&gt;AE300,FALSE()))</f>
        <v>0</v>
      </c>
      <c r="R301" s="8" t="n">
        <f aca="false">B301*(1+Inputs!$B$12)</f>
        <v>0.922560498004366</v>
      </c>
      <c r="S301" s="11" t="n">
        <f aca="false">IF(Q301,MIN(P301*Inputs!$B$3/(R301-AE300),P301*Inputs!$B$11/R301),0)</f>
        <v>0</v>
      </c>
      <c r="T301" s="11" t="n">
        <f aca="false">IF(Q301,S301,IF(M301,0,Y300))</f>
        <v>0</v>
      </c>
      <c r="U301" s="8" t="n">
        <f aca="false">IF(Q301,AE300,AF300)</f>
        <v>0.938328062071903</v>
      </c>
      <c r="V301" s="9" t="b">
        <f aca="false">AND(T301&gt;0,D301&lt;=U301)</f>
        <v>0</v>
      </c>
      <c r="W301" s="10" t="n">
        <f aca="false">IF(V301,T301*(AK301-AB301)-Inputs!$B$9-T301*AD301*Inputs!$B$13*(A301-AC301),0)</f>
        <v>0</v>
      </c>
      <c r="X301" s="10" t="n">
        <f aca="false">P301-IF(Q301,Inputs!$B$9,0)+W301</f>
        <v>1016.3844066801</v>
      </c>
      <c r="Y301" s="11" t="n">
        <f aca="false">IF(V301,0,T301)</f>
        <v>0</v>
      </c>
      <c r="Z301" s="9" t="b">
        <f aca="false">AND(Y301&gt;0,K301)</f>
        <v>0</v>
      </c>
      <c r="AA301" s="9" t="b">
        <f aca="false">AND(Y301=0,J301,ISNUMBER(L301))</f>
        <v>0</v>
      </c>
      <c r="AB301" s="8" t="n">
        <f aca="false">IF(Q301,R301,AB300)</f>
        <v>0.95824964655134</v>
      </c>
      <c r="AC301" s="12" t="n">
        <f aca="false">IF(Q301,A301,AC300)</f>
        <v>45034</v>
      </c>
      <c r="AD301" s="8" t="n">
        <f aca="false">IF(Q301,B301,AD300)</f>
        <v>0.958058034944351</v>
      </c>
      <c r="AE301" s="8" t="str">
        <f aca="false">IF(AA301,L301,"")</f>
        <v/>
      </c>
      <c r="AF301" s="8" t="n">
        <f aca="false">U301</f>
        <v>0.938328062071903</v>
      </c>
      <c r="AG301" s="2" t="n">
        <f aca="false">AG300+IF(Q301,1,0)</f>
        <v>2</v>
      </c>
      <c r="AH301" s="2" t="n">
        <f aca="false">AG300</f>
        <v>2</v>
      </c>
      <c r="AI301" s="10" t="n">
        <f aca="false">X301+Y301*(E301-AB301)-Y301*AD301*Inputs!$B$13*(A301-AC301)</f>
        <v>1016.3844066801</v>
      </c>
      <c r="AJ301" s="10" t="n">
        <v>0</v>
      </c>
      <c r="AK301" s="8" t="n">
        <f aca="false">IF(AND(B301&lt;=U301,NOT(Q301)),B301,U301)*(1-Inputs!$B$12)</f>
        <v>0.922191547595246</v>
      </c>
    </row>
    <row r="302" customFormat="false" ht="15" hidden="false" customHeight="false" outlineLevel="0" collapsed="false">
      <c r="A302" s="6" t="n">
        <v>45086</v>
      </c>
      <c r="B302" s="7" t="n">
        <v>0.916360733980991</v>
      </c>
      <c r="C302" s="7" t="n">
        <v>0.917325529325639</v>
      </c>
      <c r="D302" s="7" t="n">
        <v>0.902618794738414</v>
      </c>
      <c r="E302" s="7" t="n">
        <v>0.905540898228666</v>
      </c>
      <c r="F302" s="8" t="n">
        <f aca="true">IF(ROW()-2&gt;=Inputs!$B$4,AVERAGE(OFFSET(E302,1-Inputs!$B$4,0,Inputs!$B$4,1)),"")</f>
        <v>0.909793578575399</v>
      </c>
      <c r="G302" s="8" t="n">
        <f aca="true">IF(ROW()-2&gt;=Inputs!$B$5,AVERAGE(OFFSET(E302,1-Inputs!$B$5,0,Inputs!$B$5,1)),"")</f>
        <v>0.924945572557684</v>
      </c>
      <c r="H302" s="8" t="n">
        <f aca="false">MAX(C302-D302,ABS(C302-E301),ABS(D302-E301))</f>
        <v>0.0147067345872245</v>
      </c>
      <c r="I302" s="8" t="n">
        <f aca="true">IF(ROW()-2&lt;14,"",IF(ROW()-2=14,AVERAGE(OFFSET(H302,-13,0,14,1)),(I301*13+H302)/14))</f>
        <v>0.0117440946729384</v>
      </c>
      <c r="J302" s="9" t="b">
        <f aca="false">IF(AND(ISNUMBER(F302),ISNUMBER(G302),ISNUMBER(F301),ISNUMBER(G301)),AND(F302&gt;G302,F301&lt;=G301),FALSE())</f>
        <v>0</v>
      </c>
      <c r="K302" s="9" t="b">
        <f aca="false">IF(AND(ISNUMBER(F302),ISNUMBER(G302),ISNUMBER(F301),ISNUMBER(G301)),AND(F302&lt;G302,F301&gt;=G301),FALSE())</f>
        <v>0</v>
      </c>
      <c r="L302" s="8" t="n">
        <f aca="false">IF(ISNUMBER(I302),E302-Inputs!$B$6*I302,"")</f>
        <v>0.882052708882789</v>
      </c>
      <c r="M302" s="9" t="b">
        <f aca="false">AND(Y301&gt;0,Z301)</f>
        <v>0</v>
      </c>
      <c r="N302" s="8" t="n">
        <f aca="false">B302*(1-Inputs!$B$12)</f>
        <v>0.916177461834195</v>
      </c>
      <c r="O302" s="10" t="n">
        <f aca="false">IF(M302,Y301*(N302-AB301)-Inputs!$B$9-Y301*AD301*Inputs!$B$13*(A302-AC301),0)</f>
        <v>0</v>
      </c>
      <c r="P302" s="10" t="n">
        <f aca="false">X301+O302</f>
        <v>1016.3844066801</v>
      </c>
      <c r="Q302" s="9" t="b">
        <f aca="false">AND(IF(M302,0,Y301)=0,AA301,IF(ISNUMBER(AE301),B302&gt;AE301,FALSE()))</f>
        <v>0</v>
      </c>
      <c r="R302" s="8" t="n">
        <f aca="false">B302*(1+Inputs!$B$12)</f>
        <v>0.916544006127787</v>
      </c>
      <c r="S302" s="11" t="n">
        <f aca="false">IF(Q302,MIN(P302*Inputs!$B$3/(R302-AE301),P302*Inputs!$B$11/R302),0)</f>
        <v>0</v>
      </c>
      <c r="T302" s="11" t="n">
        <f aca="false">IF(Q302,S302,IF(M302,0,Y301))</f>
        <v>0</v>
      </c>
      <c r="U302" s="8" t="n">
        <f aca="false">IF(Q302,AE301,AF301)</f>
        <v>0.938328062071903</v>
      </c>
      <c r="V302" s="9" t="b">
        <f aca="false">AND(T302&gt;0,D302&lt;=U302)</f>
        <v>0</v>
      </c>
      <c r="W302" s="10" t="n">
        <f aca="false">IF(V302,T302*(AK302-AB302)-Inputs!$B$9-T302*AD302*Inputs!$B$13*(A302-AC302),0)</f>
        <v>0</v>
      </c>
      <c r="X302" s="10" t="n">
        <f aca="false">P302-IF(Q302,Inputs!$B$9,0)+W302</f>
        <v>1016.3844066801</v>
      </c>
      <c r="Y302" s="11" t="n">
        <f aca="false">IF(V302,0,T302)</f>
        <v>0</v>
      </c>
      <c r="Z302" s="9" t="b">
        <f aca="false">AND(Y302&gt;0,K302)</f>
        <v>0</v>
      </c>
      <c r="AA302" s="9" t="b">
        <f aca="false">AND(Y302=0,J302,ISNUMBER(L302))</f>
        <v>0</v>
      </c>
      <c r="AB302" s="8" t="n">
        <f aca="false">IF(Q302,R302,AB301)</f>
        <v>0.95824964655134</v>
      </c>
      <c r="AC302" s="12" t="n">
        <f aca="false">IF(Q302,A302,AC301)</f>
        <v>45034</v>
      </c>
      <c r="AD302" s="8" t="n">
        <f aca="false">IF(Q302,B302,AD301)</f>
        <v>0.958058034944351</v>
      </c>
      <c r="AE302" s="8" t="str">
        <f aca="false">IF(AA302,L302,"")</f>
        <v/>
      </c>
      <c r="AF302" s="8" t="n">
        <f aca="false">U302</f>
        <v>0.938328062071903</v>
      </c>
      <c r="AG302" s="2" t="n">
        <f aca="false">AG301+IF(Q302,1,0)</f>
        <v>2</v>
      </c>
      <c r="AH302" s="2" t="n">
        <f aca="false">AG301</f>
        <v>2</v>
      </c>
      <c r="AI302" s="10" t="n">
        <f aca="false">X302+Y302*(E302-AB302)-Y302*AD302*Inputs!$B$13*(A302-AC302)</f>
        <v>1016.3844066801</v>
      </c>
      <c r="AJ302" s="10" t="n">
        <v>0</v>
      </c>
      <c r="AK302" s="8" t="n">
        <f aca="false">IF(AND(B302&lt;=U302,NOT(Q302)),B302,U302)*(1-Inputs!$B$12)</f>
        <v>0.916177461834195</v>
      </c>
    </row>
    <row r="303" customFormat="false" ht="15" hidden="false" customHeight="false" outlineLevel="0" collapsed="false">
      <c r="A303" s="6" t="n">
        <v>45087</v>
      </c>
      <c r="B303" s="7" t="n">
        <v>0.905540898228666</v>
      </c>
      <c r="C303" s="7" t="n">
        <v>0.907293397109647</v>
      </c>
      <c r="D303" s="7" t="n">
        <v>0.901137468117121</v>
      </c>
      <c r="E303" s="7" t="n">
        <v>0.902426052471448</v>
      </c>
      <c r="F303" s="8" t="n">
        <f aca="true">IF(ROW()-2&gt;=Inputs!$B$4,AVERAGE(OFFSET(E303,1-Inputs!$B$4,0,Inputs!$B$4,1)),"")</f>
        <v>0.90984391512126</v>
      </c>
      <c r="G303" s="8" t="n">
        <f aca="true">IF(ROW()-2&gt;=Inputs!$B$5,AVERAGE(OFFSET(E303,1-Inputs!$B$5,0,Inputs!$B$5,1)),"")</f>
        <v>0.923495261534003</v>
      </c>
      <c r="H303" s="8" t="n">
        <f aca="false">MAX(C303-D303,ABS(C303-E302),ABS(D303-E302))</f>
        <v>0.00615592899252548</v>
      </c>
      <c r="I303" s="8" t="n">
        <f aca="true">IF(ROW()-2&lt;14,"",IF(ROW()-2=14,AVERAGE(OFFSET(H303,-13,0,14,1)),(I302*13+H303)/14))</f>
        <v>0.0113449399814803</v>
      </c>
      <c r="J303" s="9" t="b">
        <f aca="false">IF(AND(ISNUMBER(F303),ISNUMBER(G303),ISNUMBER(F302),ISNUMBER(G302)),AND(F303&gt;G303,F302&lt;=G302),FALSE())</f>
        <v>0</v>
      </c>
      <c r="K303" s="9" t="b">
        <f aca="false">IF(AND(ISNUMBER(F303),ISNUMBER(G303),ISNUMBER(F302),ISNUMBER(G302)),AND(F303&lt;G303,F302&gt;=G302),FALSE())</f>
        <v>0</v>
      </c>
      <c r="L303" s="8" t="n">
        <f aca="false">IF(ISNUMBER(I303),E303-Inputs!$B$6*I303,"")</f>
        <v>0.879736172508487</v>
      </c>
      <c r="M303" s="9" t="b">
        <f aca="false">AND(Y302&gt;0,Z302)</f>
        <v>0</v>
      </c>
      <c r="N303" s="8" t="n">
        <f aca="false">B303*(1-Inputs!$B$12)</f>
        <v>0.90535979004902</v>
      </c>
      <c r="O303" s="10" t="n">
        <f aca="false">IF(M303,Y302*(N303-AB302)-Inputs!$B$9-Y302*AD302*Inputs!$B$13*(A303-AC302),0)</f>
        <v>0</v>
      </c>
      <c r="P303" s="10" t="n">
        <f aca="false">X302+O303</f>
        <v>1016.3844066801</v>
      </c>
      <c r="Q303" s="9" t="b">
        <f aca="false">AND(IF(M303,0,Y302)=0,AA302,IF(ISNUMBER(AE302),B303&gt;AE302,FALSE()))</f>
        <v>0</v>
      </c>
      <c r="R303" s="8" t="n">
        <f aca="false">B303*(1+Inputs!$B$12)</f>
        <v>0.905722006408312</v>
      </c>
      <c r="S303" s="11" t="n">
        <f aca="false">IF(Q303,MIN(P303*Inputs!$B$3/(R303-AE302),P303*Inputs!$B$11/R303),0)</f>
        <v>0</v>
      </c>
      <c r="T303" s="11" t="n">
        <f aca="false">IF(Q303,S303,IF(M303,0,Y302))</f>
        <v>0</v>
      </c>
      <c r="U303" s="8" t="n">
        <f aca="false">IF(Q303,AE302,AF302)</f>
        <v>0.938328062071903</v>
      </c>
      <c r="V303" s="9" t="b">
        <f aca="false">AND(T303&gt;0,D303&lt;=U303)</f>
        <v>0</v>
      </c>
      <c r="W303" s="10" t="n">
        <f aca="false">IF(V303,T303*(AK303-AB303)-Inputs!$B$9-T303*AD303*Inputs!$B$13*(A303-AC303),0)</f>
        <v>0</v>
      </c>
      <c r="X303" s="10" t="n">
        <f aca="false">P303-IF(Q303,Inputs!$B$9,0)+W303</f>
        <v>1016.3844066801</v>
      </c>
      <c r="Y303" s="11" t="n">
        <f aca="false">IF(V303,0,T303)</f>
        <v>0</v>
      </c>
      <c r="Z303" s="9" t="b">
        <f aca="false">AND(Y303&gt;0,K303)</f>
        <v>0</v>
      </c>
      <c r="AA303" s="9" t="b">
        <f aca="false">AND(Y303=0,J303,ISNUMBER(L303))</f>
        <v>0</v>
      </c>
      <c r="AB303" s="8" t="n">
        <f aca="false">IF(Q303,R303,AB302)</f>
        <v>0.95824964655134</v>
      </c>
      <c r="AC303" s="12" t="n">
        <f aca="false">IF(Q303,A303,AC302)</f>
        <v>45034</v>
      </c>
      <c r="AD303" s="8" t="n">
        <f aca="false">IF(Q303,B303,AD302)</f>
        <v>0.958058034944351</v>
      </c>
      <c r="AE303" s="8" t="str">
        <f aca="false">IF(AA303,L303,"")</f>
        <v/>
      </c>
      <c r="AF303" s="8" t="n">
        <f aca="false">U303</f>
        <v>0.938328062071903</v>
      </c>
      <c r="AG303" s="2" t="n">
        <f aca="false">AG302+IF(Q303,1,0)</f>
        <v>2</v>
      </c>
      <c r="AH303" s="2" t="n">
        <f aca="false">AG302</f>
        <v>2</v>
      </c>
      <c r="AI303" s="10" t="n">
        <f aca="false">X303+Y303*(E303-AB303)-Y303*AD303*Inputs!$B$13*(A303-AC303)</f>
        <v>1016.3844066801</v>
      </c>
      <c r="AJ303" s="10" t="n">
        <v>0</v>
      </c>
      <c r="AK303" s="8" t="n">
        <f aca="false">IF(AND(B303&lt;=U303,NOT(Q303)),B303,U303)*(1-Inputs!$B$12)</f>
        <v>0.90535979004902</v>
      </c>
    </row>
    <row r="304" customFormat="false" ht="15" hidden="false" customHeight="false" outlineLevel="0" collapsed="false">
      <c r="A304" s="6" t="n">
        <v>45088</v>
      </c>
      <c r="B304" s="7" t="n">
        <v>0.902426052471448</v>
      </c>
      <c r="C304" s="7" t="n">
        <v>0.911897038400378</v>
      </c>
      <c r="D304" s="7" t="n">
        <v>0.892643974847862</v>
      </c>
      <c r="E304" s="7" t="n">
        <v>0.895994451325646</v>
      </c>
      <c r="F304" s="8" t="n">
        <f aca="true">IF(ROW()-2&gt;=Inputs!$B$4,AVERAGE(OFFSET(E304,1-Inputs!$B$4,0,Inputs!$B$4,1)),"")</f>
        <v>0.909641295696476</v>
      </c>
      <c r="G304" s="8" t="n">
        <f aca="true">IF(ROW()-2&gt;=Inputs!$B$5,AVERAGE(OFFSET(E304,1-Inputs!$B$5,0,Inputs!$B$5,1)),"")</f>
        <v>0.922072570486509</v>
      </c>
      <c r="H304" s="8" t="n">
        <f aca="false">MAX(C304-D304,ABS(C304-E303),ABS(D304-E303))</f>
        <v>0.0192530635525158</v>
      </c>
      <c r="I304" s="8" t="n">
        <f aca="true">IF(ROW()-2&lt;14,"",IF(ROW()-2=14,AVERAGE(OFFSET(H304,-13,0,14,1)),(I303*13+H304)/14))</f>
        <v>0.01190980595084</v>
      </c>
      <c r="J304" s="9" t="b">
        <f aca="false">IF(AND(ISNUMBER(F304),ISNUMBER(G304),ISNUMBER(F303),ISNUMBER(G303)),AND(F304&gt;G304,F303&lt;=G303),FALSE())</f>
        <v>0</v>
      </c>
      <c r="K304" s="9" t="b">
        <f aca="false">IF(AND(ISNUMBER(F304),ISNUMBER(G304),ISNUMBER(F303),ISNUMBER(G303)),AND(F304&lt;G304,F303&gt;=G303),FALSE())</f>
        <v>0</v>
      </c>
      <c r="L304" s="8" t="n">
        <f aca="false">IF(ISNUMBER(I304),E304-Inputs!$B$6*I304,"")</f>
        <v>0.872174839423966</v>
      </c>
      <c r="M304" s="9" t="b">
        <f aca="false">AND(Y303&gt;0,Z303)</f>
        <v>0</v>
      </c>
      <c r="N304" s="8" t="n">
        <f aca="false">B304*(1-Inputs!$B$12)</f>
        <v>0.902245567260953</v>
      </c>
      <c r="O304" s="10" t="n">
        <f aca="false">IF(M304,Y303*(N304-AB303)-Inputs!$B$9-Y303*AD303*Inputs!$B$13*(A304-AC303),0)</f>
        <v>0</v>
      </c>
      <c r="P304" s="10" t="n">
        <f aca="false">X303+O304</f>
        <v>1016.3844066801</v>
      </c>
      <c r="Q304" s="9" t="b">
        <f aca="false">AND(IF(M304,0,Y303)=0,AA303,IF(ISNUMBER(AE303),B304&gt;AE303,FALSE()))</f>
        <v>0</v>
      </c>
      <c r="R304" s="8" t="n">
        <f aca="false">B304*(1+Inputs!$B$12)</f>
        <v>0.902606537681942</v>
      </c>
      <c r="S304" s="11" t="n">
        <f aca="false">IF(Q304,MIN(P304*Inputs!$B$3/(R304-AE303),P304*Inputs!$B$11/R304),0)</f>
        <v>0</v>
      </c>
      <c r="T304" s="11" t="n">
        <f aca="false">IF(Q304,S304,IF(M304,0,Y303))</f>
        <v>0</v>
      </c>
      <c r="U304" s="8" t="n">
        <f aca="false">IF(Q304,AE303,AF303)</f>
        <v>0.938328062071903</v>
      </c>
      <c r="V304" s="9" t="b">
        <f aca="false">AND(T304&gt;0,D304&lt;=U304)</f>
        <v>0</v>
      </c>
      <c r="W304" s="10" t="n">
        <f aca="false">IF(V304,T304*(AK304-AB304)-Inputs!$B$9-T304*AD304*Inputs!$B$13*(A304-AC304),0)</f>
        <v>0</v>
      </c>
      <c r="X304" s="10" t="n">
        <f aca="false">P304-IF(Q304,Inputs!$B$9,0)+W304</f>
        <v>1016.3844066801</v>
      </c>
      <c r="Y304" s="11" t="n">
        <f aca="false">IF(V304,0,T304)</f>
        <v>0</v>
      </c>
      <c r="Z304" s="9" t="b">
        <f aca="false">AND(Y304&gt;0,K304)</f>
        <v>0</v>
      </c>
      <c r="AA304" s="9" t="b">
        <f aca="false">AND(Y304=0,J304,ISNUMBER(L304))</f>
        <v>0</v>
      </c>
      <c r="AB304" s="8" t="n">
        <f aca="false">IF(Q304,R304,AB303)</f>
        <v>0.95824964655134</v>
      </c>
      <c r="AC304" s="12" t="n">
        <f aca="false">IF(Q304,A304,AC303)</f>
        <v>45034</v>
      </c>
      <c r="AD304" s="8" t="n">
        <f aca="false">IF(Q304,B304,AD303)</f>
        <v>0.958058034944351</v>
      </c>
      <c r="AE304" s="8" t="str">
        <f aca="false">IF(AA304,L304,"")</f>
        <v/>
      </c>
      <c r="AF304" s="8" t="n">
        <f aca="false">U304</f>
        <v>0.938328062071903</v>
      </c>
      <c r="AG304" s="2" t="n">
        <f aca="false">AG303+IF(Q304,1,0)</f>
        <v>2</v>
      </c>
      <c r="AH304" s="2" t="n">
        <f aca="false">AG303</f>
        <v>2</v>
      </c>
      <c r="AI304" s="10" t="n">
        <f aca="false">X304+Y304*(E304-AB304)-Y304*AD304*Inputs!$B$13*(A304-AC304)</f>
        <v>1016.3844066801</v>
      </c>
      <c r="AJ304" s="10" t="n">
        <v>0</v>
      </c>
      <c r="AK304" s="8" t="n">
        <f aca="false">IF(AND(B304&lt;=U304,NOT(Q304)),B304,U304)*(1-Inputs!$B$12)</f>
        <v>0.902245567260953</v>
      </c>
    </row>
    <row r="305" customFormat="false" ht="15" hidden="false" customHeight="false" outlineLevel="0" collapsed="false">
      <c r="A305" s="6" t="n">
        <v>45089</v>
      </c>
      <c r="B305" s="7" t="n">
        <v>0.895994451325646</v>
      </c>
      <c r="C305" s="7" t="n">
        <v>0.902289209890385</v>
      </c>
      <c r="D305" s="7" t="n">
        <v>0.89250275910653</v>
      </c>
      <c r="E305" s="7" t="n">
        <v>0.900973420895915</v>
      </c>
      <c r="F305" s="8" t="n">
        <f aca="true">IF(ROW()-2&gt;=Inputs!$B$4,AVERAGE(OFFSET(E305,1-Inputs!$B$4,0,Inputs!$B$4,1)),"")</f>
        <v>0.909583800903393</v>
      </c>
      <c r="G305" s="8" t="n">
        <f aca="true">IF(ROW()-2&gt;=Inputs!$B$5,AVERAGE(OFFSET(E305,1-Inputs!$B$5,0,Inputs!$B$5,1)),"")</f>
        <v>0.920692510423219</v>
      </c>
      <c r="H305" s="8" t="n">
        <f aca="false">MAX(C305-D305,ABS(C305-E304),ABS(D305-E304))</f>
        <v>0.00978645078385576</v>
      </c>
      <c r="I305" s="8" t="n">
        <f aca="true">IF(ROW()-2&lt;14,"",IF(ROW()-2=14,AVERAGE(OFFSET(H305,-13,0,14,1)),(I304*13+H305)/14))</f>
        <v>0.0117581377246269</v>
      </c>
      <c r="J305" s="9" t="b">
        <f aca="false">IF(AND(ISNUMBER(F305),ISNUMBER(G305),ISNUMBER(F304),ISNUMBER(G304)),AND(F305&gt;G305,F304&lt;=G304),FALSE())</f>
        <v>0</v>
      </c>
      <c r="K305" s="9" t="b">
        <f aca="false">IF(AND(ISNUMBER(F305),ISNUMBER(G305),ISNUMBER(F304),ISNUMBER(G304)),AND(F305&lt;G305,F304&gt;=G304),FALSE())</f>
        <v>0</v>
      </c>
      <c r="L305" s="8" t="n">
        <f aca="false">IF(ISNUMBER(I305),E305-Inputs!$B$6*I305,"")</f>
        <v>0.877457145446661</v>
      </c>
      <c r="M305" s="9" t="b">
        <f aca="false">AND(Y304&gt;0,Z304)</f>
        <v>0</v>
      </c>
      <c r="N305" s="8" t="n">
        <f aca="false">B305*(1-Inputs!$B$12)</f>
        <v>0.895815252435381</v>
      </c>
      <c r="O305" s="10" t="n">
        <f aca="false">IF(M305,Y304*(N305-AB304)-Inputs!$B$9-Y304*AD304*Inputs!$B$13*(A305-AC304),0)</f>
        <v>0</v>
      </c>
      <c r="P305" s="10" t="n">
        <f aca="false">X304+O305</f>
        <v>1016.3844066801</v>
      </c>
      <c r="Q305" s="9" t="b">
        <f aca="false">AND(IF(M305,0,Y304)=0,AA304,IF(ISNUMBER(AE304),B305&gt;AE304,FALSE()))</f>
        <v>0</v>
      </c>
      <c r="R305" s="8" t="n">
        <f aca="false">B305*(1+Inputs!$B$12)</f>
        <v>0.896173650215911</v>
      </c>
      <c r="S305" s="11" t="n">
        <f aca="false">IF(Q305,MIN(P305*Inputs!$B$3/(R305-AE304),P305*Inputs!$B$11/R305),0)</f>
        <v>0</v>
      </c>
      <c r="T305" s="11" t="n">
        <f aca="false">IF(Q305,S305,IF(M305,0,Y304))</f>
        <v>0</v>
      </c>
      <c r="U305" s="8" t="n">
        <f aca="false">IF(Q305,AE304,AF304)</f>
        <v>0.938328062071903</v>
      </c>
      <c r="V305" s="9" t="b">
        <f aca="false">AND(T305&gt;0,D305&lt;=U305)</f>
        <v>0</v>
      </c>
      <c r="W305" s="10" t="n">
        <f aca="false">IF(V305,T305*(AK305-AB305)-Inputs!$B$9-T305*AD305*Inputs!$B$13*(A305-AC305),0)</f>
        <v>0</v>
      </c>
      <c r="X305" s="10" t="n">
        <f aca="false">P305-IF(Q305,Inputs!$B$9,0)+W305</f>
        <v>1016.3844066801</v>
      </c>
      <c r="Y305" s="11" t="n">
        <f aca="false">IF(V305,0,T305)</f>
        <v>0</v>
      </c>
      <c r="Z305" s="9" t="b">
        <f aca="false">AND(Y305&gt;0,K305)</f>
        <v>0</v>
      </c>
      <c r="AA305" s="9" t="b">
        <f aca="false">AND(Y305=0,J305,ISNUMBER(L305))</f>
        <v>0</v>
      </c>
      <c r="AB305" s="8" t="n">
        <f aca="false">IF(Q305,R305,AB304)</f>
        <v>0.95824964655134</v>
      </c>
      <c r="AC305" s="12" t="n">
        <f aca="false">IF(Q305,A305,AC304)</f>
        <v>45034</v>
      </c>
      <c r="AD305" s="8" t="n">
        <f aca="false">IF(Q305,B305,AD304)</f>
        <v>0.958058034944351</v>
      </c>
      <c r="AE305" s="8" t="str">
        <f aca="false">IF(AA305,L305,"")</f>
        <v/>
      </c>
      <c r="AF305" s="8" t="n">
        <f aca="false">U305</f>
        <v>0.938328062071903</v>
      </c>
      <c r="AG305" s="2" t="n">
        <f aca="false">AG304+IF(Q305,1,0)</f>
        <v>2</v>
      </c>
      <c r="AH305" s="2" t="n">
        <f aca="false">AG304</f>
        <v>2</v>
      </c>
      <c r="AI305" s="10" t="n">
        <f aca="false">X305+Y305*(E305-AB305)-Y305*AD305*Inputs!$B$13*(A305-AC305)</f>
        <v>1016.3844066801</v>
      </c>
      <c r="AJ305" s="10" t="n">
        <v>0</v>
      </c>
      <c r="AK305" s="8" t="n">
        <f aca="false">IF(AND(B305&lt;=U305,NOT(Q305)),B305,U305)*(1-Inputs!$B$12)</f>
        <v>0.895815252435381</v>
      </c>
    </row>
    <row r="306" customFormat="false" ht="15" hidden="false" customHeight="false" outlineLevel="0" collapsed="false">
      <c r="A306" s="6" t="n">
        <v>45090</v>
      </c>
      <c r="B306" s="7" t="n">
        <v>0.900973420895915</v>
      </c>
      <c r="C306" s="7" t="n">
        <v>0.901722651905385</v>
      </c>
      <c r="D306" s="7" t="n">
        <v>0.890962884113923</v>
      </c>
      <c r="E306" s="7" t="n">
        <v>0.893216192386865</v>
      </c>
      <c r="F306" s="8" t="n">
        <f aca="true">IF(ROW()-2&gt;=Inputs!$B$4,AVERAGE(OFFSET(E306,1-Inputs!$B$4,0,Inputs!$B$4,1)),"")</f>
        <v>0.909320893141916</v>
      </c>
      <c r="G306" s="8" t="n">
        <f aca="true">IF(ROW()-2&gt;=Inputs!$B$5,AVERAGE(OFFSET(E306,1-Inputs!$B$5,0,Inputs!$B$5,1)),"")</f>
        <v>0.919150901706181</v>
      </c>
      <c r="H306" s="8" t="n">
        <f aca="false">MAX(C306-D306,ABS(C306-E305),ABS(D306-E305))</f>
        <v>0.0107597677914625</v>
      </c>
      <c r="I306" s="8" t="n">
        <f aca="true">IF(ROW()-2&lt;14,"",IF(ROW()-2=14,AVERAGE(OFFSET(H306,-13,0,14,1)),(I305*13+H306)/14))</f>
        <v>0.0116868255865437</v>
      </c>
      <c r="J306" s="9" t="b">
        <f aca="false">IF(AND(ISNUMBER(F306),ISNUMBER(G306),ISNUMBER(F305),ISNUMBER(G305)),AND(F306&gt;G306,F305&lt;=G305),FALSE())</f>
        <v>0</v>
      </c>
      <c r="K306" s="9" t="b">
        <f aca="false">IF(AND(ISNUMBER(F306),ISNUMBER(G306),ISNUMBER(F305),ISNUMBER(G305)),AND(F306&lt;G306,F305&gt;=G305),FALSE())</f>
        <v>0</v>
      </c>
      <c r="L306" s="8" t="n">
        <f aca="false">IF(ISNUMBER(I306),E306-Inputs!$B$6*I306,"")</f>
        <v>0.869842541213778</v>
      </c>
      <c r="M306" s="9" t="b">
        <f aca="false">AND(Y305&gt;0,Z305)</f>
        <v>0</v>
      </c>
      <c r="N306" s="8" t="n">
        <f aca="false">B306*(1-Inputs!$B$12)</f>
        <v>0.900793226211735</v>
      </c>
      <c r="O306" s="10" t="n">
        <f aca="false">IF(M306,Y305*(N306-AB305)-Inputs!$B$9-Y305*AD305*Inputs!$B$13*(A306-AC305),0)</f>
        <v>0</v>
      </c>
      <c r="P306" s="10" t="n">
        <f aca="false">X305+O306</f>
        <v>1016.3844066801</v>
      </c>
      <c r="Q306" s="9" t="b">
        <f aca="false">AND(IF(M306,0,Y305)=0,AA305,IF(ISNUMBER(AE305),B306&gt;AE305,FALSE()))</f>
        <v>0</v>
      </c>
      <c r="R306" s="8" t="n">
        <f aca="false">B306*(1+Inputs!$B$12)</f>
        <v>0.901153615580094</v>
      </c>
      <c r="S306" s="11" t="n">
        <f aca="false">IF(Q306,MIN(P306*Inputs!$B$3/(R306-AE305),P306*Inputs!$B$11/R306),0)</f>
        <v>0</v>
      </c>
      <c r="T306" s="11" t="n">
        <f aca="false">IF(Q306,S306,IF(M306,0,Y305))</f>
        <v>0</v>
      </c>
      <c r="U306" s="8" t="n">
        <f aca="false">IF(Q306,AE305,AF305)</f>
        <v>0.938328062071903</v>
      </c>
      <c r="V306" s="9" t="b">
        <f aca="false">AND(T306&gt;0,D306&lt;=U306)</f>
        <v>0</v>
      </c>
      <c r="W306" s="10" t="n">
        <f aca="false">IF(V306,T306*(AK306-AB306)-Inputs!$B$9-T306*AD306*Inputs!$B$13*(A306-AC306),0)</f>
        <v>0</v>
      </c>
      <c r="X306" s="10" t="n">
        <f aca="false">P306-IF(Q306,Inputs!$B$9,0)+W306</f>
        <v>1016.3844066801</v>
      </c>
      <c r="Y306" s="11" t="n">
        <f aca="false">IF(V306,0,T306)</f>
        <v>0</v>
      </c>
      <c r="Z306" s="9" t="b">
        <f aca="false">AND(Y306&gt;0,K306)</f>
        <v>0</v>
      </c>
      <c r="AA306" s="9" t="b">
        <f aca="false">AND(Y306=0,J306,ISNUMBER(L306))</f>
        <v>0</v>
      </c>
      <c r="AB306" s="8" t="n">
        <f aca="false">IF(Q306,R306,AB305)</f>
        <v>0.95824964655134</v>
      </c>
      <c r="AC306" s="12" t="n">
        <f aca="false">IF(Q306,A306,AC305)</f>
        <v>45034</v>
      </c>
      <c r="AD306" s="8" t="n">
        <f aca="false">IF(Q306,B306,AD305)</f>
        <v>0.958058034944351</v>
      </c>
      <c r="AE306" s="8" t="str">
        <f aca="false">IF(AA306,L306,"")</f>
        <v/>
      </c>
      <c r="AF306" s="8" t="n">
        <f aca="false">U306</f>
        <v>0.938328062071903</v>
      </c>
      <c r="AG306" s="2" t="n">
        <f aca="false">AG305+IF(Q306,1,0)</f>
        <v>2</v>
      </c>
      <c r="AH306" s="2" t="n">
        <f aca="false">AG305</f>
        <v>2</v>
      </c>
      <c r="AI306" s="10" t="n">
        <f aca="false">X306+Y306*(E306-AB306)-Y306*AD306*Inputs!$B$13*(A306-AC306)</f>
        <v>1016.3844066801</v>
      </c>
      <c r="AJ306" s="10" t="n">
        <v>0</v>
      </c>
      <c r="AK306" s="8" t="n">
        <f aca="false">IF(AND(B306&lt;=U306,NOT(Q306)),B306,U306)*(1-Inputs!$B$12)</f>
        <v>0.900793226211735</v>
      </c>
    </row>
    <row r="307" customFormat="false" ht="15" hidden="false" customHeight="false" outlineLevel="0" collapsed="false">
      <c r="A307" s="6" t="n">
        <v>45091</v>
      </c>
      <c r="B307" s="7" t="n">
        <v>0.893216192386865</v>
      </c>
      <c r="C307" s="7" t="n">
        <v>0.905105314152648</v>
      </c>
      <c r="D307" s="7" t="n">
        <v>0.892577884768767</v>
      </c>
      <c r="E307" s="7" t="n">
        <v>0.903742990082821</v>
      </c>
      <c r="F307" s="8" t="n">
        <f aca="true">IF(ROW()-2&gt;=Inputs!$B$4,AVERAGE(OFFSET(E307,1-Inputs!$B$4,0,Inputs!$B$4,1)),"")</f>
        <v>0.910106504858644</v>
      </c>
      <c r="G307" s="8" t="n">
        <f aca="true">IF(ROW()-2&gt;=Inputs!$B$5,AVERAGE(OFFSET(E307,1-Inputs!$B$5,0,Inputs!$B$5,1)),"")</f>
        <v>0.91782768653501</v>
      </c>
      <c r="H307" s="8" t="n">
        <f aca="false">MAX(C307-D307,ABS(C307-E306),ABS(D307-E306))</f>
        <v>0.0125274293838811</v>
      </c>
      <c r="I307" s="8" t="n">
        <f aca="true">IF(ROW()-2&lt;14,"",IF(ROW()-2=14,AVERAGE(OFFSET(H307,-13,0,14,1)),(I306*13+H307)/14))</f>
        <v>0.0117468687149249</v>
      </c>
      <c r="J307" s="9" t="b">
        <f aca="false">IF(AND(ISNUMBER(F307),ISNUMBER(G307),ISNUMBER(F306),ISNUMBER(G306)),AND(F307&gt;G307,F306&lt;=G306),FALSE())</f>
        <v>0</v>
      </c>
      <c r="K307" s="9" t="b">
        <f aca="false">IF(AND(ISNUMBER(F307),ISNUMBER(G307),ISNUMBER(F306),ISNUMBER(G306)),AND(F307&lt;G307,F306&gt;=G306),FALSE())</f>
        <v>0</v>
      </c>
      <c r="L307" s="8" t="n">
        <f aca="false">IF(ISNUMBER(I307),E307-Inputs!$B$6*I307,"")</f>
        <v>0.880249252652971</v>
      </c>
      <c r="M307" s="9" t="b">
        <f aca="false">AND(Y306&gt;0,Z306)</f>
        <v>0</v>
      </c>
      <c r="N307" s="8" t="n">
        <f aca="false">B307*(1-Inputs!$B$12)</f>
        <v>0.893037549148388</v>
      </c>
      <c r="O307" s="10" t="n">
        <f aca="false">IF(M307,Y306*(N307-AB306)-Inputs!$B$9-Y306*AD306*Inputs!$B$13*(A307-AC306),0)</f>
        <v>0</v>
      </c>
      <c r="P307" s="10" t="n">
        <f aca="false">X306+O307</f>
        <v>1016.3844066801</v>
      </c>
      <c r="Q307" s="9" t="b">
        <f aca="false">AND(IF(M307,0,Y306)=0,AA306,IF(ISNUMBER(AE306),B307&gt;AE306,FALSE()))</f>
        <v>0</v>
      </c>
      <c r="R307" s="8" t="n">
        <f aca="false">B307*(1+Inputs!$B$12)</f>
        <v>0.893394835625343</v>
      </c>
      <c r="S307" s="11" t="n">
        <f aca="false">IF(Q307,MIN(P307*Inputs!$B$3/(R307-AE306),P307*Inputs!$B$11/R307),0)</f>
        <v>0</v>
      </c>
      <c r="T307" s="11" t="n">
        <f aca="false">IF(Q307,S307,IF(M307,0,Y306))</f>
        <v>0</v>
      </c>
      <c r="U307" s="8" t="n">
        <f aca="false">IF(Q307,AE306,AF306)</f>
        <v>0.938328062071903</v>
      </c>
      <c r="V307" s="9" t="b">
        <f aca="false">AND(T307&gt;0,D307&lt;=U307)</f>
        <v>0</v>
      </c>
      <c r="W307" s="10" t="n">
        <f aca="false">IF(V307,T307*(AK307-AB307)-Inputs!$B$9-T307*AD307*Inputs!$B$13*(A307-AC307),0)</f>
        <v>0</v>
      </c>
      <c r="X307" s="10" t="n">
        <f aca="false">P307-IF(Q307,Inputs!$B$9,0)+W307</f>
        <v>1016.3844066801</v>
      </c>
      <c r="Y307" s="11" t="n">
        <f aca="false">IF(V307,0,T307)</f>
        <v>0</v>
      </c>
      <c r="Z307" s="9" t="b">
        <f aca="false">AND(Y307&gt;0,K307)</f>
        <v>0</v>
      </c>
      <c r="AA307" s="9" t="b">
        <f aca="false">AND(Y307=0,J307,ISNUMBER(L307))</f>
        <v>0</v>
      </c>
      <c r="AB307" s="8" t="n">
        <f aca="false">IF(Q307,R307,AB306)</f>
        <v>0.95824964655134</v>
      </c>
      <c r="AC307" s="12" t="n">
        <f aca="false">IF(Q307,A307,AC306)</f>
        <v>45034</v>
      </c>
      <c r="AD307" s="8" t="n">
        <f aca="false">IF(Q307,B307,AD306)</f>
        <v>0.958058034944351</v>
      </c>
      <c r="AE307" s="8" t="str">
        <f aca="false">IF(AA307,L307,"")</f>
        <v/>
      </c>
      <c r="AF307" s="8" t="n">
        <f aca="false">U307</f>
        <v>0.938328062071903</v>
      </c>
      <c r="AG307" s="2" t="n">
        <f aca="false">AG306+IF(Q307,1,0)</f>
        <v>2</v>
      </c>
      <c r="AH307" s="2" t="n">
        <f aca="false">AG306</f>
        <v>2</v>
      </c>
      <c r="AI307" s="10" t="n">
        <f aca="false">X307+Y307*(E307-AB307)-Y307*AD307*Inputs!$B$13*(A307-AC307)</f>
        <v>1016.3844066801</v>
      </c>
      <c r="AJ307" s="10" t="n">
        <v>0</v>
      </c>
      <c r="AK307" s="8" t="n">
        <f aca="false">IF(AND(B307&lt;=U307,NOT(Q307)),B307,U307)*(1-Inputs!$B$12)</f>
        <v>0.893037549148388</v>
      </c>
    </row>
    <row r="308" customFormat="false" ht="15" hidden="false" customHeight="false" outlineLevel="0" collapsed="false">
      <c r="A308" s="6" t="n">
        <v>45092</v>
      </c>
      <c r="B308" s="7" t="n">
        <v>0.903742990082821</v>
      </c>
      <c r="C308" s="7" t="n">
        <v>0.90510410115468</v>
      </c>
      <c r="D308" s="7" t="n">
        <v>0.901027663657442</v>
      </c>
      <c r="E308" s="7" t="n">
        <v>0.903324036073265</v>
      </c>
      <c r="F308" s="8" t="n">
        <f aca="true">IF(ROW()-2&gt;=Inputs!$B$4,AVERAGE(OFFSET(E308,1-Inputs!$B$4,0,Inputs!$B$4,1)),"")</f>
        <v>0.910686758938448</v>
      </c>
      <c r="G308" s="8" t="n">
        <f aca="true">IF(ROW()-2&gt;=Inputs!$B$5,AVERAGE(OFFSET(E308,1-Inputs!$B$5,0,Inputs!$B$5,1)),"")</f>
        <v>0.916541990214097</v>
      </c>
      <c r="H308" s="8" t="n">
        <f aca="false">MAX(C308-D308,ABS(C308-E307),ABS(D308-E307))</f>
        <v>0.00407643749723829</v>
      </c>
      <c r="I308" s="8" t="n">
        <f aca="true">IF(ROW()-2&lt;14,"",IF(ROW()-2=14,AVERAGE(OFFSET(H308,-13,0,14,1)),(I307*13+H308)/14))</f>
        <v>0.0111989807708045</v>
      </c>
      <c r="J308" s="9" t="b">
        <f aca="false">IF(AND(ISNUMBER(F308),ISNUMBER(G308),ISNUMBER(F307),ISNUMBER(G307)),AND(F308&gt;G308,F307&lt;=G307),FALSE())</f>
        <v>0</v>
      </c>
      <c r="K308" s="9" t="b">
        <f aca="false">IF(AND(ISNUMBER(F308),ISNUMBER(G308),ISNUMBER(F307),ISNUMBER(G307)),AND(F308&lt;G308,F307&gt;=G307),FALSE())</f>
        <v>0</v>
      </c>
      <c r="L308" s="8" t="n">
        <f aca="false">IF(ISNUMBER(I308),E308-Inputs!$B$6*I308,"")</f>
        <v>0.880926074531656</v>
      </c>
      <c r="M308" s="9" t="b">
        <f aca="false">AND(Y307&gt;0,Z307)</f>
        <v>0</v>
      </c>
      <c r="N308" s="8" t="n">
        <f aca="false">B308*(1-Inputs!$B$12)</f>
        <v>0.903562241484804</v>
      </c>
      <c r="O308" s="10" t="n">
        <f aca="false">IF(M308,Y307*(N308-AB307)-Inputs!$B$9-Y307*AD307*Inputs!$B$13*(A308-AC307),0)</f>
        <v>0</v>
      </c>
      <c r="P308" s="10" t="n">
        <f aca="false">X307+O308</f>
        <v>1016.3844066801</v>
      </c>
      <c r="Q308" s="9" t="b">
        <f aca="false">AND(IF(M308,0,Y307)=0,AA307,IF(ISNUMBER(AE307),B308&gt;AE307,FALSE()))</f>
        <v>0</v>
      </c>
      <c r="R308" s="8" t="n">
        <f aca="false">B308*(1+Inputs!$B$12)</f>
        <v>0.903923738680837</v>
      </c>
      <c r="S308" s="11" t="n">
        <f aca="false">IF(Q308,MIN(P308*Inputs!$B$3/(R308-AE307),P308*Inputs!$B$11/R308),0)</f>
        <v>0</v>
      </c>
      <c r="T308" s="11" t="n">
        <f aca="false">IF(Q308,S308,IF(M308,0,Y307))</f>
        <v>0</v>
      </c>
      <c r="U308" s="8" t="n">
        <f aca="false">IF(Q308,AE307,AF307)</f>
        <v>0.938328062071903</v>
      </c>
      <c r="V308" s="9" t="b">
        <f aca="false">AND(T308&gt;0,D308&lt;=U308)</f>
        <v>0</v>
      </c>
      <c r="W308" s="10" t="n">
        <f aca="false">IF(V308,T308*(AK308-AB308)-Inputs!$B$9-T308*AD308*Inputs!$B$13*(A308-AC308),0)</f>
        <v>0</v>
      </c>
      <c r="X308" s="10" t="n">
        <f aca="false">P308-IF(Q308,Inputs!$B$9,0)+W308</f>
        <v>1016.3844066801</v>
      </c>
      <c r="Y308" s="11" t="n">
        <f aca="false">IF(V308,0,T308)</f>
        <v>0</v>
      </c>
      <c r="Z308" s="9" t="b">
        <f aca="false">AND(Y308&gt;0,K308)</f>
        <v>0</v>
      </c>
      <c r="AA308" s="9" t="b">
        <f aca="false">AND(Y308=0,J308,ISNUMBER(L308))</f>
        <v>0</v>
      </c>
      <c r="AB308" s="8" t="n">
        <f aca="false">IF(Q308,R308,AB307)</f>
        <v>0.95824964655134</v>
      </c>
      <c r="AC308" s="12" t="n">
        <f aca="false">IF(Q308,A308,AC307)</f>
        <v>45034</v>
      </c>
      <c r="AD308" s="8" t="n">
        <f aca="false">IF(Q308,B308,AD307)</f>
        <v>0.958058034944351</v>
      </c>
      <c r="AE308" s="8" t="str">
        <f aca="false">IF(AA308,L308,"")</f>
        <v/>
      </c>
      <c r="AF308" s="8" t="n">
        <f aca="false">U308</f>
        <v>0.938328062071903</v>
      </c>
      <c r="AG308" s="2" t="n">
        <f aca="false">AG307+IF(Q308,1,0)</f>
        <v>2</v>
      </c>
      <c r="AH308" s="2" t="n">
        <f aca="false">AG307</f>
        <v>2</v>
      </c>
      <c r="AI308" s="10" t="n">
        <f aca="false">X308+Y308*(E308-AB308)-Y308*AD308*Inputs!$B$13*(A308-AC308)</f>
        <v>1016.3844066801</v>
      </c>
      <c r="AJ308" s="10" t="n">
        <v>0</v>
      </c>
      <c r="AK308" s="8" t="n">
        <f aca="false">IF(AND(B308&lt;=U308,NOT(Q308)),B308,U308)*(1-Inputs!$B$12)</f>
        <v>0.903562241484804</v>
      </c>
    </row>
    <row r="309" customFormat="false" ht="15" hidden="false" customHeight="false" outlineLevel="0" collapsed="false">
      <c r="A309" s="6" t="n">
        <v>45093</v>
      </c>
      <c r="B309" s="7" t="n">
        <v>0.903324036073265</v>
      </c>
      <c r="C309" s="7" t="n">
        <v>0.904092188317784</v>
      </c>
      <c r="D309" s="7" t="n">
        <v>0.899187158652837</v>
      </c>
      <c r="E309" s="7" t="n">
        <v>0.901918125731173</v>
      </c>
      <c r="F309" s="8" t="n">
        <f aca="true">IF(ROW()-2&gt;=Inputs!$B$4,AVERAGE(OFFSET(E309,1-Inputs!$B$4,0,Inputs!$B$4,1)),"")</f>
        <v>0.910531717277484</v>
      </c>
      <c r="G309" s="8" t="n">
        <f aca="true">IF(ROW()-2&gt;=Inputs!$B$5,AVERAGE(OFFSET(E309,1-Inputs!$B$5,0,Inputs!$B$5,1)),"")</f>
        <v>0.91540287450129</v>
      </c>
      <c r="H309" s="8" t="n">
        <f aca="false">MAX(C309-D309,ABS(C309-E308),ABS(D309-E308))</f>
        <v>0.0049050296649471</v>
      </c>
      <c r="I309" s="8" t="n">
        <f aca="true">IF(ROW()-2&lt;14,"",IF(ROW()-2=14,AVERAGE(OFFSET(H309,-13,0,14,1)),(I308*13+H309)/14))</f>
        <v>0.0107494128346718</v>
      </c>
      <c r="J309" s="9" t="b">
        <f aca="false">IF(AND(ISNUMBER(F309),ISNUMBER(G309),ISNUMBER(F308),ISNUMBER(G308)),AND(F309&gt;G309,F308&lt;=G308),FALSE())</f>
        <v>0</v>
      </c>
      <c r="K309" s="9" t="b">
        <f aca="false">IF(AND(ISNUMBER(F309),ISNUMBER(G309),ISNUMBER(F308),ISNUMBER(G308)),AND(F309&lt;G309,F308&gt;=G308),FALSE())</f>
        <v>0</v>
      </c>
      <c r="L309" s="8" t="n">
        <f aca="false">IF(ISNUMBER(I309),E309-Inputs!$B$6*I309,"")</f>
        <v>0.880419300061829</v>
      </c>
      <c r="M309" s="9" t="b">
        <f aca="false">AND(Y308&gt;0,Z308)</f>
        <v>0</v>
      </c>
      <c r="N309" s="8" t="n">
        <f aca="false">B309*(1-Inputs!$B$12)</f>
        <v>0.90314337126605</v>
      </c>
      <c r="O309" s="10" t="n">
        <f aca="false">IF(M309,Y308*(N309-AB308)-Inputs!$B$9-Y308*AD308*Inputs!$B$13*(A309-AC308),0)</f>
        <v>0</v>
      </c>
      <c r="P309" s="10" t="n">
        <f aca="false">X308+O309</f>
        <v>1016.3844066801</v>
      </c>
      <c r="Q309" s="9" t="b">
        <f aca="false">AND(IF(M309,0,Y308)=0,AA308,IF(ISNUMBER(AE308),B309&gt;AE308,FALSE()))</f>
        <v>0</v>
      </c>
      <c r="R309" s="8" t="n">
        <f aca="false">B309*(1+Inputs!$B$12)</f>
        <v>0.90350470088048</v>
      </c>
      <c r="S309" s="11" t="n">
        <f aca="false">IF(Q309,MIN(P309*Inputs!$B$3/(R309-AE308),P309*Inputs!$B$11/R309),0)</f>
        <v>0</v>
      </c>
      <c r="T309" s="11" t="n">
        <f aca="false">IF(Q309,S309,IF(M309,0,Y308))</f>
        <v>0</v>
      </c>
      <c r="U309" s="8" t="n">
        <f aca="false">IF(Q309,AE308,AF308)</f>
        <v>0.938328062071903</v>
      </c>
      <c r="V309" s="9" t="b">
        <f aca="false">AND(T309&gt;0,D309&lt;=U309)</f>
        <v>0</v>
      </c>
      <c r="W309" s="10" t="n">
        <f aca="false">IF(V309,T309*(AK309-AB309)-Inputs!$B$9-T309*AD309*Inputs!$B$13*(A309-AC309),0)</f>
        <v>0</v>
      </c>
      <c r="X309" s="10" t="n">
        <f aca="false">P309-IF(Q309,Inputs!$B$9,0)+W309</f>
        <v>1016.3844066801</v>
      </c>
      <c r="Y309" s="11" t="n">
        <f aca="false">IF(V309,0,T309)</f>
        <v>0</v>
      </c>
      <c r="Z309" s="9" t="b">
        <f aca="false">AND(Y309&gt;0,K309)</f>
        <v>0</v>
      </c>
      <c r="AA309" s="9" t="b">
        <f aca="false">AND(Y309=0,J309,ISNUMBER(L309))</f>
        <v>0</v>
      </c>
      <c r="AB309" s="8" t="n">
        <f aca="false">IF(Q309,R309,AB308)</f>
        <v>0.95824964655134</v>
      </c>
      <c r="AC309" s="12" t="n">
        <f aca="false">IF(Q309,A309,AC308)</f>
        <v>45034</v>
      </c>
      <c r="AD309" s="8" t="n">
        <f aca="false">IF(Q309,B309,AD308)</f>
        <v>0.958058034944351</v>
      </c>
      <c r="AE309" s="8" t="str">
        <f aca="false">IF(AA309,L309,"")</f>
        <v/>
      </c>
      <c r="AF309" s="8" t="n">
        <f aca="false">U309</f>
        <v>0.938328062071903</v>
      </c>
      <c r="AG309" s="2" t="n">
        <f aca="false">AG308+IF(Q309,1,0)</f>
        <v>2</v>
      </c>
      <c r="AH309" s="2" t="n">
        <f aca="false">AG308</f>
        <v>2</v>
      </c>
      <c r="AI309" s="10" t="n">
        <f aca="false">X309+Y309*(E309-AB309)-Y309*AD309*Inputs!$B$13*(A309-AC309)</f>
        <v>1016.3844066801</v>
      </c>
      <c r="AJ309" s="10" t="n">
        <v>0</v>
      </c>
      <c r="AK309" s="8" t="n">
        <f aca="false">IF(AND(B309&lt;=U309,NOT(Q309)),B309,U309)*(1-Inputs!$B$12)</f>
        <v>0.90314337126605</v>
      </c>
    </row>
    <row r="310" customFormat="false" ht="15" hidden="false" customHeight="false" outlineLevel="0" collapsed="false">
      <c r="A310" s="6" t="n">
        <v>45094</v>
      </c>
      <c r="B310" s="7" t="n">
        <v>0.901918125731173</v>
      </c>
      <c r="C310" s="7" t="n">
        <v>0.902332360260391</v>
      </c>
      <c r="D310" s="7" t="n">
        <v>0.900061567445271</v>
      </c>
      <c r="E310" s="7" t="n">
        <v>0.900405962483819</v>
      </c>
      <c r="F310" s="8" t="n">
        <f aca="true">IF(ROW()-2&gt;=Inputs!$B$4,AVERAGE(OFFSET(E310,1-Inputs!$B$4,0,Inputs!$B$4,1)),"")</f>
        <v>0.909837955410873</v>
      </c>
      <c r="G310" s="8" t="n">
        <f aca="true">IF(ROW()-2&gt;=Inputs!$B$5,AVERAGE(OFFSET(E310,1-Inputs!$B$5,0,Inputs!$B$5,1)),"")</f>
        <v>0.914353320687237</v>
      </c>
      <c r="H310" s="8" t="n">
        <f aca="false">MAX(C310-D310,ABS(C310-E309),ABS(D310-E309))</f>
        <v>0.0022707928151201</v>
      </c>
      <c r="I310" s="8" t="n">
        <f aca="true">IF(ROW()-2&lt;14,"",IF(ROW()-2=14,AVERAGE(OFFSET(H310,-13,0,14,1)),(I309*13+H310)/14))</f>
        <v>0.0101437971189895</v>
      </c>
      <c r="J310" s="9" t="b">
        <f aca="false">IF(AND(ISNUMBER(F310),ISNUMBER(G310),ISNUMBER(F309),ISNUMBER(G309)),AND(F310&gt;G310,F309&lt;=G309),FALSE())</f>
        <v>0</v>
      </c>
      <c r="K310" s="9" t="b">
        <f aca="false">IF(AND(ISNUMBER(F310),ISNUMBER(G310),ISNUMBER(F309),ISNUMBER(G309)),AND(F310&lt;G310,F309&gt;=G309),FALSE())</f>
        <v>0</v>
      </c>
      <c r="L310" s="8" t="n">
        <f aca="false">IF(ISNUMBER(I310),E310-Inputs!$B$6*I310,"")</f>
        <v>0.88011836824584</v>
      </c>
      <c r="M310" s="9" t="b">
        <f aca="false">AND(Y309&gt;0,Z309)</f>
        <v>0</v>
      </c>
      <c r="N310" s="8" t="n">
        <f aca="false">B310*(1-Inputs!$B$12)</f>
        <v>0.901737742106026</v>
      </c>
      <c r="O310" s="10" t="n">
        <f aca="false">IF(M310,Y309*(N310-AB309)-Inputs!$B$9-Y309*AD309*Inputs!$B$13*(A310-AC309),0)</f>
        <v>0</v>
      </c>
      <c r="P310" s="10" t="n">
        <f aca="false">X309+O310</f>
        <v>1016.3844066801</v>
      </c>
      <c r="Q310" s="9" t="b">
        <f aca="false">AND(IF(M310,0,Y309)=0,AA309,IF(ISNUMBER(AE309),B310&gt;AE309,FALSE()))</f>
        <v>0</v>
      </c>
      <c r="R310" s="8" t="n">
        <f aca="false">B310*(1+Inputs!$B$12)</f>
        <v>0.902098509356319</v>
      </c>
      <c r="S310" s="11" t="n">
        <f aca="false">IF(Q310,MIN(P310*Inputs!$B$3/(R310-AE309),P310*Inputs!$B$11/R310),0)</f>
        <v>0</v>
      </c>
      <c r="T310" s="11" t="n">
        <f aca="false">IF(Q310,S310,IF(M310,0,Y309))</f>
        <v>0</v>
      </c>
      <c r="U310" s="8" t="n">
        <f aca="false">IF(Q310,AE309,AF309)</f>
        <v>0.938328062071903</v>
      </c>
      <c r="V310" s="9" t="b">
        <f aca="false">AND(T310&gt;0,D310&lt;=U310)</f>
        <v>0</v>
      </c>
      <c r="W310" s="10" t="n">
        <f aca="false">IF(V310,T310*(AK310-AB310)-Inputs!$B$9-T310*AD310*Inputs!$B$13*(A310-AC310),0)</f>
        <v>0</v>
      </c>
      <c r="X310" s="10" t="n">
        <f aca="false">P310-IF(Q310,Inputs!$B$9,0)+W310</f>
        <v>1016.3844066801</v>
      </c>
      <c r="Y310" s="11" t="n">
        <f aca="false">IF(V310,0,T310)</f>
        <v>0</v>
      </c>
      <c r="Z310" s="9" t="b">
        <f aca="false">AND(Y310&gt;0,K310)</f>
        <v>0</v>
      </c>
      <c r="AA310" s="9" t="b">
        <f aca="false">AND(Y310=0,J310,ISNUMBER(L310))</f>
        <v>0</v>
      </c>
      <c r="AB310" s="8" t="n">
        <f aca="false">IF(Q310,R310,AB309)</f>
        <v>0.95824964655134</v>
      </c>
      <c r="AC310" s="12" t="n">
        <f aca="false">IF(Q310,A310,AC309)</f>
        <v>45034</v>
      </c>
      <c r="AD310" s="8" t="n">
        <f aca="false">IF(Q310,B310,AD309)</f>
        <v>0.958058034944351</v>
      </c>
      <c r="AE310" s="8" t="str">
        <f aca="false">IF(AA310,L310,"")</f>
        <v/>
      </c>
      <c r="AF310" s="8" t="n">
        <f aca="false">U310</f>
        <v>0.938328062071903</v>
      </c>
      <c r="AG310" s="2" t="n">
        <f aca="false">AG309+IF(Q310,1,0)</f>
        <v>2</v>
      </c>
      <c r="AH310" s="2" t="n">
        <f aca="false">AG309</f>
        <v>2</v>
      </c>
      <c r="AI310" s="10" t="n">
        <f aca="false">X310+Y310*(E310-AB310)-Y310*AD310*Inputs!$B$13*(A310-AC310)</f>
        <v>1016.3844066801</v>
      </c>
      <c r="AJ310" s="10" t="n">
        <v>0</v>
      </c>
      <c r="AK310" s="8" t="n">
        <f aca="false">IF(AND(B310&lt;=U310,NOT(Q310)),B310,U310)*(1-Inputs!$B$12)</f>
        <v>0.901737742106026</v>
      </c>
    </row>
    <row r="311" customFormat="false" ht="15" hidden="false" customHeight="false" outlineLevel="0" collapsed="false">
      <c r="A311" s="6" t="n">
        <v>45095</v>
      </c>
      <c r="B311" s="7" t="n">
        <v>0.900405962483819</v>
      </c>
      <c r="C311" s="7" t="n">
        <v>0.901497590820674</v>
      </c>
      <c r="D311" s="7" t="n">
        <v>0.888763089476808</v>
      </c>
      <c r="E311" s="7" t="n">
        <v>0.89397288156851</v>
      </c>
      <c r="F311" s="8" t="n">
        <f aca="true">IF(ROW()-2&gt;=Inputs!$B$4,AVERAGE(OFFSET(E311,1-Inputs!$B$4,0,Inputs!$B$4,1)),"")</f>
        <v>0.908616471555826</v>
      </c>
      <c r="G311" s="8" t="n">
        <f aca="true">IF(ROW()-2&gt;=Inputs!$B$5,AVERAGE(OFFSET(E311,1-Inputs!$B$5,0,Inputs!$B$5,1)),"")</f>
        <v>0.91301383105358</v>
      </c>
      <c r="H311" s="8" t="n">
        <f aca="false">MAX(C311-D311,ABS(C311-E310),ABS(D311-E310))</f>
        <v>0.0127345013438658</v>
      </c>
      <c r="I311" s="8" t="n">
        <f aca="true">IF(ROW()-2&lt;14,"",IF(ROW()-2=14,AVERAGE(OFFSET(H311,-13,0,14,1)),(I310*13+H311)/14))</f>
        <v>0.0103288474207664</v>
      </c>
      <c r="J311" s="9" t="b">
        <f aca="false">IF(AND(ISNUMBER(F311),ISNUMBER(G311),ISNUMBER(F310),ISNUMBER(G310)),AND(F311&gt;G311,F310&lt;=G310),FALSE())</f>
        <v>0</v>
      </c>
      <c r="K311" s="9" t="b">
        <f aca="false">IF(AND(ISNUMBER(F311),ISNUMBER(G311),ISNUMBER(F310),ISNUMBER(G310)),AND(F311&lt;G311,F310&gt;=G310),FALSE())</f>
        <v>0</v>
      </c>
      <c r="L311" s="8" t="n">
        <f aca="false">IF(ISNUMBER(I311),E311-Inputs!$B$6*I311,"")</f>
        <v>0.873315186726978</v>
      </c>
      <c r="M311" s="9" t="b">
        <f aca="false">AND(Y310&gt;0,Z310)</f>
        <v>0</v>
      </c>
      <c r="N311" s="8" t="n">
        <f aca="false">B311*(1-Inputs!$B$12)</f>
        <v>0.900225881291322</v>
      </c>
      <c r="O311" s="10" t="n">
        <f aca="false">IF(M311,Y310*(N311-AB310)-Inputs!$B$9-Y310*AD310*Inputs!$B$13*(A311-AC310),0)</f>
        <v>0</v>
      </c>
      <c r="P311" s="10" t="n">
        <f aca="false">X310+O311</f>
        <v>1016.3844066801</v>
      </c>
      <c r="Q311" s="9" t="b">
        <f aca="false">AND(IF(M311,0,Y310)=0,AA310,IF(ISNUMBER(AE310),B311&gt;AE310,FALSE()))</f>
        <v>0</v>
      </c>
      <c r="R311" s="8" t="n">
        <f aca="false">B311*(1+Inputs!$B$12)</f>
        <v>0.900586043676316</v>
      </c>
      <c r="S311" s="11" t="n">
        <f aca="false">IF(Q311,MIN(P311*Inputs!$B$3/(R311-AE310),P311*Inputs!$B$11/R311),0)</f>
        <v>0</v>
      </c>
      <c r="T311" s="11" t="n">
        <f aca="false">IF(Q311,S311,IF(M311,0,Y310))</f>
        <v>0</v>
      </c>
      <c r="U311" s="8" t="n">
        <f aca="false">IF(Q311,AE310,AF310)</f>
        <v>0.938328062071903</v>
      </c>
      <c r="V311" s="9" t="b">
        <f aca="false">AND(T311&gt;0,D311&lt;=U311)</f>
        <v>0</v>
      </c>
      <c r="W311" s="10" t="n">
        <f aca="false">IF(V311,T311*(AK311-AB311)-Inputs!$B$9-T311*AD311*Inputs!$B$13*(A311-AC311),0)</f>
        <v>0</v>
      </c>
      <c r="X311" s="10" t="n">
        <f aca="false">P311-IF(Q311,Inputs!$B$9,0)+W311</f>
        <v>1016.3844066801</v>
      </c>
      <c r="Y311" s="11" t="n">
        <f aca="false">IF(V311,0,T311)</f>
        <v>0</v>
      </c>
      <c r="Z311" s="9" t="b">
        <f aca="false">AND(Y311&gt;0,K311)</f>
        <v>0</v>
      </c>
      <c r="AA311" s="9" t="b">
        <f aca="false">AND(Y311=0,J311,ISNUMBER(L311))</f>
        <v>0</v>
      </c>
      <c r="AB311" s="8" t="n">
        <f aca="false">IF(Q311,R311,AB310)</f>
        <v>0.95824964655134</v>
      </c>
      <c r="AC311" s="12" t="n">
        <f aca="false">IF(Q311,A311,AC310)</f>
        <v>45034</v>
      </c>
      <c r="AD311" s="8" t="n">
        <f aca="false">IF(Q311,B311,AD310)</f>
        <v>0.958058034944351</v>
      </c>
      <c r="AE311" s="8" t="str">
        <f aca="false">IF(AA311,L311,"")</f>
        <v/>
      </c>
      <c r="AF311" s="8" t="n">
        <f aca="false">U311</f>
        <v>0.938328062071903</v>
      </c>
      <c r="AG311" s="2" t="n">
        <f aca="false">AG310+IF(Q311,1,0)</f>
        <v>2</v>
      </c>
      <c r="AH311" s="2" t="n">
        <f aca="false">AG310</f>
        <v>2</v>
      </c>
      <c r="AI311" s="10" t="n">
        <f aca="false">X311+Y311*(E311-AB311)-Y311*AD311*Inputs!$B$13*(A311-AC311)</f>
        <v>1016.3844066801</v>
      </c>
      <c r="AJ311" s="10" t="n">
        <v>0</v>
      </c>
      <c r="AK311" s="8" t="n">
        <f aca="false">IF(AND(B311&lt;=U311,NOT(Q311)),B311,U311)*(1-Inputs!$B$12)</f>
        <v>0.900225881291322</v>
      </c>
    </row>
    <row r="312" customFormat="false" ht="15" hidden="false" customHeight="false" outlineLevel="0" collapsed="false">
      <c r="A312" s="6" t="n">
        <v>45096</v>
      </c>
      <c r="B312" s="7" t="n">
        <v>0.89397288156851</v>
      </c>
      <c r="C312" s="7" t="n">
        <v>0.898003459781059</v>
      </c>
      <c r="D312" s="7" t="n">
        <v>0.882368550727905</v>
      </c>
      <c r="E312" s="7" t="n">
        <v>0.882712696605847</v>
      </c>
      <c r="F312" s="8" t="n">
        <f aca="true">IF(ROW()-2&gt;=Inputs!$B$4,AVERAGE(OFFSET(E312,1-Inputs!$B$4,0,Inputs!$B$4,1)),"")</f>
        <v>0.907069986562494</v>
      </c>
      <c r="G312" s="8" t="n">
        <f aca="true">IF(ROW()-2&gt;=Inputs!$B$5,AVERAGE(OFFSET(E312,1-Inputs!$B$5,0,Inputs!$B$5,1)),"")</f>
        <v>0.911676418066667</v>
      </c>
      <c r="H312" s="8" t="n">
        <f aca="false">MAX(C312-D312,ABS(C312-E311),ABS(D312-E311))</f>
        <v>0.015634909053154</v>
      </c>
      <c r="I312" s="8" t="n">
        <f aca="true">IF(ROW()-2&lt;14,"",IF(ROW()-2=14,AVERAGE(OFFSET(H312,-13,0,14,1)),(I311*13+H312)/14))</f>
        <v>0.0107078518230798</v>
      </c>
      <c r="J312" s="9" t="b">
        <f aca="false">IF(AND(ISNUMBER(F312),ISNUMBER(G312),ISNUMBER(F311),ISNUMBER(G311)),AND(F312&gt;G312,F311&lt;=G311),FALSE())</f>
        <v>0</v>
      </c>
      <c r="K312" s="9" t="b">
        <f aca="false">IF(AND(ISNUMBER(F312),ISNUMBER(G312),ISNUMBER(F311),ISNUMBER(G311)),AND(F312&lt;G312,F311&gt;=G311),FALSE())</f>
        <v>0</v>
      </c>
      <c r="L312" s="8" t="n">
        <f aca="false">IF(ISNUMBER(I312),E312-Inputs!$B$6*I312,"")</f>
        <v>0.861296992959687</v>
      </c>
      <c r="M312" s="9" t="b">
        <f aca="false">AND(Y311&gt;0,Z311)</f>
        <v>0</v>
      </c>
      <c r="N312" s="8" t="n">
        <f aca="false">B312*(1-Inputs!$B$12)</f>
        <v>0.893794086992197</v>
      </c>
      <c r="O312" s="10" t="n">
        <f aca="false">IF(M312,Y311*(N312-AB311)-Inputs!$B$9-Y311*AD311*Inputs!$B$13*(A312-AC311),0)</f>
        <v>0</v>
      </c>
      <c r="P312" s="10" t="n">
        <f aca="false">X311+O312</f>
        <v>1016.3844066801</v>
      </c>
      <c r="Q312" s="9" t="b">
        <f aca="false">AND(IF(M312,0,Y311)=0,AA311,IF(ISNUMBER(AE311),B312&gt;AE311,FALSE()))</f>
        <v>0</v>
      </c>
      <c r="R312" s="8" t="n">
        <f aca="false">B312*(1+Inputs!$B$12)</f>
        <v>0.894151676144824</v>
      </c>
      <c r="S312" s="11" t="n">
        <f aca="false">IF(Q312,MIN(P312*Inputs!$B$3/(R312-AE311),P312*Inputs!$B$11/R312),0)</f>
        <v>0</v>
      </c>
      <c r="T312" s="11" t="n">
        <f aca="false">IF(Q312,S312,IF(M312,0,Y311))</f>
        <v>0</v>
      </c>
      <c r="U312" s="8" t="n">
        <f aca="false">IF(Q312,AE311,AF311)</f>
        <v>0.938328062071903</v>
      </c>
      <c r="V312" s="9" t="b">
        <f aca="false">AND(T312&gt;0,D312&lt;=U312)</f>
        <v>0</v>
      </c>
      <c r="W312" s="10" t="n">
        <f aca="false">IF(V312,T312*(AK312-AB312)-Inputs!$B$9-T312*AD312*Inputs!$B$13*(A312-AC312),0)</f>
        <v>0</v>
      </c>
      <c r="X312" s="10" t="n">
        <f aca="false">P312-IF(Q312,Inputs!$B$9,0)+W312</f>
        <v>1016.3844066801</v>
      </c>
      <c r="Y312" s="11" t="n">
        <f aca="false">IF(V312,0,T312)</f>
        <v>0</v>
      </c>
      <c r="Z312" s="9" t="b">
        <f aca="false">AND(Y312&gt;0,K312)</f>
        <v>0</v>
      </c>
      <c r="AA312" s="9" t="b">
        <f aca="false">AND(Y312=0,J312,ISNUMBER(L312))</f>
        <v>0</v>
      </c>
      <c r="AB312" s="8" t="n">
        <f aca="false">IF(Q312,R312,AB311)</f>
        <v>0.95824964655134</v>
      </c>
      <c r="AC312" s="12" t="n">
        <f aca="false">IF(Q312,A312,AC311)</f>
        <v>45034</v>
      </c>
      <c r="AD312" s="8" t="n">
        <f aca="false">IF(Q312,B312,AD311)</f>
        <v>0.958058034944351</v>
      </c>
      <c r="AE312" s="8" t="str">
        <f aca="false">IF(AA312,L312,"")</f>
        <v/>
      </c>
      <c r="AF312" s="8" t="n">
        <f aca="false">U312</f>
        <v>0.938328062071903</v>
      </c>
      <c r="AG312" s="2" t="n">
        <f aca="false">AG311+IF(Q312,1,0)</f>
        <v>2</v>
      </c>
      <c r="AH312" s="2" t="n">
        <f aca="false">AG311</f>
        <v>2</v>
      </c>
      <c r="AI312" s="10" t="n">
        <f aca="false">X312+Y312*(E312-AB312)-Y312*AD312*Inputs!$B$13*(A312-AC312)</f>
        <v>1016.3844066801</v>
      </c>
      <c r="AJ312" s="10" t="n">
        <v>0</v>
      </c>
      <c r="AK312" s="8" t="n">
        <f aca="false">IF(AND(B312&lt;=U312,NOT(Q312)),B312,U312)*(1-Inputs!$B$12)</f>
        <v>0.893794086992197</v>
      </c>
    </row>
    <row r="313" customFormat="false" ht="15" hidden="false" customHeight="false" outlineLevel="0" collapsed="false">
      <c r="A313" s="6" t="n">
        <v>45097</v>
      </c>
      <c r="B313" s="7" t="n">
        <v>0.882712696605847</v>
      </c>
      <c r="C313" s="7" t="n">
        <v>0.889192392779493</v>
      </c>
      <c r="D313" s="7" t="n">
        <v>0.878676107382925</v>
      </c>
      <c r="E313" s="7" t="n">
        <v>0.887998240117916</v>
      </c>
      <c r="F313" s="8" t="n">
        <f aca="true">IF(ROW()-2&gt;=Inputs!$B$4,AVERAGE(OFFSET(E313,1-Inputs!$B$4,0,Inputs!$B$4,1)),"")</f>
        <v>0.906164684588513</v>
      </c>
      <c r="G313" s="8" t="n">
        <f aca="true">IF(ROW()-2&gt;=Inputs!$B$5,AVERAGE(OFFSET(E313,1-Inputs!$B$5,0,Inputs!$B$5,1)),"")</f>
        <v>0.910689456281538</v>
      </c>
      <c r="H313" s="8" t="n">
        <f aca="false">MAX(C313-D313,ABS(C313-E312),ABS(D313-E312))</f>
        <v>0.0105162853965677</v>
      </c>
      <c r="I313" s="8" t="n">
        <f aca="true">IF(ROW()-2&lt;14,"",IF(ROW()-2=14,AVERAGE(OFFSET(H313,-13,0,14,1)),(I312*13+H313)/14))</f>
        <v>0.0106941685069004</v>
      </c>
      <c r="J313" s="9" t="b">
        <f aca="false">IF(AND(ISNUMBER(F313),ISNUMBER(G313),ISNUMBER(F312),ISNUMBER(G312)),AND(F313&gt;G313,F312&lt;=G312),FALSE())</f>
        <v>0</v>
      </c>
      <c r="K313" s="9" t="b">
        <f aca="false">IF(AND(ISNUMBER(F313),ISNUMBER(G313),ISNUMBER(F312),ISNUMBER(G312)),AND(F313&lt;G313,F312&gt;=G312),FALSE())</f>
        <v>0</v>
      </c>
      <c r="L313" s="8" t="n">
        <f aca="false">IF(ISNUMBER(I313),E313-Inputs!$B$6*I313,"")</f>
        <v>0.866609903104115</v>
      </c>
      <c r="M313" s="9" t="b">
        <f aca="false">AND(Y312&gt;0,Z312)</f>
        <v>0</v>
      </c>
      <c r="N313" s="8" t="n">
        <f aca="false">B313*(1-Inputs!$B$12)</f>
        <v>0.882536154066526</v>
      </c>
      <c r="O313" s="10" t="n">
        <f aca="false">IF(M313,Y312*(N313-AB312)-Inputs!$B$9-Y312*AD312*Inputs!$B$13*(A313-AC312),0)</f>
        <v>0</v>
      </c>
      <c r="P313" s="10" t="n">
        <f aca="false">X312+O313</f>
        <v>1016.3844066801</v>
      </c>
      <c r="Q313" s="9" t="b">
        <f aca="false">AND(IF(M313,0,Y312)=0,AA312,IF(ISNUMBER(AE312),B313&gt;AE312,FALSE()))</f>
        <v>0</v>
      </c>
      <c r="R313" s="8" t="n">
        <f aca="false">B313*(1+Inputs!$B$12)</f>
        <v>0.882889239145168</v>
      </c>
      <c r="S313" s="11" t="n">
        <f aca="false">IF(Q313,MIN(P313*Inputs!$B$3/(R313-AE312),P313*Inputs!$B$11/R313),0)</f>
        <v>0</v>
      </c>
      <c r="T313" s="11" t="n">
        <f aca="false">IF(Q313,S313,IF(M313,0,Y312))</f>
        <v>0</v>
      </c>
      <c r="U313" s="8" t="n">
        <f aca="false">IF(Q313,AE312,AF312)</f>
        <v>0.938328062071903</v>
      </c>
      <c r="V313" s="9" t="b">
        <f aca="false">AND(T313&gt;0,D313&lt;=U313)</f>
        <v>0</v>
      </c>
      <c r="W313" s="10" t="n">
        <f aca="false">IF(V313,T313*(AK313-AB313)-Inputs!$B$9-T313*AD313*Inputs!$B$13*(A313-AC313),0)</f>
        <v>0</v>
      </c>
      <c r="X313" s="10" t="n">
        <f aca="false">P313-IF(Q313,Inputs!$B$9,0)+W313</f>
        <v>1016.3844066801</v>
      </c>
      <c r="Y313" s="11" t="n">
        <f aca="false">IF(V313,0,T313)</f>
        <v>0</v>
      </c>
      <c r="Z313" s="9" t="b">
        <f aca="false">AND(Y313&gt;0,K313)</f>
        <v>0</v>
      </c>
      <c r="AA313" s="9" t="b">
        <f aca="false">AND(Y313=0,J313,ISNUMBER(L313))</f>
        <v>0</v>
      </c>
      <c r="AB313" s="8" t="n">
        <f aca="false">IF(Q313,R313,AB312)</f>
        <v>0.95824964655134</v>
      </c>
      <c r="AC313" s="12" t="n">
        <f aca="false">IF(Q313,A313,AC312)</f>
        <v>45034</v>
      </c>
      <c r="AD313" s="8" t="n">
        <f aca="false">IF(Q313,B313,AD312)</f>
        <v>0.958058034944351</v>
      </c>
      <c r="AE313" s="8" t="str">
        <f aca="false">IF(AA313,L313,"")</f>
        <v/>
      </c>
      <c r="AF313" s="8" t="n">
        <f aca="false">U313</f>
        <v>0.938328062071903</v>
      </c>
      <c r="AG313" s="2" t="n">
        <f aca="false">AG312+IF(Q313,1,0)</f>
        <v>2</v>
      </c>
      <c r="AH313" s="2" t="n">
        <f aca="false">AG312</f>
        <v>2</v>
      </c>
      <c r="AI313" s="10" t="n">
        <f aca="false">X313+Y313*(E313-AB313)-Y313*AD313*Inputs!$B$13*(A313-AC313)</f>
        <v>1016.3844066801</v>
      </c>
      <c r="AJ313" s="10" t="n">
        <v>0</v>
      </c>
      <c r="AK313" s="8" t="n">
        <f aca="false">IF(AND(B313&lt;=U313,NOT(Q313)),B313,U313)*(1-Inputs!$B$12)</f>
        <v>0.882536154066526</v>
      </c>
    </row>
    <row r="314" customFormat="false" ht="15" hidden="false" customHeight="false" outlineLevel="0" collapsed="false">
      <c r="A314" s="6" t="n">
        <v>45098</v>
      </c>
      <c r="B314" s="7" t="n">
        <v>0.887998240117916</v>
      </c>
      <c r="C314" s="7" t="n">
        <v>0.897798220364616</v>
      </c>
      <c r="D314" s="7" t="n">
        <v>0.884350583038397</v>
      </c>
      <c r="E314" s="7" t="n">
        <v>0.894744149849014</v>
      </c>
      <c r="F314" s="8" t="n">
        <f aca="true">IF(ROW()-2&gt;=Inputs!$B$4,AVERAGE(OFFSET(E314,1-Inputs!$B$4,0,Inputs!$B$4,1)),"")</f>
        <v>0.9055704361626</v>
      </c>
      <c r="G314" s="8" t="n">
        <f aca="true">IF(ROW()-2&gt;=Inputs!$B$5,AVERAGE(OFFSET(E314,1-Inputs!$B$5,0,Inputs!$B$5,1)),"")</f>
        <v>0.909902916498483</v>
      </c>
      <c r="H314" s="8" t="n">
        <f aca="false">MAX(C314-D314,ABS(C314-E313),ABS(D314-E313))</f>
        <v>0.0134476373262196</v>
      </c>
      <c r="I314" s="8" t="n">
        <f aca="true">IF(ROW()-2&lt;14,"",IF(ROW()-2=14,AVERAGE(OFFSET(H314,-13,0,14,1)),(I313*13+H314)/14))</f>
        <v>0.0108908448511374</v>
      </c>
      <c r="J314" s="9" t="b">
        <f aca="false">IF(AND(ISNUMBER(F314),ISNUMBER(G314),ISNUMBER(F313),ISNUMBER(G313)),AND(F314&gt;G314,F313&lt;=G313),FALSE())</f>
        <v>0</v>
      </c>
      <c r="K314" s="9" t="b">
        <f aca="false">IF(AND(ISNUMBER(F314),ISNUMBER(G314),ISNUMBER(F313),ISNUMBER(G313)),AND(F314&lt;G314,F313&gt;=G313),FALSE())</f>
        <v>0</v>
      </c>
      <c r="L314" s="8" t="n">
        <f aca="false">IF(ISNUMBER(I314),E314-Inputs!$B$6*I314,"")</f>
        <v>0.872962460146739</v>
      </c>
      <c r="M314" s="9" t="b">
        <f aca="false">AND(Y313&gt;0,Z313)</f>
        <v>0</v>
      </c>
      <c r="N314" s="8" t="n">
        <f aca="false">B314*(1-Inputs!$B$12)</f>
        <v>0.887820640469892</v>
      </c>
      <c r="O314" s="10" t="n">
        <f aca="false">IF(M314,Y313*(N314-AB313)-Inputs!$B$9-Y313*AD313*Inputs!$B$13*(A314-AC313),0)</f>
        <v>0</v>
      </c>
      <c r="P314" s="10" t="n">
        <f aca="false">X313+O314</f>
        <v>1016.3844066801</v>
      </c>
      <c r="Q314" s="9" t="b">
        <f aca="false">AND(IF(M314,0,Y313)=0,AA313,IF(ISNUMBER(AE313),B314&gt;AE313,FALSE()))</f>
        <v>0</v>
      </c>
      <c r="R314" s="8" t="n">
        <f aca="false">B314*(1+Inputs!$B$12)</f>
        <v>0.888175839765939</v>
      </c>
      <c r="S314" s="11" t="n">
        <f aca="false">IF(Q314,MIN(P314*Inputs!$B$3/(R314-AE313),P314*Inputs!$B$11/R314),0)</f>
        <v>0</v>
      </c>
      <c r="T314" s="11" t="n">
        <f aca="false">IF(Q314,S314,IF(M314,0,Y313))</f>
        <v>0</v>
      </c>
      <c r="U314" s="8" t="n">
        <f aca="false">IF(Q314,AE313,AF313)</f>
        <v>0.938328062071903</v>
      </c>
      <c r="V314" s="9" t="b">
        <f aca="false">AND(T314&gt;0,D314&lt;=U314)</f>
        <v>0</v>
      </c>
      <c r="W314" s="10" t="n">
        <f aca="false">IF(V314,T314*(AK314-AB314)-Inputs!$B$9-T314*AD314*Inputs!$B$13*(A314-AC314),0)</f>
        <v>0</v>
      </c>
      <c r="X314" s="10" t="n">
        <f aca="false">P314-IF(Q314,Inputs!$B$9,0)+W314</f>
        <v>1016.3844066801</v>
      </c>
      <c r="Y314" s="11" t="n">
        <f aca="false">IF(V314,0,T314)</f>
        <v>0</v>
      </c>
      <c r="Z314" s="9" t="b">
        <f aca="false">AND(Y314&gt;0,K314)</f>
        <v>0</v>
      </c>
      <c r="AA314" s="9" t="b">
        <f aca="false">AND(Y314=0,J314,ISNUMBER(L314))</f>
        <v>0</v>
      </c>
      <c r="AB314" s="8" t="n">
        <f aca="false">IF(Q314,R314,AB313)</f>
        <v>0.95824964655134</v>
      </c>
      <c r="AC314" s="12" t="n">
        <f aca="false">IF(Q314,A314,AC313)</f>
        <v>45034</v>
      </c>
      <c r="AD314" s="8" t="n">
        <f aca="false">IF(Q314,B314,AD313)</f>
        <v>0.958058034944351</v>
      </c>
      <c r="AE314" s="8" t="str">
        <f aca="false">IF(AA314,L314,"")</f>
        <v/>
      </c>
      <c r="AF314" s="8" t="n">
        <f aca="false">U314</f>
        <v>0.938328062071903</v>
      </c>
      <c r="AG314" s="2" t="n">
        <f aca="false">AG313+IF(Q314,1,0)</f>
        <v>2</v>
      </c>
      <c r="AH314" s="2" t="n">
        <f aca="false">AG313</f>
        <v>2</v>
      </c>
      <c r="AI314" s="10" t="n">
        <f aca="false">X314+Y314*(E314-AB314)-Y314*AD314*Inputs!$B$13*(A314-AC314)</f>
        <v>1016.3844066801</v>
      </c>
      <c r="AJ314" s="10" t="n">
        <v>0</v>
      </c>
      <c r="AK314" s="8" t="n">
        <f aca="false">IF(AND(B314&lt;=U314,NOT(Q314)),B314,U314)*(1-Inputs!$B$12)</f>
        <v>0.887820640469892</v>
      </c>
    </row>
    <row r="315" customFormat="false" ht="15" hidden="false" customHeight="false" outlineLevel="0" collapsed="false">
      <c r="A315" s="6" t="n">
        <v>45099</v>
      </c>
      <c r="B315" s="7" t="n">
        <v>0.894744149849014</v>
      </c>
      <c r="C315" s="7" t="n">
        <v>0.900270409111576</v>
      </c>
      <c r="D315" s="7" t="n">
        <v>0.89409963227576</v>
      </c>
      <c r="E315" s="7" t="n">
        <v>0.896628924083951</v>
      </c>
      <c r="F315" s="8" t="n">
        <f aca="true">IF(ROW()-2&gt;=Inputs!$B$4,AVERAGE(OFFSET(E315,1-Inputs!$B$4,0,Inputs!$B$4,1)),"")</f>
        <v>0.904974598333962</v>
      </c>
      <c r="G315" s="8" t="n">
        <f aca="true">IF(ROW()-2&gt;=Inputs!$B$5,AVERAGE(OFFSET(E315,1-Inputs!$B$5,0,Inputs!$B$5,1)),"")</f>
        <v>0.909246584434141</v>
      </c>
      <c r="H315" s="8" t="n">
        <f aca="false">MAX(C315-D315,ABS(C315-E314),ABS(D315-E314))</f>
        <v>0.00617077683581546</v>
      </c>
      <c r="I315" s="8" t="n">
        <f aca="true">IF(ROW()-2&lt;14,"",IF(ROW()-2=14,AVERAGE(OFFSET(H315,-13,0,14,1)),(I314*13+H315)/14))</f>
        <v>0.0105536971357573</v>
      </c>
      <c r="J315" s="9" t="b">
        <f aca="false">IF(AND(ISNUMBER(F315),ISNUMBER(G315),ISNUMBER(F314),ISNUMBER(G314)),AND(F315&gt;G315,F314&lt;=G314),FALSE())</f>
        <v>0</v>
      </c>
      <c r="K315" s="9" t="b">
        <f aca="false">IF(AND(ISNUMBER(F315),ISNUMBER(G315),ISNUMBER(F314),ISNUMBER(G314)),AND(F315&lt;G315,F314&gt;=G314),FALSE())</f>
        <v>0</v>
      </c>
      <c r="L315" s="8" t="n">
        <f aca="false">IF(ISNUMBER(I315),E315-Inputs!$B$6*I315,"")</f>
        <v>0.875521529812436</v>
      </c>
      <c r="M315" s="9" t="b">
        <f aca="false">AND(Y314&gt;0,Z314)</f>
        <v>0</v>
      </c>
      <c r="N315" s="8" t="n">
        <f aca="false">B315*(1-Inputs!$B$12)</f>
        <v>0.894565201019045</v>
      </c>
      <c r="O315" s="10" t="n">
        <f aca="false">IF(M315,Y314*(N315-AB314)-Inputs!$B$9-Y314*AD314*Inputs!$B$13*(A315-AC314),0)</f>
        <v>0</v>
      </c>
      <c r="P315" s="10" t="n">
        <f aca="false">X314+O315</f>
        <v>1016.3844066801</v>
      </c>
      <c r="Q315" s="9" t="b">
        <f aca="false">AND(IF(M315,0,Y314)=0,AA314,IF(ISNUMBER(AE314),B315&gt;AE314,FALSE()))</f>
        <v>0</v>
      </c>
      <c r="R315" s="8" t="n">
        <f aca="false">B315*(1+Inputs!$B$12)</f>
        <v>0.894923098678984</v>
      </c>
      <c r="S315" s="11" t="n">
        <f aca="false">IF(Q315,MIN(P315*Inputs!$B$3/(R315-AE314),P315*Inputs!$B$11/R315),0)</f>
        <v>0</v>
      </c>
      <c r="T315" s="11" t="n">
        <f aca="false">IF(Q315,S315,IF(M315,0,Y314))</f>
        <v>0</v>
      </c>
      <c r="U315" s="8" t="n">
        <f aca="false">IF(Q315,AE314,AF314)</f>
        <v>0.938328062071903</v>
      </c>
      <c r="V315" s="9" t="b">
        <f aca="false">AND(T315&gt;0,D315&lt;=U315)</f>
        <v>0</v>
      </c>
      <c r="W315" s="10" t="n">
        <f aca="false">IF(V315,T315*(AK315-AB315)-Inputs!$B$9-T315*AD315*Inputs!$B$13*(A315-AC315),0)</f>
        <v>0</v>
      </c>
      <c r="X315" s="10" t="n">
        <f aca="false">P315-IF(Q315,Inputs!$B$9,0)+W315</f>
        <v>1016.3844066801</v>
      </c>
      <c r="Y315" s="11" t="n">
        <f aca="false">IF(V315,0,T315)</f>
        <v>0</v>
      </c>
      <c r="Z315" s="9" t="b">
        <f aca="false">AND(Y315&gt;0,K315)</f>
        <v>0</v>
      </c>
      <c r="AA315" s="9" t="b">
        <f aca="false">AND(Y315=0,J315,ISNUMBER(L315))</f>
        <v>0</v>
      </c>
      <c r="AB315" s="8" t="n">
        <f aca="false">IF(Q315,R315,AB314)</f>
        <v>0.95824964655134</v>
      </c>
      <c r="AC315" s="12" t="n">
        <f aca="false">IF(Q315,A315,AC314)</f>
        <v>45034</v>
      </c>
      <c r="AD315" s="8" t="n">
        <f aca="false">IF(Q315,B315,AD314)</f>
        <v>0.958058034944351</v>
      </c>
      <c r="AE315" s="8" t="str">
        <f aca="false">IF(AA315,L315,"")</f>
        <v/>
      </c>
      <c r="AF315" s="8" t="n">
        <f aca="false">U315</f>
        <v>0.938328062071903</v>
      </c>
      <c r="AG315" s="2" t="n">
        <f aca="false">AG314+IF(Q315,1,0)</f>
        <v>2</v>
      </c>
      <c r="AH315" s="2" t="n">
        <f aca="false">AG314</f>
        <v>2</v>
      </c>
      <c r="AI315" s="10" t="n">
        <f aca="false">X315+Y315*(E315-AB315)-Y315*AD315*Inputs!$B$13*(A315-AC315)</f>
        <v>1016.3844066801</v>
      </c>
      <c r="AJ315" s="10" t="n">
        <v>0</v>
      </c>
      <c r="AK315" s="8" t="n">
        <f aca="false">IF(AND(B315&lt;=U315,NOT(Q315)),B315,U315)*(1-Inputs!$B$12)</f>
        <v>0.894565201019045</v>
      </c>
    </row>
    <row r="316" customFormat="false" ht="15" hidden="false" customHeight="false" outlineLevel="0" collapsed="false">
      <c r="A316" s="6" t="n">
        <v>45100</v>
      </c>
      <c r="B316" s="7" t="n">
        <v>0.896628924083951</v>
      </c>
      <c r="C316" s="7" t="n">
        <v>0.898150921506923</v>
      </c>
      <c r="D316" s="7" t="n">
        <v>0.891788982363835</v>
      </c>
      <c r="E316" s="7" t="n">
        <v>0.895302335467059</v>
      </c>
      <c r="F316" s="8" t="n">
        <f aca="true">IF(ROW()-2&gt;=Inputs!$B$4,AVERAGE(OFFSET(E316,1-Inputs!$B$4,0,Inputs!$B$4,1)),"")</f>
        <v>0.903974968000901</v>
      </c>
      <c r="G316" s="8" t="n">
        <f aca="true">IF(ROW()-2&gt;=Inputs!$B$5,AVERAGE(OFFSET(E316,1-Inputs!$B$5,0,Inputs!$B$5,1)),"")</f>
        <v>0.908582751557465</v>
      </c>
      <c r="H316" s="8" t="n">
        <f aca="false">MAX(C316-D316,ABS(C316-E315),ABS(D316-E315))</f>
        <v>0.00636193914308836</v>
      </c>
      <c r="I316" s="8" t="n">
        <f aca="true">IF(ROW()-2&lt;14,"",IF(ROW()-2=14,AVERAGE(OFFSET(H316,-13,0,14,1)),(I315*13+H316)/14))</f>
        <v>0.0102542858505667</v>
      </c>
      <c r="J316" s="9" t="b">
        <f aca="false">IF(AND(ISNUMBER(F316),ISNUMBER(G316),ISNUMBER(F315),ISNUMBER(G315)),AND(F316&gt;G316,F315&lt;=G315),FALSE())</f>
        <v>0</v>
      </c>
      <c r="K316" s="9" t="b">
        <f aca="false">IF(AND(ISNUMBER(F316),ISNUMBER(G316),ISNUMBER(F315),ISNUMBER(G315)),AND(F316&lt;G316,F315&gt;=G315),FALSE())</f>
        <v>0</v>
      </c>
      <c r="L316" s="8" t="n">
        <f aca="false">IF(ISNUMBER(I316),E316-Inputs!$B$6*I316,"")</f>
        <v>0.874793763765926</v>
      </c>
      <c r="M316" s="9" t="b">
        <f aca="false">AND(Y315&gt;0,Z315)</f>
        <v>0</v>
      </c>
      <c r="N316" s="8" t="n">
        <f aca="false">B316*(1-Inputs!$B$12)</f>
        <v>0.896449598299134</v>
      </c>
      <c r="O316" s="10" t="n">
        <f aca="false">IF(M316,Y315*(N316-AB315)-Inputs!$B$9-Y315*AD315*Inputs!$B$13*(A316-AC315),0)</f>
        <v>0</v>
      </c>
      <c r="P316" s="10" t="n">
        <f aca="false">X315+O316</f>
        <v>1016.3844066801</v>
      </c>
      <c r="Q316" s="9" t="b">
        <f aca="false">AND(IF(M316,0,Y315)=0,AA315,IF(ISNUMBER(AE315),B316&gt;AE315,FALSE()))</f>
        <v>0</v>
      </c>
      <c r="R316" s="8" t="n">
        <f aca="false">B316*(1+Inputs!$B$12)</f>
        <v>0.896808249868767</v>
      </c>
      <c r="S316" s="11" t="n">
        <f aca="false">IF(Q316,MIN(P316*Inputs!$B$3/(R316-AE315),P316*Inputs!$B$11/R316),0)</f>
        <v>0</v>
      </c>
      <c r="T316" s="11" t="n">
        <f aca="false">IF(Q316,S316,IF(M316,0,Y315))</f>
        <v>0</v>
      </c>
      <c r="U316" s="8" t="n">
        <f aca="false">IF(Q316,AE315,AF315)</f>
        <v>0.938328062071903</v>
      </c>
      <c r="V316" s="9" t="b">
        <f aca="false">AND(T316&gt;0,D316&lt;=U316)</f>
        <v>0</v>
      </c>
      <c r="W316" s="10" t="n">
        <f aca="false">IF(V316,T316*(AK316-AB316)-Inputs!$B$9-T316*AD316*Inputs!$B$13*(A316-AC316),0)</f>
        <v>0</v>
      </c>
      <c r="X316" s="10" t="n">
        <f aca="false">P316-IF(Q316,Inputs!$B$9,0)+W316</f>
        <v>1016.3844066801</v>
      </c>
      <c r="Y316" s="11" t="n">
        <f aca="false">IF(V316,0,T316)</f>
        <v>0</v>
      </c>
      <c r="Z316" s="9" t="b">
        <f aca="false">AND(Y316&gt;0,K316)</f>
        <v>0</v>
      </c>
      <c r="AA316" s="9" t="b">
        <f aca="false">AND(Y316=0,J316,ISNUMBER(L316))</f>
        <v>0</v>
      </c>
      <c r="AB316" s="8" t="n">
        <f aca="false">IF(Q316,R316,AB315)</f>
        <v>0.95824964655134</v>
      </c>
      <c r="AC316" s="12" t="n">
        <f aca="false">IF(Q316,A316,AC315)</f>
        <v>45034</v>
      </c>
      <c r="AD316" s="8" t="n">
        <f aca="false">IF(Q316,B316,AD315)</f>
        <v>0.958058034944351</v>
      </c>
      <c r="AE316" s="8" t="str">
        <f aca="false">IF(AA316,L316,"")</f>
        <v/>
      </c>
      <c r="AF316" s="8" t="n">
        <f aca="false">U316</f>
        <v>0.938328062071903</v>
      </c>
      <c r="AG316" s="2" t="n">
        <f aca="false">AG315+IF(Q316,1,0)</f>
        <v>2</v>
      </c>
      <c r="AH316" s="2" t="n">
        <f aca="false">AG315</f>
        <v>2</v>
      </c>
      <c r="AI316" s="10" t="n">
        <f aca="false">X316+Y316*(E316-AB316)-Y316*AD316*Inputs!$B$13*(A316-AC316)</f>
        <v>1016.3844066801</v>
      </c>
      <c r="AJ316" s="10" t="n">
        <v>0</v>
      </c>
      <c r="AK316" s="8" t="n">
        <f aca="false">IF(AND(B316&lt;=U316,NOT(Q316)),B316,U316)*(1-Inputs!$B$12)</f>
        <v>0.896449598299134</v>
      </c>
    </row>
    <row r="317" customFormat="false" ht="15" hidden="false" customHeight="false" outlineLevel="0" collapsed="false">
      <c r="A317" s="6" t="n">
        <v>45101</v>
      </c>
      <c r="B317" s="7" t="n">
        <v>0.895302335467059</v>
      </c>
      <c r="C317" s="7" t="n">
        <v>0.898837904537349</v>
      </c>
      <c r="D317" s="7" t="n">
        <v>0.89340294957992</v>
      </c>
      <c r="E317" s="7" t="n">
        <v>0.895992283343814</v>
      </c>
      <c r="F317" s="8" t="n">
        <f aca="true">IF(ROW()-2&gt;=Inputs!$B$4,AVERAGE(OFFSET(E317,1-Inputs!$B$4,0,Inputs!$B$4,1)),"")</f>
        <v>0.902690792882204</v>
      </c>
      <c r="G317" s="8" t="n">
        <f aca="true">IF(ROW()-2&gt;=Inputs!$B$5,AVERAGE(OFFSET(E317,1-Inputs!$B$5,0,Inputs!$B$5,1)),"")</f>
        <v>0.907861660097768</v>
      </c>
      <c r="H317" s="8" t="n">
        <f aca="false">MAX(C317-D317,ABS(C317-E316),ABS(D317-E316))</f>
        <v>0.00543495495742807</v>
      </c>
      <c r="I317" s="8" t="n">
        <f aca="true">IF(ROW()-2&lt;14,"",IF(ROW()-2=14,AVERAGE(OFFSET(H317,-13,0,14,1)),(I316*13+H317)/14))</f>
        <v>0.0099100479296282</v>
      </c>
      <c r="J317" s="9" t="b">
        <f aca="false">IF(AND(ISNUMBER(F317),ISNUMBER(G317),ISNUMBER(F316),ISNUMBER(G316)),AND(F317&gt;G317,F316&lt;=G316),FALSE())</f>
        <v>0</v>
      </c>
      <c r="K317" s="9" t="b">
        <f aca="false">IF(AND(ISNUMBER(F317),ISNUMBER(G317),ISNUMBER(F316),ISNUMBER(G316)),AND(F317&lt;G317,F316&gt;=G316),FALSE())</f>
        <v>0</v>
      </c>
      <c r="L317" s="8" t="n">
        <f aca="false">IF(ISNUMBER(I317),E317-Inputs!$B$6*I317,"")</f>
        <v>0.876172187484558</v>
      </c>
      <c r="M317" s="9" t="b">
        <f aca="false">AND(Y316&gt;0,Z316)</f>
        <v>0</v>
      </c>
      <c r="N317" s="8" t="n">
        <f aca="false">B317*(1-Inputs!$B$12)</f>
        <v>0.895123274999966</v>
      </c>
      <c r="O317" s="10" t="n">
        <f aca="false">IF(M317,Y316*(N317-AB316)-Inputs!$B$9-Y316*AD316*Inputs!$B$13*(A317-AC316),0)</f>
        <v>0</v>
      </c>
      <c r="P317" s="10" t="n">
        <f aca="false">X316+O317</f>
        <v>1016.3844066801</v>
      </c>
      <c r="Q317" s="9" t="b">
        <f aca="false">AND(IF(M317,0,Y316)=0,AA316,IF(ISNUMBER(AE316),B317&gt;AE316,FALSE()))</f>
        <v>0</v>
      </c>
      <c r="R317" s="8" t="n">
        <f aca="false">B317*(1+Inputs!$B$12)</f>
        <v>0.895481395934153</v>
      </c>
      <c r="S317" s="11" t="n">
        <f aca="false">IF(Q317,MIN(P317*Inputs!$B$3/(R317-AE316),P317*Inputs!$B$11/R317),0)</f>
        <v>0</v>
      </c>
      <c r="T317" s="11" t="n">
        <f aca="false">IF(Q317,S317,IF(M317,0,Y316))</f>
        <v>0</v>
      </c>
      <c r="U317" s="8" t="n">
        <f aca="false">IF(Q317,AE316,AF316)</f>
        <v>0.938328062071903</v>
      </c>
      <c r="V317" s="9" t="b">
        <f aca="false">AND(T317&gt;0,D317&lt;=U317)</f>
        <v>0</v>
      </c>
      <c r="W317" s="10" t="n">
        <f aca="false">IF(V317,T317*(AK317-AB317)-Inputs!$B$9-T317*AD317*Inputs!$B$13*(A317-AC317),0)</f>
        <v>0</v>
      </c>
      <c r="X317" s="10" t="n">
        <f aca="false">P317-IF(Q317,Inputs!$B$9,0)+W317</f>
        <v>1016.3844066801</v>
      </c>
      <c r="Y317" s="11" t="n">
        <f aca="false">IF(V317,0,T317)</f>
        <v>0</v>
      </c>
      <c r="Z317" s="9" t="b">
        <f aca="false">AND(Y317&gt;0,K317)</f>
        <v>0</v>
      </c>
      <c r="AA317" s="9" t="b">
        <f aca="false">AND(Y317=0,J317,ISNUMBER(L317))</f>
        <v>0</v>
      </c>
      <c r="AB317" s="8" t="n">
        <f aca="false">IF(Q317,R317,AB316)</f>
        <v>0.95824964655134</v>
      </c>
      <c r="AC317" s="12" t="n">
        <f aca="false">IF(Q317,A317,AC316)</f>
        <v>45034</v>
      </c>
      <c r="AD317" s="8" t="n">
        <f aca="false">IF(Q317,B317,AD316)</f>
        <v>0.958058034944351</v>
      </c>
      <c r="AE317" s="8" t="str">
        <f aca="false">IF(AA317,L317,"")</f>
        <v/>
      </c>
      <c r="AF317" s="8" t="n">
        <f aca="false">U317</f>
        <v>0.938328062071903</v>
      </c>
      <c r="AG317" s="2" t="n">
        <f aca="false">AG316+IF(Q317,1,0)</f>
        <v>2</v>
      </c>
      <c r="AH317" s="2" t="n">
        <f aca="false">AG316</f>
        <v>2</v>
      </c>
      <c r="AI317" s="10" t="n">
        <f aca="false">X317+Y317*(E317-AB317)-Y317*AD317*Inputs!$B$13*(A317-AC317)</f>
        <v>1016.3844066801</v>
      </c>
      <c r="AJ317" s="10" t="n">
        <v>0</v>
      </c>
      <c r="AK317" s="8" t="n">
        <f aca="false">IF(AND(B317&lt;=U317,NOT(Q317)),B317,U317)*(1-Inputs!$B$12)</f>
        <v>0.895123274999966</v>
      </c>
    </row>
    <row r="318" customFormat="false" ht="15" hidden="false" customHeight="false" outlineLevel="0" collapsed="false">
      <c r="A318" s="6" t="n">
        <v>45102</v>
      </c>
      <c r="B318" s="7" t="n">
        <v>0.895992283343814</v>
      </c>
      <c r="C318" s="7" t="n">
        <v>0.897449555530364</v>
      </c>
      <c r="D318" s="7" t="n">
        <v>0.885387324612264</v>
      </c>
      <c r="E318" s="7" t="n">
        <v>0.887632401576179</v>
      </c>
      <c r="F318" s="8" t="n">
        <f aca="true">IF(ROW()-2&gt;=Inputs!$B$4,AVERAGE(OFFSET(E318,1-Inputs!$B$4,0,Inputs!$B$4,1)),"")</f>
        <v>0.900476797477666</v>
      </c>
      <c r="G318" s="8" t="n">
        <f aca="true">IF(ROW()-2&gt;=Inputs!$B$5,AVERAGE(OFFSET(E318,1-Inputs!$B$5,0,Inputs!$B$5,1)),"")</f>
        <v>0.907243052717214</v>
      </c>
      <c r="H318" s="8" t="n">
        <f aca="false">MAX(C318-D318,ABS(C318-E317),ABS(D318-E317))</f>
        <v>0.0120622309181008</v>
      </c>
      <c r="I318" s="8" t="n">
        <f aca="true">IF(ROW()-2&lt;14,"",IF(ROW()-2=14,AVERAGE(OFFSET(H318,-13,0,14,1)),(I317*13+H318)/14))</f>
        <v>0.0100637752859477</v>
      </c>
      <c r="J318" s="9" t="b">
        <f aca="false">IF(AND(ISNUMBER(F318),ISNUMBER(G318),ISNUMBER(F317),ISNUMBER(G317)),AND(F318&gt;G318,F317&lt;=G317),FALSE())</f>
        <v>0</v>
      </c>
      <c r="K318" s="9" t="b">
        <f aca="false">IF(AND(ISNUMBER(F318),ISNUMBER(G318),ISNUMBER(F317),ISNUMBER(G317)),AND(F318&lt;G318,F317&gt;=G317),FALSE())</f>
        <v>0</v>
      </c>
      <c r="L318" s="8" t="n">
        <f aca="false">IF(ISNUMBER(I318),E318-Inputs!$B$6*I318,"")</f>
        <v>0.867504851004284</v>
      </c>
      <c r="M318" s="9" t="b">
        <f aca="false">AND(Y317&gt;0,Z317)</f>
        <v>0</v>
      </c>
      <c r="N318" s="8" t="n">
        <f aca="false">B318*(1-Inputs!$B$12)</f>
        <v>0.895813084887146</v>
      </c>
      <c r="O318" s="10" t="n">
        <f aca="false">IF(M318,Y317*(N318-AB317)-Inputs!$B$9-Y317*AD317*Inputs!$B$13*(A318-AC317),0)</f>
        <v>0</v>
      </c>
      <c r="P318" s="10" t="n">
        <f aca="false">X317+O318</f>
        <v>1016.3844066801</v>
      </c>
      <c r="Q318" s="9" t="b">
        <f aca="false">AND(IF(M318,0,Y317)=0,AA317,IF(ISNUMBER(AE317),B318&gt;AE317,FALSE()))</f>
        <v>0</v>
      </c>
      <c r="R318" s="8" t="n">
        <f aca="false">B318*(1+Inputs!$B$12)</f>
        <v>0.896171481800483</v>
      </c>
      <c r="S318" s="11" t="n">
        <f aca="false">IF(Q318,MIN(P318*Inputs!$B$3/(R318-AE317),P318*Inputs!$B$11/R318),0)</f>
        <v>0</v>
      </c>
      <c r="T318" s="11" t="n">
        <f aca="false">IF(Q318,S318,IF(M318,0,Y317))</f>
        <v>0</v>
      </c>
      <c r="U318" s="8" t="n">
        <f aca="false">IF(Q318,AE317,AF317)</f>
        <v>0.938328062071903</v>
      </c>
      <c r="V318" s="9" t="b">
        <f aca="false">AND(T318&gt;0,D318&lt;=U318)</f>
        <v>0</v>
      </c>
      <c r="W318" s="10" t="n">
        <f aca="false">IF(V318,T318*(AK318-AB318)-Inputs!$B$9-T318*AD318*Inputs!$B$13*(A318-AC318),0)</f>
        <v>0</v>
      </c>
      <c r="X318" s="10" t="n">
        <f aca="false">P318-IF(Q318,Inputs!$B$9,0)+W318</f>
        <v>1016.3844066801</v>
      </c>
      <c r="Y318" s="11" t="n">
        <f aca="false">IF(V318,0,T318)</f>
        <v>0</v>
      </c>
      <c r="Z318" s="9" t="b">
        <f aca="false">AND(Y318&gt;0,K318)</f>
        <v>0</v>
      </c>
      <c r="AA318" s="9" t="b">
        <f aca="false">AND(Y318=0,J318,ISNUMBER(L318))</f>
        <v>0</v>
      </c>
      <c r="AB318" s="8" t="n">
        <f aca="false">IF(Q318,R318,AB317)</f>
        <v>0.95824964655134</v>
      </c>
      <c r="AC318" s="12" t="n">
        <f aca="false">IF(Q318,A318,AC317)</f>
        <v>45034</v>
      </c>
      <c r="AD318" s="8" t="n">
        <f aca="false">IF(Q318,B318,AD317)</f>
        <v>0.958058034944351</v>
      </c>
      <c r="AE318" s="8" t="str">
        <f aca="false">IF(AA318,L318,"")</f>
        <v/>
      </c>
      <c r="AF318" s="8" t="n">
        <f aca="false">U318</f>
        <v>0.938328062071903</v>
      </c>
      <c r="AG318" s="2" t="n">
        <f aca="false">AG317+IF(Q318,1,0)</f>
        <v>2</v>
      </c>
      <c r="AH318" s="2" t="n">
        <f aca="false">AG317</f>
        <v>2</v>
      </c>
      <c r="AI318" s="10" t="n">
        <f aca="false">X318+Y318*(E318-AB318)-Y318*AD318*Inputs!$B$13*(A318-AC318)</f>
        <v>1016.3844066801</v>
      </c>
      <c r="AJ318" s="10" t="n">
        <v>0</v>
      </c>
      <c r="AK318" s="8" t="n">
        <f aca="false">IF(AND(B318&lt;=U318,NOT(Q318)),B318,U318)*(1-Inputs!$B$12)</f>
        <v>0.895813084887146</v>
      </c>
    </row>
    <row r="319" customFormat="false" ht="15" hidden="false" customHeight="false" outlineLevel="0" collapsed="false">
      <c r="A319" s="6" t="n">
        <v>45103</v>
      </c>
      <c r="B319" s="7" t="n">
        <v>0.887632401576179</v>
      </c>
      <c r="C319" s="7" t="n">
        <v>0.889347836392841</v>
      </c>
      <c r="D319" s="7" t="n">
        <v>0.881685040106657</v>
      </c>
      <c r="E319" s="7" t="n">
        <v>0.882247893942605</v>
      </c>
      <c r="F319" s="8" t="n">
        <f aca="true">IF(ROW()-2&gt;=Inputs!$B$4,AVERAGE(OFFSET(E319,1-Inputs!$B$4,0,Inputs!$B$4,1)),"")</f>
        <v>0.898175534650765</v>
      </c>
      <c r="G319" s="8" t="n">
        <f aca="true">IF(ROW()-2&gt;=Inputs!$B$5,AVERAGE(OFFSET(E319,1-Inputs!$B$5,0,Inputs!$B$5,1)),"")</f>
        <v>0.906400850639923</v>
      </c>
      <c r="H319" s="8" t="n">
        <f aca="false">MAX(C319-D319,ABS(C319-E318),ABS(D319-E318))</f>
        <v>0.00766279628618394</v>
      </c>
      <c r="I319" s="8" t="n">
        <f aca="true">IF(ROW()-2&lt;14,"",IF(ROW()-2=14,AVERAGE(OFFSET(H319,-13,0,14,1)),(I318*13+H319)/14))</f>
        <v>0.00989227678596454</v>
      </c>
      <c r="J319" s="9" t="b">
        <f aca="false">IF(AND(ISNUMBER(F319),ISNUMBER(G319),ISNUMBER(F318),ISNUMBER(G318)),AND(F319&gt;G319,F318&lt;=G318),FALSE())</f>
        <v>0</v>
      </c>
      <c r="K319" s="9" t="b">
        <f aca="false">IF(AND(ISNUMBER(F319),ISNUMBER(G319),ISNUMBER(F318),ISNUMBER(G318)),AND(F319&lt;G319,F318&gt;=G318),FALSE())</f>
        <v>0</v>
      </c>
      <c r="L319" s="8" t="n">
        <f aca="false">IF(ISNUMBER(I319),E319-Inputs!$B$6*I319,"")</f>
        <v>0.862463340370676</v>
      </c>
      <c r="M319" s="9" t="b">
        <f aca="false">AND(Y318&gt;0,Z318)</f>
        <v>0</v>
      </c>
      <c r="N319" s="8" t="n">
        <f aca="false">B319*(1-Inputs!$B$12)</f>
        <v>0.887454875095864</v>
      </c>
      <c r="O319" s="10" t="n">
        <f aca="false">IF(M319,Y318*(N319-AB318)-Inputs!$B$9-Y318*AD318*Inputs!$B$13*(A319-AC318),0)</f>
        <v>0</v>
      </c>
      <c r="P319" s="10" t="n">
        <f aca="false">X318+O319</f>
        <v>1016.3844066801</v>
      </c>
      <c r="Q319" s="9" t="b">
        <f aca="false">AND(IF(M319,0,Y318)=0,AA318,IF(ISNUMBER(AE318),B319&gt;AE318,FALSE()))</f>
        <v>0</v>
      </c>
      <c r="R319" s="8" t="n">
        <f aca="false">B319*(1+Inputs!$B$12)</f>
        <v>0.887809928056494</v>
      </c>
      <c r="S319" s="11" t="n">
        <f aca="false">IF(Q319,MIN(P319*Inputs!$B$3/(R319-AE318),P319*Inputs!$B$11/R319),0)</f>
        <v>0</v>
      </c>
      <c r="T319" s="11" t="n">
        <f aca="false">IF(Q319,S319,IF(M319,0,Y318))</f>
        <v>0</v>
      </c>
      <c r="U319" s="8" t="n">
        <f aca="false">IF(Q319,AE318,AF318)</f>
        <v>0.938328062071903</v>
      </c>
      <c r="V319" s="9" t="b">
        <f aca="false">AND(T319&gt;0,D319&lt;=U319)</f>
        <v>0</v>
      </c>
      <c r="W319" s="10" t="n">
        <f aca="false">IF(V319,T319*(AK319-AB319)-Inputs!$B$9-T319*AD319*Inputs!$B$13*(A319-AC319),0)</f>
        <v>0</v>
      </c>
      <c r="X319" s="10" t="n">
        <f aca="false">P319-IF(Q319,Inputs!$B$9,0)+W319</f>
        <v>1016.3844066801</v>
      </c>
      <c r="Y319" s="11" t="n">
        <f aca="false">IF(V319,0,T319)</f>
        <v>0</v>
      </c>
      <c r="Z319" s="9" t="b">
        <f aca="false">AND(Y319&gt;0,K319)</f>
        <v>0</v>
      </c>
      <c r="AA319" s="9" t="b">
        <f aca="false">AND(Y319=0,J319,ISNUMBER(L319))</f>
        <v>0</v>
      </c>
      <c r="AB319" s="8" t="n">
        <f aca="false">IF(Q319,R319,AB318)</f>
        <v>0.95824964655134</v>
      </c>
      <c r="AC319" s="12" t="n">
        <f aca="false">IF(Q319,A319,AC318)</f>
        <v>45034</v>
      </c>
      <c r="AD319" s="8" t="n">
        <f aca="false">IF(Q319,B319,AD318)</f>
        <v>0.958058034944351</v>
      </c>
      <c r="AE319" s="8" t="str">
        <f aca="false">IF(AA319,L319,"")</f>
        <v/>
      </c>
      <c r="AF319" s="8" t="n">
        <f aca="false">U319</f>
        <v>0.938328062071903</v>
      </c>
      <c r="AG319" s="2" t="n">
        <f aca="false">AG318+IF(Q319,1,0)</f>
        <v>2</v>
      </c>
      <c r="AH319" s="2" t="n">
        <f aca="false">AG318</f>
        <v>2</v>
      </c>
      <c r="AI319" s="10" t="n">
        <f aca="false">X319+Y319*(E319-AB319)-Y319*AD319*Inputs!$B$13*(A319-AC319)</f>
        <v>1016.3844066801</v>
      </c>
      <c r="AJ319" s="10" t="n">
        <v>0</v>
      </c>
      <c r="AK319" s="8" t="n">
        <f aca="false">IF(AND(B319&lt;=U319,NOT(Q319)),B319,U319)*(1-Inputs!$B$12)</f>
        <v>0.887454875095864</v>
      </c>
    </row>
    <row r="320" customFormat="false" ht="15" hidden="false" customHeight="false" outlineLevel="0" collapsed="false">
      <c r="A320" s="6" t="n">
        <v>45104</v>
      </c>
      <c r="B320" s="7" t="n">
        <v>0.882247893942605</v>
      </c>
      <c r="C320" s="7" t="n">
        <v>0.893602218745895</v>
      </c>
      <c r="D320" s="7" t="n">
        <v>0.878265629457763</v>
      </c>
      <c r="E320" s="7" t="n">
        <v>0.886074889609901</v>
      </c>
      <c r="F320" s="8" t="n">
        <f aca="true">IF(ROW()-2&gt;=Inputs!$B$4,AVERAGE(OFFSET(E320,1-Inputs!$B$4,0,Inputs!$B$4,1)),"")</f>
        <v>0.89636047799127</v>
      </c>
      <c r="G320" s="8" t="n">
        <f aca="true">IF(ROW()-2&gt;=Inputs!$B$5,AVERAGE(OFFSET(E320,1-Inputs!$B$5,0,Inputs!$B$5,1)),"")</f>
        <v>0.905637046447559</v>
      </c>
      <c r="H320" s="8" t="n">
        <f aca="false">MAX(C320-D320,ABS(C320-E319),ABS(D320-E319))</f>
        <v>0.0153365892881319</v>
      </c>
      <c r="I320" s="8" t="n">
        <f aca="true">IF(ROW()-2&lt;14,"",IF(ROW()-2=14,AVERAGE(OFFSET(H320,-13,0,14,1)),(I319*13+H320)/14))</f>
        <v>0.0102811562504051</v>
      </c>
      <c r="J320" s="9" t="b">
        <f aca="false">IF(AND(ISNUMBER(F320),ISNUMBER(G320),ISNUMBER(F319),ISNUMBER(G319)),AND(F320&gt;G320,F319&lt;=G319),FALSE())</f>
        <v>0</v>
      </c>
      <c r="K320" s="9" t="b">
        <f aca="false">IF(AND(ISNUMBER(F320),ISNUMBER(G320),ISNUMBER(F319),ISNUMBER(G319)),AND(F320&lt;G320,F319&gt;=G319),FALSE())</f>
        <v>0</v>
      </c>
      <c r="L320" s="8" t="n">
        <f aca="false">IF(ISNUMBER(I320),E320-Inputs!$B$6*I320,"")</f>
        <v>0.865512577109091</v>
      </c>
      <c r="M320" s="9" t="b">
        <f aca="false">AND(Y319&gt;0,Z319)</f>
        <v>0</v>
      </c>
      <c r="N320" s="8" t="n">
        <f aca="false">B320*(1-Inputs!$B$12)</f>
        <v>0.882071444363816</v>
      </c>
      <c r="O320" s="10" t="n">
        <f aca="false">IF(M320,Y319*(N320-AB319)-Inputs!$B$9-Y319*AD319*Inputs!$B$13*(A320-AC319),0)</f>
        <v>0</v>
      </c>
      <c r="P320" s="10" t="n">
        <f aca="false">X319+O320</f>
        <v>1016.3844066801</v>
      </c>
      <c r="Q320" s="9" t="b">
        <f aca="false">AND(IF(M320,0,Y319)=0,AA319,IF(ISNUMBER(AE319),B320&gt;AE319,FALSE()))</f>
        <v>0</v>
      </c>
      <c r="R320" s="8" t="n">
        <f aca="false">B320*(1+Inputs!$B$12)</f>
        <v>0.882424343521393</v>
      </c>
      <c r="S320" s="11" t="n">
        <f aca="false">IF(Q320,MIN(P320*Inputs!$B$3/(R320-AE319),P320*Inputs!$B$11/R320),0)</f>
        <v>0</v>
      </c>
      <c r="T320" s="11" t="n">
        <f aca="false">IF(Q320,S320,IF(M320,0,Y319))</f>
        <v>0</v>
      </c>
      <c r="U320" s="8" t="n">
        <f aca="false">IF(Q320,AE319,AF319)</f>
        <v>0.938328062071903</v>
      </c>
      <c r="V320" s="9" t="b">
        <f aca="false">AND(T320&gt;0,D320&lt;=U320)</f>
        <v>0</v>
      </c>
      <c r="W320" s="10" t="n">
        <f aca="false">IF(V320,T320*(AK320-AB320)-Inputs!$B$9-T320*AD320*Inputs!$B$13*(A320-AC320),0)</f>
        <v>0</v>
      </c>
      <c r="X320" s="10" t="n">
        <f aca="false">P320-IF(Q320,Inputs!$B$9,0)+W320</f>
        <v>1016.3844066801</v>
      </c>
      <c r="Y320" s="11" t="n">
        <f aca="false">IF(V320,0,T320)</f>
        <v>0</v>
      </c>
      <c r="Z320" s="9" t="b">
        <f aca="false">AND(Y320&gt;0,K320)</f>
        <v>0</v>
      </c>
      <c r="AA320" s="9" t="b">
        <f aca="false">AND(Y320=0,J320,ISNUMBER(L320))</f>
        <v>0</v>
      </c>
      <c r="AB320" s="8" t="n">
        <f aca="false">IF(Q320,R320,AB319)</f>
        <v>0.95824964655134</v>
      </c>
      <c r="AC320" s="12" t="n">
        <f aca="false">IF(Q320,A320,AC319)</f>
        <v>45034</v>
      </c>
      <c r="AD320" s="8" t="n">
        <f aca="false">IF(Q320,B320,AD319)</f>
        <v>0.958058034944351</v>
      </c>
      <c r="AE320" s="8" t="str">
        <f aca="false">IF(AA320,L320,"")</f>
        <v/>
      </c>
      <c r="AF320" s="8" t="n">
        <f aca="false">U320</f>
        <v>0.938328062071903</v>
      </c>
      <c r="AG320" s="2" t="n">
        <f aca="false">AG319+IF(Q320,1,0)</f>
        <v>2</v>
      </c>
      <c r="AH320" s="2" t="n">
        <f aca="false">AG319</f>
        <v>2</v>
      </c>
      <c r="AI320" s="10" t="n">
        <f aca="false">X320+Y320*(E320-AB320)-Y320*AD320*Inputs!$B$13*(A320-AC320)</f>
        <v>1016.3844066801</v>
      </c>
      <c r="AJ320" s="10" t="n">
        <v>0</v>
      </c>
      <c r="AK320" s="8" t="n">
        <f aca="false">IF(AND(B320&lt;=U320,NOT(Q320)),B320,U320)*(1-Inputs!$B$12)</f>
        <v>0.882071444363816</v>
      </c>
    </row>
    <row r="321" customFormat="false" ht="15" hidden="false" customHeight="false" outlineLevel="0" collapsed="false">
      <c r="A321" s="6" t="n">
        <v>45105</v>
      </c>
      <c r="B321" s="7" t="n">
        <v>0.886074889609901</v>
      </c>
      <c r="C321" s="7" t="n">
        <v>0.892662573945065</v>
      </c>
      <c r="D321" s="7" t="n">
        <v>0.881376866647391</v>
      </c>
      <c r="E321" s="7" t="n">
        <v>0.887737334752164</v>
      </c>
      <c r="F321" s="8" t="n">
        <f aca="true">IF(ROW()-2&gt;=Inputs!$B$4,AVERAGE(OFFSET(E321,1-Inputs!$B$4,0,Inputs!$B$4,1)),"")</f>
        <v>0.894929308029829</v>
      </c>
      <c r="G321" s="8" t="n">
        <f aca="true">IF(ROW()-2&gt;=Inputs!$B$5,AVERAGE(OFFSET(E321,1-Inputs!$B$5,0,Inputs!$B$5,1)),"")</f>
        <v>0.904989964985512</v>
      </c>
      <c r="H321" s="8" t="n">
        <f aca="false">MAX(C321-D321,ABS(C321-E320),ABS(D321-E320))</f>
        <v>0.0112857072976741</v>
      </c>
      <c r="I321" s="8" t="n">
        <f aca="true">IF(ROW()-2&lt;14,"",IF(ROW()-2=14,AVERAGE(OFFSET(H321,-13,0,14,1)),(I320*13+H321)/14))</f>
        <v>0.0103529098966386</v>
      </c>
      <c r="J321" s="9" t="b">
        <f aca="false">IF(AND(ISNUMBER(F321),ISNUMBER(G321),ISNUMBER(F320),ISNUMBER(G320)),AND(F321&gt;G321,F320&lt;=G320),FALSE())</f>
        <v>0</v>
      </c>
      <c r="K321" s="9" t="b">
        <f aca="false">IF(AND(ISNUMBER(F321),ISNUMBER(G321),ISNUMBER(F320),ISNUMBER(G320)),AND(F321&lt;G321,F320&gt;=G320),FALSE())</f>
        <v>0</v>
      </c>
      <c r="L321" s="8" t="n">
        <f aca="false">IF(ISNUMBER(I321),E321-Inputs!$B$6*I321,"")</f>
        <v>0.867031514958887</v>
      </c>
      <c r="M321" s="9" t="b">
        <f aca="false">AND(Y320&gt;0,Z320)</f>
        <v>0</v>
      </c>
      <c r="N321" s="8" t="n">
        <f aca="false">B321*(1-Inputs!$B$12)</f>
        <v>0.885897674631979</v>
      </c>
      <c r="O321" s="10" t="n">
        <f aca="false">IF(M321,Y320*(N321-AB320)-Inputs!$B$9-Y320*AD320*Inputs!$B$13*(A321-AC320),0)</f>
        <v>0</v>
      </c>
      <c r="P321" s="10" t="n">
        <f aca="false">X320+O321</f>
        <v>1016.3844066801</v>
      </c>
      <c r="Q321" s="9" t="b">
        <f aca="false">AND(IF(M321,0,Y320)=0,AA320,IF(ISNUMBER(AE320),B321&gt;AE320,FALSE()))</f>
        <v>0</v>
      </c>
      <c r="R321" s="8" t="n">
        <f aca="false">B321*(1+Inputs!$B$12)</f>
        <v>0.886252104587823</v>
      </c>
      <c r="S321" s="11" t="n">
        <f aca="false">IF(Q321,MIN(P321*Inputs!$B$3/(R321-AE320),P321*Inputs!$B$11/R321),0)</f>
        <v>0</v>
      </c>
      <c r="T321" s="11" t="n">
        <f aca="false">IF(Q321,S321,IF(M321,0,Y320))</f>
        <v>0</v>
      </c>
      <c r="U321" s="8" t="n">
        <f aca="false">IF(Q321,AE320,AF320)</f>
        <v>0.938328062071903</v>
      </c>
      <c r="V321" s="9" t="b">
        <f aca="false">AND(T321&gt;0,D321&lt;=U321)</f>
        <v>0</v>
      </c>
      <c r="W321" s="10" t="n">
        <f aca="false">IF(V321,T321*(AK321-AB321)-Inputs!$B$9-T321*AD321*Inputs!$B$13*(A321-AC321),0)</f>
        <v>0</v>
      </c>
      <c r="X321" s="10" t="n">
        <f aca="false">P321-IF(Q321,Inputs!$B$9,0)+W321</f>
        <v>1016.3844066801</v>
      </c>
      <c r="Y321" s="11" t="n">
        <f aca="false">IF(V321,0,T321)</f>
        <v>0</v>
      </c>
      <c r="Z321" s="9" t="b">
        <f aca="false">AND(Y321&gt;0,K321)</f>
        <v>0</v>
      </c>
      <c r="AA321" s="9" t="b">
        <f aca="false">AND(Y321=0,J321,ISNUMBER(L321))</f>
        <v>0</v>
      </c>
      <c r="AB321" s="8" t="n">
        <f aca="false">IF(Q321,R321,AB320)</f>
        <v>0.95824964655134</v>
      </c>
      <c r="AC321" s="12" t="n">
        <f aca="false">IF(Q321,A321,AC320)</f>
        <v>45034</v>
      </c>
      <c r="AD321" s="8" t="n">
        <f aca="false">IF(Q321,B321,AD320)</f>
        <v>0.958058034944351</v>
      </c>
      <c r="AE321" s="8" t="str">
        <f aca="false">IF(AA321,L321,"")</f>
        <v/>
      </c>
      <c r="AF321" s="8" t="n">
        <f aca="false">U321</f>
        <v>0.938328062071903</v>
      </c>
      <c r="AG321" s="2" t="n">
        <f aca="false">AG320+IF(Q321,1,0)</f>
        <v>2</v>
      </c>
      <c r="AH321" s="2" t="n">
        <f aca="false">AG320</f>
        <v>2</v>
      </c>
      <c r="AI321" s="10" t="n">
        <f aca="false">X321+Y321*(E321-AB321)-Y321*AD321*Inputs!$B$13*(A321-AC321)</f>
        <v>1016.3844066801</v>
      </c>
      <c r="AJ321" s="10" t="n">
        <v>0</v>
      </c>
      <c r="AK321" s="8" t="n">
        <f aca="false">IF(AND(B321&lt;=U321,NOT(Q321)),B321,U321)*(1-Inputs!$B$12)</f>
        <v>0.885897674631979</v>
      </c>
    </row>
    <row r="322" customFormat="false" ht="15" hidden="false" customHeight="false" outlineLevel="0" collapsed="false">
      <c r="A322" s="6" t="n">
        <v>45106</v>
      </c>
      <c r="B322" s="7" t="n">
        <v>0.887737334752164</v>
      </c>
      <c r="C322" s="7" t="n">
        <v>0.892378947284212</v>
      </c>
      <c r="D322" s="7" t="n">
        <v>0.887293079052193</v>
      </c>
      <c r="E322" s="7" t="n">
        <v>0.889381669848288</v>
      </c>
      <c r="F322" s="8" t="n">
        <f aca="true">IF(ROW()-2&gt;=Inputs!$B$4,AVERAGE(OFFSET(E322,1-Inputs!$B$4,0,Inputs!$B$4,1)),"")</f>
        <v>0.89412134661081</v>
      </c>
      <c r="G322" s="8" t="n">
        <f aca="true">IF(ROW()-2&gt;=Inputs!$B$5,AVERAGE(OFFSET(E322,1-Inputs!$B$5,0,Inputs!$B$5,1)),"")</f>
        <v>0.904234222730462</v>
      </c>
      <c r="H322" s="8" t="n">
        <f aca="false">MAX(C322-D322,ABS(C322-E321),ABS(D322-E321))</f>
        <v>0.0050858682320194</v>
      </c>
      <c r="I322" s="8" t="n">
        <f aca="true">IF(ROW()-2&lt;14,"",IF(ROW()-2=14,AVERAGE(OFFSET(H322,-13,0,14,1)),(I321*13+H322)/14))</f>
        <v>0.00997669263488006</v>
      </c>
      <c r="J322" s="9" t="b">
        <f aca="false">IF(AND(ISNUMBER(F322),ISNUMBER(G322),ISNUMBER(F321),ISNUMBER(G321)),AND(F322&gt;G322,F321&lt;=G321),FALSE())</f>
        <v>0</v>
      </c>
      <c r="K322" s="9" t="b">
        <f aca="false">IF(AND(ISNUMBER(F322),ISNUMBER(G322),ISNUMBER(F321),ISNUMBER(G321)),AND(F322&lt;G322,F321&gt;=G321),FALSE())</f>
        <v>0</v>
      </c>
      <c r="L322" s="8" t="n">
        <f aca="false">IF(ISNUMBER(I322),E322-Inputs!$B$6*I322,"")</f>
        <v>0.869428284578527</v>
      </c>
      <c r="M322" s="9" t="b">
        <f aca="false">AND(Y321&gt;0,Z321)</f>
        <v>0</v>
      </c>
      <c r="N322" s="8" t="n">
        <f aca="false">B322*(1-Inputs!$B$12)</f>
        <v>0.887559787285214</v>
      </c>
      <c r="O322" s="10" t="n">
        <f aca="false">IF(M322,Y321*(N322-AB321)-Inputs!$B$9-Y321*AD321*Inputs!$B$13*(A322-AC321),0)</f>
        <v>0</v>
      </c>
      <c r="P322" s="10" t="n">
        <f aca="false">X321+O322</f>
        <v>1016.3844066801</v>
      </c>
      <c r="Q322" s="9" t="b">
        <f aca="false">AND(IF(M322,0,Y321)=0,AA321,IF(ISNUMBER(AE321),B322&gt;AE321,FALSE()))</f>
        <v>0</v>
      </c>
      <c r="R322" s="8" t="n">
        <f aca="false">B322*(1+Inputs!$B$12)</f>
        <v>0.887914882219115</v>
      </c>
      <c r="S322" s="11" t="n">
        <f aca="false">IF(Q322,MIN(P322*Inputs!$B$3/(R322-AE321),P322*Inputs!$B$11/R322),0)</f>
        <v>0</v>
      </c>
      <c r="T322" s="11" t="n">
        <f aca="false">IF(Q322,S322,IF(M322,0,Y321))</f>
        <v>0</v>
      </c>
      <c r="U322" s="8" t="n">
        <f aca="false">IF(Q322,AE321,AF321)</f>
        <v>0.938328062071903</v>
      </c>
      <c r="V322" s="9" t="b">
        <f aca="false">AND(T322&gt;0,D322&lt;=U322)</f>
        <v>0</v>
      </c>
      <c r="W322" s="10" t="n">
        <f aca="false">IF(V322,T322*(AK322-AB322)-Inputs!$B$9-T322*AD322*Inputs!$B$13*(A322-AC322),0)</f>
        <v>0</v>
      </c>
      <c r="X322" s="10" t="n">
        <f aca="false">P322-IF(Q322,Inputs!$B$9,0)+W322</f>
        <v>1016.3844066801</v>
      </c>
      <c r="Y322" s="11" t="n">
        <f aca="false">IF(V322,0,T322)</f>
        <v>0</v>
      </c>
      <c r="Z322" s="9" t="b">
        <f aca="false">AND(Y322&gt;0,K322)</f>
        <v>0</v>
      </c>
      <c r="AA322" s="9" t="b">
        <f aca="false">AND(Y322=0,J322,ISNUMBER(L322))</f>
        <v>0</v>
      </c>
      <c r="AB322" s="8" t="n">
        <f aca="false">IF(Q322,R322,AB321)</f>
        <v>0.95824964655134</v>
      </c>
      <c r="AC322" s="12" t="n">
        <f aca="false">IF(Q322,A322,AC321)</f>
        <v>45034</v>
      </c>
      <c r="AD322" s="8" t="n">
        <f aca="false">IF(Q322,B322,AD321)</f>
        <v>0.958058034944351</v>
      </c>
      <c r="AE322" s="8" t="str">
        <f aca="false">IF(AA322,L322,"")</f>
        <v/>
      </c>
      <c r="AF322" s="8" t="n">
        <f aca="false">U322</f>
        <v>0.938328062071903</v>
      </c>
      <c r="AG322" s="2" t="n">
        <f aca="false">AG321+IF(Q322,1,0)</f>
        <v>2</v>
      </c>
      <c r="AH322" s="2" t="n">
        <f aca="false">AG321</f>
        <v>2</v>
      </c>
      <c r="AI322" s="10" t="n">
        <f aca="false">X322+Y322*(E322-AB322)-Y322*AD322*Inputs!$B$13*(A322-AC322)</f>
        <v>1016.3844066801</v>
      </c>
      <c r="AJ322" s="10" t="n">
        <v>0</v>
      </c>
      <c r="AK322" s="8" t="n">
        <f aca="false">IF(AND(B322&lt;=U322,NOT(Q322)),B322,U322)*(1-Inputs!$B$12)</f>
        <v>0.887559787285214</v>
      </c>
    </row>
    <row r="323" customFormat="false" ht="15" hidden="false" customHeight="false" outlineLevel="0" collapsed="false">
      <c r="A323" s="6" t="n">
        <v>45107</v>
      </c>
      <c r="B323" s="7" t="n">
        <v>0.889381669848288</v>
      </c>
      <c r="C323" s="7" t="n">
        <v>0.892891350013078</v>
      </c>
      <c r="D323" s="7" t="n">
        <v>0.87389522872756</v>
      </c>
      <c r="E323" s="7" t="n">
        <v>0.876278692091363</v>
      </c>
      <c r="F323" s="8" t="n">
        <f aca="true">IF(ROW()-2&gt;=Inputs!$B$4,AVERAGE(OFFSET(E323,1-Inputs!$B$4,0,Inputs!$B$4,1)),"")</f>
        <v>0.892813978591806</v>
      </c>
      <c r="G323" s="8" t="n">
        <f aca="true">IF(ROW()-2&gt;=Inputs!$B$5,AVERAGE(OFFSET(E323,1-Inputs!$B$5,0,Inputs!$B$5,1)),"")</f>
        <v>0.903247458583638</v>
      </c>
      <c r="H323" s="8" t="n">
        <f aca="false">MAX(C323-D323,ABS(C323-E322),ABS(D323-E322))</f>
        <v>0.0189961212855179</v>
      </c>
      <c r="I323" s="8" t="n">
        <f aca="true">IF(ROW()-2&lt;14,"",IF(ROW()-2=14,AVERAGE(OFFSET(H323,-13,0,14,1)),(I322*13+H323)/14))</f>
        <v>0.010620937538497</v>
      </c>
      <c r="J323" s="9" t="b">
        <f aca="false">IF(AND(ISNUMBER(F323),ISNUMBER(G323),ISNUMBER(F322),ISNUMBER(G322)),AND(F323&gt;G323,F322&lt;=G322),FALSE())</f>
        <v>0</v>
      </c>
      <c r="K323" s="9" t="b">
        <f aca="false">IF(AND(ISNUMBER(F323),ISNUMBER(G323),ISNUMBER(F322),ISNUMBER(G322)),AND(F323&lt;G323,F322&gt;=G322),FALSE())</f>
        <v>0</v>
      </c>
      <c r="L323" s="8" t="n">
        <f aca="false">IF(ISNUMBER(I323),E323-Inputs!$B$6*I323,"")</f>
        <v>0.855036817014369</v>
      </c>
      <c r="M323" s="9" t="b">
        <f aca="false">AND(Y322&gt;0,Z322)</f>
        <v>0</v>
      </c>
      <c r="N323" s="8" t="n">
        <f aca="false">B323*(1-Inputs!$B$12)</f>
        <v>0.889203793514318</v>
      </c>
      <c r="O323" s="10" t="n">
        <f aca="false">IF(M323,Y322*(N323-AB322)-Inputs!$B$9-Y322*AD322*Inputs!$B$13*(A323-AC322),0)</f>
        <v>0</v>
      </c>
      <c r="P323" s="10" t="n">
        <f aca="false">X322+O323</f>
        <v>1016.3844066801</v>
      </c>
      <c r="Q323" s="9" t="b">
        <f aca="false">AND(IF(M323,0,Y322)=0,AA322,IF(ISNUMBER(AE322),B323&gt;AE322,FALSE()))</f>
        <v>0</v>
      </c>
      <c r="R323" s="8" t="n">
        <f aca="false">B323*(1+Inputs!$B$12)</f>
        <v>0.889559546182257</v>
      </c>
      <c r="S323" s="11" t="n">
        <f aca="false">IF(Q323,MIN(P323*Inputs!$B$3/(R323-AE322),P323*Inputs!$B$11/R323),0)</f>
        <v>0</v>
      </c>
      <c r="T323" s="11" t="n">
        <f aca="false">IF(Q323,S323,IF(M323,0,Y322))</f>
        <v>0</v>
      </c>
      <c r="U323" s="8" t="n">
        <f aca="false">IF(Q323,AE322,AF322)</f>
        <v>0.938328062071903</v>
      </c>
      <c r="V323" s="9" t="b">
        <f aca="false">AND(T323&gt;0,D323&lt;=U323)</f>
        <v>0</v>
      </c>
      <c r="W323" s="10" t="n">
        <f aca="false">IF(V323,T323*(AK323-AB323)-Inputs!$B$9-T323*AD323*Inputs!$B$13*(A323-AC323),0)</f>
        <v>0</v>
      </c>
      <c r="X323" s="10" t="n">
        <f aca="false">P323-IF(Q323,Inputs!$B$9,0)+W323</f>
        <v>1016.3844066801</v>
      </c>
      <c r="Y323" s="11" t="n">
        <f aca="false">IF(V323,0,T323)</f>
        <v>0</v>
      </c>
      <c r="Z323" s="9" t="b">
        <f aca="false">AND(Y323&gt;0,K323)</f>
        <v>0</v>
      </c>
      <c r="AA323" s="9" t="b">
        <f aca="false">AND(Y323=0,J323,ISNUMBER(L323))</f>
        <v>0</v>
      </c>
      <c r="AB323" s="8" t="n">
        <f aca="false">IF(Q323,R323,AB322)</f>
        <v>0.95824964655134</v>
      </c>
      <c r="AC323" s="12" t="n">
        <f aca="false">IF(Q323,A323,AC322)</f>
        <v>45034</v>
      </c>
      <c r="AD323" s="8" t="n">
        <f aca="false">IF(Q323,B323,AD322)</f>
        <v>0.958058034944351</v>
      </c>
      <c r="AE323" s="8" t="str">
        <f aca="false">IF(AA323,L323,"")</f>
        <v/>
      </c>
      <c r="AF323" s="8" t="n">
        <f aca="false">U323</f>
        <v>0.938328062071903</v>
      </c>
      <c r="AG323" s="2" t="n">
        <f aca="false">AG322+IF(Q323,1,0)</f>
        <v>2</v>
      </c>
      <c r="AH323" s="2" t="n">
        <f aca="false">AG322</f>
        <v>2</v>
      </c>
      <c r="AI323" s="10" t="n">
        <f aca="false">X323+Y323*(E323-AB323)-Y323*AD323*Inputs!$B$13*(A323-AC323)</f>
        <v>1016.3844066801</v>
      </c>
      <c r="AJ323" s="10" t="n">
        <v>0</v>
      </c>
      <c r="AK323" s="8" t="n">
        <f aca="false">IF(AND(B323&lt;=U323,NOT(Q323)),B323,U323)*(1-Inputs!$B$12)</f>
        <v>0.889203793514318</v>
      </c>
    </row>
    <row r="324" customFormat="false" ht="15" hidden="false" customHeight="false" outlineLevel="0" collapsed="false">
      <c r="A324" s="6" t="n">
        <v>45108</v>
      </c>
      <c r="B324" s="7" t="n">
        <v>0.876278692091363</v>
      </c>
      <c r="C324" s="7" t="n">
        <v>0.876588885298926</v>
      </c>
      <c r="D324" s="7" t="n">
        <v>0.870927118564252</v>
      </c>
      <c r="E324" s="7" t="n">
        <v>0.871456752880795</v>
      </c>
      <c r="F324" s="8" t="n">
        <f aca="true">IF(ROW()-2&gt;=Inputs!$B$4,AVERAGE(OFFSET(E324,1-Inputs!$B$4,0,Inputs!$B$4,1)),"")</f>
        <v>0.891587093669563</v>
      </c>
      <c r="G324" s="8" t="n">
        <f aca="true">IF(ROW()-2&gt;=Inputs!$B$5,AVERAGE(OFFSET(E324,1-Inputs!$B$5,0,Inputs!$B$5,1)),"")</f>
        <v>0.902276017634108</v>
      </c>
      <c r="H324" s="8" t="n">
        <f aca="false">MAX(C324-D324,ABS(C324-E323),ABS(D324-E323))</f>
        <v>0.00566176673467389</v>
      </c>
      <c r="I324" s="8" t="n">
        <f aca="true">IF(ROW()-2&lt;14,"",IF(ROW()-2=14,AVERAGE(OFFSET(H324,-13,0,14,1)),(I323*13+H324)/14))</f>
        <v>0.0102667110525097</v>
      </c>
      <c r="J324" s="9" t="b">
        <f aca="false">IF(AND(ISNUMBER(F324),ISNUMBER(G324),ISNUMBER(F323),ISNUMBER(G323)),AND(F324&gt;G324,F323&lt;=G323),FALSE())</f>
        <v>0</v>
      </c>
      <c r="K324" s="9" t="b">
        <f aca="false">IF(AND(ISNUMBER(F324),ISNUMBER(G324),ISNUMBER(F323),ISNUMBER(G323)),AND(F324&lt;G324,F323&gt;=G323),FALSE())</f>
        <v>0</v>
      </c>
      <c r="L324" s="8" t="n">
        <f aca="false">IF(ISNUMBER(I324),E324-Inputs!$B$6*I324,"")</f>
        <v>0.850923330775776</v>
      </c>
      <c r="M324" s="9" t="b">
        <f aca="false">AND(Y323&gt;0,Z323)</f>
        <v>0</v>
      </c>
      <c r="N324" s="8" t="n">
        <f aca="false">B324*(1-Inputs!$B$12)</f>
        <v>0.876103436352945</v>
      </c>
      <c r="O324" s="10" t="n">
        <f aca="false">IF(M324,Y323*(N324-AB323)-Inputs!$B$9-Y323*AD323*Inputs!$B$13*(A324-AC323),0)</f>
        <v>0</v>
      </c>
      <c r="P324" s="10" t="n">
        <f aca="false">X323+O324</f>
        <v>1016.3844066801</v>
      </c>
      <c r="Q324" s="9" t="b">
        <f aca="false">AND(IF(M324,0,Y323)=0,AA323,IF(ISNUMBER(AE323),B324&gt;AE323,FALSE()))</f>
        <v>0</v>
      </c>
      <c r="R324" s="8" t="n">
        <f aca="false">B324*(1+Inputs!$B$12)</f>
        <v>0.876453947829781</v>
      </c>
      <c r="S324" s="11" t="n">
        <f aca="false">IF(Q324,MIN(P324*Inputs!$B$3/(R324-AE323),P324*Inputs!$B$11/R324),0)</f>
        <v>0</v>
      </c>
      <c r="T324" s="11" t="n">
        <f aca="false">IF(Q324,S324,IF(M324,0,Y323))</f>
        <v>0</v>
      </c>
      <c r="U324" s="8" t="n">
        <f aca="false">IF(Q324,AE323,AF323)</f>
        <v>0.938328062071903</v>
      </c>
      <c r="V324" s="9" t="b">
        <f aca="false">AND(T324&gt;0,D324&lt;=U324)</f>
        <v>0</v>
      </c>
      <c r="W324" s="10" t="n">
        <f aca="false">IF(V324,T324*(AK324-AB324)-Inputs!$B$9-T324*AD324*Inputs!$B$13*(A324-AC324),0)</f>
        <v>0</v>
      </c>
      <c r="X324" s="10" t="n">
        <f aca="false">P324-IF(Q324,Inputs!$B$9,0)+W324</f>
        <v>1016.3844066801</v>
      </c>
      <c r="Y324" s="11" t="n">
        <f aca="false">IF(V324,0,T324)</f>
        <v>0</v>
      </c>
      <c r="Z324" s="9" t="b">
        <f aca="false">AND(Y324&gt;0,K324)</f>
        <v>0</v>
      </c>
      <c r="AA324" s="9" t="b">
        <f aca="false">AND(Y324=0,J324,ISNUMBER(L324))</f>
        <v>0</v>
      </c>
      <c r="AB324" s="8" t="n">
        <f aca="false">IF(Q324,R324,AB323)</f>
        <v>0.95824964655134</v>
      </c>
      <c r="AC324" s="12" t="n">
        <f aca="false">IF(Q324,A324,AC323)</f>
        <v>45034</v>
      </c>
      <c r="AD324" s="8" t="n">
        <f aca="false">IF(Q324,B324,AD323)</f>
        <v>0.958058034944351</v>
      </c>
      <c r="AE324" s="8" t="str">
        <f aca="false">IF(AA324,L324,"")</f>
        <v/>
      </c>
      <c r="AF324" s="8" t="n">
        <f aca="false">U324</f>
        <v>0.938328062071903</v>
      </c>
      <c r="AG324" s="2" t="n">
        <f aca="false">AG323+IF(Q324,1,0)</f>
        <v>2</v>
      </c>
      <c r="AH324" s="2" t="n">
        <f aca="false">AG323</f>
        <v>2</v>
      </c>
      <c r="AI324" s="10" t="n">
        <f aca="false">X324+Y324*(E324-AB324)-Y324*AD324*Inputs!$B$13*(A324-AC324)</f>
        <v>1016.3844066801</v>
      </c>
      <c r="AJ324" s="10" t="n">
        <v>0</v>
      </c>
      <c r="AK324" s="8" t="n">
        <f aca="false">IF(AND(B324&lt;=U324,NOT(Q324)),B324,U324)*(1-Inputs!$B$12)</f>
        <v>0.876103436352945</v>
      </c>
    </row>
    <row r="325" customFormat="false" ht="15" hidden="false" customHeight="false" outlineLevel="0" collapsed="false">
      <c r="A325" s="6" t="n">
        <v>45109</v>
      </c>
      <c r="B325" s="7" t="n">
        <v>0.871456752880795</v>
      </c>
      <c r="C325" s="7" t="n">
        <v>0.874780685793731</v>
      </c>
      <c r="D325" s="7" t="n">
        <v>0.86524774648916</v>
      </c>
      <c r="E325" s="7" t="n">
        <v>0.866754006517876</v>
      </c>
      <c r="F325" s="8" t="n">
        <f aca="true">IF(ROW()-2&gt;=Inputs!$B$4,AVERAGE(OFFSET(E325,1-Inputs!$B$4,0,Inputs!$B$4,1)),"")</f>
        <v>0.889876122950661</v>
      </c>
      <c r="G325" s="8" t="n">
        <f aca="true">IF(ROW()-2&gt;=Inputs!$B$5,AVERAGE(OFFSET(E325,1-Inputs!$B$5,0,Inputs!$B$5,1)),"")</f>
        <v>0.901300089715416</v>
      </c>
      <c r="H325" s="8" t="n">
        <f aca="false">MAX(C325-D325,ABS(C325-E324),ABS(D325-E324))</f>
        <v>0.00953293930457133</v>
      </c>
      <c r="I325" s="8" t="n">
        <f aca="true">IF(ROW()-2&lt;14,"",IF(ROW()-2=14,AVERAGE(OFFSET(H325,-13,0,14,1)),(I324*13+H325)/14))</f>
        <v>0.0102142987847998</v>
      </c>
      <c r="J325" s="9" t="b">
        <f aca="false">IF(AND(ISNUMBER(F325),ISNUMBER(G325),ISNUMBER(F324),ISNUMBER(G324)),AND(F325&gt;G325,F324&lt;=G324),FALSE())</f>
        <v>0</v>
      </c>
      <c r="K325" s="9" t="b">
        <f aca="false">IF(AND(ISNUMBER(F325),ISNUMBER(G325),ISNUMBER(F324),ISNUMBER(G324)),AND(F325&lt;G325,F324&gt;=G324),FALSE())</f>
        <v>0</v>
      </c>
      <c r="L325" s="8" t="n">
        <f aca="false">IF(ISNUMBER(I325),E325-Inputs!$B$6*I325,"")</f>
        <v>0.846325408948277</v>
      </c>
      <c r="M325" s="9" t="b">
        <f aca="false">AND(Y324&gt;0,Z324)</f>
        <v>0</v>
      </c>
      <c r="N325" s="8" t="n">
        <f aca="false">B325*(1-Inputs!$B$12)</f>
        <v>0.871282461530219</v>
      </c>
      <c r="O325" s="10" t="n">
        <f aca="false">IF(M325,Y324*(N325-AB324)-Inputs!$B$9-Y324*AD324*Inputs!$B$13*(A325-AC324),0)</f>
        <v>0</v>
      </c>
      <c r="P325" s="10" t="n">
        <f aca="false">X324+O325</f>
        <v>1016.3844066801</v>
      </c>
      <c r="Q325" s="9" t="b">
        <f aca="false">AND(IF(M325,0,Y324)=0,AA324,IF(ISNUMBER(AE324),B325&gt;AE324,FALSE()))</f>
        <v>0</v>
      </c>
      <c r="R325" s="8" t="n">
        <f aca="false">B325*(1+Inputs!$B$12)</f>
        <v>0.871631044231371</v>
      </c>
      <c r="S325" s="11" t="n">
        <f aca="false">IF(Q325,MIN(P325*Inputs!$B$3/(R325-AE324),P325*Inputs!$B$11/R325),0)</f>
        <v>0</v>
      </c>
      <c r="T325" s="11" t="n">
        <f aca="false">IF(Q325,S325,IF(M325,0,Y324))</f>
        <v>0</v>
      </c>
      <c r="U325" s="8" t="n">
        <f aca="false">IF(Q325,AE324,AF324)</f>
        <v>0.938328062071903</v>
      </c>
      <c r="V325" s="9" t="b">
        <f aca="false">AND(T325&gt;0,D325&lt;=U325)</f>
        <v>0</v>
      </c>
      <c r="W325" s="10" t="n">
        <f aca="false">IF(V325,T325*(AK325-AB325)-Inputs!$B$9-T325*AD325*Inputs!$B$13*(A325-AC325),0)</f>
        <v>0</v>
      </c>
      <c r="X325" s="10" t="n">
        <f aca="false">P325-IF(Q325,Inputs!$B$9,0)+W325</f>
        <v>1016.3844066801</v>
      </c>
      <c r="Y325" s="11" t="n">
        <f aca="false">IF(V325,0,T325)</f>
        <v>0</v>
      </c>
      <c r="Z325" s="9" t="b">
        <f aca="false">AND(Y325&gt;0,K325)</f>
        <v>0</v>
      </c>
      <c r="AA325" s="9" t="b">
        <f aca="false">AND(Y325=0,J325,ISNUMBER(L325))</f>
        <v>0</v>
      </c>
      <c r="AB325" s="8" t="n">
        <f aca="false">IF(Q325,R325,AB324)</f>
        <v>0.95824964655134</v>
      </c>
      <c r="AC325" s="12" t="n">
        <f aca="false">IF(Q325,A325,AC324)</f>
        <v>45034</v>
      </c>
      <c r="AD325" s="8" t="n">
        <f aca="false">IF(Q325,B325,AD324)</f>
        <v>0.958058034944351</v>
      </c>
      <c r="AE325" s="8" t="str">
        <f aca="false">IF(AA325,L325,"")</f>
        <v/>
      </c>
      <c r="AF325" s="8" t="n">
        <f aca="false">U325</f>
        <v>0.938328062071903</v>
      </c>
      <c r="AG325" s="2" t="n">
        <f aca="false">AG324+IF(Q325,1,0)</f>
        <v>2</v>
      </c>
      <c r="AH325" s="2" t="n">
        <f aca="false">AG324</f>
        <v>2</v>
      </c>
      <c r="AI325" s="10" t="n">
        <f aca="false">X325+Y325*(E325-AB325)-Y325*AD325*Inputs!$B$13*(A325-AC325)</f>
        <v>1016.3844066801</v>
      </c>
      <c r="AJ325" s="10" t="n">
        <v>0</v>
      </c>
      <c r="AK325" s="8" t="n">
        <f aca="false">IF(AND(B325&lt;=U325,NOT(Q325)),B325,U325)*(1-Inputs!$B$12)</f>
        <v>0.871282461530219</v>
      </c>
    </row>
    <row r="326" customFormat="false" ht="15" hidden="false" customHeight="false" outlineLevel="0" collapsed="false">
      <c r="A326" s="6" t="n">
        <v>45110</v>
      </c>
      <c r="B326" s="7" t="n">
        <v>0.866754006517876</v>
      </c>
      <c r="C326" s="7" t="n">
        <v>0.867756259789585</v>
      </c>
      <c r="D326" s="7" t="n">
        <v>0.860316869397587</v>
      </c>
      <c r="E326" s="7" t="n">
        <v>0.860654567187575</v>
      </c>
      <c r="F326" s="8" t="n">
        <f aca="true">IF(ROW()-2&gt;=Inputs!$B$4,AVERAGE(OFFSET(E326,1-Inputs!$B$4,0,Inputs!$B$4,1)),"")</f>
        <v>0.888248041690697</v>
      </c>
      <c r="G326" s="8" t="n">
        <f aca="true">IF(ROW()-2&gt;=Inputs!$B$5,AVERAGE(OFFSET(E326,1-Inputs!$B$5,0,Inputs!$B$5,1)),"")</f>
        <v>0.900283946408005</v>
      </c>
      <c r="H326" s="8" t="n">
        <f aca="false">MAX(C326-D326,ABS(C326-E325),ABS(D326-E325))</f>
        <v>0.00743939039199859</v>
      </c>
      <c r="I326" s="8" t="n">
        <f aca="true">IF(ROW()-2&lt;14,"",IF(ROW()-2=14,AVERAGE(OFFSET(H326,-13,0,14,1)),(I325*13+H326)/14))</f>
        <v>0.0100160910424568</v>
      </c>
      <c r="J326" s="9" t="b">
        <f aca="false">IF(AND(ISNUMBER(F326),ISNUMBER(G326),ISNUMBER(F325),ISNUMBER(G325)),AND(F326&gt;G326,F325&lt;=G325),FALSE())</f>
        <v>0</v>
      </c>
      <c r="K326" s="9" t="b">
        <f aca="false">IF(AND(ISNUMBER(F326),ISNUMBER(G326),ISNUMBER(F325),ISNUMBER(G325)),AND(F326&lt;G326,F325&gt;=G325),FALSE())</f>
        <v>0</v>
      </c>
      <c r="L326" s="8" t="n">
        <f aca="false">IF(ISNUMBER(I326),E326-Inputs!$B$6*I326,"")</f>
        <v>0.840622385102662</v>
      </c>
      <c r="M326" s="9" t="b">
        <f aca="false">AND(Y325&gt;0,Z325)</f>
        <v>0</v>
      </c>
      <c r="N326" s="8" t="n">
        <f aca="false">B326*(1-Inputs!$B$12)</f>
        <v>0.866580655716573</v>
      </c>
      <c r="O326" s="10" t="n">
        <f aca="false">IF(M326,Y325*(N326-AB325)-Inputs!$B$9-Y325*AD325*Inputs!$B$13*(A326-AC325),0)</f>
        <v>0</v>
      </c>
      <c r="P326" s="10" t="n">
        <f aca="false">X325+O326</f>
        <v>1016.3844066801</v>
      </c>
      <c r="Q326" s="9" t="b">
        <f aca="false">AND(IF(M326,0,Y325)=0,AA325,IF(ISNUMBER(AE325),B326&gt;AE325,FALSE()))</f>
        <v>0</v>
      </c>
      <c r="R326" s="8" t="n">
        <f aca="false">B326*(1+Inputs!$B$12)</f>
        <v>0.86692735731918</v>
      </c>
      <c r="S326" s="11" t="n">
        <f aca="false">IF(Q326,MIN(P326*Inputs!$B$3/(R326-AE325),P326*Inputs!$B$11/R326),0)</f>
        <v>0</v>
      </c>
      <c r="T326" s="11" t="n">
        <f aca="false">IF(Q326,S326,IF(M326,0,Y325))</f>
        <v>0</v>
      </c>
      <c r="U326" s="8" t="n">
        <f aca="false">IF(Q326,AE325,AF325)</f>
        <v>0.938328062071903</v>
      </c>
      <c r="V326" s="9" t="b">
        <f aca="false">AND(T326&gt;0,D326&lt;=U326)</f>
        <v>0</v>
      </c>
      <c r="W326" s="10" t="n">
        <f aca="false">IF(V326,T326*(AK326-AB326)-Inputs!$B$9-T326*AD326*Inputs!$B$13*(A326-AC326),0)</f>
        <v>0</v>
      </c>
      <c r="X326" s="10" t="n">
        <f aca="false">P326-IF(Q326,Inputs!$B$9,0)+W326</f>
        <v>1016.3844066801</v>
      </c>
      <c r="Y326" s="11" t="n">
        <f aca="false">IF(V326,0,T326)</f>
        <v>0</v>
      </c>
      <c r="Z326" s="9" t="b">
        <f aca="false">AND(Y326&gt;0,K326)</f>
        <v>0</v>
      </c>
      <c r="AA326" s="9" t="b">
        <f aca="false">AND(Y326=0,J326,ISNUMBER(L326))</f>
        <v>0</v>
      </c>
      <c r="AB326" s="8" t="n">
        <f aca="false">IF(Q326,R326,AB325)</f>
        <v>0.95824964655134</v>
      </c>
      <c r="AC326" s="12" t="n">
        <f aca="false">IF(Q326,A326,AC325)</f>
        <v>45034</v>
      </c>
      <c r="AD326" s="8" t="n">
        <f aca="false">IF(Q326,B326,AD325)</f>
        <v>0.958058034944351</v>
      </c>
      <c r="AE326" s="8" t="str">
        <f aca="false">IF(AA326,L326,"")</f>
        <v/>
      </c>
      <c r="AF326" s="8" t="n">
        <f aca="false">U326</f>
        <v>0.938328062071903</v>
      </c>
      <c r="AG326" s="2" t="n">
        <f aca="false">AG325+IF(Q326,1,0)</f>
        <v>2</v>
      </c>
      <c r="AH326" s="2" t="n">
        <f aca="false">AG325</f>
        <v>2</v>
      </c>
      <c r="AI326" s="10" t="n">
        <f aca="false">X326+Y326*(E326-AB326)-Y326*AD326*Inputs!$B$13*(A326-AC326)</f>
        <v>1016.3844066801</v>
      </c>
      <c r="AJ326" s="10" t="n">
        <v>0</v>
      </c>
      <c r="AK326" s="8" t="n">
        <f aca="false">IF(AND(B326&lt;=U326,NOT(Q326)),B326,U326)*(1-Inputs!$B$12)</f>
        <v>0.866580655716573</v>
      </c>
    </row>
    <row r="327" customFormat="false" ht="15" hidden="false" customHeight="false" outlineLevel="0" collapsed="false">
      <c r="A327" s="6" t="n">
        <v>45111</v>
      </c>
      <c r="B327" s="7" t="n">
        <v>0.860654567187575</v>
      </c>
      <c r="C327" s="7" t="n">
        <v>0.862640268337118</v>
      </c>
      <c r="D327" s="7" t="n">
        <v>0.85438435870884</v>
      </c>
      <c r="E327" s="7" t="n">
        <v>0.855815634737054</v>
      </c>
      <c r="F327" s="8" t="n">
        <f aca="true">IF(ROW()-2&gt;=Inputs!$B$4,AVERAGE(OFFSET(E327,1-Inputs!$B$4,0,Inputs!$B$4,1)),"")</f>
        <v>0.885851673923408</v>
      </c>
      <c r="G327" s="8" t="n">
        <f aca="true">IF(ROW()-2&gt;=Inputs!$B$5,AVERAGE(OFFSET(E327,1-Inputs!$B$5,0,Inputs!$B$5,1)),"")</f>
        <v>0.899132133491218</v>
      </c>
      <c r="H327" s="8" t="n">
        <f aca="false">MAX(C327-D327,ABS(C327-E326),ABS(D327-E326))</f>
        <v>0.00825590962827805</v>
      </c>
      <c r="I327" s="8" t="n">
        <f aca="true">IF(ROW()-2&lt;14,"",IF(ROW()-2=14,AVERAGE(OFFSET(H327,-13,0,14,1)),(I326*13+H327)/14))</f>
        <v>0.00989036379858693</v>
      </c>
      <c r="J327" s="9" t="b">
        <f aca="false">IF(AND(ISNUMBER(F327),ISNUMBER(G327),ISNUMBER(F326),ISNUMBER(G326)),AND(F327&gt;G327,F326&lt;=G326),FALSE())</f>
        <v>0</v>
      </c>
      <c r="K327" s="9" t="b">
        <f aca="false">IF(AND(ISNUMBER(F327),ISNUMBER(G327),ISNUMBER(F326),ISNUMBER(G326)),AND(F327&lt;G327,F326&gt;=G326),FALSE())</f>
        <v>0</v>
      </c>
      <c r="L327" s="8" t="n">
        <f aca="false">IF(ISNUMBER(I327),E327-Inputs!$B$6*I327,"")</f>
        <v>0.83603490713988</v>
      </c>
      <c r="M327" s="9" t="b">
        <f aca="false">AND(Y326&gt;0,Z326)</f>
        <v>0</v>
      </c>
      <c r="N327" s="8" t="n">
        <f aca="false">B327*(1-Inputs!$B$12)</f>
        <v>0.860482436274138</v>
      </c>
      <c r="O327" s="10" t="n">
        <f aca="false">IF(M327,Y326*(N327-AB326)-Inputs!$B$9-Y326*AD326*Inputs!$B$13*(A327-AC326),0)</f>
        <v>0</v>
      </c>
      <c r="P327" s="10" t="n">
        <f aca="false">X326+O327</f>
        <v>1016.3844066801</v>
      </c>
      <c r="Q327" s="9" t="b">
        <f aca="false">AND(IF(M327,0,Y326)=0,AA326,IF(ISNUMBER(AE326),B327&gt;AE326,FALSE()))</f>
        <v>0</v>
      </c>
      <c r="R327" s="8" t="n">
        <f aca="false">B327*(1+Inputs!$B$12)</f>
        <v>0.860826698101013</v>
      </c>
      <c r="S327" s="11" t="n">
        <f aca="false">IF(Q327,MIN(P327*Inputs!$B$3/(R327-AE326),P327*Inputs!$B$11/R327),0)</f>
        <v>0</v>
      </c>
      <c r="T327" s="11" t="n">
        <f aca="false">IF(Q327,S327,IF(M327,0,Y326))</f>
        <v>0</v>
      </c>
      <c r="U327" s="8" t="n">
        <f aca="false">IF(Q327,AE326,AF326)</f>
        <v>0.938328062071903</v>
      </c>
      <c r="V327" s="9" t="b">
        <f aca="false">AND(T327&gt;0,D327&lt;=U327)</f>
        <v>0</v>
      </c>
      <c r="W327" s="10" t="n">
        <f aca="false">IF(V327,T327*(AK327-AB327)-Inputs!$B$9-T327*AD327*Inputs!$B$13*(A327-AC327),0)</f>
        <v>0</v>
      </c>
      <c r="X327" s="10" t="n">
        <f aca="false">P327-IF(Q327,Inputs!$B$9,0)+W327</f>
        <v>1016.3844066801</v>
      </c>
      <c r="Y327" s="11" t="n">
        <f aca="false">IF(V327,0,T327)</f>
        <v>0</v>
      </c>
      <c r="Z327" s="9" t="b">
        <f aca="false">AND(Y327&gt;0,K327)</f>
        <v>0</v>
      </c>
      <c r="AA327" s="9" t="b">
        <f aca="false">AND(Y327=0,J327,ISNUMBER(L327))</f>
        <v>0</v>
      </c>
      <c r="AB327" s="8" t="n">
        <f aca="false">IF(Q327,R327,AB326)</f>
        <v>0.95824964655134</v>
      </c>
      <c r="AC327" s="12" t="n">
        <f aca="false">IF(Q327,A327,AC326)</f>
        <v>45034</v>
      </c>
      <c r="AD327" s="8" t="n">
        <f aca="false">IF(Q327,B327,AD326)</f>
        <v>0.958058034944351</v>
      </c>
      <c r="AE327" s="8" t="str">
        <f aca="false">IF(AA327,L327,"")</f>
        <v/>
      </c>
      <c r="AF327" s="8" t="n">
        <f aca="false">U327</f>
        <v>0.938328062071903</v>
      </c>
      <c r="AG327" s="2" t="n">
        <f aca="false">AG326+IF(Q327,1,0)</f>
        <v>2</v>
      </c>
      <c r="AH327" s="2" t="n">
        <f aca="false">AG326</f>
        <v>2</v>
      </c>
      <c r="AI327" s="10" t="n">
        <f aca="false">X327+Y327*(E327-AB327)-Y327*AD327*Inputs!$B$13*(A327-AC327)</f>
        <v>1016.3844066801</v>
      </c>
      <c r="AJ327" s="10" t="n">
        <v>0</v>
      </c>
      <c r="AK327" s="8" t="n">
        <f aca="false">IF(AND(B327&lt;=U327,NOT(Q327)),B327,U327)*(1-Inputs!$B$12)</f>
        <v>0.860482436274138</v>
      </c>
    </row>
    <row r="328" customFormat="false" ht="15" hidden="false" customHeight="false" outlineLevel="0" collapsed="false">
      <c r="A328" s="6" t="n">
        <v>45112</v>
      </c>
      <c r="B328" s="7" t="n">
        <v>0.855815634737054</v>
      </c>
      <c r="C328" s="7" t="n">
        <v>0.862589963387987</v>
      </c>
      <c r="D328" s="7" t="n">
        <v>0.855120047922155</v>
      </c>
      <c r="E328" s="7" t="n">
        <v>0.861406010779628</v>
      </c>
      <c r="F328" s="8" t="n">
        <f aca="true">IF(ROW()-2&gt;=Inputs!$B$4,AVERAGE(OFFSET(E328,1-Inputs!$B$4,0,Inputs!$B$4,1)),"")</f>
        <v>0.883755772658727</v>
      </c>
      <c r="G328" s="8" t="n">
        <f aca="true">IF(ROW()-2&gt;=Inputs!$B$5,AVERAGE(OFFSET(E328,1-Inputs!$B$5,0,Inputs!$B$5,1)),"")</f>
        <v>0.89809431322911</v>
      </c>
      <c r="H328" s="8" t="n">
        <f aca="false">MAX(C328-D328,ABS(C328-E327),ABS(D328-E327))</f>
        <v>0.00746991546583209</v>
      </c>
      <c r="I328" s="8" t="n">
        <f aca="true">IF(ROW()-2&lt;14,"",IF(ROW()-2=14,AVERAGE(OFFSET(H328,-13,0,14,1)),(I327*13+H328)/14))</f>
        <v>0.00971747463196159</v>
      </c>
      <c r="J328" s="9" t="b">
        <f aca="false">IF(AND(ISNUMBER(F328),ISNUMBER(G328),ISNUMBER(F327),ISNUMBER(G327)),AND(F328&gt;G328,F327&lt;=G327),FALSE())</f>
        <v>0</v>
      </c>
      <c r="K328" s="9" t="b">
        <f aca="false">IF(AND(ISNUMBER(F328),ISNUMBER(G328),ISNUMBER(F327),ISNUMBER(G327)),AND(F328&lt;G328,F327&gt;=G327),FALSE())</f>
        <v>0</v>
      </c>
      <c r="L328" s="8" t="n">
        <f aca="false">IF(ISNUMBER(I328),E328-Inputs!$B$6*I328,"")</f>
        <v>0.841971061515705</v>
      </c>
      <c r="M328" s="9" t="b">
        <f aca="false">AND(Y327&gt;0,Z327)</f>
        <v>0</v>
      </c>
      <c r="N328" s="8" t="n">
        <f aca="false">B328*(1-Inputs!$B$12)</f>
        <v>0.855644471610107</v>
      </c>
      <c r="O328" s="10" t="n">
        <f aca="false">IF(M328,Y327*(N328-AB327)-Inputs!$B$9-Y327*AD327*Inputs!$B$13*(A328-AC327),0)</f>
        <v>0</v>
      </c>
      <c r="P328" s="10" t="n">
        <f aca="false">X327+O328</f>
        <v>1016.3844066801</v>
      </c>
      <c r="Q328" s="9" t="b">
        <f aca="false">AND(IF(M328,0,Y327)=0,AA327,IF(ISNUMBER(AE327),B328&gt;AE327,FALSE()))</f>
        <v>0</v>
      </c>
      <c r="R328" s="8" t="n">
        <f aca="false">B328*(1+Inputs!$B$12)</f>
        <v>0.855986797864001</v>
      </c>
      <c r="S328" s="11" t="n">
        <f aca="false">IF(Q328,MIN(P328*Inputs!$B$3/(R328-AE327),P328*Inputs!$B$11/R328),0)</f>
        <v>0</v>
      </c>
      <c r="T328" s="11" t="n">
        <f aca="false">IF(Q328,S328,IF(M328,0,Y327))</f>
        <v>0</v>
      </c>
      <c r="U328" s="8" t="n">
        <f aca="false">IF(Q328,AE327,AF327)</f>
        <v>0.938328062071903</v>
      </c>
      <c r="V328" s="9" t="b">
        <f aca="false">AND(T328&gt;0,D328&lt;=U328)</f>
        <v>0</v>
      </c>
      <c r="W328" s="10" t="n">
        <f aca="false">IF(V328,T328*(AK328-AB328)-Inputs!$B$9-T328*AD328*Inputs!$B$13*(A328-AC328),0)</f>
        <v>0</v>
      </c>
      <c r="X328" s="10" t="n">
        <f aca="false">P328-IF(Q328,Inputs!$B$9,0)+W328</f>
        <v>1016.3844066801</v>
      </c>
      <c r="Y328" s="11" t="n">
        <f aca="false">IF(V328,0,T328)</f>
        <v>0</v>
      </c>
      <c r="Z328" s="9" t="b">
        <f aca="false">AND(Y328&gt;0,K328)</f>
        <v>0</v>
      </c>
      <c r="AA328" s="9" t="b">
        <f aca="false">AND(Y328=0,J328,ISNUMBER(L328))</f>
        <v>0</v>
      </c>
      <c r="AB328" s="8" t="n">
        <f aca="false">IF(Q328,R328,AB327)</f>
        <v>0.95824964655134</v>
      </c>
      <c r="AC328" s="12" t="n">
        <f aca="false">IF(Q328,A328,AC327)</f>
        <v>45034</v>
      </c>
      <c r="AD328" s="8" t="n">
        <f aca="false">IF(Q328,B328,AD327)</f>
        <v>0.958058034944351</v>
      </c>
      <c r="AE328" s="8" t="str">
        <f aca="false">IF(AA328,L328,"")</f>
        <v/>
      </c>
      <c r="AF328" s="8" t="n">
        <f aca="false">U328</f>
        <v>0.938328062071903</v>
      </c>
      <c r="AG328" s="2" t="n">
        <f aca="false">AG327+IF(Q328,1,0)</f>
        <v>2</v>
      </c>
      <c r="AH328" s="2" t="n">
        <f aca="false">AG327</f>
        <v>2</v>
      </c>
      <c r="AI328" s="10" t="n">
        <f aca="false">X328+Y328*(E328-AB328)-Y328*AD328*Inputs!$B$13*(A328-AC328)</f>
        <v>1016.3844066801</v>
      </c>
      <c r="AJ328" s="10" t="n">
        <v>0</v>
      </c>
      <c r="AK328" s="8" t="n">
        <f aca="false">IF(AND(B328&lt;=U328,NOT(Q328)),B328,U328)*(1-Inputs!$B$12)</f>
        <v>0.855644471610107</v>
      </c>
    </row>
    <row r="329" customFormat="false" ht="15" hidden="false" customHeight="false" outlineLevel="0" collapsed="false">
      <c r="A329" s="6" t="n">
        <v>45113</v>
      </c>
      <c r="B329" s="7" t="n">
        <v>0.861406010779628</v>
      </c>
      <c r="C329" s="7" t="n">
        <v>0.865278192861468</v>
      </c>
      <c r="D329" s="7" t="n">
        <v>0.854306961154897</v>
      </c>
      <c r="E329" s="7" t="n">
        <v>0.856600945253354</v>
      </c>
      <c r="F329" s="8" t="n">
        <f aca="true">IF(ROW()-2&gt;=Inputs!$B$4,AVERAGE(OFFSET(E329,1-Inputs!$B$4,0,Inputs!$B$4,1)),"")</f>
        <v>0.881489913634836</v>
      </c>
      <c r="G329" s="8" t="n">
        <f aca="true">IF(ROW()-2&gt;=Inputs!$B$5,AVERAGE(OFFSET(E329,1-Inputs!$B$5,0,Inputs!$B$5,1)),"")</f>
        <v>0.896977187613817</v>
      </c>
      <c r="H329" s="8" t="n">
        <f aca="false">MAX(C329-D329,ABS(C329-E328),ABS(D329-E328))</f>
        <v>0.0109712317065713</v>
      </c>
      <c r="I329" s="8" t="n">
        <f aca="true">IF(ROW()-2&lt;14,"",IF(ROW()-2=14,AVERAGE(OFFSET(H329,-13,0,14,1)),(I328*13+H329)/14))</f>
        <v>0.00980702870871943</v>
      </c>
      <c r="J329" s="9" t="b">
        <f aca="false">IF(AND(ISNUMBER(F329),ISNUMBER(G329),ISNUMBER(F328),ISNUMBER(G328)),AND(F329&gt;G329,F328&lt;=G328),FALSE())</f>
        <v>0</v>
      </c>
      <c r="K329" s="9" t="b">
        <f aca="false">IF(AND(ISNUMBER(F329),ISNUMBER(G329),ISNUMBER(F328),ISNUMBER(G328)),AND(F329&lt;G329,F328&gt;=G328),FALSE())</f>
        <v>0</v>
      </c>
      <c r="L329" s="8" t="n">
        <f aca="false">IF(ISNUMBER(I329),E329-Inputs!$B$6*I329,"")</f>
        <v>0.836986887835916</v>
      </c>
      <c r="M329" s="9" t="b">
        <f aca="false">AND(Y328&gt;0,Z328)</f>
        <v>0</v>
      </c>
      <c r="N329" s="8" t="n">
        <f aca="false">B329*(1-Inputs!$B$12)</f>
        <v>0.861233729577472</v>
      </c>
      <c r="O329" s="10" t="n">
        <f aca="false">IF(M329,Y328*(N329-AB328)-Inputs!$B$9-Y328*AD328*Inputs!$B$13*(A329-AC328),0)</f>
        <v>0</v>
      </c>
      <c r="P329" s="10" t="n">
        <f aca="false">X328+O329</f>
        <v>1016.3844066801</v>
      </c>
      <c r="Q329" s="9" t="b">
        <f aca="false">AND(IF(M329,0,Y328)=0,AA328,IF(ISNUMBER(AE328),B329&gt;AE328,FALSE()))</f>
        <v>0</v>
      </c>
      <c r="R329" s="8" t="n">
        <f aca="false">B329*(1+Inputs!$B$12)</f>
        <v>0.861578291981784</v>
      </c>
      <c r="S329" s="11" t="n">
        <f aca="false">IF(Q329,MIN(P329*Inputs!$B$3/(R329-AE328),P329*Inputs!$B$11/R329),0)</f>
        <v>0</v>
      </c>
      <c r="T329" s="11" t="n">
        <f aca="false">IF(Q329,S329,IF(M329,0,Y328))</f>
        <v>0</v>
      </c>
      <c r="U329" s="8" t="n">
        <f aca="false">IF(Q329,AE328,AF328)</f>
        <v>0.938328062071903</v>
      </c>
      <c r="V329" s="9" t="b">
        <f aca="false">AND(T329&gt;0,D329&lt;=U329)</f>
        <v>0</v>
      </c>
      <c r="W329" s="10" t="n">
        <f aca="false">IF(V329,T329*(AK329-AB329)-Inputs!$B$9-T329*AD329*Inputs!$B$13*(A329-AC329),0)</f>
        <v>0</v>
      </c>
      <c r="X329" s="10" t="n">
        <f aca="false">P329-IF(Q329,Inputs!$B$9,0)+W329</f>
        <v>1016.3844066801</v>
      </c>
      <c r="Y329" s="11" t="n">
        <f aca="false">IF(V329,0,T329)</f>
        <v>0</v>
      </c>
      <c r="Z329" s="9" t="b">
        <f aca="false">AND(Y329&gt;0,K329)</f>
        <v>0</v>
      </c>
      <c r="AA329" s="9" t="b">
        <f aca="false">AND(Y329=0,J329,ISNUMBER(L329))</f>
        <v>0</v>
      </c>
      <c r="AB329" s="8" t="n">
        <f aca="false">IF(Q329,R329,AB328)</f>
        <v>0.95824964655134</v>
      </c>
      <c r="AC329" s="12" t="n">
        <f aca="false">IF(Q329,A329,AC328)</f>
        <v>45034</v>
      </c>
      <c r="AD329" s="8" t="n">
        <f aca="false">IF(Q329,B329,AD328)</f>
        <v>0.958058034944351</v>
      </c>
      <c r="AE329" s="8" t="str">
        <f aca="false">IF(AA329,L329,"")</f>
        <v/>
      </c>
      <c r="AF329" s="8" t="n">
        <f aca="false">U329</f>
        <v>0.938328062071903</v>
      </c>
      <c r="AG329" s="2" t="n">
        <f aca="false">AG328+IF(Q329,1,0)</f>
        <v>2</v>
      </c>
      <c r="AH329" s="2" t="n">
        <f aca="false">AG328</f>
        <v>2</v>
      </c>
      <c r="AI329" s="10" t="n">
        <f aca="false">X329+Y329*(E329-AB329)-Y329*AD329*Inputs!$B$13*(A329-AC329)</f>
        <v>1016.3844066801</v>
      </c>
      <c r="AJ329" s="10" t="n">
        <v>0</v>
      </c>
      <c r="AK329" s="8" t="n">
        <f aca="false">IF(AND(B329&lt;=U329,NOT(Q329)),B329,U329)*(1-Inputs!$B$12)</f>
        <v>0.861233729577472</v>
      </c>
    </row>
    <row r="330" customFormat="false" ht="15" hidden="false" customHeight="false" outlineLevel="0" collapsed="false">
      <c r="A330" s="6" t="n">
        <v>45114</v>
      </c>
      <c r="B330" s="7" t="n">
        <v>0.856600945253354</v>
      </c>
      <c r="C330" s="7" t="n">
        <v>0.862371296941861</v>
      </c>
      <c r="D330" s="7" t="n">
        <v>0.855185247487365</v>
      </c>
      <c r="E330" s="7" t="n">
        <v>0.857809042334125</v>
      </c>
      <c r="F330" s="8" t="n">
        <f aca="true">IF(ROW()-2&gt;=Inputs!$B$4,AVERAGE(OFFSET(E330,1-Inputs!$B$4,0,Inputs!$B$4,1)),"")</f>
        <v>0.879360067627351</v>
      </c>
      <c r="G330" s="8" t="n">
        <f aca="true">IF(ROW()-2&gt;=Inputs!$B$5,AVERAGE(OFFSET(E330,1-Inputs!$B$5,0,Inputs!$B$5,1)),"")</f>
        <v>0.895945855035711</v>
      </c>
      <c r="H330" s="8" t="n">
        <f aca="false">MAX(C330-D330,ABS(C330-E329),ABS(D330-E329))</f>
        <v>0.00718604945449619</v>
      </c>
      <c r="I330" s="8" t="n">
        <f aca="true">IF(ROW()-2&lt;14,"",IF(ROW()-2=14,AVERAGE(OFFSET(H330,-13,0,14,1)),(I329*13+H330)/14))</f>
        <v>0.00961981590484634</v>
      </c>
      <c r="J330" s="9" t="b">
        <f aca="false">IF(AND(ISNUMBER(F330),ISNUMBER(G330),ISNUMBER(F329),ISNUMBER(G329)),AND(F330&gt;G330,F329&lt;=G329),FALSE())</f>
        <v>0</v>
      </c>
      <c r="K330" s="9" t="b">
        <f aca="false">IF(AND(ISNUMBER(F330),ISNUMBER(G330),ISNUMBER(F329),ISNUMBER(G329)),AND(F330&lt;G330,F329&gt;=G329),FALSE())</f>
        <v>0</v>
      </c>
      <c r="L330" s="8" t="n">
        <f aca="false">IF(ISNUMBER(I330),E330-Inputs!$B$6*I330,"")</f>
        <v>0.838569410524433</v>
      </c>
      <c r="M330" s="9" t="b">
        <f aca="false">AND(Y329&gt;0,Z329)</f>
        <v>0</v>
      </c>
      <c r="N330" s="8" t="n">
        <f aca="false">B330*(1-Inputs!$B$12)</f>
        <v>0.856429625064304</v>
      </c>
      <c r="O330" s="10" t="n">
        <f aca="false">IF(M330,Y329*(N330-AB329)-Inputs!$B$9-Y329*AD329*Inputs!$B$13*(A330-AC329),0)</f>
        <v>0</v>
      </c>
      <c r="P330" s="10" t="n">
        <f aca="false">X329+O330</f>
        <v>1016.3844066801</v>
      </c>
      <c r="Q330" s="9" t="b">
        <f aca="false">AND(IF(M330,0,Y329)=0,AA329,IF(ISNUMBER(AE329),B330&gt;AE329,FALSE()))</f>
        <v>0</v>
      </c>
      <c r="R330" s="8" t="n">
        <f aca="false">B330*(1+Inputs!$B$12)</f>
        <v>0.856772265442405</v>
      </c>
      <c r="S330" s="11" t="n">
        <f aca="false">IF(Q330,MIN(P330*Inputs!$B$3/(R330-AE329),P330*Inputs!$B$11/R330),0)</f>
        <v>0</v>
      </c>
      <c r="T330" s="11" t="n">
        <f aca="false">IF(Q330,S330,IF(M330,0,Y329))</f>
        <v>0</v>
      </c>
      <c r="U330" s="8" t="n">
        <f aca="false">IF(Q330,AE329,AF329)</f>
        <v>0.938328062071903</v>
      </c>
      <c r="V330" s="9" t="b">
        <f aca="false">AND(T330&gt;0,D330&lt;=U330)</f>
        <v>0</v>
      </c>
      <c r="W330" s="10" t="n">
        <f aca="false">IF(V330,T330*(AK330-AB330)-Inputs!$B$9-T330*AD330*Inputs!$B$13*(A330-AC330),0)</f>
        <v>0</v>
      </c>
      <c r="X330" s="10" t="n">
        <f aca="false">P330-IF(Q330,Inputs!$B$9,0)+W330</f>
        <v>1016.3844066801</v>
      </c>
      <c r="Y330" s="11" t="n">
        <f aca="false">IF(V330,0,T330)</f>
        <v>0</v>
      </c>
      <c r="Z330" s="9" t="b">
        <f aca="false">AND(Y330&gt;0,K330)</f>
        <v>0</v>
      </c>
      <c r="AA330" s="9" t="b">
        <f aca="false">AND(Y330=0,J330,ISNUMBER(L330))</f>
        <v>0</v>
      </c>
      <c r="AB330" s="8" t="n">
        <f aca="false">IF(Q330,R330,AB329)</f>
        <v>0.95824964655134</v>
      </c>
      <c r="AC330" s="12" t="n">
        <f aca="false">IF(Q330,A330,AC329)</f>
        <v>45034</v>
      </c>
      <c r="AD330" s="8" t="n">
        <f aca="false">IF(Q330,B330,AD329)</f>
        <v>0.958058034944351</v>
      </c>
      <c r="AE330" s="8" t="str">
        <f aca="false">IF(AA330,L330,"")</f>
        <v/>
      </c>
      <c r="AF330" s="8" t="n">
        <f aca="false">U330</f>
        <v>0.938328062071903</v>
      </c>
      <c r="AG330" s="2" t="n">
        <f aca="false">AG329+IF(Q330,1,0)</f>
        <v>2</v>
      </c>
      <c r="AH330" s="2" t="n">
        <f aca="false">AG329</f>
        <v>2</v>
      </c>
      <c r="AI330" s="10" t="n">
        <f aca="false">X330+Y330*(E330-AB330)-Y330*AD330*Inputs!$B$13*(A330-AC330)</f>
        <v>1016.3844066801</v>
      </c>
      <c r="AJ330" s="10" t="n">
        <v>0</v>
      </c>
      <c r="AK330" s="8" t="n">
        <f aca="false">IF(AND(B330&lt;=U330,NOT(Q330)),B330,U330)*(1-Inputs!$B$12)</f>
        <v>0.856429625064304</v>
      </c>
    </row>
    <row r="331" customFormat="false" ht="15" hidden="false" customHeight="false" outlineLevel="0" collapsed="false">
      <c r="A331" s="6" t="n">
        <v>45115</v>
      </c>
      <c r="B331" s="7" t="n">
        <v>0.857809042334125</v>
      </c>
      <c r="C331" s="7" t="n">
        <v>0.85972313958312</v>
      </c>
      <c r="D331" s="7" t="n">
        <v>0.853888348778555</v>
      </c>
      <c r="E331" s="7" t="n">
        <v>0.855464848838931</v>
      </c>
      <c r="F331" s="8" t="n">
        <f aca="true">IF(ROW()-2&gt;=Inputs!$B$4,AVERAGE(OFFSET(E331,1-Inputs!$B$4,0,Inputs!$B$4,1)),"")</f>
        <v>0.877434665990872</v>
      </c>
      <c r="G331" s="8" t="n">
        <f aca="true">IF(ROW()-2&gt;=Inputs!$B$5,AVERAGE(OFFSET(E331,1-Inputs!$B$5,0,Inputs!$B$5,1)),"")</f>
        <v>0.895010135530233</v>
      </c>
      <c r="H331" s="8" t="n">
        <f aca="false">MAX(C331-D331,ABS(C331-E330),ABS(D331-E330))</f>
        <v>0.00583479080456484</v>
      </c>
      <c r="I331" s="8" t="n">
        <f aca="true">IF(ROW()-2&lt;14,"",IF(ROW()-2=14,AVERAGE(OFFSET(H331,-13,0,14,1)),(I330*13+H331)/14))</f>
        <v>0.00934945696911194</v>
      </c>
      <c r="J331" s="9" t="b">
        <f aca="false">IF(AND(ISNUMBER(F331),ISNUMBER(G331),ISNUMBER(F330),ISNUMBER(G330)),AND(F331&gt;G331,F330&lt;=G330),FALSE())</f>
        <v>0</v>
      </c>
      <c r="K331" s="9" t="b">
        <f aca="false">IF(AND(ISNUMBER(F331),ISNUMBER(G331),ISNUMBER(F330),ISNUMBER(G330)),AND(F331&lt;G331,F330&gt;=G330),FALSE())</f>
        <v>0</v>
      </c>
      <c r="L331" s="8" t="n">
        <f aca="false">IF(ISNUMBER(I331),E331-Inputs!$B$6*I331,"")</f>
        <v>0.836765934900707</v>
      </c>
      <c r="M331" s="9" t="b">
        <f aca="false">AND(Y330&gt;0,Z330)</f>
        <v>0</v>
      </c>
      <c r="N331" s="8" t="n">
        <f aca="false">B331*(1-Inputs!$B$12)</f>
        <v>0.857637480525659</v>
      </c>
      <c r="O331" s="10" t="n">
        <f aca="false">IF(M331,Y330*(N331-AB330)-Inputs!$B$9-Y330*AD330*Inputs!$B$13*(A331-AC330),0)</f>
        <v>0</v>
      </c>
      <c r="P331" s="10" t="n">
        <f aca="false">X330+O331</f>
        <v>1016.3844066801</v>
      </c>
      <c r="Q331" s="9" t="b">
        <f aca="false">AND(IF(M331,0,Y330)=0,AA330,IF(ISNUMBER(AE330),B331&gt;AE330,FALSE()))</f>
        <v>0</v>
      </c>
      <c r="R331" s="8" t="n">
        <f aca="false">B331*(1+Inputs!$B$12)</f>
        <v>0.857980604142592</v>
      </c>
      <c r="S331" s="11" t="n">
        <f aca="false">IF(Q331,MIN(P331*Inputs!$B$3/(R331-AE330),P331*Inputs!$B$11/R331),0)</f>
        <v>0</v>
      </c>
      <c r="T331" s="11" t="n">
        <f aca="false">IF(Q331,S331,IF(M331,0,Y330))</f>
        <v>0</v>
      </c>
      <c r="U331" s="8" t="n">
        <f aca="false">IF(Q331,AE330,AF330)</f>
        <v>0.938328062071903</v>
      </c>
      <c r="V331" s="9" t="b">
        <f aca="false">AND(T331&gt;0,D331&lt;=U331)</f>
        <v>0</v>
      </c>
      <c r="W331" s="10" t="n">
        <f aca="false">IF(V331,T331*(AK331-AB331)-Inputs!$B$9-T331*AD331*Inputs!$B$13*(A331-AC331),0)</f>
        <v>0</v>
      </c>
      <c r="X331" s="10" t="n">
        <f aca="false">P331-IF(Q331,Inputs!$B$9,0)+W331</f>
        <v>1016.3844066801</v>
      </c>
      <c r="Y331" s="11" t="n">
        <f aca="false">IF(V331,0,T331)</f>
        <v>0</v>
      </c>
      <c r="Z331" s="9" t="b">
        <f aca="false">AND(Y331&gt;0,K331)</f>
        <v>0</v>
      </c>
      <c r="AA331" s="9" t="b">
        <f aca="false">AND(Y331=0,J331,ISNUMBER(L331))</f>
        <v>0</v>
      </c>
      <c r="AB331" s="8" t="n">
        <f aca="false">IF(Q331,R331,AB330)</f>
        <v>0.95824964655134</v>
      </c>
      <c r="AC331" s="12" t="n">
        <f aca="false">IF(Q331,A331,AC330)</f>
        <v>45034</v>
      </c>
      <c r="AD331" s="8" t="n">
        <f aca="false">IF(Q331,B331,AD330)</f>
        <v>0.958058034944351</v>
      </c>
      <c r="AE331" s="8" t="str">
        <f aca="false">IF(AA331,L331,"")</f>
        <v/>
      </c>
      <c r="AF331" s="8" t="n">
        <f aca="false">U331</f>
        <v>0.938328062071903</v>
      </c>
      <c r="AG331" s="2" t="n">
        <f aca="false">AG330+IF(Q331,1,0)</f>
        <v>2</v>
      </c>
      <c r="AH331" s="2" t="n">
        <f aca="false">AG330</f>
        <v>2</v>
      </c>
      <c r="AI331" s="10" t="n">
        <f aca="false">X331+Y331*(E331-AB331)-Y331*AD331*Inputs!$B$13*(A331-AC331)</f>
        <v>1016.3844066801</v>
      </c>
      <c r="AJ331" s="10" t="n">
        <v>0</v>
      </c>
      <c r="AK331" s="8" t="n">
        <f aca="false">IF(AND(B331&lt;=U331,NOT(Q331)),B331,U331)*(1-Inputs!$B$12)</f>
        <v>0.857637480525659</v>
      </c>
    </row>
    <row r="332" customFormat="false" ht="15" hidden="false" customHeight="false" outlineLevel="0" collapsed="false">
      <c r="A332" s="6" t="n">
        <v>45116</v>
      </c>
      <c r="B332" s="7" t="n">
        <v>0.855464848838931</v>
      </c>
      <c r="C332" s="7" t="n">
        <v>0.857772990714031</v>
      </c>
      <c r="D332" s="7" t="n">
        <v>0.854488543930168</v>
      </c>
      <c r="E332" s="7" t="n">
        <v>0.854723785452758</v>
      </c>
      <c r="F332" s="8" t="n">
        <f aca="true">IF(ROW()-2&gt;=Inputs!$B$4,AVERAGE(OFFSET(E332,1-Inputs!$B$4,0,Inputs!$B$4,1)),"")</f>
        <v>0.876035220433218</v>
      </c>
      <c r="G332" s="8" t="n">
        <f aca="true">IF(ROW()-2&gt;=Inputs!$B$5,AVERAGE(OFFSET(E332,1-Inputs!$B$5,0,Inputs!$B$5,1)),"")</f>
        <v>0.893905255795953</v>
      </c>
      <c r="H332" s="8" t="n">
        <f aca="false">MAX(C332-D332,ABS(C332-E331),ABS(D332-E331))</f>
        <v>0.00328444678386364</v>
      </c>
      <c r="I332" s="8" t="n">
        <f aca="true">IF(ROW()-2&lt;14,"",IF(ROW()-2=14,AVERAGE(OFFSET(H332,-13,0,14,1)),(I331*13+H332)/14))</f>
        <v>0.00891624195587992</v>
      </c>
      <c r="J332" s="9" t="b">
        <f aca="false">IF(AND(ISNUMBER(F332),ISNUMBER(G332),ISNUMBER(F331),ISNUMBER(G331)),AND(F332&gt;G332,F331&lt;=G331),FALSE())</f>
        <v>0</v>
      </c>
      <c r="K332" s="9" t="b">
        <f aca="false">IF(AND(ISNUMBER(F332),ISNUMBER(G332),ISNUMBER(F331),ISNUMBER(G331)),AND(F332&lt;G332,F331&gt;=G331),FALSE())</f>
        <v>0</v>
      </c>
      <c r="L332" s="8" t="n">
        <f aca="false">IF(ISNUMBER(I332),E332-Inputs!$B$6*I332,"")</f>
        <v>0.836891301540998</v>
      </c>
      <c r="M332" s="9" t="b">
        <f aca="false">AND(Y331&gt;0,Z331)</f>
        <v>0</v>
      </c>
      <c r="N332" s="8" t="n">
        <f aca="false">B332*(1-Inputs!$B$12)</f>
        <v>0.855293755869164</v>
      </c>
      <c r="O332" s="10" t="n">
        <f aca="false">IF(M332,Y331*(N332-AB331)-Inputs!$B$9-Y331*AD331*Inputs!$B$13*(A332-AC331),0)</f>
        <v>0</v>
      </c>
      <c r="P332" s="10" t="n">
        <f aca="false">X331+O332</f>
        <v>1016.3844066801</v>
      </c>
      <c r="Q332" s="9" t="b">
        <f aca="false">AND(IF(M332,0,Y331)=0,AA331,IF(ISNUMBER(AE331),B332&gt;AE331,FALSE()))</f>
        <v>0</v>
      </c>
      <c r="R332" s="8" t="n">
        <f aca="false">B332*(1+Inputs!$B$12)</f>
        <v>0.855635941808699</v>
      </c>
      <c r="S332" s="11" t="n">
        <f aca="false">IF(Q332,MIN(P332*Inputs!$B$3/(R332-AE331),P332*Inputs!$B$11/R332),0)</f>
        <v>0</v>
      </c>
      <c r="T332" s="11" t="n">
        <f aca="false">IF(Q332,S332,IF(M332,0,Y331))</f>
        <v>0</v>
      </c>
      <c r="U332" s="8" t="n">
        <f aca="false">IF(Q332,AE331,AF331)</f>
        <v>0.938328062071903</v>
      </c>
      <c r="V332" s="9" t="b">
        <f aca="false">AND(T332&gt;0,D332&lt;=U332)</f>
        <v>0</v>
      </c>
      <c r="W332" s="10" t="n">
        <f aca="false">IF(V332,T332*(AK332-AB332)-Inputs!$B$9-T332*AD332*Inputs!$B$13*(A332-AC332),0)</f>
        <v>0</v>
      </c>
      <c r="X332" s="10" t="n">
        <f aca="false">P332-IF(Q332,Inputs!$B$9,0)+W332</f>
        <v>1016.3844066801</v>
      </c>
      <c r="Y332" s="11" t="n">
        <f aca="false">IF(V332,0,T332)</f>
        <v>0</v>
      </c>
      <c r="Z332" s="9" t="b">
        <f aca="false">AND(Y332&gt;0,K332)</f>
        <v>0</v>
      </c>
      <c r="AA332" s="9" t="b">
        <f aca="false">AND(Y332=0,J332,ISNUMBER(L332))</f>
        <v>0</v>
      </c>
      <c r="AB332" s="8" t="n">
        <f aca="false">IF(Q332,R332,AB331)</f>
        <v>0.95824964655134</v>
      </c>
      <c r="AC332" s="12" t="n">
        <f aca="false">IF(Q332,A332,AC331)</f>
        <v>45034</v>
      </c>
      <c r="AD332" s="8" t="n">
        <f aca="false">IF(Q332,B332,AD331)</f>
        <v>0.958058034944351</v>
      </c>
      <c r="AE332" s="8" t="str">
        <f aca="false">IF(AA332,L332,"")</f>
        <v/>
      </c>
      <c r="AF332" s="8" t="n">
        <f aca="false">U332</f>
        <v>0.938328062071903</v>
      </c>
      <c r="AG332" s="2" t="n">
        <f aca="false">AG331+IF(Q332,1,0)</f>
        <v>2</v>
      </c>
      <c r="AH332" s="2" t="n">
        <f aca="false">AG331</f>
        <v>2</v>
      </c>
      <c r="AI332" s="10" t="n">
        <f aca="false">X332+Y332*(E332-AB332)-Y332*AD332*Inputs!$B$13*(A332-AC332)</f>
        <v>1016.3844066801</v>
      </c>
      <c r="AJ332" s="10" t="n">
        <v>0</v>
      </c>
      <c r="AK332" s="8" t="n">
        <f aca="false">IF(AND(B332&lt;=U332,NOT(Q332)),B332,U332)*(1-Inputs!$B$12)</f>
        <v>0.855293755869164</v>
      </c>
    </row>
    <row r="333" customFormat="false" ht="15" hidden="false" customHeight="false" outlineLevel="0" collapsed="false">
      <c r="A333" s="6" t="n">
        <v>45117</v>
      </c>
      <c r="B333" s="7" t="n">
        <v>0.854723785452758</v>
      </c>
      <c r="C333" s="7" t="n">
        <v>0.857701446589116</v>
      </c>
      <c r="D333" s="7" t="n">
        <v>0.852611535964856</v>
      </c>
      <c r="E333" s="7" t="n">
        <v>0.856824162445774</v>
      </c>
      <c r="F333" s="8" t="n">
        <f aca="true">IF(ROW()-2&gt;=Inputs!$B$4,AVERAGE(OFFSET(E333,1-Inputs!$B$4,0,Inputs!$B$4,1)),"")</f>
        <v>0.87447651654961</v>
      </c>
      <c r="G333" s="8" t="n">
        <f aca="true">IF(ROW()-2&gt;=Inputs!$B$5,AVERAGE(OFFSET(E333,1-Inputs!$B$5,0,Inputs!$B$5,1)),"")</f>
        <v>0.893013352613784</v>
      </c>
      <c r="H333" s="8" t="n">
        <f aca="false">MAX(C333-D333,ABS(C333-E332),ABS(D333-E332))</f>
        <v>0.00508991062425956</v>
      </c>
      <c r="I333" s="8" t="n">
        <f aca="true">IF(ROW()-2&lt;14,"",IF(ROW()-2=14,AVERAGE(OFFSET(H333,-13,0,14,1)),(I332*13+H333)/14))</f>
        <v>0.0086429325750499</v>
      </c>
      <c r="J333" s="9" t="b">
        <f aca="false">IF(AND(ISNUMBER(F333),ISNUMBER(G333),ISNUMBER(F332),ISNUMBER(G332)),AND(F333&gt;G333,F332&lt;=G332),FALSE())</f>
        <v>0</v>
      </c>
      <c r="K333" s="9" t="b">
        <f aca="false">IF(AND(ISNUMBER(F333),ISNUMBER(G333),ISNUMBER(F332),ISNUMBER(G332)),AND(F333&lt;G333,F332&gt;=G332),FALSE())</f>
        <v>0</v>
      </c>
      <c r="L333" s="8" t="n">
        <f aca="false">IF(ISNUMBER(I333),E333-Inputs!$B$6*I333,"")</f>
        <v>0.839538297295675</v>
      </c>
      <c r="M333" s="9" t="b">
        <f aca="false">AND(Y332&gt;0,Z332)</f>
        <v>0</v>
      </c>
      <c r="N333" s="8" t="n">
        <f aca="false">B333*(1-Inputs!$B$12)</f>
        <v>0.854552840695667</v>
      </c>
      <c r="O333" s="10" t="n">
        <f aca="false">IF(M333,Y332*(N333-AB332)-Inputs!$B$9-Y332*AD332*Inputs!$B$13*(A333-AC332),0)</f>
        <v>0</v>
      </c>
      <c r="P333" s="10" t="n">
        <f aca="false">X332+O333</f>
        <v>1016.3844066801</v>
      </c>
      <c r="Q333" s="9" t="b">
        <f aca="false">AND(IF(M333,0,Y332)=0,AA332,IF(ISNUMBER(AE332),B333&gt;AE332,FALSE()))</f>
        <v>0</v>
      </c>
      <c r="R333" s="8" t="n">
        <f aca="false">B333*(1+Inputs!$B$12)</f>
        <v>0.854894730209848</v>
      </c>
      <c r="S333" s="11" t="n">
        <f aca="false">IF(Q333,MIN(P333*Inputs!$B$3/(R333-AE332),P333*Inputs!$B$11/R333),0)</f>
        <v>0</v>
      </c>
      <c r="T333" s="11" t="n">
        <f aca="false">IF(Q333,S333,IF(M333,0,Y332))</f>
        <v>0</v>
      </c>
      <c r="U333" s="8" t="n">
        <f aca="false">IF(Q333,AE332,AF332)</f>
        <v>0.938328062071903</v>
      </c>
      <c r="V333" s="9" t="b">
        <f aca="false">AND(T333&gt;0,D333&lt;=U333)</f>
        <v>0</v>
      </c>
      <c r="W333" s="10" t="n">
        <f aca="false">IF(V333,T333*(AK333-AB333)-Inputs!$B$9-T333*AD333*Inputs!$B$13*(A333-AC333),0)</f>
        <v>0</v>
      </c>
      <c r="X333" s="10" t="n">
        <f aca="false">P333-IF(Q333,Inputs!$B$9,0)+W333</f>
        <v>1016.3844066801</v>
      </c>
      <c r="Y333" s="11" t="n">
        <f aca="false">IF(V333,0,T333)</f>
        <v>0</v>
      </c>
      <c r="Z333" s="9" t="b">
        <f aca="false">AND(Y333&gt;0,K333)</f>
        <v>0</v>
      </c>
      <c r="AA333" s="9" t="b">
        <f aca="false">AND(Y333=0,J333,ISNUMBER(L333))</f>
        <v>0</v>
      </c>
      <c r="AB333" s="8" t="n">
        <f aca="false">IF(Q333,R333,AB332)</f>
        <v>0.95824964655134</v>
      </c>
      <c r="AC333" s="12" t="n">
        <f aca="false">IF(Q333,A333,AC332)</f>
        <v>45034</v>
      </c>
      <c r="AD333" s="8" t="n">
        <f aca="false">IF(Q333,B333,AD332)</f>
        <v>0.958058034944351</v>
      </c>
      <c r="AE333" s="8" t="str">
        <f aca="false">IF(AA333,L333,"")</f>
        <v/>
      </c>
      <c r="AF333" s="8" t="n">
        <f aca="false">U333</f>
        <v>0.938328062071903</v>
      </c>
      <c r="AG333" s="2" t="n">
        <f aca="false">AG332+IF(Q333,1,0)</f>
        <v>2</v>
      </c>
      <c r="AH333" s="2" t="n">
        <f aca="false">AG332</f>
        <v>2</v>
      </c>
      <c r="AI333" s="10" t="n">
        <f aca="false">X333+Y333*(E333-AB333)-Y333*AD333*Inputs!$B$13*(A333-AC333)</f>
        <v>1016.3844066801</v>
      </c>
      <c r="AJ333" s="10" t="n">
        <v>0</v>
      </c>
      <c r="AK333" s="8" t="n">
        <f aca="false">IF(AND(B333&lt;=U333,NOT(Q333)),B333,U333)*(1-Inputs!$B$12)</f>
        <v>0.854552840695667</v>
      </c>
    </row>
    <row r="334" customFormat="false" ht="15" hidden="false" customHeight="false" outlineLevel="0" collapsed="false">
      <c r="A334" s="6" t="n">
        <v>45118</v>
      </c>
      <c r="B334" s="7" t="n">
        <v>0.856824162445774</v>
      </c>
      <c r="C334" s="7" t="n">
        <v>0.864184424949215</v>
      </c>
      <c r="D334" s="7" t="n">
        <v>0.853136843127138</v>
      </c>
      <c r="E334" s="7" t="n">
        <v>0.862943004169117</v>
      </c>
      <c r="F334" s="8" t="n">
        <f aca="true">IF(ROW()-2&gt;=Inputs!$B$4,AVERAGE(OFFSET(E334,1-Inputs!$B$4,0,Inputs!$B$4,1)),"")</f>
        <v>0.872886459265616</v>
      </c>
      <c r="G334" s="8" t="n">
        <f aca="true">IF(ROW()-2&gt;=Inputs!$B$5,AVERAGE(OFFSET(E334,1-Inputs!$B$5,0,Inputs!$B$5,1)),"")</f>
        <v>0.89227127590074</v>
      </c>
      <c r="H334" s="8" t="n">
        <f aca="false">MAX(C334-D334,ABS(C334-E333),ABS(D334-E333))</f>
        <v>0.0110475818220764</v>
      </c>
      <c r="I334" s="8" t="n">
        <f aca="true">IF(ROW()-2&lt;14,"",IF(ROW()-2=14,AVERAGE(OFFSET(H334,-13,0,14,1)),(I333*13+H334)/14))</f>
        <v>0.00881469323555179</v>
      </c>
      <c r="J334" s="9" t="b">
        <f aca="false">IF(AND(ISNUMBER(F334),ISNUMBER(G334),ISNUMBER(F333),ISNUMBER(G333)),AND(F334&gt;G334,F333&lt;=G333),FALSE())</f>
        <v>0</v>
      </c>
      <c r="K334" s="9" t="b">
        <f aca="false">IF(AND(ISNUMBER(F334),ISNUMBER(G334),ISNUMBER(F333),ISNUMBER(G333)),AND(F334&lt;G334,F333&gt;=G333),FALSE())</f>
        <v>0</v>
      </c>
      <c r="L334" s="8" t="n">
        <f aca="false">IF(ISNUMBER(I334),E334-Inputs!$B$6*I334,"")</f>
        <v>0.845313617698013</v>
      </c>
      <c r="M334" s="9" t="b">
        <f aca="false">AND(Y333&gt;0,Z333)</f>
        <v>0</v>
      </c>
      <c r="N334" s="8" t="n">
        <f aca="false">B334*(1-Inputs!$B$12)</f>
        <v>0.856652797613285</v>
      </c>
      <c r="O334" s="10" t="n">
        <f aca="false">IF(M334,Y333*(N334-AB333)-Inputs!$B$9-Y333*AD333*Inputs!$B$13*(A334-AC333),0)</f>
        <v>0</v>
      </c>
      <c r="P334" s="10" t="n">
        <f aca="false">X333+O334</f>
        <v>1016.3844066801</v>
      </c>
      <c r="Q334" s="9" t="b">
        <f aca="false">AND(IF(M334,0,Y333)=0,AA333,IF(ISNUMBER(AE333),B334&gt;AE333,FALSE()))</f>
        <v>0</v>
      </c>
      <c r="R334" s="8" t="n">
        <f aca="false">B334*(1+Inputs!$B$12)</f>
        <v>0.856995527278263</v>
      </c>
      <c r="S334" s="11" t="n">
        <f aca="false">IF(Q334,MIN(P334*Inputs!$B$3/(R334-AE333),P334*Inputs!$B$11/R334),0)</f>
        <v>0</v>
      </c>
      <c r="T334" s="11" t="n">
        <f aca="false">IF(Q334,S334,IF(M334,0,Y333))</f>
        <v>0</v>
      </c>
      <c r="U334" s="8" t="n">
        <f aca="false">IF(Q334,AE333,AF333)</f>
        <v>0.938328062071903</v>
      </c>
      <c r="V334" s="9" t="b">
        <f aca="false">AND(T334&gt;0,D334&lt;=U334)</f>
        <v>0</v>
      </c>
      <c r="W334" s="10" t="n">
        <f aca="false">IF(V334,T334*(AK334-AB334)-Inputs!$B$9-T334*AD334*Inputs!$B$13*(A334-AC334),0)</f>
        <v>0</v>
      </c>
      <c r="X334" s="10" t="n">
        <f aca="false">P334-IF(Q334,Inputs!$B$9,0)+W334</f>
        <v>1016.3844066801</v>
      </c>
      <c r="Y334" s="11" t="n">
        <f aca="false">IF(V334,0,T334)</f>
        <v>0</v>
      </c>
      <c r="Z334" s="9" t="b">
        <f aca="false">AND(Y334&gt;0,K334)</f>
        <v>0</v>
      </c>
      <c r="AA334" s="9" t="b">
        <f aca="false">AND(Y334=0,J334,ISNUMBER(L334))</f>
        <v>0</v>
      </c>
      <c r="AB334" s="8" t="n">
        <f aca="false">IF(Q334,R334,AB333)</f>
        <v>0.95824964655134</v>
      </c>
      <c r="AC334" s="12" t="n">
        <f aca="false">IF(Q334,A334,AC333)</f>
        <v>45034</v>
      </c>
      <c r="AD334" s="8" t="n">
        <f aca="false">IF(Q334,B334,AD333)</f>
        <v>0.958058034944351</v>
      </c>
      <c r="AE334" s="8" t="str">
        <f aca="false">IF(AA334,L334,"")</f>
        <v/>
      </c>
      <c r="AF334" s="8" t="n">
        <f aca="false">U334</f>
        <v>0.938328062071903</v>
      </c>
      <c r="AG334" s="2" t="n">
        <f aca="false">AG333+IF(Q334,1,0)</f>
        <v>2</v>
      </c>
      <c r="AH334" s="2" t="n">
        <f aca="false">AG333</f>
        <v>2</v>
      </c>
      <c r="AI334" s="10" t="n">
        <f aca="false">X334+Y334*(E334-AB334)-Y334*AD334*Inputs!$B$13*(A334-AC334)</f>
        <v>1016.3844066801</v>
      </c>
      <c r="AJ334" s="10" t="n">
        <v>0</v>
      </c>
      <c r="AK334" s="8" t="n">
        <f aca="false">IF(AND(B334&lt;=U334,NOT(Q334)),B334,U334)*(1-Inputs!$B$12)</f>
        <v>0.856652797613285</v>
      </c>
    </row>
    <row r="335" customFormat="false" ht="15" hidden="false" customHeight="false" outlineLevel="0" collapsed="false">
      <c r="A335" s="6" t="n">
        <v>45119</v>
      </c>
      <c r="B335" s="7" t="n">
        <v>0.862943004169117</v>
      </c>
      <c r="C335" s="7" t="n">
        <v>0.867786031522016</v>
      </c>
      <c r="D335" s="7" t="n">
        <v>0.861561200809998</v>
      </c>
      <c r="E335" s="7" t="n">
        <v>0.866819775665669</v>
      </c>
      <c r="F335" s="8" t="n">
        <f aca="true">IF(ROW()-2&gt;=Inputs!$B$4,AVERAGE(OFFSET(E335,1-Inputs!$B$4,0,Inputs!$B$4,1)),"")</f>
        <v>0.871396001844702</v>
      </c>
      <c r="G335" s="8" t="n">
        <f aca="true">IF(ROW()-2&gt;=Inputs!$B$5,AVERAGE(OFFSET(E335,1-Inputs!$B$5,0,Inputs!$B$5,1)),"")</f>
        <v>0.891565205078901</v>
      </c>
      <c r="H335" s="8" t="n">
        <f aca="false">MAX(C335-D335,ABS(C335-E334),ABS(D335-E334))</f>
        <v>0.00622483071201763</v>
      </c>
      <c r="I335" s="8" t="n">
        <f aca="true">IF(ROW()-2&lt;14,"",IF(ROW()-2=14,AVERAGE(OFFSET(H335,-13,0,14,1)),(I334*13+H335)/14))</f>
        <v>0.00862970305529935</v>
      </c>
      <c r="J335" s="9" t="b">
        <f aca="false">IF(AND(ISNUMBER(F335),ISNUMBER(G335),ISNUMBER(F334),ISNUMBER(G334)),AND(F335&gt;G335,F334&lt;=G334),FALSE())</f>
        <v>0</v>
      </c>
      <c r="K335" s="9" t="b">
        <f aca="false">IF(AND(ISNUMBER(F335),ISNUMBER(G335),ISNUMBER(F334),ISNUMBER(G334)),AND(F335&lt;G335,F334&gt;=G334),FALSE())</f>
        <v>0</v>
      </c>
      <c r="L335" s="8" t="n">
        <f aca="false">IF(ISNUMBER(I335),E335-Inputs!$B$6*I335,"")</f>
        <v>0.84956036955507</v>
      </c>
      <c r="M335" s="9" t="b">
        <f aca="false">AND(Y334&gt;0,Z334)</f>
        <v>0</v>
      </c>
      <c r="N335" s="8" t="n">
        <f aca="false">B335*(1-Inputs!$B$12)</f>
        <v>0.862770415568283</v>
      </c>
      <c r="O335" s="10" t="n">
        <f aca="false">IF(M335,Y334*(N335-AB334)-Inputs!$B$9-Y334*AD334*Inputs!$B$13*(A335-AC334),0)</f>
        <v>0</v>
      </c>
      <c r="P335" s="10" t="n">
        <f aca="false">X334+O335</f>
        <v>1016.3844066801</v>
      </c>
      <c r="Q335" s="9" t="b">
        <f aca="false">AND(IF(M335,0,Y334)=0,AA334,IF(ISNUMBER(AE334),B335&gt;AE334,FALSE()))</f>
        <v>0</v>
      </c>
      <c r="R335" s="8" t="n">
        <f aca="false">B335*(1+Inputs!$B$12)</f>
        <v>0.863115592769951</v>
      </c>
      <c r="S335" s="11" t="n">
        <f aca="false">IF(Q335,MIN(P335*Inputs!$B$3/(R335-AE334),P335*Inputs!$B$11/R335),0)</f>
        <v>0</v>
      </c>
      <c r="T335" s="11" t="n">
        <f aca="false">IF(Q335,S335,IF(M335,0,Y334))</f>
        <v>0</v>
      </c>
      <c r="U335" s="8" t="n">
        <f aca="false">IF(Q335,AE334,AF334)</f>
        <v>0.938328062071903</v>
      </c>
      <c r="V335" s="9" t="b">
        <f aca="false">AND(T335&gt;0,D335&lt;=U335)</f>
        <v>0</v>
      </c>
      <c r="W335" s="10" t="n">
        <f aca="false">IF(V335,T335*(AK335-AB335)-Inputs!$B$9-T335*AD335*Inputs!$B$13*(A335-AC335),0)</f>
        <v>0</v>
      </c>
      <c r="X335" s="10" t="n">
        <f aca="false">P335-IF(Q335,Inputs!$B$9,0)+W335</f>
        <v>1016.3844066801</v>
      </c>
      <c r="Y335" s="11" t="n">
        <f aca="false">IF(V335,0,T335)</f>
        <v>0</v>
      </c>
      <c r="Z335" s="9" t="b">
        <f aca="false">AND(Y335&gt;0,K335)</f>
        <v>0</v>
      </c>
      <c r="AA335" s="9" t="b">
        <f aca="false">AND(Y335=0,J335,ISNUMBER(L335))</f>
        <v>0</v>
      </c>
      <c r="AB335" s="8" t="n">
        <f aca="false">IF(Q335,R335,AB334)</f>
        <v>0.95824964655134</v>
      </c>
      <c r="AC335" s="12" t="n">
        <f aca="false">IF(Q335,A335,AC334)</f>
        <v>45034</v>
      </c>
      <c r="AD335" s="8" t="n">
        <f aca="false">IF(Q335,B335,AD334)</f>
        <v>0.958058034944351</v>
      </c>
      <c r="AE335" s="8" t="str">
        <f aca="false">IF(AA335,L335,"")</f>
        <v/>
      </c>
      <c r="AF335" s="8" t="n">
        <f aca="false">U335</f>
        <v>0.938328062071903</v>
      </c>
      <c r="AG335" s="2" t="n">
        <f aca="false">AG334+IF(Q335,1,0)</f>
        <v>2</v>
      </c>
      <c r="AH335" s="2" t="n">
        <f aca="false">AG334</f>
        <v>2</v>
      </c>
      <c r="AI335" s="10" t="n">
        <f aca="false">X335+Y335*(E335-AB335)-Y335*AD335*Inputs!$B$13*(A335-AC335)</f>
        <v>1016.3844066801</v>
      </c>
      <c r="AJ335" s="10" t="n">
        <v>0</v>
      </c>
      <c r="AK335" s="8" t="n">
        <f aca="false">IF(AND(B335&lt;=U335,NOT(Q335)),B335,U335)*(1-Inputs!$B$12)</f>
        <v>0.862770415568283</v>
      </c>
    </row>
    <row r="336" customFormat="false" ht="15" hidden="false" customHeight="false" outlineLevel="0" collapsed="false">
      <c r="A336" s="6" t="n">
        <v>45120</v>
      </c>
      <c r="B336" s="7" t="n">
        <v>0.866819775665669</v>
      </c>
      <c r="C336" s="7" t="n">
        <v>0.872422611449581</v>
      </c>
      <c r="D336" s="7" t="n">
        <v>0.863004288586271</v>
      </c>
      <c r="E336" s="7" t="n">
        <v>0.872378290605269</v>
      </c>
      <c r="F336" s="8" t="n">
        <f aca="true">IF(ROW()-2&gt;=Inputs!$B$4,AVERAGE(OFFSET(E336,1-Inputs!$B$4,0,Inputs!$B$4,1)),"")</f>
        <v>0.870249799601612</v>
      </c>
      <c r="G336" s="8" t="n">
        <f aca="true">IF(ROW()-2&gt;=Inputs!$B$5,AVERAGE(OFFSET(E336,1-Inputs!$B$5,0,Inputs!$B$5,1)),"")</f>
        <v>0.891043283938679</v>
      </c>
      <c r="H336" s="8" t="n">
        <f aca="false">MAX(C336-D336,ABS(C336-E335),ABS(D336-E335))</f>
        <v>0.00941832286331068</v>
      </c>
      <c r="I336" s="8" t="n">
        <f aca="true">IF(ROW()-2&lt;14,"",IF(ROW()-2=14,AVERAGE(OFFSET(H336,-13,0,14,1)),(I335*13+H336)/14))</f>
        <v>0.00868603304158588</v>
      </c>
      <c r="J336" s="9" t="b">
        <f aca="false">IF(AND(ISNUMBER(F336),ISNUMBER(G336),ISNUMBER(F335),ISNUMBER(G335)),AND(F336&gt;G336,F335&lt;=G335),FALSE())</f>
        <v>0</v>
      </c>
      <c r="K336" s="9" t="b">
        <f aca="false">IF(AND(ISNUMBER(F336),ISNUMBER(G336),ISNUMBER(F335),ISNUMBER(G335)),AND(F336&lt;G336,F335&gt;=G335),FALSE())</f>
        <v>0</v>
      </c>
      <c r="L336" s="8" t="n">
        <f aca="false">IF(ISNUMBER(I336),E336-Inputs!$B$6*I336,"")</f>
        <v>0.855006224522097</v>
      </c>
      <c r="M336" s="9" t="b">
        <f aca="false">AND(Y335&gt;0,Z335)</f>
        <v>0</v>
      </c>
      <c r="N336" s="8" t="n">
        <f aca="false">B336*(1-Inputs!$B$12)</f>
        <v>0.866646411710536</v>
      </c>
      <c r="O336" s="10" t="n">
        <f aca="false">IF(M336,Y335*(N336-AB335)-Inputs!$B$9-Y335*AD335*Inputs!$B$13*(A336-AC335),0)</f>
        <v>0</v>
      </c>
      <c r="P336" s="10" t="n">
        <f aca="false">X335+O336</f>
        <v>1016.3844066801</v>
      </c>
      <c r="Q336" s="9" t="b">
        <f aca="false">AND(IF(M336,0,Y335)=0,AA335,IF(ISNUMBER(AE335),B336&gt;AE335,FALSE()))</f>
        <v>0</v>
      </c>
      <c r="R336" s="8" t="n">
        <f aca="false">B336*(1+Inputs!$B$12)</f>
        <v>0.866993139620802</v>
      </c>
      <c r="S336" s="11" t="n">
        <f aca="false">IF(Q336,MIN(P336*Inputs!$B$3/(R336-AE335),P336*Inputs!$B$11/R336),0)</f>
        <v>0</v>
      </c>
      <c r="T336" s="11" t="n">
        <f aca="false">IF(Q336,S336,IF(M336,0,Y335))</f>
        <v>0</v>
      </c>
      <c r="U336" s="8" t="n">
        <f aca="false">IF(Q336,AE335,AF335)</f>
        <v>0.938328062071903</v>
      </c>
      <c r="V336" s="9" t="b">
        <f aca="false">AND(T336&gt;0,D336&lt;=U336)</f>
        <v>0</v>
      </c>
      <c r="W336" s="10" t="n">
        <f aca="false">IF(V336,T336*(AK336-AB336)-Inputs!$B$9-T336*AD336*Inputs!$B$13*(A336-AC336),0)</f>
        <v>0</v>
      </c>
      <c r="X336" s="10" t="n">
        <f aca="false">P336-IF(Q336,Inputs!$B$9,0)+W336</f>
        <v>1016.3844066801</v>
      </c>
      <c r="Y336" s="11" t="n">
        <f aca="false">IF(V336,0,T336)</f>
        <v>0</v>
      </c>
      <c r="Z336" s="9" t="b">
        <f aca="false">AND(Y336&gt;0,K336)</f>
        <v>0</v>
      </c>
      <c r="AA336" s="9" t="b">
        <f aca="false">AND(Y336=0,J336,ISNUMBER(L336))</f>
        <v>0</v>
      </c>
      <c r="AB336" s="8" t="n">
        <f aca="false">IF(Q336,R336,AB335)</f>
        <v>0.95824964655134</v>
      </c>
      <c r="AC336" s="12" t="n">
        <f aca="false">IF(Q336,A336,AC335)</f>
        <v>45034</v>
      </c>
      <c r="AD336" s="8" t="n">
        <f aca="false">IF(Q336,B336,AD335)</f>
        <v>0.958058034944351</v>
      </c>
      <c r="AE336" s="8" t="str">
        <f aca="false">IF(AA336,L336,"")</f>
        <v/>
      </c>
      <c r="AF336" s="8" t="n">
        <f aca="false">U336</f>
        <v>0.938328062071903</v>
      </c>
      <c r="AG336" s="2" t="n">
        <f aca="false">AG335+IF(Q336,1,0)</f>
        <v>2</v>
      </c>
      <c r="AH336" s="2" t="n">
        <f aca="false">AG335</f>
        <v>2</v>
      </c>
      <c r="AI336" s="10" t="n">
        <f aca="false">X336+Y336*(E336-AB336)-Y336*AD336*Inputs!$B$13*(A336-AC336)</f>
        <v>1016.3844066801</v>
      </c>
      <c r="AJ336" s="10" t="n">
        <v>0</v>
      </c>
      <c r="AK336" s="8" t="n">
        <f aca="false">IF(AND(B336&lt;=U336,NOT(Q336)),B336,U336)*(1-Inputs!$B$12)</f>
        <v>0.866646411710536</v>
      </c>
    </row>
    <row r="337" customFormat="false" ht="15" hidden="false" customHeight="false" outlineLevel="0" collapsed="false">
      <c r="A337" s="6" t="n">
        <v>45121</v>
      </c>
      <c r="B337" s="7" t="n">
        <v>0.872378290605269</v>
      </c>
      <c r="C337" s="7" t="n">
        <v>0.88067121088451</v>
      </c>
      <c r="D337" s="7" t="n">
        <v>0.867102086575518</v>
      </c>
      <c r="E337" s="7" t="n">
        <v>0.869197567985982</v>
      </c>
      <c r="F337" s="8" t="n">
        <f aca="true">IF(ROW()-2&gt;=Inputs!$B$4,AVERAGE(OFFSET(E337,1-Inputs!$B$4,0,Inputs!$B$4,1)),"")</f>
        <v>0.86891006383372</v>
      </c>
      <c r="G337" s="8" t="n">
        <f aca="true">IF(ROW()-2&gt;=Inputs!$B$5,AVERAGE(OFFSET(E337,1-Inputs!$B$5,0,Inputs!$B$5,1)),"")</f>
        <v>0.890666620183433</v>
      </c>
      <c r="H337" s="8" t="n">
        <f aca="false">MAX(C337-D337,ABS(C337-E336),ABS(D337-E336))</f>
        <v>0.0135691243089923</v>
      </c>
      <c r="I337" s="8" t="n">
        <f aca="true">IF(ROW()-2&lt;14,"",IF(ROW()-2=14,AVERAGE(OFFSET(H337,-13,0,14,1)),(I336*13+H337)/14))</f>
        <v>0.00903482527497205</v>
      </c>
      <c r="J337" s="9" t="b">
        <f aca="false">IF(AND(ISNUMBER(F337),ISNUMBER(G337),ISNUMBER(F336),ISNUMBER(G336)),AND(F337&gt;G337,F336&lt;=G336),FALSE())</f>
        <v>0</v>
      </c>
      <c r="K337" s="9" t="b">
        <f aca="false">IF(AND(ISNUMBER(F337),ISNUMBER(G337),ISNUMBER(F336),ISNUMBER(G336)),AND(F337&lt;G337,F336&gt;=G336),FALSE())</f>
        <v>0</v>
      </c>
      <c r="L337" s="8" t="n">
        <f aca="false">IF(ISNUMBER(I337),E337-Inputs!$B$6*I337,"")</f>
        <v>0.851127917436038</v>
      </c>
      <c r="M337" s="9" t="b">
        <f aca="false">AND(Y336&gt;0,Z336)</f>
        <v>0</v>
      </c>
      <c r="N337" s="8" t="n">
        <f aca="false">B337*(1-Inputs!$B$12)</f>
        <v>0.872203814947148</v>
      </c>
      <c r="O337" s="10" t="n">
        <f aca="false">IF(M337,Y336*(N337-AB336)-Inputs!$B$9-Y336*AD336*Inputs!$B$13*(A337-AC336),0)</f>
        <v>0</v>
      </c>
      <c r="P337" s="10" t="n">
        <f aca="false">X336+O337</f>
        <v>1016.3844066801</v>
      </c>
      <c r="Q337" s="9" t="b">
        <f aca="false">AND(IF(M337,0,Y336)=0,AA336,IF(ISNUMBER(AE336),B337&gt;AE336,FALSE()))</f>
        <v>0</v>
      </c>
      <c r="R337" s="8" t="n">
        <f aca="false">B337*(1+Inputs!$B$12)</f>
        <v>0.87255276626339</v>
      </c>
      <c r="S337" s="11" t="n">
        <f aca="false">IF(Q337,MIN(P337*Inputs!$B$3/(R337-AE336),P337*Inputs!$B$11/R337),0)</f>
        <v>0</v>
      </c>
      <c r="T337" s="11" t="n">
        <f aca="false">IF(Q337,S337,IF(M337,0,Y336))</f>
        <v>0</v>
      </c>
      <c r="U337" s="8" t="n">
        <f aca="false">IF(Q337,AE336,AF336)</f>
        <v>0.938328062071903</v>
      </c>
      <c r="V337" s="9" t="b">
        <f aca="false">AND(T337&gt;0,D337&lt;=U337)</f>
        <v>0</v>
      </c>
      <c r="W337" s="10" t="n">
        <f aca="false">IF(V337,T337*(AK337-AB337)-Inputs!$B$9-T337*AD337*Inputs!$B$13*(A337-AC337),0)</f>
        <v>0</v>
      </c>
      <c r="X337" s="10" t="n">
        <f aca="false">P337-IF(Q337,Inputs!$B$9,0)+W337</f>
        <v>1016.3844066801</v>
      </c>
      <c r="Y337" s="11" t="n">
        <f aca="false">IF(V337,0,T337)</f>
        <v>0</v>
      </c>
      <c r="Z337" s="9" t="b">
        <f aca="false">AND(Y337&gt;0,K337)</f>
        <v>0</v>
      </c>
      <c r="AA337" s="9" t="b">
        <f aca="false">AND(Y337=0,J337,ISNUMBER(L337))</f>
        <v>0</v>
      </c>
      <c r="AB337" s="8" t="n">
        <f aca="false">IF(Q337,R337,AB336)</f>
        <v>0.95824964655134</v>
      </c>
      <c r="AC337" s="12" t="n">
        <f aca="false">IF(Q337,A337,AC336)</f>
        <v>45034</v>
      </c>
      <c r="AD337" s="8" t="n">
        <f aca="false">IF(Q337,B337,AD336)</f>
        <v>0.958058034944351</v>
      </c>
      <c r="AE337" s="8" t="str">
        <f aca="false">IF(AA337,L337,"")</f>
        <v/>
      </c>
      <c r="AF337" s="8" t="n">
        <f aca="false">U337</f>
        <v>0.938328062071903</v>
      </c>
      <c r="AG337" s="2" t="n">
        <f aca="false">AG336+IF(Q337,1,0)</f>
        <v>2</v>
      </c>
      <c r="AH337" s="2" t="n">
        <f aca="false">AG336</f>
        <v>2</v>
      </c>
      <c r="AI337" s="10" t="n">
        <f aca="false">X337+Y337*(E337-AB337)-Y337*AD337*Inputs!$B$13*(A337-AC337)</f>
        <v>1016.3844066801</v>
      </c>
      <c r="AJ337" s="10" t="n">
        <v>0</v>
      </c>
      <c r="AK337" s="8" t="n">
        <f aca="false">IF(AND(B337&lt;=U337,NOT(Q337)),B337,U337)*(1-Inputs!$B$12)</f>
        <v>0.872203814947148</v>
      </c>
    </row>
    <row r="338" customFormat="false" ht="15" hidden="false" customHeight="false" outlineLevel="0" collapsed="false">
      <c r="A338" s="6" t="n">
        <v>45122</v>
      </c>
      <c r="B338" s="7" t="n">
        <v>0.869197567985982</v>
      </c>
      <c r="C338" s="7" t="n">
        <v>0.871890579919204</v>
      </c>
      <c r="D338" s="7" t="n">
        <v>0.85986020257933</v>
      </c>
      <c r="E338" s="7" t="n">
        <v>0.85996048170364</v>
      </c>
      <c r="F338" s="8" t="n">
        <f aca="true">IF(ROW()-2&gt;=Inputs!$B$4,AVERAGE(OFFSET(E338,1-Inputs!$B$4,0,Inputs!$B$4,1)),"")</f>
        <v>0.867526467840093</v>
      </c>
      <c r="G338" s="8" t="n">
        <f aca="true">IF(ROW()-2&gt;=Inputs!$B$5,AVERAGE(OFFSET(E338,1-Inputs!$B$5,0,Inputs!$B$5,1)),"")</f>
        <v>0.890031450727962</v>
      </c>
      <c r="H338" s="8" t="n">
        <f aca="false">MAX(C338-D338,ABS(C338-E337),ABS(D338-E337))</f>
        <v>0.012030377339874</v>
      </c>
      <c r="I338" s="8" t="n">
        <f aca="true">IF(ROW()-2&lt;14,"",IF(ROW()-2=14,AVERAGE(OFFSET(H338,-13,0,14,1)),(I337*13+H338)/14))</f>
        <v>0.0092487932796079</v>
      </c>
      <c r="J338" s="9" t="b">
        <f aca="false">IF(AND(ISNUMBER(F338),ISNUMBER(G338),ISNUMBER(F337),ISNUMBER(G337)),AND(F338&gt;G338,F337&lt;=G337),FALSE())</f>
        <v>0</v>
      </c>
      <c r="K338" s="9" t="b">
        <f aca="false">IF(AND(ISNUMBER(F338),ISNUMBER(G338),ISNUMBER(F337),ISNUMBER(G337)),AND(F338&lt;G338,F337&gt;=G337),FALSE())</f>
        <v>0</v>
      </c>
      <c r="L338" s="8" t="n">
        <f aca="false">IF(ISNUMBER(I338),E338-Inputs!$B$6*I338,"")</f>
        <v>0.841462895144425</v>
      </c>
      <c r="M338" s="9" t="b">
        <f aca="false">AND(Y337&gt;0,Z337)</f>
        <v>0</v>
      </c>
      <c r="N338" s="8" t="n">
        <f aca="false">B338*(1-Inputs!$B$12)</f>
        <v>0.869023728472385</v>
      </c>
      <c r="O338" s="10" t="n">
        <f aca="false">IF(M338,Y337*(N338-AB337)-Inputs!$B$9-Y337*AD337*Inputs!$B$13*(A338-AC337),0)</f>
        <v>0</v>
      </c>
      <c r="P338" s="10" t="n">
        <f aca="false">X337+O338</f>
        <v>1016.3844066801</v>
      </c>
      <c r="Q338" s="9" t="b">
        <f aca="false">AND(IF(M338,0,Y337)=0,AA337,IF(ISNUMBER(AE337),B338&gt;AE337,FALSE()))</f>
        <v>0</v>
      </c>
      <c r="R338" s="8" t="n">
        <f aca="false">B338*(1+Inputs!$B$12)</f>
        <v>0.869371407499579</v>
      </c>
      <c r="S338" s="11" t="n">
        <f aca="false">IF(Q338,MIN(P338*Inputs!$B$3/(R338-AE337),P338*Inputs!$B$11/R338),0)</f>
        <v>0</v>
      </c>
      <c r="T338" s="11" t="n">
        <f aca="false">IF(Q338,S338,IF(M338,0,Y337))</f>
        <v>0</v>
      </c>
      <c r="U338" s="8" t="n">
        <f aca="false">IF(Q338,AE337,AF337)</f>
        <v>0.938328062071903</v>
      </c>
      <c r="V338" s="9" t="b">
        <f aca="false">AND(T338&gt;0,D338&lt;=U338)</f>
        <v>0</v>
      </c>
      <c r="W338" s="10" t="n">
        <f aca="false">IF(V338,T338*(AK338-AB338)-Inputs!$B$9-T338*AD338*Inputs!$B$13*(A338-AC338),0)</f>
        <v>0</v>
      </c>
      <c r="X338" s="10" t="n">
        <f aca="false">P338-IF(Q338,Inputs!$B$9,0)+W338</f>
        <v>1016.3844066801</v>
      </c>
      <c r="Y338" s="11" t="n">
        <f aca="false">IF(V338,0,T338)</f>
        <v>0</v>
      </c>
      <c r="Z338" s="9" t="b">
        <f aca="false">AND(Y338&gt;0,K338)</f>
        <v>0</v>
      </c>
      <c r="AA338" s="9" t="b">
        <f aca="false">AND(Y338=0,J338,ISNUMBER(L338))</f>
        <v>0</v>
      </c>
      <c r="AB338" s="8" t="n">
        <f aca="false">IF(Q338,R338,AB337)</f>
        <v>0.95824964655134</v>
      </c>
      <c r="AC338" s="12" t="n">
        <f aca="false">IF(Q338,A338,AC337)</f>
        <v>45034</v>
      </c>
      <c r="AD338" s="8" t="n">
        <f aca="false">IF(Q338,B338,AD337)</f>
        <v>0.958058034944351</v>
      </c>
      <c r="AE338" s="8" t="str">
        <f aca="false">IF(AA338,L338,"")</f>
        <v/>
      </c>
      <c r="AF338" s="8" t="n">
        <f aca="false">U338</f>
        <v>0.938328062071903</v>
      </c>
      <c r="AG338" s="2" t="n">
        <f aca="false">AG337+IF(Q338,1,0)</f>
        <v>2</v>
      </c>
      <c r="AH338" s="2" t="n">
        <f aca="false">AG337</f>
        <v>2</v>
      </c>
      <c r="AI338" s="10" t="n">
        <f aca="false">X338+Y338*(E338-AB338)-Y338*AD338*Inputs!$B$13*(A338-AC338)</f>
        <v>1016.3844066801</v>
      </c>
      <c r="AJ338" s="10" t="n">
        <v>0</v>
      </c>
      <c r="AK338" s="8" t="n">
        <f aca="false">IF(AND(B338&lt;=U338,NOT(Q338)),B338,U338)*(1-Inputs!$B$12)</f>
        <v>0.869023728472385</v>
      </c>
    </row>
    <row r="339" customFormat="false" ht="15" hidden="false" customHeight="false" outlineLevel="0" collapsed="false">
      <c r="A339" s="6" t="n">
        <v>45123</v>
      </c>
      <c r="B339" s="7" t="n">
        <v>0.85996048170364</v>
      </c>
      <c r="C339" s="7" t="n">
        <v>0.867821009851764</v>
      </c>
      <c r="D339" s="7" t="n">
        <v>0.855365145686589</v>
      </c>
      <c r="E339" s="7" t="n">
        <v>0.867733601726848</v>
      </c>
      <c r="F339" s="8" t="n">
        <f aca="true">IF(ROW()-2&gt;=Inputs!$B$4,AVERAGE(OFFSET(E339,1-Inputs!$B$4,0,Inputs!$B$4,1)),"")</f>
        <v>0.866800753229306</v>
      </c>
      <c r="G339" s="8" t="n">
        <f aca="true">IF(ROW()-2&gt;=Inputs!$B$5,AVERAGE(OFFSET(E339,1-Inputs!$B$5,0,Inputs!$B$5,1)),"")</f>
        <v>0.88928574358349</v>
      </c>
      <c r="H339" s="8" t="n">
        <f aca="false">MAX(C339-D339,ABS(C339-E338),ABS(D339-E338))</f>
        <v>0.0124558641651752</v>
      </c>
      <c r="I339" s="8" t="n">
        <f aca="true">IF(ROW()-2&lt;14,"",IF(ROW()-2=14,AVERAGE(OFFSET(H339,-13,0,14,1)),(I338*13+H339)/14))</f>
        <v>0.00947786977143414</v>
      </c>
      <c r="J339" s="9" t="b">
        <f aca="false">IF(AND(ISNUMBER(F339),ISNUMBER(G339),ISNUMBER(F338),ISNUMBER(G338)),AND(F339&gt;G339,F338&lt;=G338),FALSE())</f>
        <v>0</v>
      </c>
      <c r="K339" s="9" t="b">
        <f aca="false">IF(AND(ISNUMBER(F339),ISNUMBER(G339),ISNUMBER(F338),ISNUMBER(G338)),AND(F339&lt;G339,F338&gt;=G338),FALSE())</f>
        <v>0</v>
      </c>
      <c r="L339" s="8" t="n">
        <f aca="false">IF(ISNUMBER(I339),E339-Inputs!$B$6*I339,"")</f>
        <v>0.84877786218398</v>
      </c>
      <c r="M339" s="9" t="b">
        <f aca="false">AND(Y338&gt;0,Z338)</f>
        <v>0</v>
      </c>
      <c r="N339" s="8" t="n">
        <f aca="false">B339*(1-Inputs!$B$12)</f>
        <v>0.8597884896073</v>
      </c>
      <c r="O339" s="10" t="n">
        <f aca="false">IF(M339,Y338*(N339-AB338)-Inputs!$B$9-Y338*AD338*Inputs!$B$13*(A339-AC338),0)</f>
        <v>0</v>
      </c>
      <c r="P339" s="10" t="n">
        <f aca="false">X338+O339</f>
        <v>1016.3844066801</v>
      </c>
      <c r="Q339" s="9" t="b">
        <f aca="false">AND(IF(M339,0,Y338)=0,AA338,IF(ISNUMBER(AE338),B339&gt;AE338,FALSE()))</f>
        <v>0</v>
      </c>
      <c r="R339" s="8" t="n">
        <f aca="false">B339*(1+Inputs!$B$12)</f>
        <v>0.860132473799981</v>
      </c>
      <c r="S339" s="11" t="n">
        <f aca="false">IF(Q339,MIN(P339*Inputs!$B$3/(R339-AE338),P339*Inputs!$B$11/R339),0)</f>
        <v>0</v>
      </c>
      <c r="T339" s="11" t="n">
        <f aca="false">IF(Q339,S339,IF(M339,0,Y338))</f>
        <v>0</v>
      </c>
      <c r="U339" s="8" t="n">
        <f aca="false">IF(Q339,AE338,AF338)</f>
        <v>0.938328062071903</v>
      </c>
      <c r="V339" s="9" t="b">
        <f aca="false">AND(T339&gt;0,D339&lt;=U339)</f>
        <v>0</v>
      </c>
      <c r="W339" s="10" t="n">
        <f aca="false">IF(V339,T339*(AK339-AB339)-Inputs!$B$9-T339*AD339*Inputs!$B$13*(A339-AC339),0)</f>
        <v>0</v>
      </c>
      <c r="X339" s="10" t="n">
        <f aca="false">P339-IF(Q339,Inputs!$B$9,0)+W339</f>
        <v>1016.3844066801</v>
      </c>
      <c r="Y339" s="11" t="n">
        <f aca="false">IF(V339,0,T339)</f>
        <v>0</v>
      </c>
      <c r="Z339" s="9" t="b">
        <f aca="false">AND(Y339&gt;0,K339)</f>
        <v>0</v>
      </c>
      <c r="AA339" s="9" t="b">
        <f aca="false">AND(Y339=0,J339,ISNUMBER(L339))</f>
        <v>0</v>
      </c>
      <c r="AB339" s="8" t="n">
        <f aca="false">IF(Q339,R339,AB338)</f>
        <v>0.95824964655134</v>
      </c>
      <c r="AC339" s="12" t="n">
        <f aca="false">IF(Q339,A339,AC338)</f>
        <v>45034</v>
      </c>
      <c r="AD339" s="8" t="n">
        <f aca="false">IF(Q339,B339,AD338)</f>
        <v>0.958058034944351</v>
      </c>
      <c r="AE339" s="8" t="str">
        <f aca="false">IF(AA339,L339,"")</f>
        <v/>
      </c>
      <c r="AF339" s="8" t="n">
        <f aca="false">U339</f>
        <v>0.938328062071903</v>
      </c>
      <c r="AG339" s="2" t="n">
        <f aca="false">AG338+IF(Q339,1,0)</f>
        <v>2</v>
      </c>
      <c r="AH339" s="2" t="n">
        <f aca="false">AG338</f>
        <v>2</v>
      </c>
      <c r="AI339" s="10" t="n">
        <f aca="false">X339+Y339*(E339-AB339)-Y339*AD339*Inputs!$B$13*(A339-AC339)</f>
        <v>1016.3844066801</v>
      </c>
      <c r="AJ339" s="10" t="n">
        <v>0</v>
      </c>
      <c r="AK339" s="8" t="n">
        <f aca="false">IF(AND(B339&lt;=U339,NOT(Q339)),B339,U339)*(1-Inputs!$B$12)</f>
        <v>0.8597884896073</v>
      </c>
    </row>
    <row r="340" customFormat="false" ht="15" hidden="false" customHeight="false" outlineLevel="0" collapsed="false">
      <c r="A340" s="6" t="n">
        <v>45124</v>
      </c>
      <c r="B340" s="7" t="n">
        <v>0.867733601726848</v>
      </c>
      <c r="C340" s="7" t="n">
        <v>0.870621939037574</v>
      </c>
      <c r="D340" s="7" t="n">
        <v>0.864496526204169</v>
      </c>
      <c r="E340" s="7" t="n">
        <v>0.86991622271997</v>
      </c>
      <c r="F340" s="8" t="n">
        <f aca="true">IF(ROW()-2&gt;=Inputs!$B$4,AVERAGE(OFFSET(E340,1-Inputs!$B$4,0,Inputs!$B$4,1)),"")</f>
        <v>0.865992819884809</v>
      </c>
      <c r="G340" s="8" t="n">
        <f aca="true">IF(ROW()-2&gt;=Inputs!$B$5,AVERAGE(OFFSET(E340,1-Inputs!$B$5,0,Inputs!$B$5,1)),"")</f>
        <v>0.888398444041569</v>
      </c>
      <c r="H340" s="8" t="n">
        <f aca="false">MAX(C340-D340,ABS(C340-E339),ABS(D340-E339))</f>
        <v>0.00612541283340462</v>
      </c>
      <c r="I340" s="8" t="n">
        <f aca="true">IF(ROW()-2&lt;14,"",IF(ROW()-2=14,AVERAGE(OFFSET(H340,-13,0,14,1)),(I339*13+H340)/14))</f>
        <v>0.00923840856157489</v>
      </c>
      <c r="J340" s="9" t="b">
        <f aca="false">IF(AND(ISNUMBER(F340),ISNUMBER(G340),ISNUMBER(F339),ISNUMBER(G339)),AND(F340&gt;G340,F339&lt;=G339),FALSE())</f>
        <v>0</v>
      </c>
      <c r="K340" s="9" t="b">
        <f aca="false">IF(AND(ISNUMBER(F340),ISNUMBER(G340),ISNUMBER(F339),ISNUMBER(G339)),AND(F340&lt;G340,F339&gt;=G339),FALSE())</f>
        <v>0</v>
      </c>
      <c r="L340" s="8" t="n">
        <f aca="false">IF(ISNUMBER(I340),E340-Inputs!$B$6*I340,"")</f>
        <v>0.85143940559682</v>
      </c>
      <c r="M340" s="9" t="b">
        <f aca="false">AND(Y339&gt;0,Z339)</f>
        <v>0</v>
      </c>
      <c r="N340" s="8" t="n">
        <f aca="false">B340*(1-Inputs!$B$12)</f>
        <v>0.867560055006503</v>
      </c>
      <c r="O340" s="10" t="n">
        <f aca="false">IF(M340,Y339*(N340-AB339)-Inputs!$B$9-Y339*AD339*Inputs!$B$13*(A340-AC339),0)</f>
        <v>0</v>
      </c>
      <c r="P340" s="10" t="n">
        <f aca="false">X339+O340</f>
        <v>1016.3844066801</v>
      </c>
      <c r="Q340" s="9" t="b">
        <f aca="false">AND(IF(M340,0,Y339)=0,AA339,IF(ISNUMBER(AE339),B340&gt;AE339,FALSE()))</f>
        <v>0</v>
      </c>
      <c r="R340" s="8" t="n">
        <f aca="false">B340*(1+Inputs!$B$12)</f>
        <v>0.867907148447193</v>
      </c>
      <c r="S340" s="11" t="n">
        <f aca="false">IF(Q340,MIN(P340*Inputs!$B$3/(R340-AE339),P340*Inputs!$B$11/R340),0)</f>
        <v>0</v>
      </c>
      <c r="T340" s="11" t="n">
        <f aca="false">IF(Q340,S340,IF(M340,0,Y339))</f>
        <v>0</v>
      </c>
      <c r="U340" s="8" t="n">
        <f aca="false">IF(Q340,AE339,AF339)</f>
        <v>0.938328062071903</v>
      </c>
      <c r="V340" s="9" t="b">
        <f aca="false">AND(T340&gt;0,D340&lt;=U340)</f>
        <v>0</v>
      </c>
      <c r="W340" s="10" t="n">
        <f aca="false">IF(V340,T340*(AK340-AB340)-Inputs!$B$9-T340*AD340*Inputs!$B$13*(A340-AC340),0)</f>
        <v>0</v>
      </c>
      <c r="X340" s="10" t="n">
        <f aca="false">P340-IF(Q340,Inputs!$B$9,0)+W340</f>
        <v>1016.3844066801</v>
      </c>
      <c r="Y340" s="11" t="n">
        <f aca="false">IF(V340,0,T340)</f>
        <v>0</v>
      </c>
      <c r="Z340" s="9" t="b">
        <f aca="false">AND(Y340&gt;0,K340)</f>
        <v>0</v>
      </c>
      <c r="AA340" s="9" t="b">
        <f aca="false">AND(Y340=0,J340,ISNUMBER(L340))</f>
        <v>0</v>
      </c>
      <c r="AB340" s="8" t="n">
        <f aca="false">IF(Q340,R340,AB339)</f>
        <v>0.95824964655134</v>
      </c>
      <c r="AC340" s="12" t="n">
        <f aca="false">IF(Q340,A340,AC339)</f>
        <v>45034</v>
      </c>
      <c r="AD340" s="8" t="n">
        <f aca="false">IF(Q340,B340,AD339)</f>
        <v>0.958058034944351</v>
      </c>
      <c r="AE340" s="8" t="str">
        <f aca="false">IF(AA340,L340,"")</f>
        <v/>
      </c>
      <c r="AF340" s="8" t="n">
        <f aca="false">U340</f>
        <v>0.938328062071903</v>
      </c>
      <c r="AG340" s="2" t="n">
        <f aca="false">AG339+IF(Q340,1,0)</f>
        <v>2</v>
      </c>
      <c r="AH340" s="2" t="n">
        <f aca="false">AG339</f>
        <v>2</v>
      </c>
      <c r="AI340" s="10" t="n">
        <f aca="false">X340+Y340*(E340-AB340)-Y340*AD340*Inputs!$B$13*(A340-AC340)</f>
        <v>1016.3844066801</v>
      </c>
      <c r="AJ340" s="10" t="n">
        <v>0</v>
      </c>
      <c r="AK340" s="8" t="n">
        <f aca="false">IF(AND(B340&lt;=U340,NOT(Q340)),B340,U340)*(1-Inputs!$B$12)</f>
        <v>0.867560055006503</v>
      </c>
    </row>
    <row r="341" customFormat="false" ht="15" hidden="false" customHeight="false" outlineLevel="0" collapsed="false">
      <c r="A341" s="6" t="n">
        <v>45125</v>
      </c>
      <c r="B341" s="7" t="n">
        <v>0.86991622271997</v>
      </c>
      <c r="C341" s="7" t="n">
        <v>0.872792799520056</v>
      </c>
      <c r="D341" s="7" t="n">
        <v>0.86513984828386</v>
      </c>
      <c r="E341" s="7" t="n">
        <v>0.867113790332916</v>
      </c>
      <c r="F341" s="8" t="n">
        <f aca="true">IF(ROW()-2&gt;=Inputs!$B$4,AVERAGE(OFFSET(E341,1-Inputs!$B$4,0,Inputs!$B$4,1)),"")</f>
        <v>0.864961642663847</v>
      </c>
      <c r="G341" s="8" t="n">
        <f aca="true">IF(ROW()-2&gt;=Inputs!$B$5,AVERAGE(OFFSET(E341,1-Inputs!$B$5,0,Inputs!$B$5,1)),"")</f>
        <v>0.887372668674838</v>
      </c>
      <c r="H341" s="8" t="n">
        <f aca="false">MAX(C341-D341,ABS(C341-E340),ABS(D341-E340))</f>
        <v>0.00765295123619669</v>
      </c>
      <c r="I341" s="8" t="n">
        <f aca="true">IF(ROW()-2&lt;14,"",IF(ROW()-2=14,AVERAGE(OFFSET(H341,-13,0,14,1)),(I340*13+H341)/14))</f>
        <v>0.00912516160976216</v>
      </c>
      <c r="J341" s="9" t="b">
        <f aca="false">IF(AND(ISNUMBER(F341),ISNUMBER(G341),ISNUMBER(F340),ISNUMBER(G340)),AND(F341&gt;G341,F340&lt;=G340),FALSE())</f>
        <v>0</v>
      </c>
      <c r="K341" s="9" t="b">
        <f aca="false">IF(AND(ISNUMBER(F341),ISNUMBER(G341),ISNUMBER(F340),ISNUMBER(G340)),AND(F341&lt;G341,F340&gt;=G340),FALSE())</f>
        <v>0</v>
      </c>
      <c r="L341" s="8" t="n">
        <f aca="false">IF(ISNUMBER(I341),E341-Inputs!$B$6*I341,"")</f>
        <v>0.848863467113391</v>
      </c>
      <c r="M341" s="9" t="b">
        <f aca="false">AND(Y340&gt;0,Z340)</f>
        <v>0</v>
      </c>
      <c r="N341" s="8" t="n">
        <f aca="false">B341*(1-Inputs!$B$12)</f>
        <v>0.869742239475426</v>
      </c>
      <c r="O341" s="10" t="n">
        <f aca="false">IF(M341,Y340*(N341-AB340)-Inputs!$B$9-Y340*AD340*Inputs!$B$13*(A341-AC340),0)</f>
        <v>0</v>
      </c>
      <c r="P341" s="10" t="n">
        <f aca="false">X340+O341</f>
        <v>1016.3844066801</v>
      </c>
      <c r="Q341" s="9" t="b">
        <f aca="false">AND(IF(M341,0,Y340)=0,AA340,IF(ISNUMBER(AE340),B341&gt;AE340,FALSE()))</f>
        <v>0</v>
      </c>
      <c r="R341" s="8" t="n">
        <f aca="false">B341*(1+Inputs!$B$12)</f>
        <v>0.870090205964514</v>
      </c>
      <c r="S341" s="11" t="n">
        <f aca="false">IF(Q341,MIN(P341*Inputs!$B$3/(R341-AE340),P341*Inputs!$B$11/R341),0)</f>
        <v>0</v>
      </c>
      <c r="T341" s="11" t="n">
        <f aca="false">IF(Q341,S341,IF(M341,0,Y340))</f>
        <v>0</v>
      </c>
      <c r="U341" s="8" t="n">
        <f aca="false">IF(Q341,AE340,AF340)</f>
        <v>0.938328062071903</v>
      </c>
      <c r="V341" s="9" t="b">
        <f aca="false">AND(T341&gt;0,D341&lt;=U341)</f>
        <v>0</v>
      </c>
      <c r="W341" s="10" t="n">
        <f aca="false">IF(V341,T341*(AK341-AB341)-Inputs!$B$9-T341*AD341*Inputs!$B$13*(A341-AC341),0)</f>
        <v>0</v>
      </c>
      <c r="X341" s="10" t="n">
        <f aca="false">P341-IF(Q341,Inputs!$B$9,0)+W341</f>
        <v>1016.3844066801</v>
      </c>
      <c r="Y341" s="11" t="n">
        <f aca="false">IF(V341,0,T341)</f>
        <v>0</v>
      </c>
      <c r="Z341" s="9" t="b">
        <f aca="false">AND(Y341&gt;0,K341)</f>
        <v>0</v>
      </c>
      <c r="AA341" s="9" t="b">
        <f aca="false">AND(Y341=0,J341,ISNUMBER(L341))</f>
        <v>0</v>
      </c>
      <c r="AB341" s="8" t="n">
        <f aca="false">IF(Q341,R341,AB340)</f>
        <v>0.95824964655134</v>
      </c>
      <c r="AC341" s="12" t="n">
        <f aca="false">IF(Q341,A341,AC340)</f>
        <v>45034</v>
      </c>
      <c r="AD341" s="8" t="n">
        <f aca="false">IF(Q341,B341,AD340)</f>
        <v>0.958058034944351</v>
      </c>
      <c r="AE341" s="8" t="str">
        <f aca="false">IF(AA341,L341,"")</f>
        <v/>
      </c>
      <c r="AF341" s="8" t="n">
        <f aca="false">U341</f>
        <v>0.938328062071903</v>
      </c>
      <c r="AG341" s="2" t="n">
        <f aca="false">AG340+IF(Q341,1,0)</f>
        <v>2</v>
      </c>
      <c r="AH341" s="2" t="n">
        <f aca="false">AG340</f>
        <v>2</v>
      </c>
      <c r="AI341" s="10" t="n">
        <f aca="false">X341+Y341*(E341-AB341)-Y341*AD341*Inputs!$B$13*(A341-AC341)</f>
        <v>1016.3844066801</v>
      </c>
      <c r="AJ341" s="10" t="n">
        <v>0</v>
      </c>
      <c r="AK341" s="8" t="n">
        <f aca="false">IF(AND(B341&lt;=U341,NOT(Q341)),B341,U341)*(1-Inputs!$B$12)</f>
        <v>0.869742239475426</v>
      </c>
    </row>
    <row r="342" customFormat="false" ht="15" hidden="false" customHeight="false" outlineLevel="0" collapsed="false">
      <c r="A342" s="6" t="n">
        <v>45126</v>
      </c>
      <c r="B342" s="7" t="n">
        <v>0.867113790332916</v>
      </c>
      <c r="C342" s="7" t="n">
        <v>0.868204846474076</v>
      </c>
      <c r="D342" s="7" t="n">
        <v>0.863877416422017</v>
      </c>
      <c r="E342" s="7" t="n">
        <v>0.864927986284608</v>
      </c>
      <c r="F342" s="8" t="n">
        <f aca="true">IF(ROW()-2&gt;=Inputs!$B$4,AVERAGE(OFFSET(E342,1-Inputs!$B$4,0,Inputs!$B$4,1)),"")</f>
        <v>0.863738958485663</v>
      </c>
      <c r="G342" s="8" t="n">
        <f aca="true">IF(ROW()-2&gt;=Inputs!$B$5,AVERAGE(OFFSET(E342,1-Inputs!$B$5,0,Inputs!$B$5,1)),"")</f>
        <v>0.88639838047108</v>
      </c>
      <c r="H342" s="8" t="n">
        <f aca="false">MAX(C342-D342,ABS(C342-E341),ABS(D342-E341))</f>
        <v>0.00432743005205927</v>
      </c>
      <c r="I342" s="8" t="n">
        <f aca="true">IF(ROW()-2&lt;14,"",IF(ROW()-2=14,AVERAGE(OFFSET(H342,-13,0,14,1)),(I341*13+H342)/14))</f>
        <v>0.00878246649849767</v>
      </c>
      <c r="J342" s="9" t="b">
        <f aca="false">IF(AND(ISNUMBER(F342),ISNUMBER(G342),ISNUMBER(F341),ISNUMBER(G341)),AND(F342&gt;G342,F341&lt;=G341),FALSE())</f>
        <v>0</v>
      </c>
      <c r="K342" s="9" t="b">
        <f aca="false">IF(AND(ISNUMBER(F342),ISNUMBER(G342),ISNUMBER(F341),ISNUMBER(G341)),AND(F342&lt;G342,F341&gt;=G341),FALSE())</f>
        <v>0</v>
      </c>
      <c r="L342" s="8" t="n">
        <f aca="false">IF(ISNUMBER(I342),E342-Inputs!$B$6*I342,"")</f>
        <v>0.847363053287613</v>
      </c>
      <c r="M342" s="9" t="b">
        <f aca="false">AND(Y341&gt;0,Z341)</f>
        <v>0</v>
      </c>
      <c r="N342" s="8" t="n">
        <f aca="false">B342*(1-Inputs!$B$12)</f>
        <v>0.866940367574849</v>
      </c>
      <c r="O342" s="10" t="n">
        <f aca="false">IF(M342,Y341*(N342-AB341)-Inputs!$B$9-Y341*AD341*Inputs!$B$13*(A342-AC341),0)</f>
        <v>0</v>
      </c>
      <c r="P342" s="10" t="n">
        <f aca="false">X341+O342</f>
        <v>1016.3844066801</v>
      </c>
      <c r="Q342" s="9" t="b">
        <f aca="false">AND(IF(M342,0,Y341)=0,AA341,IF(ISNUMBER(AE341),B342&gt;AE341,FALSE()))</f>
        <v>0</v>
      </c>
      <c r="R342" s="8" t="n">
        <f aca="false">B342*(1+Inputs!$B$12)</f>
        <v>0.867287213090982</v>
      </c>
      <c r="S342" s="11" t="n">
        <f aca="false">IF(Q342,MIN(P342*Inputs!$B$3/(R342-AE341),P342*Inputs!$B$11/R342),0)</f>
        <v>0</v>
      </c>
      <c r="T342" s="11" t="n">
        <f aca="false">IF(Q342,S342,IF(M342,0,Y341))</f>
        <v>0</v>
      </c>
      <c r="U342" s="8" t="n">
        <f aca="false">IF(Q342,AE341,AF341)</f>
        <v>0.938328062071903</v>
      </c>
      <c r="V342" s="9" t="b">
        <f aca="false">AND(T342&gt;0,D342&lt;=U342)</f>
        <v>0</v>
      </c>
      <c r="W342" s="10" t="n">
        <f aca="false">IF(V342,T342*(AK342-AB342)-Inputs!$B$9-T342*AD342*Inputs!$B$13*(A342-AC342),0)</f>
        <v>0</v>
      </c>
      <c r="X342" s="10" t="n">
        <f aca="false">P342-IF(Q342,Inputs!$B$9,0)+W342</f>
        <v>1016.3844066801</v>
      </c>
      <c r="Y342" s="11" t="n">
        <f aca="false">IF(V342,0,T342)</f>
        <v>0</v>
      </c>
      <c r="Z342" s="9" t="b">
        <f aca="false">AND(Y342&gt;0,K342)</f>
        <v>0</v>
      </c>
      <c r="AA342" s="9" t="b">
        <f aca="false">AND(Y342=0,J342,ISNUMBER(L342))</f>
        <v>0</v>
      </c>
      <c r="AB342" s="8" t="n">
        <f aca="false">IF(Q342,R342,AB341)</f>
        <v>0.95824964655134</v>
      </c>
      <c r="AC342" s="12" t="n">
        <f aca="false">IF(Q342,A342,AC341)</f>
        <v>45034</v>
      </c>
      <c r="AD342" s="8" t="n">
        <f aca="false">IF(Q342,B342,AD341)</f>
        <v>0.958058034944351</v>
      </c>
      <c r="AE342" s="8" t="str">
        <f aca="false">IF(AA342,L342,"")</f>
        <v/>
      </c>
      <c r="AF342" s="8" t="n">
        <f aca="false">U342</f>
        <v>0.938328062071903</v>
      </c>
      <c r="AG342" s="2" t="n">
        <f aca="false">AG341+IF(Q342,1,0)</f>
        <v>2</v>
      </c>
      <c r="AH342" s="2" t="n">
        <f aca="false">AG341</f>
        <v>2</v>
      </c>
      <c r="AI342" s="10" t="n">
        <f aca="false">X342+Y342*(E342-AB342)-Y342*AD342*Inputs!$B$13*(A342-AC342)</f>
        <v>1016.3844066801</v>
      </c>
      <c r="AJ342" s="10" t="n">
        <v>0</v>
      </c>
      <c r="AK342" s="8" t="n">
        <f aca="false">IF(AND(B342&lt;=U342,NOT(Q342)),B342,U342)*(1-Inputs!$B$12)</f>
        <v>0.866940367574849</v>
      </c>
    </row>
    <row r="343" customFormat="false" ht="15" hidden="false" customHeight="false" outlineLevel="0" collapsed="false">
      <c r="A343" s="6" t="n">
        <v>45127</v>
      </c>
      <c r="B343" s="7" t="n">
        <v>0.864927986284608</v>
      </c>
      <c r="C343" s="7" t="n">
        <v>0.867313663683007</v>
      </c>
      <c r="D343" s="7" t="n">
        <v>0.854717811430327</v>
      </c>
      <c r="E343" s="7" t="n">
        <v>0.861172086989201</v>
      </c>
      <c r="F343" s="8" t="n">
        <f aca="true">IF(ROW()-2&gt;=Inputs!$B$4,AVERAGE(OFFSET(E343,1-Inputs!$B$4,0,Inputs!$B$4,1)),"")</f>
        <v>0.862983628230555</v>
      </c>
      <c r="G343" s="8" t="n">
        <f aca="true">IF(ROW()-2&gt;=Inputs!$B$5,AVERAGE(OFFSET(E343,1-Inputs!$B$5,0,Inputs!$B$5,1)),"")</f>
        <v>0.885499736618914</v>
      </c>
      <c r="H343" s="8" t="n">
        <f aca="false">MAX(C343-D343,ABS(C343-E342),ABS(D343-E342))</f>
        <v>0.0125958522526802</v>
      </c>
      <c r="I343" s="8" t="n">
        <f aca="true">IF(ROW()-2&lt;14,"",IF(ROW()-2=14,AVERAGE(OFFSET(H343,-13,0,14,1)),(I342*13+H343)/14))</f>
        <v>0.00905485119522499</v>
      </c>
      <c r="J343" s="9" t="b">
        <f aca="false">IF(AND(ISNUMBER(F343),ISNUMBER(G343),ISNUMBER(F342),ISNUMBER(G342)),AND(F343&gt;G343,F342&lt;=G342),FALSE())</f>
        <v>0</v>
      </c>
      <c r="K343" s="9" t="b">
        <f aca="false">IF(AND(ISNUMBER(F343),ISNUMBER(G343),ISNUMBER(F342),ISNUMBER(G342)),AND(F343&lt;G343,F342&gt;=G342),FALSE())</f>
        <v>0</v>
      </c>
      <c r="L343" s="8" t="n">
        <f aca="false">IF(ISNUMBER(I343),E343-Inputs!$B$6*I343,"")</f>
        <v>0.843062384598752</v>
      </c>
      <c r="M343" s="9" t="b">
        <f aca="false">AND(Y342&gt;0,Z342)</f>
        <v>0</v>
      </c>
      <c r="N343" s="8" t="n">
        <f aca="false">B343*(1-Inputs!$B$12)</f>
        <v>0.864755000687352</v>
      </c>
      <c r="O343" s="10" t="n">
        <f aca="false">IF(M343,Y342*(N343-AB342)-Inputs!$B$9-Y342*AD342*Inputs!$B$13*(A343-AC342),0)</f>
        <v>0</v>
      </c>
      <c r="P343" s="10" t="n">
        <f aca="false">X342+O343</f>
        <v>1016.3844066801</v>
      </c>
      <c r="Q343" s="9" t="b">
        <f aca="false">AND(IF(M343,0,Y342)=0,AA342,IF(ISNUMBER(AE342),B343&gt;AE342,FALSE()))</f>
        <v>0</v>
      </c>
      <c r="R343" s="8" t="n">
        <f aca="false">B343*(1+Inputs!$B$12)</f>
        <v>0.865100971881865</v>
      </c>
      <c r="S343" s="11" t="n">
        <f aca="false">IF(Q343,MIN(P343*Inputs!$B$3/(R343-AE342),P343*Inputs!$B$11/R343),0)</f>
        <v>0</v>
      </c>
      <c r="T343" s="11" t="n">
        <f aca="false">IF(Q343,S343,IF(M343,0,Y342))</f>
        <v>0</v>
      </c>
      <c r="U343" s="8" t="n">
        <f aca="false">IF(Q343,AE342,AF342)</f>
        <v>0.938328062071903</v>
      </c>
      <c r="V343" s="9" t="b">
        <f aca="false">AND(T343&gt;0,D343&lt;=U343)</f>
        <v>0</v>
      </c>
      <c r="W343" s="10" t="n">
        <f aca="false">IF(V343,T343*(AK343-AB343)-Inputs!$B$9-T343*AD343*Inputs!$B$13*(A343-AC343),0)</f>
        <v>0</v>
      </c>
      <c r="X343" s="10" t="n">
        <f aca="false">P343-IF(Q343,Inputs!$B$9,0)+W343</f>
        <v>1016.3844066801</v>
      </c>
      <c r="Y343" s="11" t="n">
        <f aca="false">IF(V343,0,T343)</f>
        <v>0</v>
      </c>
      <c r="Z343" s="9" t="b">
        <f aca="false">AND(Y343&gt;0,K343)</f>
        <v>0</v>
      </c>
      <c r="AA343" s="9" t="b">
        <f aca="false">AND(Y343=0,J343,ISNUMBER(L343))</f>
        <v>0</v>
      </c>
      <c r="AB343" s="8" t="n">
        <f aca="false">IF(Q343,R343,AB342)</f>
        <v>0.95824964655134</v>
      </c>
      <c r="AC343" s="12" t="n">
        <f aca="false">IF(Q343,A343,AC342)</f>
        <v>45034</v>
      </c>
      <c r="AD343" s="8" t="n">
        <f aca="false">IF(Q343,B343,AD342)</f>
        <v>0.958058034944351</v>
      </c>
      <c r="AE343" s="8" t="str">
        <f aca="false">IF(AA343,L343,"")</f>
        <v/>
      </c>
      <c r="AF343" s="8" t="n">
        <f aca="false">U343</f>
        <v>0.938328062071903</v>
      </c>
      <c r="AG343" s="2" t="n">
        <f aca="false">AG342+IF(Q343,1,0)</f>
        <v>2</v>
      </c>
      <c r="AH343" s="2" t="n">
        <f aca="false">AG342</f>
        <v>2</v>
      </c>
      <c r="AI343" s="10" t="n">
        <f aca="false">X343+Y343*(E343-AB343)-Y343*AD343*Inputs!$B$13*(A343-AC343)</f>
        <v>1016.3844066801</v>
      </c>
      <c r="AJ343" s="10" t="n">
        <v>0</v>
      </c>
      <c r="AK343" s="8" t="n">
        <f aca="false">IF(AND(B343&lt;=U343,NOT(Q343)),B343,U343)*(1-Inputs!$B$12)</f>
        <v>0.864755000687352</v>
      </c>
    </row>
    <row r="344" customFormat="false" ht="15" hidden="false" customHeight="false" outlineLevel="0" collapsed="false">
      <c r="A344" s="6" t="n">
        <v>45128</v>
      </c>
      <c r="B344" s="7" t="n">
        <v>0.861172086989201</v>
      </c>
      <c r="C344" s="7" t="n">
        <v>0.865233548593777</v>
      </c>
      <c r="D344" s="7" t="n">
        <v>0.851159318593508</v>
      </c>
      <c r="E344" s="7" t="n">
        <v>0.852127528537407</v>
      </c>
      <c r="F344" s="8" t="n">
        <f aca="true">IF(ROW()-2&gt;=Inputs!$B$4,AVERAGE(OFFSET(E344,1-Inputs!$B$4,0,Inputs!$B$4,1)),"")</f>
        <v>0.862017167013385</v>
      </c>
      <c r="G344" s="8" t="n">
        <f aca="true">IF(ROW()-2&gt;=Inputs!$B$5,AVERAGE(OFFSET(E344,1-Inputs!$B$5,0,Inputs!$B$5,1)),"")</f>
        <v>0.884409704822316</v>
      </c>
      <c r="H344" s="8" t="n">
        <f aca="false">MAX(C344-D344,ABS(C344-E343),ABS(D344-E343))</f>
        <v>0.014074230000269</v>
      </c>
      <c r="I344" s="8" t="n">
        <f aca="true">IF(ROW()-2&lt;14,"",IF(ROW()-2=14,AVERAGE(OFFSET(H344,-13,0,14,1)),(I343*13+H344)/14))</f>
        <v>0.00941337825272813</v>
      </c>
      <c r="J344" s="9" t="b">
        <f aca="false">IF(AND(ISNUMBER(F344),ISNUMBER(G344),ISNUMBER(F343),ISNUMBER(G343)),AND(F344&gt;G344,F343&lt;=G343),FALSE())</f>
        <v>0</v>
      </c>
      <c r="K344" s="9" t="b">
        <f aca="false">IF(AND(ISNUMBER(F344),ISNUMBER(G344),ISNUMBER(F343),ISNUMBER(G343)),AND(F344&lt;G344,F343&gt;=G343),FALSE())</f>
        <v>0</v>
      </c>
      <c r="L344" s="8" t="n">
        <f aca="false">IF(ISNUMBER(I344),E344-Inputs!$B$6*I344,"")</f>
        <v>0.83330077203195</v>
      </c>
      <c r="M344" s="9" t="b">
        <f aca="false">AND(Y343&gt;0,Z343)</f>
        <v>0</v>
      </c>
      <c r="N344" s="8" t="n">
        <f aca="false">B344*(1-Inputs!$B$12)</f>
        <v>0.860999852571804</v>
      </c>
      <c r="O344" s="10" t="n">
        <f aca="false">IF(M344,Y343*(N344-AB343)-Inputs!$B$9-Y343*AD343*Inputs!$B$13*(A344-AC343),0)</f>
        <v>0</v>
      </c>
      <c r="P344" s="10" t="n">
        <f aca="false">X343+O344</f>
        <v>1016.3844066801</v>
      </c>
      <c r="Q344" s="9" t="b">
        <f aca="false">AND(IF(M344,0,Y343)=0,AA343,IF(ISNUMBER(AE343),B344&gt;AE343,FALSE()))</f>
        <v>0</v>
      </c>
      <c r="R344" s="8" t="n">
        <f aca="false">B344*(1+Inputs!$B$12)</f>
        <v>0.861344321406599</v>
      </c>
      <c r="S344" s="11" t="n">
        <f aca="false">IF(Q344,MIN(P344*Inputs!$B$3/(R344-AE343),P344*Inputs!$B$11/R344),0)</f>
        <v>0</v>
      </c>
      <c r="T344" s="11" t="n">
        <f aca="false">IF(Q344,S344,IF(M344,0,Y343))</f>
        <v>0</v>
      </c>
      <c r="U344" s="8" t="n">
        <f aca="false">IF(Q344,AE343,AF343)</f>
        <v>0.938328062071903</v>
      </c>
      <c r="V344" s="9" t="b">
        <f aca="false">AND(T344&gt;0,D344&lt;=U344)</f>
        <v>0</v>
      </c>
      <c r="W344" s="10" t="n">
        <f aca="false">IF(V344,T344*(AK344-AB344)-Inputs!$B$9-T344*AD344*Inputs!$B$13*(A344-AC344),0)</f>
        <v>0</v>
      </c>
      <c r="X344" s="10" t="n">
        <f aca="false">P344-IF(Q344,Inputs!$B$9,0)+W344</f>
        <v>1016.3844066801</v>
      </c>
      <c r="Y344" s="11" t="n">
        <f aca="false">IF(V344,0,T344)</f>
        <v>0</v>
      </c>
      <c r="Z344" s="9" t="b">
        <f aca="false">AND(Y344&gt;0,K344)</f>
        <v>0</v>
      </c>
      <c r="AA344" s="9" t="b">
        <f aca="false">AND(Y344=0,J344,ISNUMBER(L344))</f>
        <v>0</v>
      </c>
      <c r="AB344" s="8" t="n">
        <f aca="false">IF(Q344,R344,AB343)</f>
        <v>0.95824964655134</v>
      </c>
      <c r="AC344" s="12" t="n">
        <f aca="false">IF(Q344,A344,AC343)</f>
        <v>45034</v>
      </c>
      <c r="AD344" s="8" t="n">
        <f aca="false">IF(Q344,B344,AD343)</f>
        <v>0.958058034944351</v>
      </c>
      <c r="AE344" s="8" t="str">
        <f aca="false">IF(AA344,L344,"")</f>
        <v/>
      </c>
      <c r="AF344" s="8" t="n">
        <f aca="false">U344</f>
        <v>0.938328062071903</v>
      </c>
      <c r="AG344" s="2" t="n">
        <f aca="false">AG343+IF(Q344,1,0)</f>
        <v>2</v>
      </c>
      <c r="AH344" s="2" t="n">
        <f aca="false">AG343</f>
        <v>2</v>
      </c>
      <c r="AI344" s="10" t="n">
        <f aca="false">X344+Y344*(E344-AB344)-Y344*AD344*Inputs!$B$13*(A344-AC344)</f>
        <v>1016.3844066801</v>
      </c>
      <c r="AJ344" s="10" t="n">
        <v>0</v>
      </c>
      <c r="AK344" s="8" t="n">
        <f aca="false">IF(AND(B344&lt;=U344,NOT(Q344)),B344,U344)*(1-Inputs!$B$12)</f>
        <v>0.860999852571804</v>
      </c>
    </row>
    <row r="345" customFormat="false" ht="15" hidden="false" customHeight="false" outlineLevel="0" collapsed="false">
      <c r="A345" s="6" t="n">
        <v>45129</v>
      </c>
      <c r="B345" s="7" t="n">
        <v>0.852127528537407</v>
      </c>
      <c r="C345" s="7" t="n">
        <v>0.860913508555079</v>
      </c>
      <c r="D345" s="7" t="n">
        <v>0.849624936053344</v>
      </c>
      <c r="E345" s="7" t="n">
        <v>0.857129938134644</v>
      </c>
      <c r="F345" s="8" t="n">
        <f aca="true">IF(ROW()-2&gt;=Inputs!$B$4,AVERAGE(OFFSET(E345,1-Inputs!$B$4,0,Inputs!$B$4,1)),"")</f>
        <v>0.861535963594224</v>
      </c>
      <c r="G345" s="8" t="n">
        <f aca="true">IF(ROW()-2&gt;=Inputs!$B$5,AVERAGE(OFFSET(E345,1-Inputs!$B$5,0,Inputs!$B$5,1)),"")</f>
        <v>0.883381389971875</v>
      </c>
      <c r="H345" s="8" t="n">
        <f aca="false">MAX(C345-D345,ABS(C345-E344),ABS(D345-E344))</f>
        <v>0.0112885725017358</v>
      </c>
      <c r="I345" s="8" t="n">
        <f aca="true">IF(ROW()-2&lt;14,"",IF(ROW()-2=14,AVERAGE(OFFSET(H345,-13,0,14,1)),(I344*13+H345)/14))</f>
        <v>0.00954732069908582</v>
      </c>
      <c r="J345" s="9" t="b">
        <f aca="false">IF(AND(ISNUMBER(F345),ISNUMBER(G345),ISNUMBER(F344),ISNUMBER(G344)),AND(F345&gt;G345,F344&lt;=G344),FALSE())</f>
        <v>0</v>
      </c>
      <c r="K345" s="9" t="b">
        <f aca="false">IF(AND(ISNUMBER(F345),ISNUMBER(G345),ISNUMBER(F344),ISNUMBER(G344)),AND(F345&lt;G345,F344&gt;=G344),FALSE())</f>
        <v>0</v>
      </c>
      <c r="L345" s="8" t="n">
        <f aca="false">IF(ISNUMBER(I345),E345-Inputs!$B$6*I345,"")</f>
        <v>0.838035296736472</v>
      </c>
      <c r="M345" s="9" t="b">
        <f aca="false">AND(Y344&gt;0,Z344)</f>
        <v>0</v>
      </c>
      <c r="N345" s="8" t="n">
        <f aca="false">B345*(1-Inputs!$B$12)</f>
        <v>0.851957103031699</v>
      </c>
      <c r="O345" s="10" t="n">
        <f aca="false">IF(M345,Y344*(N345-AB344)-Inputs!$B$9-Y344*AD344*Inputs!$B$13*(A345-AC344),0)</f>
        <v>0</v>
      </c>
      <c r="P345" s="10" t="n">
        <f aca="false">X344+O345</f>
        <v>1016.3844066801</v>
      </c>
      <c r="Q345" s="9" t="b">
        <f aca="false">AND(IF(M345,0,Y344)=0,AA344,IF(ISNUMBER(AE344),B345&gt;AE344,FALSE()))</f>
        <v>0</v>
      </c>
      <c r="R345" s="8" t="n">
        <f aca="false">B345*(1+Inputs!$B$12)</f>
        <v>0.852297954043114</v>
      </c>
      <c r="S345" s="11" t="n">
        <f aca="false">IF(Q345,MIN(P345*Inputs!$B$3/(R345-AE344),P345*Inputs!$B$11/R345),0)</f>
        <v>0</v>
      </c>
      <c r="T345" s="11" t="n">
        <f aca="false">IF(Q345,S345,IF(M345,0,Y344))</f>
        <v>0</v>
      </c>
      <c r="U345" s="8" t="n">
        <f aca="false">IF(Q345,AE344,AF344)</f>
        <v>0.938328062071903</v>
      </c>
      <c r="V345" s="9" t="b">
        <f aca="false">AND(T345&gt;0,D345&lt;=U345)</f>
        <v>0</v>
      </c>
      <c r="W345" s="10" t="n">
        <f aca="false">IF(V345,T345*(AK345-AB345)-Inputs!$B$9-T345*AD345*Inputs!$B$13*(A345-AC345),0)</f>
        <v>0</v>
      </c>
      <c r="X345" s="10" t="n">
        <f aca="false">P345-IF(Q345,Inputs!$B$9,0)+W345</f>
        <v>1016.3844066801</v>
      </c>
      <c r="Y345" s="11" t="n">
        <f aca="false">IF(V345,0,T345)</f>
        <v>0</v>
      </c>
      <c r="Z345" s="9" t="b">
        <f aca="false">AND(Y345&gt;0,K345)</f>
        <v>0</v>
      </c>
      <c r="AA345" s="9" t="b">
        <f aca="false">AND(Y345=0,J345,ISNUMBER(L345))</f>
        <v>0</v>
      </c>
      <c r="AB345" s="8" t="n">
        <f aca="false">IF(Q345,R345,AB344)</f>
        <v>0.95824964655134</v>
      </c>
      <c r="AC345" s="12" t="n">
        <f aca="false">IF(Q345,A345,AC344)</f>
        <v>45034</v>
      </c>
      <c r="AD345" s="8" t="n">
        <f aca="false">IF(Q345,B345,AD344)</f>
        <v>0.958058034944351</v>
      </c>
      <c r="AE345" s="8" t="str">
        <f aca="false">IF(AA345,L345,"")</f>
        <v/>
      </c>
      <c r="AF345" s="8" t="n">
        <f aca="false">U345</f>
        <v>0.938328062071903</v>
      </c>
      <c r="AG345" s="2" t="n">
        <f aca="false">AG344+IF(Q345,1,0)</f>
        <v>2</v>
      </c>
      <c r="AH345" s="2" t="n">
        <f aca="false">AG344</f>
        <v>2</v>
      </c>
      <c r="AI345" s="10" t="n">
        <f aca="false">X345+Y345*(E345-AB345)-Y345*AD345*Inputs!$B$13*(A345-AC345)</f>
        <v>1016.3844066801</v>
      </c>
      <c r="AJ345" s="10" t="n">
        <v>0</v>
      </c>
      <c r="AK345" s="8" t="n">
        <f aca="false">IF(AND(B345&lt;=U345,NOT(Q345)),B345,U345)*(1-Inputs!$B$12)</f>
        <v>0.851957103031699</v>
      </c>
    </row>
    <row r="346" customFormat="false" ht="15" hidden="false" customHeight="false" outlineLevel="0" collapsed="false">
      <c r="A346" s="6" t="n">
        <v>45130</v>
      </c>
      <c r="B346" s="7" t="n">
        <v>0.857129938134644</v>
      </c>
      <c r="C346" s="7" t="n">
        <v>0.860021857849976</v>
      </c>
      <c r="D346" s="7" t="n">
        <v>0.850169149080124</v>
      </c>
      <c r="E346" s="7" t="n">
        <v>0.852639919420623</v>
      </c>
      <c r="F346" s="8" t="n">
        <f aca="true">IF(ROW()-2&gt;=Inputs!$B$4,AVERAGE(OFFSET(E346,1-Inputs!$B$4,0,Inputs!$B$4,1)),"")</f>
        <v>0.861135231205876</v>
      </c>
      <c r="G346" s="8" t="n">
        <f aca="true">IF(ROW()-2&gt;=Inputs!$B$5,AVERAGE(OFFSET(E346,1-Inputs!$B$5,0,Inputs!$B$5,1)),"")</f>
        <v>0.882128289517722</v>
      </c>
      <c r="H346" s="8" t="n">
        <f aca="false">MAX(C346-D346,ABS(C346-E345),ABS(D346-E345))</f>
        <v>0.00985270876985256</v>
      </c>
      <c r="I346" s="8" t="n">
        <f aca="true">IF(ROW()-2&lt;14,"",IF(ROW()-2=14,AVERAGE(OFFSET(H346,-13,0,14,1)),(I345*13+H346)/14))</f>
        <v>0.00956913413271202</v>
      </c>
      <c r="J346" s="9" t="b">
        <f aca="false">IF(AND(ISNUMBER(F346),ISNUMBER(G346),ISNUMBER(F345),ISNUMBER(G345)),AND(F346&gt;G346,F345&lt;=G345),FALSE())</f>
        <v>0</v>
      </c>
      <c r="K346" s="9" t="b">
        <f aca="false">IF(AND(ISNUMBER(F346),ISNUMBER(G346),ISNUMBER(F345),ISNUMBER(G345)),AND(F346&lt;G346,F345&gt;=G345),FALSE())</f>
        <v>0</v>
      </c>
      <c r="L346" s="8" t="n">
        <f aca="false">IF(ISNUMBER(I346),E346-Inputs!$B$6*I346,"")</f>
        <v>0.833501651155199</v>
      </c>
      <c r="M346" s="9" t="b">
        <f aca="false">AND(Y345&gt;0,Z345)</f>
        <v>0</v>
      </c>
      <c r="N346" s="8" t="n">
        <f aca="false">B346*(1-Inputs!$B$12)</f>
        <v>0.856958512147017</v>
      </c>
      <c r="O346" s="10" t="n">
        <f aca="false">IF(M346,Y345*(N346-AB345)-Inputs!$B$9-Y345*AD345*Inputs!$B$13*(A346-AC345),0)</f>
        <v>0</v>
      </c>
      <c r="P346" s="10" t="n">
        <f aca="false">X345+O346</f>
        <v>1016.3844066801</v>
      </c>
      <c r="Q346" s="9" t="b">
        <f aca="false">AND(IF(M346,0,Y345)=0,AA345,IF(ISNUMBER(AE345),B346&gt;AE345,FALSE()))</f>
        <v>0</v>
      </c>
      <c r="R346" s="8" t="n">
        <f aca="false">B346*(1+Inputs!$B$12)</f>
        <v>0.857301364122271</v>
      </c>
      <c r="S346" s="11" t="n">
        <f aca="false">IF(Q346,MIN(P346*Inputs!$B$3/(R346-AE345),P346*Inputs!$B$11/R346),0)</f>
        <v>0</v>
      </c>
      <c r="T346" s="11" t="n">
        <f aca="false">IF(Q346,S346,IF(M346,0,Y345))</f>
        <v>0</v>
      </c>
      <c r="U346" s="8" t="n">
        <f aca="false">IF(Q346,AE345,AF345)</f>
        <v>0.938328062071903</v>
      </c>
      <c r="V346" s="9" t="b">
        <f aca="false">AND(T346&gt;0,D346&lt;=U346)</f>
        <v>0</v>
      </c>
      <c r="W346" s="10" t="n">
        <f aca="false">IF(V346,T346*(AK346-AB346)-Inputs!$B$9-T346*AD346*Inputs!$B$13*(A346-AC346),0)</f>
        <v>0</v>
      </c>
      <c r="X346" s="10" t="n">
        <f aca="false">P346-IF(Q346,Inputs!$B$9,0)+W346</f>
        <v>1016.3844066801</v>
      </c>
      <c r="Y346" s="11" t="n">
        <f aca="false">IF(V346,0,T346)</f>
        <v>0</v>
      </c>
      <c r="Z346" s="9" t="b">
        <f aca="false">AND(Y346&gt;0,K346)</f>
        <v>0</v>
      </c>
      <c r="AA346" s="9" t="b">
        <f aca="false">AND(Y346=0,J346,ISNUMBER(L346))</f>
        <v>0</v>
      </c>
      <c r="AB346" s="8" t="n">
        <f aca="false">IF(Q346,R346,AB345)</f>
        <v>0.95824964655134</v>
      </c>
      <c r="AC346" s="12" t="n">
        <f aca="false">IF(Q346,A346,AC345)</f>
        <v>45034</v>
      </c>
      <c r="AD346" s="8" t="n">
        <f aca="false">IF(Q346,B346,AD345)</f>
        <v>0.958058034944351</v>
      </c>
      <c r="AE346" s="8" t="str">
        <f aca="false">IF(AA346,L346,"")</f>
        <v/>
      </c>
      <c r="AF346" s="8" t="n">
        <f aca="false">U346</f>
        <v>0.938328062071903</v>
      </c>
      <c r="AG346" s="2" t="n">
        <f aca="false">AG345+IF(Q346,1,0)</f>
        <v>2</v>
      </c>
      <c r="AH346" s="2" t="n">
        <f aca="false">AG345</f>
        <v>2</v>
      </c>
      <c r="AI346" s="10" t="n">
        <f aca="false">X346+Y346*(E346-AB346)-Y346*AD346*Inputs!$B$13*(A346-AC346)</f>
        <v>1016.3844066801</v>
      </c>
      <c r="AJ346" s="10" t="n">
        <v>0</v>
      </c>
      <c r="AK346" s="8" t="n">
        <f aca="false">IF(AND(B346&lt;=U346,NOT(Q346)),B346,U346)*(1-Inputs!$B$12)</f>
        <v>0.856958512147017</v>
      </c>
    </row>
    <row r="347" customFormat="false" ht="15" hidden="false" customHeight="false" outlineLevel="0" collapsed="false">
      <c r="A347" s="6" t="n">
        <v>45131</v>
      </c>
      <c r="B347" s="7" t="n">
        <v>0.852639919420623</v>
      </c>
      <c r="C347" s="7" t="n">
        <v>0.857256614795991</v>
      </c>
      <c r="D347" s="7" t="n">
        <v>0.845046746771109</v>
      </c>
      <c r="E347" s="7" t="n">
        <v>0.856017106342603</v>
      </c>
      <c r="F347" s="8" t="n">
        <f aca="true">IF(ROW()-2&gt;=Inputs!$B$4,AVERAGE(OFFSET(E347,1-Inputs!$B$4,0,Inputs!$B$4,1)),"")</f>
        <v>0.861145304786154</v>
      </c>
      <c r="G347" s="8" t="n">
        <f aca="true">IF(ROW()-2&gt;=Inputs!$B$5,AVERAGE(OFFSET(E347,1-Inputs!$B$5,0,Inputs!$B$5,1)),"")</f>
        <v>0.880815115930219</v>
      </c>
      <c r="H347" s="8" t="n">
        <f aca="false">MAX(C347-D347,ABS(C347-E346),ABS(D347-E346))</f>
        <v>0.0122098680248818</v>
      </c>
      <c r="I347" s="8" t="n">
        <f aca="true">IF(ROW()-2&lt;14,"",IF(ROW()-2=14,AVERAGE(OFFSET(H347,-13,0,14,1)),(I346*13+H347)/14))</f>
        <v>0.00975775798215271</v>
      </c>
      <c r="J347" s="9" t="b">
        <f aca="false">IF(AND(ISNUMBER(F347),ISNUMBER(G347),ISNUMBER(F346),ISNUMBER(G346)),AND(F347&gt;G347,F346&lt;=G346),FALSE())</f>
        <v>0</v>
      </c>
      <c r="K347" s="9" t="b">
        <f aca="false">IF(AND(ISNUMBER(F347),ISNUMBER(G347),ISNUMBER(F346),ISNUMBER(G346)),AND(F347&lt;G347,F346&gt;=G346),FALSE())</f>
        <v>0</v>
      </c>
      <c r="L347" s="8" t="n">
        <f aca="false">IF(ISNUMBER(I347),E347-Inputs!$B$6*I347,"")</f>
        <v>0.836501590378298</v>
      </c>
      <c r="M347" s="9" t="b">
        <f aca="false">AND(Y346&gt;0,Z346)</f>
        <v>0</v>
      </c>
      <c r="N347" s="8" t="n">
        <f aca="false">B347*(1-Inputs!$B$12)</f>
        <v>0.852469391436739</v>
      </c>
      <c r="O347" s="10" t="n">
        <f aca="false">IF(M347,Y346*(N347-AB346)-Inputs!$B$9-Y346*AD346*Inputs!$B$13*(A347-AC346),0)</f>
        <v>0</v>
      </c>
      <c r="P347" s="10" t="n">
        <f aca="false">X346+O347</f>
        <v>1016.3844066801</v>
      </c>
      <c r="Q347" s="9" t="b">
        <f aca="false">AND(IF(M347,0,Y346)=0,AA346,IF(ISNUMBER(AE346),B347&gt;AE346,FALSE()))</f>
        <v>0</v>
      </c>
      <c r="R347" s="8" t="n">
        <f aca="false">B347*(1+Inputs!$B$12)</f>
        <v>0.852810447404507</v>
      </c>
      <c r="S347" s="11" t="n">
        <f aca="false">IF(Q347,MIN(P347*Inputs!$B$3/(R347-AE346),P347*Inputs!$B$11/R347),0)</f>
        <v>0</v>
      </c>
      <c r="T347" s="11" t="n">
        <f aca="false">IF(Q347,S347,IF(M347,0,Y346))</f>
        <v>0</v>
      </c>
      <c r="U347" s="8" t="n">
        <f aca="false">IF(Q347,AE346,AF346)</f>
        <v>0.938328062071903</v>
      </c>
      <c r="V347" s="9" t="b">
        <f aca="false">AND(T347&gt;0,D347&lt;=U347)</f>
        <v>0</v>
      </c>
      <c r="W347" s="10" t="n">
        <f aca="false">IF(V347,T347*(AK347-AB347)-Inputs!$B$9-T347*AD347*Inputs!$B$13*(A347-AC347),0)</f>
        <v>0</v>
      </c>
      <c r="X347" s="10" t="n">
        <f aca="false">P347-IF(Q347,Inputs!$B$9,0)+W347</f>
        <v>1016.3844066801</v>
      </c>
      <c r="Y347" s="11" t="n">
        <f aca="false">IF(V347,0,T347)</f>
        <v>0</v>
      </c>
      <c r="Z347" s="9" t="b">
        <f aca="false">AND(Y347&gt;0,K347)</f>
        <v>0</v>
      </c>
      <c r="AA347" s="9" t="b">
        <f aca="false">AND(Y347=0,J347,ISNUMBER(L347))</f>
        <v>0</v>
      </c>
      <c r="AB347" s="8" t="n">
        <f aca="false">IF(Q347,R347,AB346)</f>
        <v>0.95824964655134</v>
      </c>
      <c r="AC347" s="12" t="n">
        <f aca="false">IF(Q347,A347,AC346)</f>
        <v>45034</v>
      </c>
      <c r="AD347" s="8" t="n">
        <f aca="false">IF(Q347,B347,AD346)</f>
        <v>0.958058034944351</v>
      </c>
      <c r="AE347" s="8" t="str">
        <f aca="false">IF(AA347,L347,"")</f>
        <v/>
      </c>
      <c r="AF347" s="8" t="n">
        <f aca="false">U347</f>
        <v>0.938328062071903</v>
      </c>
      <c r="AG347" s="2" t="n">
        <f aca="false">AG346+IF(Q347,1,0)</f>
        <v>2</v>
      </c>
      <c r="AH347" s="2" t="n">
        <f aca="false">AG346</f>
        <v>2</v>
      </c>
      <c r="AI347" s="10" t="n">
        <f aca="false">X347+Y347*(E347-AB347)-Y347*AD347*Inputs!$B$13*(A347-AC347)</f>
        <v>1016.3844066801</v>
      </c>
      <c r="AJ347" s="10" t="n">
        <v>0</v>
      </c>
      <c r="AK347" s="8" t="n">
        <f aca="false">IF(AND(B347&lt;=U347,NOT(Q347)),B347,U347)*(1-Inputs!$B$12)</f>
        <v>0.852469391436739</v>
      </c>
    </row>
    <row r="348" customFormat="false" ht="15" hidden="false" customHeight="false" outlineLevel="0" collapsed="false">
      <c r="A348" s="6" t="n">
        <v>45132</v>
      </c>
      <c r="B348" s="7" t="n">
        <v>0.856017106342603</v>
      </c>
      <c r="C348" s="7" t="n">
        <v>0.859852160567975</v>
      </c>
      <c r="D348" s="7" t="n">
        <v>0.854524409402423</v>
      </c>
      <c r="E348" s="7" t="n">
        <v>0.859023978939647</v>
      </c>
      <c r="F348" s="8" t="n">
        <f aca="true">IF(ROW()-2&gt;=Inputs!$B$4,AVERAGE(OFFSET(E348,1-Inputs!$B$4,0,Inputs!$B$4,1)),"")</f>
        <v>0.861026203194154</v>
      </c>
      <c r="G348" s="8" t="n">
        <f aca="true">IF(ROW()-2&gt;=Inputs!$B$5,AVERAGE(OFFSET(E348,1-Inputs!$B$5,0,Inputs!$B$5,1)),"")</f>
        <v>0.879357349315673</v>
      </c>
      <c r="H348" s="8" t="n">
        <f aca="false">MAX(C348-D348,ABS(C348-E347),ABS(D348-E347))</f>
        <v>0.00532775116555195</v>
      </c>
      <c r="I348" s="8" t="n">
        <f aca="true">IF(ROW()-2&lt;14,"",IF(ROW()-2=14,AVERAGE(OFFSET(H348,-13,0,14,1)),(I347*13+H348)/14))</f>
        <v>0.00944132892382409</v>
      </c>
      <c r="J348" s="9" t="b">
        <f aca="false">IF(AND(ISNUMBER(F348),ISNUMBER(G348),ISNUMBER(F347),ISNUMBER(G347)),AND(F348&gt;G348,F347&lt;=G347),FALSE())</f>
        <v>0</v>
      </c>
      <c r="K348" s="9" t="b">
        <f aca="false">IF(AND(ISNUMBER(F348),ISNUMBER(G348),ISNUMBER(F347),ISNUMBER(G347)),AND(F348&lt;G348,F347&gt;=G347),FALSE())</f>
        <v>0</v>
      </c>
      <c r="L348" s="8" t="n">
        <f aca="false">IF(ISNUMBER(I348),E348-Inputs!$B$6*I348,"")</f>
        <v>0.840141321091999</v>
      </c>
      <c r="M348" s="9" t="b">
        <f aca="false">AND(Y347&gt;0,Z347)</f>
        <v>0</v>
      </c>
      <c r="N348" s="8" t="n">
        <f aca="false">B348*(1-Inputs!$B$12)</f>
        <v>0.855845902921335</v>
      </c>
      <c r="O348" s="10" t="n">
        <f aca="false">IF(M348,Y347*(N348-AB347)-Inputs!$B$9-Y347*AD347*Inputs!$B$13*(A348-AC347),0)</f>
        <v>0</v>
      </c>
      <c r="P348" s="10" t="n">
        <f aca="false">X347+O348</f>
        <v>1016.3844066801</v>
      </c>
      <c r="Q348" s="9" t="b">
        <f aca="false">AND(IF(M348,0,Y347)=0,AA347,IF(ISNUMBER(AE347),B348&gt;AE347,FALSE()))</f>
        <v>0</v>
      </c>
      <c r="R348" s="8" t="n">
        <f aca="false">B348*(1+Inputs!$B$12)</f>
        <v>0.856188309763872</v>
      </c>
      <c r="S348" s="11" t="n">
        <f aca="false">IF(Q348,MIN(P348*Inputs!$B$3/(R348-AE347),P348*Inputs!$B$11/R348),0)</f>
        <v>0</v>
      </c>
      <c r="T348" s="11" t="n">
        <f aca="false">IF(Q348,S348,IF(M348,0,Y347))</f>
        <v>0</v>
      </c>
      <c r="U348" s="8" t="n">
        <f aca="false">IF(Q348,AE347,AF347)</f>
        <v>0.938328062071903</v>
      </c>
      <c r="V348" s="9" t="b">
        <f aca="false">AND(T348&gt;0,D348&lt;=U348)</f>
        <v>0</v>
      </c>
      <c r="W348" s="10" t="n">
        <f aca="false">IF(V348,T348*(AK348-AB348)-Inputs!$B$9-T348*AD348*Inputs!$B$13*(A348-AC348),0)</f>
        <v>0</v>
      </c>
      <c r="X348" s="10" t="n">
        <f aca="false">P348-IF(Q348,Inputs!$B$9,0)+W348</f>
        <v>1016.3844066801</v>
      </c>
      <c r="Y348" s="11" t="n">
        <f aca="false">IF(V348,0,T348)</f>
        <v>0</v>
      </c>
      <c r="Z348" s="9" t="b">
        <f aca="false">AND(Y348&gt;0,K348)</f>
        <v>0</v>
      </c>
      <c r="AA348" s="9" t="b">
        <f aca="false">AND(Y348=0,J348,ISNUMBER(L348))</f>
        <v>0</v>
      </c>
      <c r="AB348" s="8" t="n">
        <f aca="false">IF(Q348,R348,AB347)</f>
        <v>0.95824964655134</v>
      </c>
      <c r="AC348" s="12" t="n">
        <f aca="false">IF(Q348,A348,AC347)</f>
        <v>45034</v>
      </c>
      <c r="AD348" s="8" t="n">
        <f aca="false">IF(Q348,B348,AD347)</f>
        <v>0.958058034944351</v>
      </c>
      <c r="AE348" s="8" t="str">
        <f aca="false">IF(AA348,L348,"")</f>
        <v/>
      </c>
      <c r="AF348" s="8" t="n">
        <f aca="false">U348</f>
        <v>0.938328062071903</v>
      </c>
      <c r="AG348" s="2" t="n">
        <f aca="false">AG347+IF(Q348,1,0)</f>
        <v>2</v>
      </c>
      <c r="AH348" s="2" t="n">
        <f aca="false">AG347</f>
        <v>2</v>
      </c>
      <c r="AI348" s="10" t="n">
        <f aca="false">X348+Y348*(E348-AB348)-Y348*AD348*Inputs!$B$13*(A348-AC348)</f>
        <v>1016.3844066801</v>
      </c>
      <c r="AJ348" s="10" t="n">
        <v>0</v>
      </c>
      <c r="AK348" s="8" t="n">
        <f aca="false">IF(AND(B348&lt;=U348,NOT(Q348)),B348,U348)*(1-Inputs!$B$12)</f>
        <v>0.855845902921335</v>
      </c>
    </row>
    <row r="349" customFormat="false" ht="15" hidden="false" customHeight="false" outlineLevel="0" collapsed="false">
      <c r="A349" s="6" t="n">
        <v>45133</v>
      </c>
      <c r="B349" s="7" t="n">
        <v>0.859023978939647</v>
      </c>
      <c r="C349" s="7" t="n">
        <v>0.860883783426479</v>
      </c>
      <c r="D349" s="7" t="n">
        <v>0.854981594620126</v>
      </c>
      <c r="E349" s="7" t="n">
        <v>0.855017009450368</v>
      </c>
      <c r="F349" s="8" t="n">
        <f aca="true">IF(ROW()-2&gt;=Inputs!$B$4,AVERAGE(OFFSET(E349,1-Inputs!$B$4,0,Inputs!$B$4,1)),"")</f>
        <v>0.860947006404005</v>
      </c>
      <c r="G349" s="8" t="n">
        <f aca="true">IF(ROW()-2&gt;=Inputs!$B$5,AVERAGE(OFFSET(E349,1-Inputs!$B$5,0,Inputs!$B$5,1)),"")</f>
        <v>0.877892226495068</v>
      </c>
      <c r="H349" s="8" t="n">
        <f aca="false">MAX(C349-D349,ABS(C349-E348),ABS(D349-E348))</f>
        <v>0.00590218880635252</v>
      </c>
      <c r="I349" s="8" t="n">
        <f aca="true">IF(ROW()-2&lt;14,"",IF(ROW()-2=14,AVERAGE(OFFSET(H349,-13,0,14,1)),(I348*13+H349)/14))</f>
        <v>0.00918853320114755</v>
      </c>
      <c r="J349" s="9" t="b">
        <f aca="false">IF(AND(ISNUMBER(F349),ISNUMBER(G349),ISNUMBER(F348),ISNUMBER(G348)),AND(F349&gt;G349,F348&lt;=G348),FALSE())</f>
        <v>0</v>
      </c>
      <c r="K349" s="9" t="b">
        <f aca="false">IF(AND(ISNUMBER(F349),ISNUMBER(G349),ISNUMBER(F348),ISNUMBER(G348)),AND(F349&lt;G349,F348&gt;=G348),FALSE())</f>
        <v>0</v>
      </c>
      <c r="L349" s="8" t="n">
        <f aca="false">IF(ISNUMBER(I349),E349-Inputs!$B$6*I349,"")</f>
        <v>0.836639943048073</v>
      </c>
      <c r="M349" s="9" t="b">
        <f aca="false">AND(Y348&gt;0,Z348)</f>
        <v>0</v>
      </c>
      <c r="N349" s="8" t="n">
        <f aca="false">B349*(1-Inputs!$B$12)</f>
        <v>0.858852174143859</v>
      </c>
      <c r="O349" s="10" t="n">
        <f aca="false">IF(M349,Y348*(N349-AB348)-Inputs!$B$9-Y348*AD348*Inputs!$B$13*(A349-AC348),0)</f>
        <v>0</v>
      </c>
      <c r="P349" s="10" t="n">
        <f aca="false">X348+O349</f>
        <v>1016.3844066801</v>
      </c>
      <c r="Q349" s="9" t="b">
        <f aca="false">AND(IF(M349,0,Y348)=0,AA348,IF(ISNUMBER(AE348),B349&gt;AE348,FALSE()))</f>
        <v>0</v>
      </c>
      <c r="R349" s="8" t="n">
        <f aca="false">B349*(1+Inputs!$B$12)</f>
        <v>0.859195783735435</v>
      </c>
      <c r="S349" s="11" t="n">
        <f aca="false">IF(Q349,MIN(P349*Inputs!$B$3/(R349-AE348),P349*Inputs!$B$11/R349),0)</f>
        <v>0</v>
      </c>
      <c r="T349" s="11" t="n">
        <f aca="false">IF(Q349,S349,IF(M349,0,Y348))</f>
        <v>0</v>
      </c>
      <c r="U349" s="8" t="n">
        <f aca="false">IF(Q349,AE348,AF348)</f>
        <v>0.938328062071903</v>
      </c>
      <c r="V349" s="9" t="b">
        <f aca="false">AND(T349&gt;0,D349&lt;=U349)</f>
        <v>0</v>
      </c>
      <c r="W349" s="10" t="n">
        <f aca="false">IF(V349,T349*(AK349-AB349)-Inputs!$B$9-T349*AD349*Inputs!$B$13*(A349-AC349),0)</f>
        <v>0</v>
      </c>
      <c r="X349" s="10" t="n">
        <f aca="false">P349-IF(Q349,Inputs!$B$9,0)+W349</f>
        <v>1016.3844066801</v>
      </c>
      <c r="Y349" s="11" t="n">
        <f aca="false">IF(V349,0,T349)</f>
        <v>0</v>
      </c>
      <c r="Z349" s="9" t="b">
        <f aca="false">AND(Y349&gt;0,K349)</f>
        <v>0</v>
      </c>
      <c r="AA349" s="9" t="b">
        <f aca="false">AND(Y349=0,J349,ISNUMBER(L349))</f>
        <v>0</v>
      </c>
      <c r="AB349" s="8" t="n">
        <f aca="false">IF(Q349,R349,AB348)</f>
        <v>0.95824964655134</v>
      </c>
      <c r="AC349" s="12" t="n">
        <f aca="false">IF(Q349,A349,AC348)</f>
        <v>45034</v>
      </c>
      <c r="AD349" s="8" t="n">
        <f aca="false">IF(Q349,B349,AD348)</f>
        <v>0.958058034944351</v>
      </c>
      <c r="AE349" s="8" t="str">
        <f aca="false">IF(AA349,L349,"")</f>
        <v/>
      </c>
      <c r="AF349" s="8" t="n">
        <f aca="false">U349</f>
        <v>0.938328062071903</v>
      </c>
      <c r="AG349" s="2" t="n">
        <f aca="false">AG348+IF(Q349,1,0)</f>
        <v>2</v>
      </c>
      <c r="AH349" s="2" t="n">
        <f aca="false">AG348</f>
        <v>2</v>
      </c>
      <c r="AI349" s="10" t="n">
        <f aca="false">X349+Y349*(E349-AB349)-Y349*AD349*Inputs!$B$13*(A349-AC349)</f>
        <v>1016.3844066801</v>
      </c>
      <c r="AJ349" s="10" t="n">
        <v>0</v>
      </c>
      <c r="AK349" s="8" t="n">
        <f aca="false">IF(AND(B349&lt;=U349,NOT(Q349)),B349,U349)*(1-Inputs!$B$12)</f>
        <v>0.858852174143859</v>
      </c>
    </row>
    <row r="350" customFormat="false" ht="15" hidden="false" customHeight="false" outlineLevel="0" collapsed="false">
      <c r="A350" s="6" t="n">
        <v>45134</v>
      </c>
      <c r="B350" s="7" t="n">
        <v>0.855017009450368</v>
      </c>
      <c r="C350" s="7" t="n">
        <v>0.861802748826302</v>
      </c>
      <c r="D350" s="7" t="n">
        <v>0.854921069862929</v>
      </c>
      <c r="E350" s="7" t="n">
        <v>0.858062364757185</v>
      </c>
      <c r="F350" s="8" t="n">
        <f aca="true">IF(ROW()-2&gt;=Inputs!$B$4,AVERAGE(OFFSET(E350,1-Inputs!$B$4,0,Inputs!$B$4,1)),"")</f>
        <v>0.860959672525158</v>
      </c>
      <c r="G350" s="8" t="n">
        <f aca="true">IF(ROW()-2&gt;=Inputs!$B$5,AVERAGE(OFFSET(E350,1-Inputs!$B$5,0,Inputs!$B$5,1)),"")</f>
        <v>0.876605953334216</v>
      </c>
      <c r="H350" s="8" t="n">
        <f aca="false">MAX(C350-D350,ABS(C350-E349),ABS(D350-E349))</f>
        <v>0.00688167896337366</v>
      </c>
      <c r="I350" s="8" t="n">
        <f aca="true">IF(ROW()-2&lt;14,"",IF(ROW()-2=14,AVERAGE(OFFSET(H350,-13,0,14,1)),(I349*13+H350)/14))</f>
        <v>0.00902375789844941</v>
      </c>
      <c r="J350" s="9" t="b">
        <f aca="false">IF(AND(ISNUMBER(F350),ISNUMBER(G350),ISNUMBER(F349),ISNUMBER(G349)),AND(F350&gt;G350,F349&lt;=G349),FALSE())</f>
        <v>0</v>
      </c>
      <c r="K350" s="9" t="b">
        <f aca="false">IF(AND(ISNUMBER(F350),ISNUMBER(G350),ISNUMBER(F349),ISNUMBER(G349)),AND(F350&lt;G350,F349&gt;=G349),FALSE())</f>
        <v>0</v>
      </c>
      <c r="L350" s="8" t="n">
        <f aca="false">IF(ISNUMBER(I350),E350-Inputs!$B$6*I350,"")</f>
        <v>0.840014848960287</v>
      </c>
      <c r="M350" s="9" t="b">
        <f aca="false">AND(Y349&gt;0,Z349)</f>
        <v>0</v>
      </c>
      <c r="N350" s="8" t="n">
        <f aca="false">B350*(1-Inputs!$B$12)</f>
        <v>0.854846006048478</v>
      </c>
      <c r="O350" s="10" t="n">
        <f aca="false">IF(M350,Y349*(N350-AB349)-Inputs!$B$9-Y349*AD349*Inputs!$B$13*(A350-AC349),0)</f>
        <v>0</v>
      </c>
      <c r="P350" s="10" t="n">
        <f aca="false">X349+O350</f>
        <v>1016.3844066801</v>
      </c>
      <c r="Q350" s="9" t="b">
        <f aca="false">AND(IF(M350,0,Y349)=0,AA349,IF(ISNUMBER(AE349),B350&gt;AE349,FALSE()))</f>
        <v>0</v>
      </c>
      <c r="R350" s="8" t="n">
        <f aca="false">B350*(1+Inputs!$B$12)</f>
        <v>0.855188012852258</v>
      </c>
      <c r="S350" s="11" t="n">
        <f aca="false">IF(Q350,MIN(P350*Inputs!$B$3/(R350-AE349),P350*Inputs!$B$11/R350),0)</f>
        <v>0</v>
      </c>
      <c r="T350" s="11" t="n">
        <f aca="false">IF(Q350,S350,IF(M350,0,Y349))</f>
        <v>0</v>
      </c>
      <c r="U350" s="8" t="n">
        <f aca="false">IF(Q350,AE349,AF349)</f>
        <v>0.938328062071903</v>
      </c>
      <c r="V350" s="9" t="b">
        <f aca="false">AND(T350&gt;0,D350&lt;=U350)</f>
        <v>0</v>
      </c>
      <c r="W350" s="10" t="n">
        <f aca="false">IF(V350,T350*(AK350-AB350)-Inputs!$B$9-T350*AD350*Inputs!$B$13*(A350-AC350),0)</f>
        <v>0</v>
      </c>
      <c r="X350" s="10" t="n">
        <f aca="false">P350-IF(Q350,Inputs!$B$9,0)+W350</f>
        <v>1016.3844066801</v>
      </c>
      <c r="Y350" s="11" t="n">
        <f aca="false">IF(V350,0,T350)</f>
        <v>0</v>
      </c>
      <c r="Z350" s="9" t="b">
        <f aca="false">AND(Y350&gt;0,K350)</f>
        <v>0</v>
      </c>
      <c r="AA350" s="9" t="b">
        <f aca="false">AND(Y350=0,J350,ISNUMBER(L350))</f>
        <v>0</v>
      </c>
      <c r="AB350" s="8" t="n">
        <f aca="false">IF(Q350,R350,AB349)</f>
        <v>0.95824964655134</v>
      </c>
      <c r="AC350" s="12" t="n">
        <f aca="false">IF(Q350,A350,AC349)</f>
        <v>45034</v>
      </c>
      <c r="AD350" s="8" t="n">
        <f aca="false">IF(Q350,B350,AD349)</f>
        <v>0.958058034944351</v>
      </c>
      <c r="AE350" s="8" t="str">
        <f aca="false">IF(AA350,L350,"")</f>
        <v/>
      </c>
      <c r="AF350" s="8" t="n">
        <f aca="false">U350</f>
        <v>0.938328062071903</v>
      </c>
      <c r="AG350" s="2" t="n">
        <f aca="false">AG349+IF(Q350,1,0)</f>
        <v>2</v>
      </c>
      <c r="AH350" s="2" t="n">
        <f aca="false">AG349</f>
        <v>2</v>
      </c>
      <c r="AI350" s="10" t="n">
        <f aca="false">X350+Y350*(E350-AB350)-Y350*AD350*Inputs!$B$13*(A350-AC350)</f>
        <v>1016.3844066801</v>
      </c>
      <c r="AJ350" s="10" t="n">
        <v>0</v>
      </c>
      <c r="AK350" s="8" t="n">
        <f aca="false">IF(AND(B350&lt;=U350,NOT(Q350)),B350,U350)*(1-Inputs!$B$12)</f>
        <v>0.854846006048478</v>
      </c>
    </row>
    <row r="351" customFormat="false" ht="15" hidden="false" customHeight="false" outlineLevel="0" collapsed="false">
      <c r="A351" s="6" t="n">
        <v>45135</v>
      </c>
      <c r="B351" s="7" t="n">
        <v>0.858062364757185</v>
      </c>
      <c r="C351" s="7" t="n">
        <v>0.858688010999946</v>
      </c>
      <c r="D351" s="7" t="n">
        <v>0.856818213265809</v>
      </c>
      <c r="E351" s="7" t="n">
        <v>0.857522967107677</v>
      </c>
      <c r="F351" s="8" t="n">
        <f aca="true">IF(ROW()-2&gt;=Inputs!$B$4,AVERAGE(OFFSET(E351,1-Inputs!$B$4,0,Inputs!$B$4,1)),"")</f>
        <v>0.861062578438595</v>
      </c>
      <c r="G351" s="8" t="n">
        <f aca="true">IF(ROW()-2&gt;=Inputs!$B$5,AVERAGE(OFFSET(E351,1-Inputs!$B$5,0,Inputs!$B$5,1)),"")</f>
        <v>0.87542919799675</v>
      </c>
      <c r="H351" s="8" t="n">
        <f aca="false">MAX(C351-D351,ABS(C351-E350),ABS(D351-E350))</f>
        <v>0.00186979773413698</v>
      </c>
      <c r="I351" s="8" t="n">
        <f aca="true">IF(ROW()-2&lt;14,"",IF(ROW()-2=14,AVERAGE(OFFSET(H351,-13,0,14,1)),(I350*13+H351)/14))</f>
        <v>0.00851276074385567</v>
      </c>
      <c r="J351" s="9" t="b">
        <f aca="false">IF(AND(ISNUMBER(F351),ISNUMBER(G351),ISNUMBER(F350),ISNUMBER(G350)),AND(F351&gt;G351,F350&lt;=G350),FALSE())</f>
        <v>0</v>
      </c>
      <c r="K351" s="9" t="b">
        <f aca="false">IF(AND(ISNUMBER(F351),ISNUMBER(G351),ISNUMBER(F350),ISNUMBER(G350)),AND(F351&lt;G351,F350&gt;=G350),FALSE())</f>
        <v>0</v>
      </c>
      <c r="L351" s="8" t="n">
        <f aca="false">IF(ISNUMBER(I351),E351-Inputs!$B$6*I351,"")</f>
        <v>0.840497445619965</v>
      </c>
      <c r="M351" s="9" t="b">
        <f aca="false">AND(Y350&gt;0,Z350)</f>
        <v>0</v>
      </c>
      <c r="N351" s="8" t="n">
        <f aca="false">B351*(1-Inputs!$B$12)</f>
        <v>0.857890752284234</v>
      </c>
      <c r="O351" s="10" t="n">
        <f aca="false">IF(M351,Y350*(N351-AB350)-Inputs!$B$9-Y350*AD350*Inputs!$B$13*(A351-AC350),0)</f>
        <v>0</v>
      </c>
      <c r="P351" s="10" t="n">
        <f aca="false">X350+O351</f>
        <v>1016.3844066801</v>
      </c>
      <c r="Q351" s="9" t="b">
        <f aca="false">AND(IF(M351,0,Y350)=0,AA350,IF(ISNUMBER(AE350),B351&gt;AE350,FALSE()))</f>
        <v>0</v>
      </c>
      <c r="R351" s="8" t="n">
        <f aca="false">B351*(1+Inputs!$B$12)</f>
        <v>0.858233977230137</v>
      </c>
      <c r="S351" s="11" t="n">
        <f aca="false">IF(Q351,MIN(P351*Inputs!$B$3/(R351-AE350),P351*Inputs!$B$11/R351),0)</f>
        <v>0</v>
      </c>
      <c r="T351" s="11" t="n">
        <f aca="false">IF(Q351,S351,IF(M351,0,Y350))</f>
        <v>0</v>
      </c>
      <c r="U351" s="8" t="n">
        <f aca="false">IF(Q351,AE350,AF350)</f>
        <v>0.938328062071903</v>
      </c>
      <c r="V351" s="9" t="b">
        <f aca="false">AND(T351&gt;0,D351&lt;=U351)</f>
        <v>0</v>
      </c>
      <c r="W351" s="10" t="n">
        <f aca="false">IF(V351,T351*(AK351-AB351)-Inputs!$B$9-T351*AD351*Inputs!$B$13*(A351-AC351),0)</f>
        <v>0</v>
      </c>
      <c r="X351" s="10" t="n">
        <f aca="false">P351-IF(Q351,Inputs!$B$9,0)+W351</f>
        <v>1016.3844066801</v>
      </c>
      <c r="Y351" s="11" t="n">
        <f aca="false">IF(V351,0,T351)</f>
        <v>0</v>
      </c>
      <c r="Z351" s="9" t="b">
        <f aca="false">AND(Y351&gt;0,K351)</f>
        <v>0</v>
      </c>
      <c r="AA351" s="9" t="b">
        <f aca="false">AND(Y351=0,J351,ISNUMBER(L351))</f>
        <v>0</v>
      </c>
      <c r="AB351" s="8" t="n">
        <f aca="false">IF(Q351,R351,AB350)</f>
        <v>0.95824964655134</v>
      </c>
      <c r="AC351" s="12" t="n">
        <f aca="false">IF(Q351,A351,AC350)</f>
        <v>45034</v>
      </c>
      <c r="AD351" s="8" t="n">
        <f aca="false">IF(Q351,B351,AD350)</f>
        <v>0.958058034944351</v>
      </c>
      <c r="AE351" s="8" t="str">
        <f aca="false">IF(AA351,L351,"")</f>
        <v/>
      </c>
      <c r="AF351" s="8" t="n">
        <f aca="false">U351</f>
        <v>0.938328062071903</v>
      </c>
      <c r="AG351" s="2" t="n">
        <f aca="false">AG350+IF(Q351,1,0)</f>
        <v>2</v>
      </c>
      <c r="AH351" s="2" t="n">
        <f aca="false">AG350</f>
        <v>2</v>
      </c>
      <c r="AI351" s="10" t="n">
        <f aca="false">X351+Y351*(E351-AB351)-Y351*AD351*Inputs!$B$13*(A351-AC351)</f>
        <v>1016.3844066801</v>
      </c>
      <c r="AJ351" s="10" t="n">
        <v>0</v>
      </c>
      <c r="AK351" s="8" t="n">
        <f aca="false">IF(AND(B351&lt;=U351,NOT(Q351)),B351,U351)*(1-Inputs!$B$12)</f>
        <v>0.857890752284234</v>
      </c>
    </row>
    <row r="352" customFormat="false" ht="15" hidden="false" customHeight="false" outlineLevel="0" collapsed="false">
      <c r="A352" s="6" t="n">
        <v>45136</v>
      </c>
      <c r="B352" s="7" t="n">
        <v>0.857522967107677</v>
      </c>
      <c r="C352" s="7" t="n">
        <v>0.859263713736984</v>
      </c>
      <c r="D352" s="7" t="n">
        <v>0.843603356181492</v>
      </c>
      <c r="E352" s="7" t="n">
        <v>0.848353978236463</v>
      </c>
      <c r="F352" s="8" t="n">
        <f aca="true">IF(ROW()-2&gt;=Inputs!$B$4,AVERAGE(OFFSET(E352,1-Inputs!$B$4,0,Inputs!$B$4,1)),"")</f>
        <v>0.860744088077781</v>
      </c>
      <c r="G352" s="8" t="n">
        <f aca="true">IF(ROW()-2&gt;=Inputs!$B$5,AVERAGE(OFFSET(E352,1-Inputs!$B$5,0,Inputs!$B$5,1)),"")</f>
        <v>0.874285459596905</v>
      </c>
      <c r="H352" s="8" t="n">
        <f aca="false">MAX(C352-D352,ABS(C352-E351),ABS(D352-E351))</f>
        <v>0.0156603575554926</v>
      </c>
      <c r="I352" s="8" t="n">
        <f aca="true">IF(ROW()-2&lt;14,"",IF(ROW()-2=14,AVERAGE(OFFSET(H352,-13,0,14,1)),(I351*13+H352)/14))</f>
        <v>0.0090233033732583</v>
      </c>
      <c r="J352" s="9" t="b">
        <f aca="false">IF(AND(ISNUMBER(F352),ISNUMBER(G352),ISNUMBER(F351),ISNUMBER(G351)),AND(F352&gt;G352,F351&lt;=G351),FALSE())</f>
        <v>0</v>
      </c>
      <c r="K352" s="9" t="b">
        <f aca="false">IF(AND(ISNUMBER(F352),ISNUMBER(G352),ISNUMBER(F351),ISNUMBER(G351)),AND(F352&lt;G352,F351&gt;=G351),FALSE())</f>
        <v>0</v>
      </c>
      <c r="L352" s="8" t="n">
        <f aca="false">IF(ISNUMBER(I352),E352-Inputs!$B$6*I352,"")</f>
        <v>0.830307371489946</v>
      </c>
      <c r="M352" s="9" t="b">
        <f aca="false">AND(Y351&gt;0,Z351)</f>
        <v>0</v>
      </c>
      <c r="N352" s="8" t="n">
        <f aca="false">B352*(1-Inputs!$B$12)</f>
        <v>0.857351462514255</v>
      </c>
      <c r="O352" s="10" t="n">
        <f aca="false">IF(M352,Y351*(N352-AB351)-Inputs!$B$9-Y351*AD351*Inputs!$B$13*(A352-AC351),0)</f>
        <v>0</v>
      </c>
      <c r="P352" s="10" t="n">
        <f aca="false">X351+O352</f>
        <v>1016.3844066801</v>
      </c>
      <c r="Q352" s="9" t="b">
        <f aca="false">AND(IF(M352,0,Y351)=0,AA351,IF(ISNUMBER(AE351),B352&gt;AE351,FALSE()))</f>
        <v>0</v>
      </c>
      <c r="R352" s="8" t="n">
        <f aca="false">B352*(1+Inputs!$B$12)</f>
        <v>0.857694471701098</v>
      </c>
      <c r="S352" s="11" t="n">
        <f aca="false">IF(Q352,MIN(P352*Inputs!$B$3/(R352-AE351),P352*Inputs!$B$11/R352),0)</f>
        <v>0</v>
      </c>
      <c r="T352" s="11" t="n">
        <f aca="false">IF(Q352,S352,IF(M352,0,Y351))</f>
        <v>0</v>
      </c>
      <c r="U352" s="8" t="n">
        <f aca="false">IF(Q352,AE351,AF351)</f>
        <v>0.938328062071903</v>
      </c>
      <c r="V352" s="9" t="b">
        <f aca="false">AND(T352&gt;0,D352&lt;=U352)</f>
        <v>0</v>
      </c>
      <c r="W352" s="10" t="n">
        <f aca="false">IF(V352,T352*(AK352-AB352)-Inputs!$B$9-T352*AD352*Inputs!$B$13*(A352-AC352),0)</f>
        <v>0</v>
      </c>
      <c r="X352" s="10" t="n">
        <f aca="false">P352-IF(Q352,Inputs!$B$9,0)+W352</f>
        <v>1016.3844066801</v>
      </c>
      <c r="Y352" s="11" t="n">
        <f aca="false">IF(V352,0,T352)</f>
        <v>0</v>
      </c>
      <c r="Z352" s="9" t="b">
        <f aca="false">AND(Y352&gt;0,K352)</f>
        <v>0</v>
      </c>
      <c r="AA352" s="9" t="b">
        <f aca="false">AND(Y352=0,J352,ISNUMBER(L352))</f>
        <v>0</v>
      </c>
      <c r="AB352" s="8" t="n">
        <f aca="false">IF(Q352,R352,AB351)</f>
        <v>0.95824964655134</v>
      </c>
      <c r="AC352" s="12" t="n">
        <f aca="false">IF(Q352,A352,AC351)</f>
        <v>45034</v>
      </c>
      <c r="AD352" s="8" t="n">
        <f aca="false">IF(Q352,B352,AD351)</f>
        <v>0.958058034944351</v>
      </c>
      <c r="AE352" s="8" t="str">
        <f aca="false">IF(AA352,L352,"")</f>
        <v/>
      </c>
      <c r="AF352" s="8" t="n">
        <f aca="false">U352</f>
        <v>0.938328062071903</v>
      </c>
      <c r="AG352" s="2" t="n">
        <f aca="false">AG351+IF(Q352,1,0)</f>
        <v>2</v>
      </c>
      <c r="AH352" s="2" t="n">
        <f aca="false">AG351</f>
        <v>2</v>
      </c>
      <c r="AI352" s="10" t="n">
        <f aca="false">X352+Y352*(E352-AB352)-Y352*AD352*Inputs!$B$13*(A352-AC352)</f>
        <v>1016.3844066801</v>
      </c>
      <c r="AJ352" s="10" t="n">
        <v>0</v>
      </c>
      <c r="AK352" s="8" t="n">
        <f aca="false">IF(AND(B352&lt;=U352,NOT(Q352)),B352,U352)*(1-Inputs!$B$12)</f>
        <v>0.857351462514255</v>
      </c>
    </row>
    <row r="353" customFormat="false" ht="15" hidden="false" customHeight="false" outlineLevel="0" collapsed="false">
      <c r="A353" s="6" t="n">
        <v>45137</v>
      </c>
      <c r="B353" s="7" t="n">
        <v>0.848353978236463</v>
      </c>
      <c r="C353" s="7" t="n">
        <v>0.848843122704805</v>
      </c>
      <c r="D353" s="7" t="n">
        <v>0.843974084089119</v>
      </c>
      <c r="E353" s="7" t="n">
        <v>0.846274702031148</v>
      </c>
      <c r="F353" s="8" t="n">
        <f aca="true">IF(ROW()-2&gt;=Inputs!$B$4,AVERAGE(OFFSET(E353,1-Inputs!$B$4,0,Inputs!$B$4,1)),"")</f>
        <v>0.860216615057049</v>
      </c>
      <c r="G353" s="8" t="n">
        <f aca="true">IF(ROW()-2&gt;=Inputs!$B$5,AVERAGE(OFFSET(E353,1-Inputs!$B$5,0,Inputs!$B$5,1)),"")</f>
        <v>0.873162432588099</v>
      </c>
      <c r="H353" s="8" t="n">
        <f aca="false">MAX(C353-D353,ABS(C353-E352),ABS(D353-E352))</f>
        <v>0.00486903861568533</v>
      </c>
      <c r="I353" s="8" t="n">
        <f aca="true">IF(ROW()-2&lt;14,"",IF(ROW()-2=14,AVERAGE(OFFSET(H353,-13,0,14,1)),(I352*13+H353)/14))</f>
        <v>0.0087265701762888</v>
      </c>
      <c r="J353" s="9" t="b">
        <f aca="false">IF(AND(ISNUMBER(F353),ISNUMBER(G353),ISNUMBER(F352),ISNUMBER(G352)),AND(F353&gt;G353,F352&lt;=G352),FALSE())</f>
        <v>0</v>
      </c>
      <c r="K353" s="9" t="b">
        <f aca="false">IF(AND(ISNUMBER(F353),ISNUMBER(G353),ISNUMBER(F352),ISNUMBER(G352)),AND(F353&lt;G353,F352&gt;=G352),FALSE())</f>
        <v>0</v>
      </c>
      <c r="L353" s="8" t="n">
        <f aca="false">IF(ISNUMBER(I353),E353-Inputs!$B$6*I353,"")</f>
        <v>0.82882156167857</v>
      </c>
      <c r="M353" s="9" t="b">
        <f aca="false">AND(Y352&gt;0,Z352)</f>
        <v>0</v>
      </c>
      <c r="N353" s="8" t="n">
        <f aca="false">B353*(1-Inputs!$B$12)</f>
        <v>0.848184307440815</v>
      </c>
      <c r="O353" s="10" t="n">
        <f aca="false">IF(M353,Y352*(N353-AB352)-Inputs!$B$9-Y352*AD352*Inputs!$B$13*(A353-AC352),0)</f>
        <v>0</v>
      </c>
      <c r="P353" s="10" t="n">
        <f aca="false">X352+O353</f>
        <v>1016.3844066801</v>
      </c>
      <c r="Q353" s="9" t="b">
        <f aca="false">AND(IF(M353,0,Y352)=0,AA352,IF(ISNUMBER(AE352),B353&gt;AE352,FALSE()))</f>
        <v>0</v>
      </c>
      <c r="R353" s="8" t="n">
        <f aca="false">B353*(1+Inputs!$B$12)</f>
        <v>0.84852364903211</v>
      </c>
      <c r="S353" s="11" t="n">
        <f aca="false">IF(Q353,MIN(P353*Inputs!$B$3/(R353-AE352),P353*Inputs!$B$11/R353),0)</f>
        <v>0</v>
      </c>
      <c r="T353" s="11" t="n">
        <f aca="false">IF(Q353,S353,IF(M353,0,Y352))</f>
        <v>0</v>
      </c>
      <c r="U353" s="8" t="n">
        <f aca="false">IF(Q353,AE352,AF352)</f>
        <v>0.938328062071903</v>
      </c>
      <c r="V353" s="9" t="b">
        <f aca="false">AND(T353&gt;0,D353&lt;=U353)</f>
        <v>0</v>
      </c>
      <c r="W353" s="10" t="n">
        <f aca="false">IF(V353,T353*(AK353-AB353)-Inputs!$B$9-T353*AD353*Inputs!$B$13*(A353-AC353),0)</f>
        <v>0</v>
      </c>
      <c r="X353" s="10" t="n">
        <f aca="false">P353-IF(Q353,Inputs!$B$9,0)+W353</f>
        <v>1016.3844066801</v>
      </c>
      <c r="Y353" s="11" t="n">
        <f aca="false">IF(V353,0,T353)</f>
        <v>0</v>
      </c>
      <c r="Z353" s="9" t="b">
        <f aca="false">AND(Y353&gt;0,K353)</f>
        <v>0</v>
      </c>
      <c r="AA353" s="9" t="b">
        <f aca="false">AND(Y353=0,J353,ISNUMBER(L353))</f>
        <v>0</v>
      </c>
      <c r="AB353" s="8" t="n">
        <f aca="false">IF(Q353,R353,AB352)</f>
        <v>0.95824964655134</v>
      </c>
      <c r="AC353" s="12" t="n">
        <f aca="false">IF(Q353,A353,AC352)</f>
        <v>45034</v>
      </c>
      <c r="AD353" s="8" t="n">
        <f aca="false">IF(Q353,B353,AD352)</f>
        <v>0.958058034944351</v>
      </c>
      <c r="AE353" s="8" t="str">
        <f aca="false">IF(AA353,L353,"")</f>
        <v/>
      </c>
      <c r="AF353" s="8" t="n">
        <f aca="false">U353</f>
        <v>0.938328062071903</v>
      </c>
      <c r="AG353" s="2" t="n">
        <f aca="false">AG352+IF(Q353,1,0)</f>
        <v>2</v>
      </c>
      <c r="AH353" s="2" t="n">
        <f aca="false">AG352</f>
        <v>2</v>
      </c>
      <c r="AI353" s="10" t="n">
        <f aca="false">X353+Y353*(E353-AB353)-Y353*AD353*Inputs!$B$13*(A353-AC353)</f>
        <v>1016.3844066801</v>
      </c>
      <c r="AJ353" s="10" t="n">
        <v>0</v>
      </c>
      <c r="AK353" s="8" t="n">
        <f aca="false">IF(AND(B353&lt;=U353,NOT(Q353)),B353,U353)*(1-Inputs!$B$12)</f>
        <v>0.848184307440815</v>
      </c>
    </row>
    <row r="354" customFormat="false" ht="15" hidden="false" customHeight="false" outlineLevel="0" collapsed="false">
      <c r="A354" s="6" t="n">
        <v>45138</v>
      </c>
      <c r="B354" s="7" t="n">
        <v>0.846274702031148</v>
      </c>
      <c r="C354" s="7" t="n">
        <v>0.85064647889675</v>
      </c>
      <c r="D354" s="7" t="n">
        <v>0.841719908520892</v>
      </c>
      <c r="E354" s="7" t="n">
        <v>0.850596990675887</v>
      </c>
      <c r="F354" s="8" t="n">
        <f aca="true">IF(ROW()-2&gt;=Inputs!$B$4,AVERAGE(OFFSET(E354,1-Inputs!$B$4,0,Inputs!$B$4,1)),"")</f>
        <v>0.859599314382388</v>
      </c>
      <c r="G354" s="8" t="n">
        <f aca="true">IF(ROW()-2&gt;=Inputs!$B$5,AVERAGE(OFFSET(E354,1-Inputs!$B$5,0,Inputs!$B$5,1)),"")</f>
        <v>0.872254483375104</v>
      </c>
      <c r="H354" s="8" t="n">
        <f aca="false">MAX(C354-D354,ABS(C354-E353),ABS(D354-E353))</f>
        <v>0.00892657037585798</v>
      </c>
      <c r="I354" s="8" t="n">
        <f aca="true">IF(ROW()-2&lt;14,"",IF(ROW()-2=14,AVERAGE(OFFSET(H354,-13,0,14,1)),(I353*13+H354)/14))</f>
        <v>0.00874085590482946</v>
      </c>
      <c r="J354" s="9" t="b">
        <f aca="false">IF(AND(ISNUMBER(F354),ISNUMBER(G354),ISNUMBER(F353),ISNUMBER(G353)),AND(F354&gt;G354,F353&lt;=G353),FALSE())</f>
        <v>0</v>
      </c>
      <c r="K354" s="9" t="b">
        <f aca="false">IF(AND(ISNUMBER(F354),ISNUMBER(G354),ISNUMBER(F353),ISNUMBER(G353)),AND(F354&lt;G354,F353&gt;=G353),FALSE())</f>
        <v>0</v>
      </c>
      <c r="L354" s="8" t="n">
        <f aca="false">IF(ISNUMBER(I354),E354-Inputs!$B$6*I354,"")</f>
        <v>0.833115278866228</v>
      </c>
      <c r="M354" s="9" t="b">
        <f aca="false">AND(Y353&gt;0,Z353)</f>
        <v>0</v>
      </c>
      <c r="N354" s="8" t="n">
        <f aca="false">B354*(1-Inputs!$B$12)</f>
        <v>0.846105447090742</v>
      </c>
      <c r="O354" s="10" t="n">
        <f aca="false">IF(M354,Y353*(N354-AB353)-Inputs!$B$9-Y353*AD353*Inputs!$B$13*(A354-AC353),0)</f>
        <v>0</v>
      </c>
      <c r="P354" s="10" t="n">
        <f aca="false">X353+O354</f>
        <v>1016.3844066801</v>
      </c>
      <c r="Q354" s="9" t="b">
        <f aca="false">AND(IF(M354,0,Y353)=0,AA353,IF(ISNUMBER(AE353),B354&gt;AE353,FALSE()))</f>
        <v>0</v>
      </c>
      <c r="R354" s="8" t="n">
        <f aca="false">B354*(1+Inputs!$B$12)</f>
        <v>0.846443956971554</v>
      </c>
      <c r="S354" s="11" t="n">
        <f aca="false">IF(Q354,MIN(P354*Inputs!$B$3/(R354-AE353),P354*Inputs!$B$11/R354),0)</f>
        <v>0</v>
      </c>
      <c r="T354" s="11" t="n">
        <f aca="false">IF(Q354,S354,IF(M354,0,Y353))</f>
        <v>0</v>
      </c>
      <c r="U354" s="8" t="n">
        <f aca="false">IF(Q354,AE353,AF353)</f>
        <v>0.938328062071903</v>
      </c>
      <c r="V354" s="9" t="b">
        <f aca="false">AND(T354&gt;0,D354&lt;=U354)</f>
        <v>0</v>
      </c>
      <c r="W354" s="10" t="n">
        <f aca="false">IF(V354,T354*(AK354-AB354)-Inputs!$B$9-T354*AD354*Inputs!$B$13*(A354-AC354),0)</f>
        <v>0</v>
      </c>
      <c r="X354" s="10" t="n">
        <f aca="false">P354-IF(Q354,Inputs!$B$9,0)+W354</f>
        <v>1016.3844066801</v>
      </c>
      <c r="Y354" s="11" t="n">
        <f aca="false">IF(V354,0,T354)</f>
        <v>0</v>
      </c>
      <c r="Z354" s="9" t="b">
        <f aca="false">AND(Y354&gt;0,K354)</f>
        <v>0</v>
      </c>
      <c r="AA354" s="9" t="b">
        <f aca="false">AND(Y354=0,J354,ISNUMBER(L354))</f>
        <v>0</v>
      </c>
      <c r="AB354" s="8" t="n">
        <f aca="false">IF(Q354,R354,AB353)</f>
        <v>0.95824964655134</v>
      </c>
      <c r="AC354" s="12" t="n">
        <f aca="false">IF(Q354,A354,AC353)</f>
        <v>45034</v>
      </c>
      <c r="AD354" s="8" t="n">
        <f aca="false">IF(Q354,B354,AD353)</f>
        <v>0.958058034944351</v>
      </c>
      <c r="AE354" s="8" t="str">
        <f aca="false">IF(AA354,L354,"")</f>
        <v/>
      </c>
      <c r="AF354" s="8" t="n">
        <f aca="false">U354</f>
        <v>0.938328062071903</v>
      </c>
      <c r="AG354" s="2" t="n">
        <f aca="false">AG353+IF(Q354,1,0)</f>
        <v>2</v>
      </c>
      <c r="AH354" s="2" t="n">
        <f aca="false">AG353</f>
        <v>2</v>
      </c>
      <c r="AI354" s="10" t="n">
        <f aca="false">X354+Y354*(E354-AB354)-Y354*AD354*Inputs!$B$13*(A354-AC354)</f>
        <v>1016.3844066801</v>
      </c>
      <c r="AJ354" s="10" t="n">
        <v>0</v>
      </c>
      <c r="AK354" s="8" t="n">
        <f aca="false">IF(AND(B354&lt;=U354,NOT(Q354)),B354,U354)*(1-Inputs!$B$12)</f>
        <v>0.846105447090742</v>
      </c>
    </row>
    <row r="355" customFormat="false" ht="15" hidden="false" customHeight="false" outlineLevel="0" collapsed="false">
      <c r="A355" s="6" t="n">
        <v>45139</v>
      </c>
      <c r="B355" s="7" t="n">
        <v>0.850596990675887</v>
      </c>
      <c r="C355" s="7" t="n">
        <v>0.853900869222916</v>
      </c>
      <c r="D355" s="7" t="n">
        <v>0.84526666336034</v>
      </c>
      <c r="E355" s="7" t="n">
        <v>0.847774965312788</v>
      </c>
      <c r="F355" s="8" t="n">
        <f aca="true">IF(ROW()-2&gt;=Inputs!$B$4,AVERAGE(OFFSET(E355,1-Inputs!$B$4,0,Inputs!$B$4,1)),"")</f>
        <v>0.858647073864744</v>
      </c>
      <c r="G355" s="8" t="n">
        <f aca="true">IF(ROW()-2&gt;=Inputs!$B$5,AVERAGE(OFFSET(E355,1-Inputs!$B$5,0,Inputs!$B$5,1)),"")</f>
        <v>0.871190514263442</v>
      </c>
      <c r="H355" s="8" t="n">
        <f aca="false">MAX(C355-D355,ABS(C355-E354),ABS(D355-E354))</f>
        <v>0.00863420586257646</v>
      </c>
      <c r="I355" s="8" t="n">
        <f aca="true">IF(ROW()-2&lt;14,"",IF(ROW()-2=14,AVERAGE(OFFSET(H355,-13,0,14,1)),(I354*13+H355)/14))</f>
        <v>0.00873323804466853</v>
      </c>
      <c r="J355" s="9" t="b">
        <f aca="false">IF(AND(ISNUMBER(F355),ISNUMBER(G355),ISNUMBER(F354),ISNUMBER(G354)),AND(F355&gt;G355,F354&lt;=G354),FALSE())</f>
        <v>0</v>
      </c>
      <c r="K355" s="9" t="b">
        <f aca="false">IF(AND(ISNUMBER(F355),ISNUMBER(G355),ISNUMBER(F354),ISNUMBER(G354)),AND(F355&lt;G355,F354&gt;=G354),FALSE())</f>
        <v>0</v>
      </c>
      <c r="L355" s="8" t="n">
        <f aca="false">IF(ISNUMBER(I355),E355-Inputs!$B$6*I355,"")</f>
        <v>0.830308489223451</v>
      </c>
      <c r="M355" s="9" t="b">
        <f aca="false">AND(Y354&gt;0,Z354)</f>
        <v>0</v>
      </c>
      <c r="N355" s="8" t="n">
        <f aca="false">B355*(1-Inputs!$B$12)</f>
        <v>0.850426871277752</v>
      </c>
      <c r="O355" s="10" t="n">
        <f aca="false">IF(M355,Y354*(N355-AB354)-Inputs!$B$9-Y354*AD354*Inputs!$B$13*(A355-AC354),0)</f>
        <v>0</v>
      </c>
      <c r="P355" s="10" t="n">
        <f aca="false">X354+O355</f>
        <v>1016.3844066801</v>
      </c>
      <c r="Q355" s="9" t="b">
        <f aca="false">AND(IF(M355,0,Y354)=0,AA354,IF(ISNUMBER(AE354),B355&gt;AE354,FALSE()))</f>
        <v>0</v>
      </c>
      <c r="R355" s="8" t="n">
        <f aca="false">B355*(1+Inputs!$B$12)</f>
        <v>0.850767110074023</v>
      </c>
      <c r="S355" s="11" t="n">
        <f aca="false">IF(Q355,MIN(P355*Inputs!$B$3/(R355-AE354),P355*Inputs!$B$11/R355),0)</f>
        <v>0</v>
      </c>
      <c r="T355" s="11" t="n">
        <f aca="false">IF(Q355,S355,IF(M355,0,Y354))</f>
        <v>0</v>
      </c>
      <c r="U355" s="8" t="n">
        <f aca="false">IF(Q355,AE354,AF354)</f>
        <v>0.938328062071903</v>
      </c>
      <c r="V355" s="9" t="b">
        <f aca="false">AND(T355&gt;0,D355&lt;=U355)</f>
        <v>0</v>
      </c>
      <c r="W355" s="10" t="n">
        <f aca="false">IF(V355,T355*(AK355-AB355)-Inputs!$B$9-T355*AD355*Inputs!$B$13*(A355-AC355),0)</f>
        <v>0</v>
      </c>
      <c r="X355" s="10" t="n">
        <f aca="false">P355-IF(Q355,Inputs!$B$9,0)+W355</f>
        <v>1016.3844066801</v>
      </c>
      <c r="Y355" s="11" t="n">
        <f aca="false">IF(V355,0,T355)</f>
        <v>0</v>
      </c>
      <c r="Z355" s="9" t="b">
        <f aca="false">AND(Y355&gt;0,K355)</f>
        <v>0</v>
      </c>
      <c r="AA355" s="9" t="b">
        <f aca="false">AND(Y355=0,J355,ISNUMBER(L355))</f>
        <v>0</v>
      </c>
      <c r="AB355" s="8" t="n">
        <f aca="false">IF(Q355,R355,AB354)</f>
        <v>0.95824964655134</v>
      </c>
      <c r="AC355" s="12" t="n">
        <f aca="false">IF(Q355,A355,AC354)</f>
        <v>45034</v>
      </c>
      <c r="AD355" s="8" t="n">
        <f aca="false">IF(Q355,B355,AD354)</f>
        <v>0.958058034944351</v>
      </c>
      <c r="AE355" s="8" t="str">
        <f aca="false">IF(AA355,L355,"")</f>
        <v/>
      </c>
      <c r="AF355" s="8" t="n">
        <f aca="false">U355</f>
        <v>0.938328062071903</v>
      </c>
      <c r="AG355" s="2" t="n">
        <f aca="false">AG354+IF(Q355,1,0)</f>
        <v>2</v>
      </c>
      <c r="AH355" s="2" t="n">
        <f aca="false">AG354</f>
        <v>2</v>
      </c>
      <c r="AI355" s="10" t="n">
        <f aca="false">X355+Y355*(E355-AB355)-Y355*AD355*Inputs!$B$13*(A355-AC355)</f>
        <v>1016.3844066801</v>
      </c>
      <c r="AJ355" s="10" t="n">
        <v>0</v>
      </c>
      <c r="AK355" s="8" t="n">
        <f aca="false">IF(AND(B355&lt;=U355,NOT(Q355)),B355,U355)*(1-Inputs!$B$12)</f>
        <v>0.850426871277752</v>
      </c>
    </row>
    <row r="356" customFormat="false" ht="15" hidden="false" customHeight="false" outlineLevel="0" collapsed="false">
      <c r="A356" s="6" t="n">
        <v>45140</v>
      </c>
      <c r="B356" s="7" t="n">
        <v>0.847774965312788</v>
      </c>
      <c r="C356" s="7" t="n">
        <v>0.852681176108414</v>
      </c>
      <c r="D356" s="7" t="n">
        <v>0.846918616234833</v>
      </c>
      <c r="E356" s="7" t="n">
        <v>0.847484684155841</v>
      </c>
      <c r="F356" s="8" t="n">
        <f aca="true">IF(ROW()-2&gt;=Inputs!$B$4,AVERAGE(OFFSET(E356,1-Inputs!$B$4,0,Inputs!$B$4,1)),"")</f>
        <v>0.857402393542272</v>
      </c>
      <c r="G356" s="8" t="n">
        <f aca="true">IF(ROW()-2&gt;=Inputs!$B$5,AVERAGE(OFFSET(E356,1-Inputs!$B$5,0,Inputs!$B$5,1)),"")</f>
        <v>0.870275884098821</v>
      </c>
      <c r="H356" s="8" t="n">
        <f aca="false">MAX(C356-D356,ABS(C356-E355),ABS(D356-E355))</f>
        <v>0.0057625598735811</v>
      </c>
      <c r="I356" s="8" t="n">
        <f aca="true">IF(ROW()-2&lt;14,"",IF(ROW()-2=14,AVERAGE(OFFSET(H356,-13,0,14,1)),(I355*13+H356)/14))</f>
        <v>0.00852104674673371</v>
      </c>
      <c r="J356" s="9" t="b">
        <f aca="false">IF(AND(ISNUMBER(F356),ISNUMBER(G356),ISNUMBER(F355),ISNUMBER(G355)),AND(F356&gt;G356,F355&lt;=G355),FALSE())</f>
        <v>0</v>
      </c>
      <c r="K356" s="9" t="b">
        <f aca="false">IF(AND(ISNUMBER(F356),ISNUMBER(G356),ISNUMBER(F355),ISNUMBER(G355)),AND(F356&lt;G356,F355&gt;=G355),FALSE())</f>
        <v>0</v>
      </c>
      <c r="L356" s="8" t="n">
        <f aca="false">IF(ISNUMBER(I356),E356-Inputs!$B$6*I356,"")</f>
        <v>0.830442590662374</v>
      </c>
      <c r="M356" s="9" t="b">
        <f aca="false">AND(Y355&gt;0,Z355)</f>
        <v>0</v>
      </c>
      <c r="N356" s="8" t="n">
        <f aca="false">B356*(1-Inputs!$B$12)</f>
        <v>0.847605410319725</v>
      </c>
      <c r="O356" s="10" t="n">
        <f aca="false">IF(M356,Y355*(N356-AB355)-Inputs!$B$9-Y355*AD355*Inputs!$B$13*(A356-AC355),0)</f>
        <v>0</v>
      </c>
      <c r="P356" s="10" t="n">
        <f aca="false">X355+O356</f>
        <v>1016.3844066801</v>
      </c>
      <c r="Q356" s="9" t="b">
        <f aca="false">AND(IF(M356,0,Y355)=0,AA355,IF(ISNUMBER(AE355),B356&gt;AE355,FALSE()))</f>
        <v>0</v>
      </c>
      <c r="R356" s="8" t="n">
        <f aca="false">B356*(1+Inputs!$B$12)</f>
        <v>0.84794452030585</v>
      </c>
      <c r="S356" s="11" t="n">
        <f aca="false">IF(Q356,MIN(P356*Inputs!$B$3/(R356-AE355),P356*Inputs!$B$11/R356),0)</f>
        <v>0</v>
      </c>
      <c r="T356" s="11" t="n">
        <f aca="false">IF(Q356,S356,IF(M356,0,Y355))</f>
        <v>0</v>
      </c>
      <c r="U356" s="8" t="n">
        <f aca="false">IF(Q356,AE355,AF355)</f>
        <v>0.938328062071903</v>
      </c>
      <c r="V356" s="9" t="b">
        <f aca="false">AND(T356&gt;0,D356&lt;=U356)</f>
        <v>0</v>
      </c>
      <c r="W356" s="10" t="n">
        <f aca="false">IF(V356,T356*(AK356-AB356)-Inputs!$B$9-T356*AD356*Inputs!$B$13*(A356-AC356),0)</f>
        <v>0</v>
      </c>
      <c r="X356" s="10" t="n">
        <f aca="false">P356-IF(Q356,Inputs!$B$9,0)+W356</f>
        <v>1016.3844066801</v>
      </c>
      <c r="Y356" s="11" t="n">
        <f aca="false">IF(V356,0,T356)</f>
        <v>0</v>
      </c>
      <c r="Z356" s="9" t="b">
        <f aca="false">AND(Y356&gt;0,K356)</f>
        <v>0</v>
      </c>
      <c r="AA356" s="9" t="b">
        <f aca="false">AND(Y356=0,J356,ISNUMBER(L356))</f>
        <v>0</v>
      </c>
      <c r="AB356" s="8" t="n">
        <f aca="false">IF(Q356,R356,AB355)</f>
        <v>0.95824964655134</v>
      </c>
      <c r="AC356" s="12" t="n">
        <f aca="false">IF(Q356,A356,AC355)</f>
        <v>45034</v>
      </c>
      <c r="AD356" s="8" t="n">
        <f aca="false">IF(Q356,B356,AD355)</f>
        <v>0.958058034944351</v>
      </c>
      <c r="AE356" s="8" t="str">
        <f aca="false">IF(AA356,L356,"")</f>
        <v/>
      </c>
      <c r="AF356" s="8" t="n">
        <f aca="false">U356</f>
        <v>0.938328062071903</v>
      </c>
      <c r="AG356" s="2" t="n">
        <f aca="false">AG355+IF(Q356,1,0)</f>
        <v>2</v>
      </c>
      <c r="AH356" s="2" t="n">
        <f aca="false">AG355</f>
        <v>2</v>
      </c>
      <c r="AI356" s="10" t="n">
        <f aca="false">X356+Y356*(E356-AB356)-Y356*AD356*Inputs!$B$13*(A356-AC356)</f>
        <v>1016.3844066801</v>
      </c>
      <c r="AJ356" s="10" t="n">
        <v>0</v>
      </c>
      <c r="AK356" s="8" t="n">
        <f aca="false">IF(AND(B356&lt;=U356,NOT(Q356)),B356,U356)*(1-Inputs!$B$12)</f>
        <v>0.847605410319725</v>
      </c>
    </row>
    <row r="357" customFormat="false" ht="15" hidden="false" customHeight="false" outlineLevel="0" collapsed="false">
      <c r="A357" s="6" t="n">
        <v>45141</v>
      </c>
      <c r="B357" s="7" t="n">
        <v>0.847484684155841</v>
      </c>
      <c r="C357" s="7" t="n">
        <v>0.853746676679979</v>
      </c>
      <c r="D357" s="7" t="n">
        <v>0.843592725950719</v>
      </c>
      <c r="E357" s="7" t="n">
        <v>0.851756654760304</v>
      </c>
      <c r="F357" s="8" t="n">
        <f aca="true">IF(ROW()-2&gt;=Inputs!$B$4,AVERAGE(OFFSET(E357,1-Inputs!$B$4,0,Inputs!$B$4,1)),"")</f>
        <v>0.856530347880989</v>
      </c>
      <c r="G357" s="8" t="n">
        <f aca="true">IF(ROW()-2&gt;=Inputs!$B$5,AVERAGE(OFFSET(E357,1-Inputs!$B$5,0,Inputs!$B$5,1)),"")</f>
        <v>0.869236157392371</v>
      </c>
      <c r="H357" s="8" t="n">
        <f aca="false">MAX(C357-D357,ABS(C357-E356),ABS(D357-E356))</f>
        <v>0.0101539507292595</v>
      </c>
      <c r="I357" s="8" t="n">
        <f aca="true">IF(ROW()-2&lt;14,"",IF(ROW()-2=14,AVERAGE(OFFSET(H357,-13,0,14,1)),(I356*13+H357)/14))</f>
        <v>0.00863768274548555</v>
      </c>
      <c r="J357" s="9" t="b">
        <f aca="false">IF(AND(ISNUMBER(F357),ISNUMBER(G357),ISNUMBER(F356),ISNUMBER(G356)),AND(F357&gt;G357,F356&lt;=G356),FALSE())</f>
        <v>0</v>
      </c>
      <c r="K357" s="9" t="b">
        <f aca="false">IF(AND(ISNUMBER(F357),ISNUMBER(G357),ISNUMBER(F356),ISNUMBER(G356)),AND(F357&lt;G357,F356&gt;=G356),FALSE())</f>
        <v>0</v>
      </c>
      <c r="L357" s="8" t="n">
        <f aca="false">IF(ISNUMBER(I357),E357-Inputs!$B$6*I357,"")</f>
        <v>0.834481289269333</v>
      </c>
      <c r="M357" s="9" t="b">
        <f aca="false">AND(Y356&gt;0,Z356)</f>
        <v>0</v>
      </c>
      <c r="N357" s="8" t="n">
        <f aca="false">B357*(1-Inputs!$B$12)</f>
        <v>0.84731518721901</v>
      </c>
      <c r="O357" s="10" t="n">
        <f aca="false">IF(M357,Y356*(N357-AB356)-Inputs!$B$9-Y356*AD356*Inputs!$B$13*(A357-AC356),0)</f>
        <v>0</v>
      </c>
      <c r="P357" s="10" t="n">
        <f aca="false">X356+O357</f>
        <v>1016.3844066801</v>
      </c>
      <c r="Q357" s="9" t="b">
        <f aca="false">AND(IF(M357,0,Y356)=0,AA356,IF(ISNUMBER(AE356),B357&gt;AE356,FALSE()))</f>
        <v>0</v>
      </c>
      <c r="R357" s="8" t="n">
        <f aca="false">B357*(1+Inputs!$B$12)</f>
        <v>0.847654181092672</v>
      </c>
      <c r="S357" s="11" t="n">
        <f aca="false">IF(Q357,MIN(P357*Inputs!$B$3/(R357-AE356),P357*Inputs!$B$11/R357),0)</f>
        <v>0</v>
      </c>
      <c r="T357" s="11" t="n">
        <f aca="false">IF(Q357,S357,IF(M357,0,Y356))</f>
        <v>0</v>
      </c>
      <c r="U357" s="8" t="n">
        <f aca="false">IF(Q357,AE356,AF356)</f>
        <v>0.938328062071903</v>
      </c>
      <c r="V357" s="9" t="b">
        <f aca="false">AND(T357&gt;0,D357&lt;=U357)</f>
        <v>0</v>
      </c>
      <c r="W357" s="10" t="n">
        <f aca="false">IF(V357,T357*(AK357-AB357)-Inputs!$B$9-T357*AD357*Inputs!$B$13*(A357-AC357),0)</f>
        <v>0</v>
      </c>
      <c r="X357" s="10" t="n">
        <f aca="false">P357-IF(Q357,Inputs!$B$9,0)+W357</f>
        <v>1016.3844066801</v>
      </c>
      <c r="Y357" s="11" t="n">
        <f aca="false">IF(V357,0,T357)</f>
        <v>0</v>
      </c>
      <c r="Z357" s="9" t="b">
        <f aca="false">AND(Y357&gt;0,K357)</f>
        <v>0</v>
      </c>
      <c r="AA357" s="9" t="b">
        <f aca="false">AND(Y357=0,J357,ISNUMBER(L357))</f>
        <v>0</v>
      </c>
      <c r="AB357" s="8" t="n">
        <f aca="false">IF(Q357,R357,AB356)</f>
        <v>0.95824964655134</v>
      </c>
      <c r="AC357" s="12" t="n">
        <f aca="false">IF(Q357,A357,AC356)</f>
        <v>45034</v>
      </c>
      <c r="AD357" s="8" t="n">
        <f aca="false">IF(Q357,B357,AD356)</f>
        <v>0.958058034944351</v>
      </c>
      <c r="AE357" s="8" t="str">
        <f aca="false">IF(AA357,L357,"")</f>
        <v/>
      </c>
      <c r="AF357" s="8" t="n">
        <f aca="false">U357</f>
        <v>0.938328062071903</v>
      </c>
      <c r="AG357" s="2" t="n">
        <f aca="false">AG356+IF(Q357,1,0)</f>
        <v>2</v>
      </c>
      <c r="AH357" s="2" t="n">
        <f aca="false">AG356</f>
        <v>2</v>
      </c>
      <c r="AI357" s="10" t="n">
        <f aca="false">X357+Y357*(E357-AB357)-Y357*AD357*Inputs!$B$13*(A357-AC357)</f>
        <v>1016.3844066801</v>
      </c>
      <c r="AJ357" s="10" t="n">
        <v>0</v>
      </c>
      <c r="AK357" s="8" t="n">
        <f aca="false">IF(AND(B357&lt;=U357,NOT(Q357)),B357,U357)*(1-Inputs!$B$12)</f>
        <v>0.84731518721901</v>
      </c>
    </row>
    <row r="358" customFormat="false" ht="15" hidden="false" customHeight="false" outlineLevel="0" collapsed="false">
      <c r="A358" s="6" t="n">
        <v>45142</v>
      </c>
      <c r="B358" s="7" t="n">
        <v>0.851756654760304</v>
      </c>
      <c r="C358" s="7" t="n">
        <v>0.85353561967466</v>
      </c>
      <c r="D358" s="7" t="n">
        <v>0.839839411833464</v>
      </c>
      <c r="E358" s="7" t="n">
        <v>0.843161587229906</v>
      </c>
      <c r="F358" s="8" t="n">
        <f aca="true">IF(ROW()-2&gt;=Inputs!$B$4,AVERAGE(OFFSET(E358,1-Inputs!$B$4,0,Inputs!$B$4,1)),"")</f>
        <v>0.855690403157302</v>
      </c>
      <c r="G358" s="8" t="n">
        <f aca="true">IF(ROW()-2&gt;=Inputs!$B$5,AVERAGE(OFFSET(E358,1-Inputs!$B$5,0,Inputs!$B$5,1)),"")</f>
        <v>0.868032908415504</v>
      </c>
      <c r="H358" s="8" t="n">
        <f aca="false">MAX(C358-D358,ABS(C358-E357),ABS(D358-E357))</f>
        <v>0.0136962078411961</v>
      </c>
      <c r="I358" s="8" t="n">
        <f aca="true">IF(ROW()-2&lt;14,"",IF(ROW()-2=14,AVERAGE(OFFSET(H358,-13,0,14,1)),(I357*13+H358)/14))</f>
        <v>0.00899900596660773</v>
      </c>
      <c r="J358" s="9" t="b">
        <f aca="false">IF(AND(ISNUMBER(F358),ISNUMBER(G358),ISNUMBER(F357),ISNUMBER(G357)),AND(F358&gt;G358,F357&lt;=G357),FALSE())</f>
        <v>0</v>
      </c>
      <c r="K358" s="9" t="b">
        <f aca="false">IF(AND(ISNUMBER(F358),ISNUMBER(G358),ISNUMBER(F357),ISNUMBER(G357)),AND(F358&lt;G358,F357&gt;=G357),FALSE())</f>
        <v>0</v>
      </c>
      <c r="L358" s="8" t="n">
        <f aca="false">IF(ISNUMBER(I358),E358-Inputs!$B$6*I358,"")</f>
        <v>0.825163575296691</v>
      </c>
      <c r="M358" s="9" t="b">
        <f aca="false">AND(Y357&gt;0,Z357)</f>
        <v>0</v>
      </c>
      <c r="N358" s="8" t="n">
        <f aca="false">B358*(1-Inputs!$B$12)</f>
        <v>0.851586303429352</v>
      </c>
      <c r="O358" s="10" t="n">
        <f aca="false">IF(M358,Y357*(N358-AB357)-Inputs!$B$9-Y357*AD357*Inputs!$B$13*(A358-AC357),0)</f>
        <v>0</v>
      </c>
      <c r="P358" s="10" t="n">
        <f aca="false">X357+O358</f>
        <v>1016.3844066801</v>
      </c>
      <c r="Q358" s="9" t="b">
        <f aca="false">AND(IF(M358,0,Y357)=0,AA357,IF(ISNUMBER(AE357),B358&gt;AE357,FALSE()))</f>
        <v>0</v>
      </c>
      <c r="R358" s="8" t="n">
        <f aca="false">B358*(1+Inputs!$B$12)</f>
        <v>0.851927006091256</v>
      </c>
      <c r="S358" s="11" t="n">
        <f aca="false">IF(Q358,MIN(P358*Inputs!$B$3/(R358-AE357),P358*Inputs!$B$11/R358),0)</f>
        <v>0</v>
      </c>
      <c r="T358" s="11" t="n">
        <f aca="false">IF(Q358,S358,IF(M358,0,Y357))</f>
        <v>0</v>
      </c>
      <c r="U358" s="8" t="n">
        <f aca="false">IF(Q358,AE357,AF357)</f>
        <v>0.938328062071903</v>
      </c>
      <c r="V358" s="9" t="b">
        <f aca="false">AND(T358&gt;0,D358&lt;=U358)</f>
        <v>0</v>
      </c>
      <c r="W358" s="10" t="n">
        <f aca="false">IF(V358,T358*(AK358-AB358)-Inputs!$B$9-T358*AD358*Inputs!$B$13*(A358-AC358),0)</f>
        <v>0</v>
      </c>
      <c r="X358" s="10" t="n">
        <f aca="false">P358-IF(Q358,Inputs!$B$9,0)+W358</f>
        <v>1016.3844066801</v>
      </c>
      <c r="Y358" s="11" t="n">
        <f aca="false">IF(V358,0,T358)</f>
        <v>0</v>
      </c>
      <c r="Z358" s="9" t="b">
        <f aca="false">AND(Y358&gt;0,K358)</f>
        <v>0</v>
      </c>
      <c r="AA358" s="9" t="b">
        <f aca="false">AND(Y358=0,J358,ISNUMBER(L358))</f>
        <v>0</v>
      </c>
      <c r="AB358" s="8" t="n">
        <f aca="false">IF(Q358,R358,AB357)</f>
        <v>0.95824964655134</v>
      </c>
      <c r="AC358" s="12" t="n">
        <f aca="false">IF(Q358,A358,AC357)</f>
        <v>45034</v>
      </c>
      <c r="AD358" s="8" t="n">
        <f aca="false">IF(Q358,B358,AD357)</f>
        <v>0.958058034944351</v>
      </c>
      <c r="AE358" s="8" t="str">
        <f aca="false">IF(AA358,L358,"")</f>
        <v/>
      </c>
      <c r="AF358" s="8" t="n">
        <f aca="false">U358</f>
        <v>0.938328062071903</v>
      </c>
      <c r="AG358" s="2" t="n">
        <f aca="false">AG357+IF(Q358,1,0)</f>
        <v>2</v>
      </c>
      <c r="AH358" s="2" t="n">
        <f aca="false">AG357</f>
        <v>2</v>
      </c>
      <c r="AI358" s="10" t="n">
        <f aca="false">X358+Y358*(E358-AB358)-Y358*AD358*Inputs!$B$13*(A358-AC358)</f>
        <v>1016.3844066801</v>
      </c>
      <c r="AJ358" s="10" t="n">
        <v>0</v>
      </c>
      <c r="AK358" s="8" t="n">
        <f aca="false">IF(AND(B358&lt;=U358,NOT(Q358)),B358,U358)*(1-Inputs!$B$12)</f>
        <v>0.851586303429352</v>
      </c>
    </row>
    <row r="359" customFormat="false" ht="15" hidden="false" customHeight="false" outlineLevel="0" collapsed="false">
      <c r="A359" s="6" t="n">
        <v>45143</v>
      </c>
      <c r="B359" s="7" t="n">
        <v>0.843161587229906</v>
      </c>
      <c r="C359" s="7" t="n">
        <v>0.847717132406416</v>
      </c>
      <c r="D359" s="7" t="n">
        <v>0.831173336629129</v>
      </c>
      <c r="E359" s="7" t="n">
        <v>0.832373834849697</v>
      </c>
      <c r="F359" s="8" t="n">
        <f aca="true">IF(ROW()-2&gt;=Inputs!$B$4,AVERAGE(OFFSET(E359,1-Inputs!$B$4,0,Inputs!$B$4,1)),"")</f>
        <v>0.853922414813444</v>
      </c>
      <c r="G359" s="8" t="n">
        <f aca="true">IF(ROW()-2&gt;=Inputs!$B$5,AVERAGE(OFFSET(E359,1-Inputs!$B$5,0,Inputs!$B$5,1)),"")</f>
        <v>0.866642022597874</v>
      </c>
      <c r="H359" s="8" t="n">
        <f aca="false">MAX(C359-D359,ABS(C359-E358),ABS(D359-E358))</f>
        <v>0.0165437957772876</v>
      </c>
      <c r="I359" s="8" t="n">
        <f aca="true">IF(ROW()-2&lt;14,"",IF(ROW()-2=14,AVERAGE(OFFSET(H359,-13,0,14,1)),(I358*13+H359)/14))</f>
        <v>0.00953791952451344</v>
      </c>
      <c r="J359" s="9" t="b">
        <f aca="false">IF(AND(ISNUMBER(F359),ISNUMBER(G359),ISNUMBER(F358),ISNUMBER(G358)),AND(F359&gt;G359,F358&lt;=G358),FALSE())</f>
        <v>0</v>
      </c>
      <c r="K359" s="9" t="b">
        <f aca="false">IF(AND(ISNUMBER(F359),ISNUMBER(G359),ISNUMBER(F358),ISNUMBER(G358)),AND(F359&lt;G359,F358&gt;=G358),FALSE())</f>
        <v>0</v>
      </c>
      <c r="L359" s="8" t="n">
        <f aca="false">IF(ISNUMBER(I359),E359-Inputs!$B$6*I359,"")</f>
        <v>0.81329799580067</v>
      </c>
      <c r="M359" s="9" t="b">
        <f aca="false">AND(Y358&gt;0,Z358)</f>
        <v>0</v>
      </c>
      <c r="N359" s="8" t="n">
        <f aca="false">B359*(1-Inputs!$B$12)</f>
        <v>0.84299295491246</v>
      </c>
      <c r="O359" s="10" t="n">
        <f aca="false">IF(M359,Y358*(N359-AB358)-Inputs!$B$9-Y358*AD358*Inputs!$B$13*(A359-AC358),0)</f>
        <v>0</v>
      </c>
      <c r="P359" s="10" t="n">
        <f aca="false">X358+O359</f>
        <v>1016.3844066801</v>
      </c>
      <c r="Q359" s="9" t="b">
        <f aca="false">AND(IF(M359,0,Y358)=0,AA358,IF(ISNUMBER(AE358),B359&gt;AE358,FALSE()))</f>
        <v>0</v>
      </c>
      <c r="R359" s="8" t="n">
        <f aca="false">B359*(1+Inputs!$B$12)</f>
        <v>0.843330219547352</v>
      </c>
      <c r="S359" s="11" t="n">
        <f aca="false">IF(Q359,MIN(P359*Inputs!$B$3/(R359-AE358),P359*Inputs!$B$11/R359),0)</f>
        <v>0</v>
      </c>
      <c r="T359" s="11" t="n">
        <f aca="false">IF(Q359,S359,IF(M359,0,Y358))</f>
        <v>0</v>
      </c>
      <c r="U359" s="8" t="n">
        <f aca="false">IF(Q359,AE358,AF358)</f>
        <v>0.938328062071903</v>
      </c>
      <c r="V359" s="9" t="b">
        <f aca="false">AND(T359&gt;0,D359&lt;=U359)</f>
        <v>0</v>
      </c>
      <c r="W359" s="10" t="n">
        <f aca="false">IF(V359,T359*(AK359-AB359)-Inputs!$B$9-T359*AD359*Inputs!$B$13*(A359-AC359),0)</f>
        <v>0</v>
      </c>
      <c r="X359" s="10" t="n">
        <f aca="false">P359-IF(Q359,Inputs!$B$9,0)+W359</f>
        <v>1016.3844066801</v>
      </c>
      <c r="Y359" s="11" t="n">
        <f aca="false">IF(V359,0,T359)</f>
        <v>0</v>
      </c>
      <c r="Z359" s="9" t="b">
        <f aca="false">AND(Y359&gt;0,K359)</f>
        <v>0</v>
      </c>
      <c r="AA359" s="9" t="b">
        <f aca="false">AND(Y359=0,J359,ISNUMBER(L359))</f>
        <v>0</v>
      </c>
      <c r="AB359" s="8" t="n">
        <f aca="false">IF(Q359,R359,AB358)</f>
        <v>0.95824964655134</v>
      </c>
      <c r="AC359" s="12" t="n">
        <f aca="false">IF(Q359,A359,AC358)</f>
        <v>45034</v>
      </c>
      <c r="AD359" s="8" t="n">
        <f aca="false">IF(Q359,B359,AD358)</f>
        <v>0.958058034944351</v>
      </c>
      <c r="AE359" s="8" t="str">
        <f aca="false">IF(AA359,L359,"")</f>
        <v/>
      </c>
      <c r="AF359" s="8" t="n">
        <f aca="false">U359</f>
        <v>0.938328062071903</v>
      </c>
      <c r="AG359" s="2" t="n">
        <f aca="false">AG358+IF(Q359,1,0)</f>
        <v>2</v>
      </c>
      <c r="AH359" s="2" t="n">
        <f aca="false">AG358</f>
        <v>2</v>
      </c>
      <c r="AI359" s="10" t="n">
        <f aca="false">X359+Y359*(E359-AB359)-Y359*AD359*Inputs!$B$13*(A359-AC359)</f>
        <v>1016.3844066801</v>
      </c>
      <c r="AJ359" s="10" t="n">
        <v>0</v>
      </c>
      <c r="AK359" s="8" t="n">
        <f aca="false">IF(AND(B359&lt;=U359,NOT(Q359)),B359,U359)*(1-Inputs!$B$12)</f>
        <v>0.84299295491246</v>
      </c>
    </row>
    <row r="360" customFormat="false" ht="15" hidden="false" customHeight="false" outlineLevel="0" collapsed="false">
      <c r="A360" s="6" t="n">
        <v>45144</v>
      </c>
      <c r="B360" s="7" t="n">
        <v>0.832373834849697</v>
      </c>
      <c r="C360" s="7" t="n">
        <v>0.835554910917892</v>
      </c>
      <c r="D360" s="7" t="n">
        <v>0.826994590879002</v>
      </c>
      <c r="E360" s="7" t="n">
        <v>0.828377064890632</v>
      </c>
      <c r="F360" s="8" t="n">
        <f aca="true">IF(ROW()-2&gt;=Inputs!$B$4,AVERAGE(OFFSET(E360,1-Inputs!$B$4,0,Inputs!$B$4,1)),"")</f>
        <v>0.851845456921977</v>
      </c>
      <c r="G360" s="8" t="n">
        <f aca="true">IF(ROW()-2&gt;=Inputs!$B$5,AVERAGE(OFFSET(E360,1-Inputs!$B$5,0,Inputs!$B$5,1)),"")</f>
        <v>0.865201444646011</v>
      </c>
      <c r="H360" s="8" t="n">
        <f aca="false">MAX(C360-D360,ABS(C360-E359),ABS(D360-E359))</f>
        <v>0.0085603200388904</v>
      </c>
      <c r="I360" s="8" t="n">
        <f aca="true">IF(ROW()-2&lt;14,"",IF(ROW()-2=14,AVERAGE(OFFSET(H360,-13,0,14,1)),(I359*13+H360)/14))</f>
        <v>0.00946809098982608</v>
      </c>
      <c r="J360" s="9" t="b">
        <f aca="false">IF(AND(ISNUMBER(F360),ISNUMBER(G360),ISNUMBER(F359),ISNUMBER(G359)),AND(F360&gt;G360,F359&lt;=G359),FALSE())</f>
        <v>0</v>
      </c>
      <c r="K360" s="9" t="b">
        <f aca="false">IF(AND(ISNUMBER(F360),ISNUMBER(G360),ISNUMBER(F359),ISNUMBER(G359)),AND(F360&lt;G360,F359&gt;=G359),FALSE())</f>
        <v>0</v>
      </c>
      <c r="L360" s="8" t="n">
        <f aca="false">IF(ISNUMBER(I360),E360-Inputs!$B$6*I360,"")</f>
        <v>0.80944088291098</v>
      </c>
      <c r="M360" s="9" t="b">
        <f aca="false">AND(Y359&gt;0,Z359)</f>
        <v>0</v>
      </c>
      <c r="N360" s="8" t="n">
        <f aca="false">B360*(1-Inputs!$B$12)</f>
        <v>0.832207360082727</v>
      </c>
      <c r="O360" s="10" t="n">
        <f aca="false">IF(M360,Y359*(N360-AB359)-Inputs!$B$9-Y359*AD359*Inputs!$B$13*(A360-AC359),0)</f>
        <v>0</v>
      </c>
      <c r="P360" s="10" t="n">
        <f aca="false">X359+O360</f>
        <v>1016.3844066801</v>
      </c>
      <c r="Q360" s="9" t="b">
        <f aca="false">AND(IF(M360,0,Y359)=0,AA359,IF(ISNUMBER(AE359),B360&gt;AE359,FALSE()))</f>
        <v>0</v>
      </c>
      <c r="R360" s="8" t="n">
        <f aca="false">B360*(1+Inputs!$B$12)</f>
        <v>0.832540309616667</v>
      </c>
      <c r="S360" s="11" t="n">
        <f aca="false">IF(Q360,MIN(P360*Inputs!$B$3/(R360-AE359),P360*Inputs!$B$11/R360),0)</f>
        <v>0</v>
      </c>
      <c r="T360" s="11" t="n">
        <f aca="false">IF(Q360,S360,IF(M360,0,Y359))</f>
        <v>0</v>
      </c>
      <c r="U360" s="8" t="n">
        <f aca="false">IF(Q360,AE359,AF359)</f>
        <v>0.938328062071903</v>
      </c>
      <c r="V360" s="9" t="b">
        <f aca="false">AND(T360&gt;0,D360&lt;=U360)</f>
        <v>0</v>
      </c>
      <c r="W360" s="10" t="n">
        <f aca="false">IF(V360,T360*(AK360-AB360)-Inputs!$B$9-T360*AD360*Inputs!$B$13*(A360-AC360),0)</f>
        <v>0</v>
      </c>
      <c r="X360" s="10" t="n">
        <f aca="false">P360-IF(Q360,Inputs!$B$9,0)+W360</f>
        <v>1016.3844066801</v>
      </c>
      <c r="Y360" s="11" t="n">
        <f aca="false">IF(V360,0,T360)</f>
        <v>0</v>
      </c>
      <c r="Z360" s="9" t="b">
        <f aca="false">AND(Y360&gt;0,K360)</f>
        <v>0</v>
      </c>
      <c r="AA360" s="9" t="b">
        <f aca="false">AND(Y360=0,J360,ISNUMBER(L360))</f>
        <v>0</v>
      </c>
      <c r="AB360" s="8" t="n">
        <f aca="false">IF(Q360,R360,AB359)</f>
        <v>0.95824964655134</v>
      </c>
      <c r="AC360" s="12" t="n">
        <f aca="false">IF(Q360,A360,AC359)</f>
        <v>45034</v>
      </c>
      <c r="AD360" s="8" t="n">
        <f aca="false">IF(Q360,B360,AD359)</f>
        <v>0.958058034944351</v>
      </c>
      <c r="AE360" s="8" t="str">
        <f aca="false">IF(AA360,L360,"")</f>
        <v/>
      </c>
      <c r="AF360" s="8" t="n">
        <f aca="false">U360</f>
        <v>0.938328062071903</v>
      </c>
      <c r="AG360" s="2" t="n">
        <f aca="false">AG359+IF(Q360,1,0)</f>
        <v>2</v>
      </c>
      <c r="AH360" s="2" t="n">
        <f aca="false">AG359</f>
        <v>2</v>
      </c>
      <c r="AI360" s="10" t="n">
        <f aca="false">X360+Y360*(E360-AB360)-Y360*AD360*Inputs!$B$13*(A360-AC360)</f>
        <v>1016.3844066801</v>
      </c>
      <c r="AJ360" s="10" t="n">
        <v>0</v>
      </c>
      <c r="AK360" s="8" t="n">
        <f aca="false">IF(AND(B360&lt;=U360,NOT(Q360)),B360,U360)*(1-Inputs!$B$12)</f>
        <v>0.832207360082727</v>
      </c>
    </row>
    <row r="361" customFormat="false" ht="15" hidden="false" customHeight="false" outlineLevel="0" collapsed="false">
      <c r="A361" s="6" t="n">
        <v>45145</v>
      </c>
      <c r="B361" s="7" t="n">
        <v>0.828377064890632</v>
      </c>
      <c r="C361" s="7" t="n">
        <v>0.832245638152932</v>
      </c>
      <c r="D361" s="7" t="n">
        <v>0.82692491037371</v>
      </c>
      <c r="E361" s="7" t="n">
        <v>0.83156799906782</v>
      </c>
      <c r="F361" s="8" t="n">
        <f aca="true">IF(ROW()-2&gt;=Inputs!$B$4,AVERAGE(OFFSET(E361,1-Inputs!$B$4,0,Inputs!$B$4,1)),"")</f>
        <v>0.850068167358723</v>
      </c>
      <c r="G361" s="8" t="n">
        <f aca="true">IF(ROW()-2&gt;=Inputs!$B$5,AVERAGE(OFFSET(E361,1-Inputs!$B$5,0,Inputs!$B$5,1)),"")</f>
        <v>0.863953346995997</v>
      </c>
      <c r="H361" s="8" t="n">
        <f aca="false">MAX(C361-D361,ABS(C361-E360),ABS(D361-E360))</f>
        <v>0.00532072777922243</v>
      </c>
      <c r="I361" s="8" t="n">
        <f aca="true">IF(ROW()-2&lt;14,"",IF(ROW()-2=14,AVERAGE(OFFSET(H361,-13,0,14,1)),(I360*13+H361)/14))</f>
        <v>0.00917185076049725</v>
      </c>
      <c r="J361" s="9" t="b">
        <f aca="false">IF(AND(ISNUMBER(F361),ISNUMBER(G361),ISNUMBER(F360),ISNUMBER(G360)),AND(F361&gt;G361,F360&lt;=G360),FALSE())</f>
        <v>0</v>
      </c>
      <c r="K361" s="9" t="b">
        <f aca="false">IF(AND(ISNUMBER(F361),ISNUMBER(G361),ISNUMBER(F360),ISNUMBER(G360)),AND(F361&lt;G361,F360&gt;=G360),FALSE())</f>
        <v>0</v>
      </c>
      <c r="L361" s="8" t="n">
        <f aca="false">IF(ISNUMBER(I361),E361-Inputs!$B$6*I361,"")</f>
        <v>0.813224297546826</v>
      </c>
      <c r="M361" s="9" t="b">
        <f aca="false">AND(Y360&gt;0,Z360)</f>
        <v>0</v>
      </c>
      <c r="N361" s="8" t="n">
        <f aca="false">B361*(1-Inputs!$B$12)</f>
        <v>0.828211389477654</v>
      </c>
      <c r="O361" s="10" t="n">
        <f aca="false">IF(M361,Y360*(N361-AB360)-Inputs!$B$9-Y360*AD360*Inputs!$B$13*(A361-AC360),0)</f>
        <v>0</v>
      </c>
      <c r="P361" s="10" t="n">
        <f aca="false">X360+O361</f>
        <v>1016.3844066801</v>
      </c>
      <c r="Q361" s="9" t="b">
        <f aca="false">AND(IF(M361,0,Y360)=0,AA360,IF(ISNUMBER(AE360),B361&gt;AE360,FALSE()))</f>
        <v>0</v>
      </c>
      <c r="R361" s="8" t="n">
        <f aca="false">B361*(1+Inputs!$B$12)</f>
        <v>0.82854274030361</v>
      </c>
      <c r="S361" s="11" t="n">
        <f aca="false">IF(Q361,MIN(P361*Inputs!$B$3/(R361-AE360),P361*Inputs!$B$11/R361),0)</f>
        <v>0</v>
      </c>
      <c r="T361" s="11" t="n">
        <f aca="false">IF(Q361,S361,IF(M361,0,Y360))</f>
        <v>0</v>
      </c>
      <c r="U361" s="8" t="n">
        <f aca="false">IF(Q361,AE360,AF360)</f>
        <v>0.938328062071903</v>
      </c>
      <c r="V361" s="9" t="b">
        <f aca="false">AND(T361&gt;0,D361&lt;=U361)</f>
        <v>0</v>
      </c>
      <c r="W361" s="10" t="n">
        <f aca="false">IF(V361,T361*(AK361-AB361)-Inputs!$B$9-T361*AD361*Inputs!$B$13*(A361-AC361),0)</f>
        <v>0</v>
      </c>
      <c r="X361" s="10" t="n">
        <f aca="false">P361-IF(Q361,Inputs!$B$9,0)+W361</f>
        <v>1016.3844066801</v>
      </c>
      <c r="Y361" s="11" t="n">
        <f aca="false">IF(V361,0,T361)</f>
        <v>0</v>
      </c>
      <c r="Z361" s="9" t="b">
        <f aca="false">AND(Y361&gt;0,K361)</f>
        <v>0</v>
      </c>
      <c r="AA361" s="9" t="b">
        <f aca="false">AND(Y361=0,J361,ISNUMBER(L361))</f>
        <v>0</v>
      </c>
      <c r="AB361" s="8" t="n">
        <f aca="false">IF(Q361,R361,AB360)</f>
        <v>0.95824964655134</v>
      </c>
      <c r="AC361" s="12" t="n">
        <f aca="false">IF(Q361,A361,AC360)</f>
        <v>45034</v>
      </c>
      <c r="AD361" s="8" t="n">
        <f aca="false">IF(Q361,B361,AD360)</f>
        <v>0.958058034944351</v>
      </c>
      <c r="AE361" s="8" t="str">
        <f aca="false">IF(AA361,L361,"")</f>
        <v/>
      </c>
      <c r="AF361" s="8" t="n">
        <f aca="false">U361</f>
        <v>0.938328062071903</v>
      </c>
      <c r="AG361" s="2" t="n">
        <f aca="false">AG360+IF(Q361,1,0)</f>
        <v>2</v>
      </c>
      <c r="AH361" s="2" t="n">
        <f aca="false">AG360</f>
        <v>2</v>
      </c>
      <c r="AI361" s="10" t="n">
        <f aca="false">X361+Y361*(E361-AB361)-Y361*AD361*Inputs!$B$13*(A361-AC361)</f>
        <v>1016.3844066801</v>
      </c>
      <c r="AJ361" s="10" t="n">
        <v>0</v>
      </c>
      <c r="AK361" s="8" t="n">
        <f aca="false">IF(AND(B361&lt;=U361,NOT(Q361)),B361,U361)*(1-Inputs!$B$12)</f>
        <v>0.828211389477654</v>
      </c>
    </row>
    <row r="362" customFormat="false" ht="15" hidden="false" customHeight="false" outlineLevel="0" collapsed="false">
      <c r="A362" s="6" t="n">
        <v>45146</v>
      </c>
      <c r="B362" s="7" t="n">
        <v>0.83156799906782</v>
      </c>
      <c r="C362" s="7" t="n">
        <v>0.837435531521136</v>
      </c>
      <c r="D362" s="7" t="n">
        <v>0.828821528228311</v>
      </c>
      <c r="E362" s="7" t="n">
        <v>0.834705987429739</v>
      </c>
      <c r="F362" s="8" t="n">
        <f aca="true">IF(ROW()-2&gt;=Inputs!$B$4,AVERAGE(OFFSET(E362,1-Inputs!$B$4,0,Inputs!$B$4,1)),"")</f>
        <v>0.848557067415979</v>
      </c>
      <c r="G362" s="8" t="n">
        <f aca="true">IF(ROW()-2&gt;=Inputs!$B$5,AVERAGE(OFFSET(E362,1-Inputs!$B$5,0,Inputs!$B$5,1)),"")</f>
        <v>0.862993212812474</v>
      </c>
      <c r="H362" s="8" t="n">
        <f aca="false">MAX(C362-D362,ABS(C362-E361),ABS(D362-E361))</f>
        <v>0.00861400329282513</v>
      </c>
      <c r="I362" s="8" t="n">
        <f aca="true">IF(ROW()-2&lt;14,"",IF(ROW()-2=14,AVERAGE(OFFSET(H362,-13,0,14,1)),(I361*13+H362)/14))</f>
        <v>0.00913200451280638</v>
      </c>
      <c r="J362" s="9" t="b">
        <f aca="false">IF(AND(ISNUMBER(F362),ISNUMBER(G362),ISNUMBER(F361),ISNUMBER(G361)),AND(F362&gt;G362,F361&lt;=G361),FALSE())</f>
        <v>0</v>
      </c>
      <c r="K362" s="9" t="b">
        <f aca="false">IF(AND(ISNUMBER(F362),ISNUMBER(G362),ISNUMBER(F361),ISNUMBER(G361)),AND(F362&lt;G362,F361&gt;=G361),FALSE())</f>
        <v>0</v>
      </c>
      <c r="L362" s="8" t="n">
        <f aca="false">IF(ISNUMBER(I362),E362-Inputs!$B$6*I362,"")</f>
        <v>0.816441978404126</v>
      </c>
      <c r="M362" s="9" t="b">
        <f aca="false">AND(Y361&gt;0,Z361)</f>
        <v>0</v>
      </c>
      <c r="N362" s="8" t="n">
        <f aca="false">B362*(1-Inputs!$B$12)</f>
        <v>0.831401685468007</v>
      </c>
      <c r="O362" s="10" t="n">
        <f aca="false">IF(M362,Y361*(N362-AB361)-Inputs!$B$9-Y361*AD361*Inputs!$B$13*(A362-AC361),0)</f>
        <v>0</v>
      </c>
      <c r="P362" s="10" t="n">
        <f aca="false">X361+O362</f>
        <v>1016.3844066801</v>
      </c>
      <c r="Q362" s="9" t="b">
        <f aca="false">AND(IF(M362,0,Y361)=0,AA361,IF(ISNUMBER(AE361),B362&gt;AE361,FALSE()))</f>
        <v>0</v>
      </c>
      <c r="R362" s="8" t="n">
        <f aca="false">B362*(1+Inputs!$B$12)</f>
        <v>0.831734312667634</v>
      </c>
      <c r="S362" s="11" t="n">
        <f aca="false">IF(Q362,MIN(P362*Inputs!$B$3/(R362-AE361),P362*Inputs!$B$11/R362),0)</f>
        <v>0</v>
      </c>
      <c r="T362" s="11" t="n">
        <f aca="false">IF(Q362,S362,IF(M362,0,Y361))</f>
        <v>0</v>
      </c>
      <c r="U362" s="8" t="n">
        <f aca="false">IF(Q362,AE361,AF361)</f>
        <v>0.938328062071903</v>
      </c>
      <c r="V362" s="9" t="b">
        <f aca="false">AND(T362&gt;0,D362&lt;=U362)</f>
        <v>0</v>
      </c>
      <c r="W362" s="10" t="n">
        <f aca="false">IF(V362,T362*(AK362-AB362)-Inputs!$B$9-T362*AD362*Inputs!$B$13*(A362-AC362),0)</f>
        <v>0</v>
      </c>
      <c r="X362" s="10" t="n">
        <f aca="false">P362-IF(Q362,Inputs!$B$9,0)+W362</f>
        <v>1016.3844066801</v>
      </c>
      <c r="Y362" s="11" t="n">
        <f aca="false">IF(V362,0,T362)</f>
        <v>0</v>
      </c>
      <c r="Z362" s="9" t="b">
        <f aca="false">AND(Y362&gt;0,K362)</f>
        <v>0</v>
      </c>
      <c r="AA362" s="9" t="b">
        <f aca="false">AND(Y362=0,J362,ISNUMBER(L362))</f>
        <v>0</v>
      </c>
      <c r="AB362" s="8" t="n">
        <f aca="false">IF(Q362,R362,AB361)</f>
        <v>0.95824964655134</v>
      </c>
      <c r="AC362" s="12" t="n">
        <f aca="false">IF(Q362,A362,AC361)</f>
        <v>45034</v>
      </c>
      <c r="AD362" s="8" t="n">
        <f aca="false">IF(Q362,B362,AD361)</f>
        <v>0.958058034944351</v>
      </c>
      <c r="AE362" s="8" t="str">
        <f aca="false">IF(AA362,L362,"")</f>
        <v/>
      </c>
      <c r="AF362" s="8" t="n">
        <f aca="false">U362</f>
        <v>0.938328062071903</v>
      </c>
      <c r="AG362" s="2" t="n">
        <f aca="false">AG361+IF(Q362,1,0)</f>
        <v>2</v>
      </c>
      <c r="AH362" s="2" t="n">
        <f aca="false">AG361</f>
        <v>2</v>
      </c>
      <c r="AI362" s="10" t="n">
        <f aca="false">X362+Y362*(E362-AB362)-Y362*AD362*Inputs!$B$13*(A362-AC362)</f>
        <v>1016.3844066801</v>
      </c>
      <c r="AJ362" s="10" t="n">
        <v>0</v>
      </c>
      <c r="AK362" s="8" t="n">
        <f aca="false">IF(AND(B362&lt;=U362,NOT(Q362)),B362,U362)*(1-Inputs!$B$12)</f>
        <v>0.831401685468007</v>
      </c>
    </row>
    <row r="363" customFormat="false" ht="15" hidden="false" customHeight="false" outlineLevel="0" collapsed="false">
      <c r="A363" s="6" t="n">
        <v>45147</v>
      </c>
      <c r="B363" s="7" t="n">
        <v>0.834705987429739</v>
      </c>
      <c r="C363" s="7" t="n">
        <v>0.846246126422486</v>
      </c>
      <c r="D363" s="7" t="n">
        <v>0.834621229889417</v>
      </c>
      <c r="E363" s="7" t="n">
        <v>0.843105697386952</v>
      </c>
      <c r="F363" s="8" t="n">
        <f aca="true">IF(ROW()-2&gt;=Inputs!$B$4,AVERAGE(OFFSET(E363,1-Inputs!$B$4,0,Inputs!$B$4,1)),"")</f>
        <v>0.847653747935867</v>
      </c>
      <c r="G363" s="8" t="n">
        <f aca="true">IF(ROW()-2&gt;=Inputs!$B$5,AVERAGE(OFFSET(E363,1-Inputs!$B$5,0,Inputs!$B$5,1)),"")</f>
        <v>0.862095361957855</v>
      </c>
      <c r="H363" s="8" t="n">
        <f aca="false">MAX(C363-D363,ABS(C363-E362),ABS(D363-E362))</f>
        <v>0.0116248965330684</v>
      </c>
      <c r="I363" s="8" t="n">
        <f aca="true">IF(ROW()-2&lt;14,"",IF(ROW()-2=14,AVERAGE(OFFSET(H363,-13,0,14,1)),(I362*13+H363)/14))</f>
        <v>0.00931006822853938</v>
      </c>
      <c r="J363" s="9" t="b">
        <f aca="false">IF(AND(ISNUMBER(F363),ISNUMBER(G363),ISNUMBER(F362),ISNUMBER(G362)),AND(F363&gt;G363,F362&lt;=G362),FALSE())</f>
        <v>0</v>
      </c>
      <c r="K363" s="9" t="b">
        <f aca="false">IF(AND(ISNUMBER(F363),ISNUMBER(G363),ISNUMBER(F362),ISNUMBER(G362)),AND(F363&lt;G363,F362&gt;=G362),FALSE())</f>
        <v>0</v>
      </c>
      <c r="L363" s="8" t="n">
        <f aca="false">IF(ISNUMBER(I363),E363-Inputs!$B$6*I363,"")</f>
        <v>0.824485560929873</v>
      </c>
      <c r="M363" s="9" t="b">
        <f aca="false">AND(Y362&gt;0,Z362)</f>
        <v>0</v>
      </c>
      <c r="N363" s="8" t="n">
        <f aca="false">B363*(1-Inputs!$B$12)</f>
        <v>0.834539046232253</v>
      </c>
      <c r="O363" s="10" t="n">
        <f aca="false">IF(M363,Y362*(N363-AB362)-Inputs!$B$9-Y362*AD362*Inputs!$B$13*(A363-AC362),0)</f>
        <v>0</v>
      </c>
      <c r="P363" s="10" t="n">
        <f aca="false">X362+O363</f>
        <v>1016.3844066801</v>
      </c>
      <c r="Q363" s="9" t="b">
        <f aca="false">AND(IF(M363,0,Y362)=0,AA362,IF(ISNUMBER(AE362),B363&gt;AE362,FALSE()))</f>
        <v>0</v>
      </c>
      <c r="R363" s="8" t="n">
        <f aca="false">B363*(1+Inputs!$B$12)</f>
        <v>0.834872928627225</v>
      </c>
      <c r="S363" s="11" t="n">
        <f aca="false">IF(Q363,MIN(P363*Inputs!$B$3/(R363-AE362),P363*Inputs!$B$11/R363),0)</f>
        <v>0</v>
      </c>
      <c r="T363" s="11" t="n">
        <f aca="false">IF(Q363,S363,IF(M363,0,Y362))</f>
        <v>0</v>
      </c>
      <c r="U363" s="8" t="n">
        <f aca="false">IF(Q363,AE362,AF362)</f>
        <v>0.938328062071903</v>
      </c>
      <c r="V363" s="9" t="b">
        <f aca="false">AND(T363&gt;0,D363&lt;=U363)</f>
        <v>0</v>
      </c>
      <c r="W363" s="10" t="n">
        <f aca="false">IF(V363,T363*(AK363-AB363)-Inputs!$B$9-T363*AD363*Inputs!$B$13*(A363-AC363),0)</f>
        <v>0</v>
      </c>
      <c r="X363" s="10" t="n">
        <f aca="false">P363-IF(Q363,Inputs!$B$9,0)+W363</f>
        <v>1016.3844066801</v>
      </c>
      <c r="Y363" s="11" t="n">
        <f aca="false">IF(V363,0,T363)</f>
        <v>0</v>
      </c>
      <c r="Z363" s="9" t="b">
        <f aca="false">AND(Y363&gt;0,K363)</f>
        <v>0</v>
      </c>
      <c r="AA363" s="9" t="b">
        <f aca="false">AND(Y363=0,J363,ISNUMBER(L363))</f>
        <v>0</v>
      </c>
      <c r="AB363" s="8" t="n">
        <f aca="false">IF(Q363,R363,AB362)</f>
        <v>0.95824964655134</v>
      </c>
      <c r="AC363" s="12" t="n">
        <f aca="false">IF(Q363,A363,AC362)</f>
        <v>45034</v>
      </c>
      <c r="AD363" s="8" t="n">
        <f aca="false">IF(Q363,B363,AD362)</f>
        <v>0.958058034944351</v>
      </c>
      <c r="AE363" s="8" t="str">
        <f aca="false">IF(AA363,L363,"")</f>
        <v/>
      </c>
      <c r="AF363" s="8" t="n">
        <f aca="false">U363</f>
        <v>0.938328062071903</v>
      </c>
      <c r="AG363" s="2" t="n">
        <f aca="false">AG362+IF(Q363,1,0)</f>
        <v>2</v>
      </c>
      <c r="AH363" s="2" t="n">
        <f aca="false">AG362</f>
        <v>2</v>
      </c>
      <c r="AI363" s="10" t="n">
        <f aca="false">X363+Y363*(E363-AB363)-Y363*AD363*Inputs!$B$13*(A363-AC363)</f>
        <v>1016.3844066801</v>
      </c>
      <c r="AJ363" s="10" t="n">
        <v>0</v>
      </c>
      <c r="AK363" s="8" t="n">
        <f aca="false">IF(AND(B363&lt;=U363,NOT(Q363)),B363,U363)*(1-Inputs!$B$12)</f>
        <v>0.834539046232253</v>
      </c>
    </row>
    <row r="364" customFormat="false" ht="15" hidden="false" customHeight="false" outlineLevel="0" collapsed="false">
      <c r="A364" s="6" t="n">
        <v>45148</v>
      </c>
      <c r="B364" s="7" t="n">
        <v>0.843105697386952</v>
      </c>
      <c r="C364" s="7" t="n">
        <v>0.845521974744419</v>
      </c>
      <c r="D364" s="7" t="n">
        <v>0.836938427996057</v>
      </c>
      <c r="E364" s="7" t="n">
        <v>0.841614018872482</v>
      </c>
      <c r="F364" s="8" t="n">
        <f aca="true">IF(ROW()-2&gt;=Inputs!$B$4,AVERAGE(OFFSET(E364,1-Inputs!$B$4,0,Inputs!$B$4,1)),"")</f>
        <v>0.84712807245262</v>
      </c>
      <c r="G364" s="8" t="n">
        <f aca="true">IF(ROW()-2&gt;=Inputs!$B$5,AVERAGE(OFFSET(E364,1-Inputs!$B$5,0,Inputs!$B$5,1)),"")</f>
        <v>0.861032759338325</v>
      </c>
      <c r="H364" s="8" t="n">
        <f aca="false">MAX(C364-D364,ABS(C364-E363),ABS(D364-E363))</f>
        <v>0.00858354674836181</v>
      </c>
      <c r="I364" s="8" t="n">
        <f aca="true">IF(ROW()-2&lt;14,"",IF(ROW()-2=14,AVERAGE(OFFSET(H364,-13,0,14,1)),(I363*13+H364)/14))</f>
        <v>0.00925817383709813</v>
      </c>
      <c r="J364" s="9" t="b">
        <f aca="false">IF(AND(ISNUMBER(F364),ISNUMBER(G364),ISNUMBER(F363),ISNUMBER(G363)),AND(F364&gt;G364,F363&lt;=G363),FALSE())</f>
        <v>0</v>
      </c>
      <c r="K364" s="9" t="b">
        <f aca="false">IF(AND(ISNUMBER(F364),ISNUMBER(G364),ISNUMBER(F363),ISNUMBER(G363)),AND(F364&lt;G364,F363&gt;=G363),FALSE())</f>
        <v>0</v>
      </c>
      <c r="L364" s="8" t="n">
        <f aca="false">IF(ISNUMBER(I364),E364-Inputs!$B$6*I364,"")</f>
        <v>0.823097671198286</v>
      </c>
      <c r="M364" s="9" t="b">
        <f aca="false">AND(Y363&gt;0,Z363)</f>
        <v>0</v>
      </c>
      <c r="N364" s="8" t="n">
        <f aca="false">B364*(1-Inputs!$B$12)</f>
        <v>0.842937076247475</v>
      </c>
      <c r="O364" s="10" t="n">
        <f aca="false">IF(M364,Y363*(N364-AB363)-Inputs!$B$9-Y363*AD363*Inputs!$B$13*(A364-AC363),0)</f>
        <v>0</v>
      </c>
      <c r="P364" s="10" t="n">
        <f aca="false">X363+O364</f>
        <v>1016.3844066801</v>
      </c>
      <c r="Q364" s="9" t="b">
        <f aca="false">AND(IF(M364,0,Y363)=0,AA363,IF(ISNUMBER(AE363),B364&gt;AE363,FALSE()))</f>
        <v>0</v>
      </c>
      <c r="R364" s="8" t="n">
        <f aca="false">B364*(1+Inputs!$B$12)</f>
        <v>0.843274318526429</v>
      </c>
      <c r="S364" s="11" t="n">
        <f aca="false">IF(Q364,MIN(P364*Inputs!$B$3/(R364-AE363),P364*Inputs!$B$11/R364),0)</f>
        <v>0</v>
      </c>
      <c r="T364" s="11" t="n">
        <f aca="false">IF(Q364,S364,IF(M364,0,Y363))</f>
        <v>0</v>
      </c>
      <c r="U364" s="8" t="n">
        <f aca="false">IF(Q364,AE363,AF363)</f>
        <v>0.938328062071903</v>
      </c>
      <c r="V364" s="9" t="b">
        <f aca="false">AND(T364&gt;0,D364&lt;=U364)</f>
        <v>0</v>
      </c>
      <c r="W364" s="10" t="n">
        <f aca="false">IF(V364,T364*(AK364-AB364)-Inputs!$B$9-T364*AD364*Inputs!$B$13*(A364-AC364),0)</f>
        <v>0</v>
      </c>
      <c r="X364" s="10" t="n">
        <f aca="false">P364-IF(Q364,Inputs!$B$9,0)+W364</f>
        <v>1016.3844066801</v>
      </c>
      <c r="Y364" s="11" t="n">
        <f aca="false">IF(V364,0,T364)</f>
        <v>0</v>
      </c>
      <c r="Z364" s="9" t="b">
        <f aca="false">AND(Y364&gt;0,K364)</f>
        <v>0</v>
      </c>
      <c r="AA364" s="9" t="b">
        <f aca="false">AND(Y364=0,J364,ISNUMBER(L364))</f>
        <v>0</v>
      </c>
      <c r="AB364" s="8" t="n">
        <f aca="false">IF(Q364,R364,AB363)</f>
        <v>0.95824964655134</v>
      </c>
      <c r="AC364" s="12" t="n">
        <f aca="false">IF(Q364,A364,AC363)</f>
        <v>45034</v>
      </c>
      <c r="AD364" s="8" t="n">
        <f aca="false">IF(Q364,B364,AD363)</f>
        <v>0.958058034944351</v>
      </c>
      <c r="AE364" s="8" t="str">
        <f aca="false">IF(AA364,L364,"")</f>
        <v/>
      </c>
      <c r="AF364" s="8" t="n">
        <f aca="false">U364</f>
        <v>0.938328062071903</v>
      </c>
      <c r="AG364" s="2" t="n">
        <f aca="false">AG363+IF(Q364,1,0)</f>
        <v>2</v>
      </c>
      <c r="AH364" s="2" t="n">
        <f aca="false">AG363</f>
        <v>2</v>
      </c>
      <c r="AI364" s="10" t="n">
        <f aca="false">X364+Y364*(E364-AB364)-Y364*AD364*Inputs!$B$13*(A364-AC364)</f>
        <v>1016.3844066801</v>
      </c>
      <c r="AJ364" s="10" t="n">
        <v>0</v>
      </c>
      <c r="AK364" s="8" t="n">
        <f aca="false">IF(AND(B364&lt;=U364,NOT(Q364)),B364,U364)*(1-Inputs!$B$12)</f>
        <v>0.842937076247475</v>
      </c>
    </row>
    <row r="365" customFormat="false" ht="15" hidden="false" customHeight="false" outlineLevel="0" collapsed="false">
      <c r="A365" s="6" t="n">
        <v>45149</v>
      </c>
      <c r="B365" s="7" t="n">
        <v>0.841614018872482</v>
      </c>
      <c r="C365" s="7" t="n">
        <v>0.850130131564046</v>
      </c>
      <c r="D365" s="7" t="n">
        <v>0.840250402972463</v>
      </c>
      <c r="E365" s="7" t="n">
        <v>0.848388391397262</v>
      </c>
      <c r="F365" s="8" t="n">
        <f aca="true">IF(ROW()-2&gt;=Inputs!$B$4,AVERAGE(OFFSET(E365,1-Inputs!$B$4,0,Inputs!$B$4,1)),"")</f>
        <v>0.846690995115751</v>
      </c>
      <c r="G365" s="8" t="n">
        <f aca="true">IF(ROW()-2&gt;=Inputs!$B$5,AVERAGE(OFFSET(E365,1-Inputs!$B$5,0,Inputs!$B$5,1)),"")</f>
        <v>0.860067948684591</v>
      </c>
      <c r="H365" s="8" t="n">
        <f aca="false">MAX(C365-D365,ABS(C365-E364),ABS(D365-E364))</f>
        <v>0.00987972859158282</v>
      </c>
      <c r="I365" s="8" t="n">
        <f aca="true">IF(ROW()-2&lt;14,"",IF(ROW()-2=14,AVERAGE(OFFSET(H365,-13,0,14,1)),(I364*13+H365)/14))</f>
        <v>0.00930257060527561</v>
      </c>
      <c r="J365" s="9" t="b">
        <f aca="false">IF(AND(ISNUMBER(F365),ISNUMBER(G365),ISNUMBER(F364),ISNUMBER(G364)),AND(F365&gt;G365,F364&lt;=G364),FALSE())</f>
        <v>0</v>
      </c>
      <c r="K365" s="9" t="b">
        <f aca="false">IF(AND(ISNUMBER(F365),ISNUMBER(G365),ISNUMBER(F364),ISNUMBER(G364)),AND(F365&lt;G365,F364&gt;=G364),FALSE())</f>
        <v>0</v>
      </c>
      <c r="L365" s="8" t="n">
        <f aca="false">IF(ISNUMBER(I365),E365-Inputs!$B$6*I365,"")</f>
        <v>0.829783250186711</v>
      </c>
      <c r="M365" s="9" t="b">
        <f aca="false">AND(Y364&gt;0,Z364)</f>
        <v>0</v>
      </c>
      <c r="N365" s="8" t="n">
        <f aca="false">B365*(1-Inputs!$B$12)</f>
        <v>0.841445696068707</v>
      </c>
      <c r="O365" s="10" t="n">
        <f aca="false">IF(M365,Y364*(N365-AB364)-Inputs!$B$9-Y364*AD364*Inputs!$B$13*(A365-AC364),0)</f>
        <v>0</v>
      </c>
      <c r="P365" s="10" t="n">
        <f aca="false">X364+O365</f>
        <v>1016.3844066801</v>
      </c>
      <c r="Q365" s="9" t="b">
        <f aca="false">AND(IF(M365,0,Y364)=0,AA364,IF(ISNUMBER(AE364),B365&gt;AE364,FALSE()))</f>
        <v>0</v>
      </c>
      <c r="R365" s="8" t="n">
        <f aca="false">B365*(1+Inputs!$B$12)</f>
        <v>0.841782341676256</v>
      </c>
      <c r="S365" s="11" t="n">
        <f aca="false">IF(Q365,MIN(P365*Inputs!$B$3/(R365-AE364),P365*Inputs!$B$11/R365),0)</f>
        <v>0</v>
      </c>
      <c r="T365" s="11" t="n">
        <f aca="false">IF(Q365,S365,IF(M365,0,Y364))</f>
        <v>0</v>
      </c>
      <c r="U365" s="8" t="n">
        <f aca="false">IF(Q365,AE364,AF364)</f>
        <v>0.938328062071903</v>
      </c>
      <c r="V365" s="9" t="b">
        <f aca="false">AND(T365&gt;0,D365&lt;=U365)</f>
        <v>0</v>
      </c>
      <c r="W365" s="10" t="n">
        <f aca="false">IF(V365,T365*(AK365-AB365)-Inputs!$B$9-T365*AD365*Inputs!$B$13*(A365-AC365),0)</f>
        <v>0</v>
      </c>
      <c r="X365" s="10" t="n">
        <f aca="false">P365-IF(Q365,Inputs!$B$9,0)+W365</f>
        <v>1016.3844066801</v>
      </c>
      <c r="Y365" s="11" t="n">
        <f aca="false">IF(V365,0,T365)</f>
        <v>0</v>
      </c>
      <c r="Z365" s="9" t="b">
        <f aca="false">AND(Y365&gt;0,K365)</f>
        <v>0</v>
      </c>
      <c r="AA365" s="9" t="b">
        <f aca="false">AND(Y365=0,J365,ISNUMBER(L365))</f>
        <v>0</v>
      </c>
      <c r="AB365" s="8" t="n">
        <f aca="false">IF(Q365,R365,AB364)</f>
        <v>0.95824964655134</v>
      </c>
      <c r="AC365" s="12" t="n">
        <f aca="false">IF(Q365,A365,AC364)</f>
        <v>45034</v>
      </c>
      <c r="AD365" s="8" t="n">
        <f aca="false">IF(Q365,B365,AD364)</f>
        <v>0.958058034944351</v>
      </c>
      <c r="AE365" s="8" t="str">
        <f aca="false">IF(AA365,L365,"")</f>
        <v/>
      </c>
      <c r="AF365" s="8" t="n">
        <f aca="false">U365</f>
        <v>0.938328062071903</v>
      </c>
      <c r="AG365" s="2" t="n">
        <f aca="false">AG364+IF(Q365,1,0)</f>
        <v>2</v>
      </c>
      <c r="AH365" s="2" t="n">
        <f aca="false">AG364</f>
        <v>2</v>
      </c>
      <c r="AI365" s="10" t="n">
        <f aca="false">X365+Y365*(E365-AB365)-Y365*AD365*Inputs!$B$13*(A365-AC365)</f>
        <v>1016.3844066801</v>
      </c>
      <c r="AJ365" s="10" t="n">
        <v>0</v>
      </c>
      <c r="AK365" s="8" t="n">
        <f aca="false">IF(AND(B365&lt;=U365,NOT(Q365)),B365,U365)*(1-Inputs!$B$12)</f>
        <v>0.841445696068707</v>
      </c>
    </row>
    <row r="366" customFormat="false" ht="15" hidden="false" customHeight="false" outlineLevel="0" collapsed="false">
      <c r="A366" s="6" t="n">
        <v>45150</v>
      </c>
      <c r="B366" s="7" t="n">
        <v>0.848388391397262</v>
      </c>
      <c r="C366" s="7" t="n">
        <v>0.856359400369207</v>
      </c>
      <c r="D366" s="7" t="n">
        <v>0.846037533024617</v>
      </c>
      <c r="E366" s="7" t="n">
        <v>0.854723950913409</v>
      </c>
      <c r="F366" s="8" t="n">
        <f aca="true">IF(ROW()-2&gt;=Inputs!$B$4,AVERAGE(OFFSET(E366,1-Inputs!$B$4,0,Inputs!$B$4,1)),"")</f>
        <v>0.846795196690391</v>
      </c>
      <c r="G366" s="8" t="n">
        <f aca="true">IF(ROW()-2&gt;=Inputs!$B$5,AVERAGE(OFFSET(E366,1-Inputs!$B$5,0,Inputs!$B$5,1)),"")</f>
        <v>0.859256380993518</v>
      </c>
      <c r="H366" s="8" t="n">
        <f aca="false">MAX(C366-D366,ABS(C366-E365),ABS(D366-E365))</f>
        <v>0.0103218673445898</v>
      </c>
      <c r="I366" s="8" t="n">
        <f aca="true">IF(ROW()-2&lt;14,"",IF(ROW()-2=14,AVERAGE(OFFSET(H366,-13,0,14,1)),(I365*13+H366)/14))</f>
        <v>0.00937537751522662</v>
      </c>
      <c r="J366" s="9" t="b">
        <f aca="false">IF(AND(ISNUMBER(F366),ISNUMBER(G366),ISNUMBER(F365),ISNUMBER(G365)),AND(F366&gt;G366,F365&lt;=G365),FALSE())</f>
        <v>0</v>
      </c>
      <c r="K366" s="9" t="b">
        <f aca="false">IF(AND(ISNUMBER(F366),ISNUMBER(G366),ISNUMBER(F365),ISNUMBER(G365)),AND(F366&lt;G366,F365&gt;=G365),FALSE())</f>
        <v>0</v>
      </c>
      <c r="L366" s="8" t="n">
        <f aca="false">IF(ISNUMBER(I366),E366-Inputs!$B$6*I366,"")</f>
        <v>0.835973195882956</v>
      </c>
      <c r="M366" s="9" t="b">
        <f aca="false">AND(Y365&gt;0,Z365)</f>
        <v>0</v>
      </c>
      <c r="N366" s="8" t="n">
        <f aca="false">B366*(1-Inputs!$B$12)</f>
        <v>0.848218713718983</v>
      </c>
      <c r="O366" s="10" t="n">
        <f aca="false">IF(M366,Y365*(N366-AB365)-Inputs!$B$9-Y365*AD365*Inputs!$B$13*(A366-AC365),0)</f>
        <v>0</v>
      </c>
      <c r="P366" s="10" t="n">
        <f aca="false">X365+O366</f>
        <v>1016.3844066801</v>
      </c>
      <c r="Q366" s="9" t="b">
        <f aca="false">AND(IF(M366,0,Y365)=0,AA365,IF(ISNUMBER(AE365),B366&gt;AE365,FALSE()))</f>
        <v>0</v>
      </c>
      <c r="R366" s="8" t="n">
        <f aca="false">B366*(1+Inputs!$B$12)</f>
        <v>0.848558069075542</v>
      </c>
      <c r="S366" s="11" t="n">
        <f aca="false">IF(Q366,MIN(P366*Inputs!$B$3/(R366-AE365),P366*Inputs!$B$11/R366),0)</f>
        <v>0</v>
      </c>
      <c r="T366" s="11" t="n">
        <f aca="false">IF(Q366,S366,IF(M366,0,Y365))</f>
        <v>0</v>
      </c>
      <c r="U366" s="8" t="n">
        <f aca="false">IF(Q366,AE365,AF365)</f>
        <v>0.938328062071903</v>
      </c>
      <c r="V366" s="9" t="b">
        <f aca="false">AND(T366&gt;0,D366&lt;=U366)</f>
        <v>0</v>
      </c>
      <c r="W366" s="10" t="n">
        <f aca="false">IF(V366,T366*(AK366-AB366)-Inputs!$B$9-T366*AD366*Inputs!$B$13*(A366-AC366),0)</f>
        <v>0</v>
      </c>
      <c r="X366" s="10" t="n">
        <f aca="false">P366-IF(Q366,Inputs!$B$9,0)+W366</f>
        <v>1016.3844066801</v>
      </c>
      <c r="Y366" s="11" t="n">
        <f aca="false">IF(V366,0,T366)</f>
        <v>0</v>
      </c>
      <c r="Z366" s="9" t="b">
        <f aca="false">AND(Y366&gt;0,K366)</f>
        <v>0</v>
      </c>
      <c r="AA366" s="9" t="b">
        <f aca="false">AND(Y366=0,J366,ISNUMBER(L366))</f>
        <v>0</v>
      </c>
      <c r="AB366" s="8" t="n">
        <f aca="false">IF(Q366,R366,AB365)</f>
        <v>0.95824964655134</v>
      </c>
      <c r="AC366" s="12" t="n">
        <f aca="false">IF(Q366,A366,AC365)</f>
        <v>45034</v>
      </c>
      <c r="AD366" s="8" t="n">
        <f aca="false">IF(Q366,B366,AD365)</f>
        <v>0.958058034944351</v>
      </c>
      <c r="AE366" s="8" t="str">
        <f aca="false">IF(AA366,L366,"")</f>
        <v/>
      </c>
      <c r="AF366" s="8" t="n">
        <f aca="false">U366</f>
        <v>0.938328062071903</v>
      </c>
      <c r="AG366" s="2" t="n">
        <f aca="false">AG365+IF(Q366,1,0)</f>
        <v>2</v>
      </c>
      <c r="AH366" s="2" t="n">
        <f aca="false">AG365</f>
        <v>2</v>
      </c>
      <c r="AI366" s="10" t="n">
        <f aca="false">X366+Y366*(E366-AB366)-Y366*AD366*Inputs!$B$13*(A366-AC366)</f>
        <v>1016.3844066801</v>
      </c>
      <c r="AJ366" s="10" t="n">
        <v>0</v>
      </c>
      <c r="AK366" s="8" t="n">
        <f aca="false">IF(AND(B366&lt;=U366,NOT(Q366)),B366,U366)*(1-Inputs!$B$12)</f>
        <v>0.848218713718983</v>
      </c>
    </row>
    <row r="367" customFormat="false" ht="15" hidden="false" customHeight="false" outlineLevel="0" collapsed="false">
      <c r="A367" s="6" t="n">
        <v>45151</v>
      </c>
      <c r="B367" s="7" t="n">
        <v>0.854723950913409</v>
      </c>
      <c r="C367" s="7" t="n">
        <v>0.862081127366307</v>
      </c>
      <c r="D367" s="7" t="n">
        <v>0.850085553526669</v>
      </c>
      <c r="E367" s="7" t="n">
        <v>0.859048559388878</v>
      </c>
      <c r="F367" s="8" t="n">
        <f aca="true">IF(ROW()-2&gt;=Inputs!$B$4,AVERAGE(OFFSET(E367,1-Inputs!$B$4,0,Inputs!$B$4,1)),"")</f>
        <v>0.846946769342704</v>
      </c>
      <c r="G367" s="8" t="n">
        <f aca="true">IF(ROW()-2&gt;=Inputs!$B$5,AVERAGE(OFFSET(E367,1-Inputs!$B$5,0,Inputs!$B$5,1)),"")</f>
        <v>0.858517506514419</v>
      </c>
      <c r="H367" s="8" t="n">
        <f aca="false">MAX(C367-D367,ABS(C367-E366),ABS(D367-E366))</f>
        <v>0.0119955738396375</v>
      </c>
      <c r="I367" s="8" t="n">
        <f aca="true">IF(ROW()-2&lt;14,"",IF(ROW()-2=14,AVERAGE(OFFSET(H367,-13,0,14,1)),(I366*13+H367)/14))</f>
        <v>0.00956253439554168</v>
      </c>
      <c r="J367" s="9" t="b">
        <f aca="false">IF(AND(ISNUMBER(F367),ISNUMBER(G367),ISNUMBER(F366),ISNUMBER(G366)),AND(F367&gt;G367,F366&lt;=G366),FALSE())</f>
        <v>0</v>
      </c>
      <c r="K367" s="9" t="b">
        <f aca="false">IF(AND(ISNUMBER(F367),ISNUMBER(G367),ISNUMBER(F366),ISNUMBER(G366)),AND(F367&lt;G367,F366&gt;=G366),FALSE())</f>
        <v>0</v>
      </c>
      <c r="L367" s="8" t="n">
        <f aca="false">IF(ISNUMBER(I367),E367-Inputs!$B$6*I367,"")</f>
        <v>0.839923490597794</v>
      </c>
      <c r="M367" s="9" t="b">
        <f aca="false">AND(Y366&gt;0,Z366)</f>
        <v>0</v>
      </c>
      <c r="N367" s="8" t="n">
        <f aca="false">B367*(1-Inputs!$B$12)</f>
        <v>0.854553006123227</v>
      </c>
      <c r="O367" s="10" t="n">
        <f aca="false">IF(M367,Y366*(N367-AB366)-Inputs!$B$9-Y366*AD366*Inputs!$B$13*(A367-AC366),0)</f>
        <v>0</v>
      </c>
      <c r="P367" s="10" t="n">
        <f aca="false">X366+O367</f>
        <v>1016.3844066801</v>
      </c>
      <c r="Q367" s="9" t="b">
        <f aca="false">AND(IF(M367,0,Y366)=0,AA366,IF(ISNUMBER(AE366),B367&gt;AE366,FALSE()))</f>
        <v>0</v>
      </c>
      <c r="R367" s="8" t="n">
        <f aca="false">B367*(1+Inputs!$B$12)</f>
        <v>0.854894895703592</v>
      </c>
      <c r="S367" s="11" t="n">
        <f aca="false">IF(Q367,MIN(P367*Inputs!$B$3/(R367-AE366),P367*Inputs!$B$11/R367),0)</f>
        <v>0</v>
      </c>
      <c r="T367" s="11" t="n">
        <f aca="false">IF(Q367,S367,IF(M367,0,Y366))</f>
        <v>0</v>
      </c>
      <c r="U367" s="8" t="n">
        <f aca="false">IF(Q367,AE366,AF366)</f>
        <v>0.938328062071903</v>
      </c>
      <c r="V367" s="9" t="b">
        <f aca="false">AND(T367&gt;0,D367&lt;=U367)</f>
        <v>0</v>
      </c>
      <c r="W367" s="10" t="n">
        <f aca="false">IF(V367,T367*(AK367-AB367)-Inputs!$B$9-T367*AD367*Inputs!$B$13*(A367-AC367),0)</f>
        <v>0</v>
      </c>
      <c r="X367" s="10" t="n">
        <f aca="false">P367-IF(Q367,Inputs!$B$9,0)+W367</f>
        <v>1016.3844066801</v>
      </c>
      <c r="Y367" s="11" t="n">
        <f aca="false">IF(V367,0,T367)</f>
        <v>0</v>
      </c>
      <c r="Z367" s="9" t="b">
        <f aca="false">AND(Y367&gt;0,K367)</f>
        <v>0</v>
      </c>
      <c r="AA367" s="9" t="b">
        <f aca="false">AND(Y367=0,J367,ISNUMBER(L367))</f>
        <v>0</v>
      </c>
      <c r="AB367" s="8" t="n">
        <f aca="false">IF(Q367,R367,AB366)</f>
        <v>0.95824964655134</v>
      </c>
      <c r="AC367" s="12" t="n">
        <f aca="false">IF(Q367,A367,AC366)</f>
        <v>45034</v>
      </c>
      <c r="AD367" s="8" t="n">
        <f aca="false">IF(Q367,B367,AD366)</f>
        <v>0.958058034944351</v>
      </c>
      <c r="AE367" s="8" t="str">
        <f aca="false">IF(AA367,L367,"")</f>
        <v/>
      </c>
      <c r="AF367" s="8" t="n">
        <f aca="false">U367</f>
        <v>0.938328062071903</v>
      </c>
      <c r="AG367" s="2" t="n">
        <f aca="false">AG366+IF(Q367,1,0)</f>
        <v>2</v>
      </c>
      <c r="AH367" s="2" t="n">
        <f aca="false">AG366</f>
        <v>2</v>
      </c>
      <c r="AI367" s="10" t="n">
        <f aca="false">X367+Y367*(E367-AB367)-Y367*AD367*Inputs!$B$13*(A367-AC367)</f>
        <v>1016.3844066801</v>
      </c>
      <c r="AJ367" s="10" t="n">
        <v>0</v>
      </c>
      <c r="AK367" s="8" t="n">
        <f aca="false">IF(AND(B367&lt;=U367,NOT(Q367)),B367,U367)*(1-Inputs!$B$12)</f>
        <v>0.854553006123227</v>
      </c>
    </row>
    <row r="368" customFormat="false" ht="15" hidden="false" customHeight="false" outlineLevel="0" collapsed="false">
      <c r="A368" s="6" t="n">
        <v>45152</v>
      </c>
      <c r="B368" s="7" t="n">
        <v>0.859048559388878</v>
      </c>
      <c r="C368" s="7" t="n">
        <v>0.86243402542597</v>
      </c>
      <c r="D368" s="7" t="n">
        <v>0.851867931032722</v>
      </c>
      <c r="E368" s="7" t="n">
        <v>0.855549220830302</v>
      </c>
      <c r="F368" s="8" t="n">
        <f aca="true">IF(ROW()-2&gt;=Inputs!$B$4,AVERAGE(OFFSET(E368,1-Inputs!$B$4,0,Inputs!$B$4,1)),"")</f>
        <v>0.846773031437237</v>
      </c>
      <c r="G368" s="8" t="n">
        <f aca="true">IF(ROW()-2&gt;=Inputs!$B$5,AVERAGE(OFFSET(E368,1-Inputs!$B$5,0,Inputs!$B$5,1)),"")</f>
        <v>0.857875842899502</v>
      </c>
      <c r="H368" s="8" t="n">
        <f aca="false">MAX(C368-D368,ABS(C368-E367),ABS(D368-E367))</f>
        <v>0.0105660943932477</v>
      </c>
      <c r="I368" s="8" t="n">
        <f aca="true">IF(ROW()-2&lt;14,"",IF(ROW()-2=14,AVERAGE(OFFSET(H368,-13,0,14,1)),(I367*13+H368)/14))</f>
        <v>0.00963421725252069</v>
      </c>
      <c r="J368" s="9" t="b">
        <f aca="false">IF(AND(ISNUMBER(F368),ISNUMBER(G368),ISNUMBER(F367),ISNUMBER(G367)),AND(F368&gt;G368,F367&lt;=G367),FALSE())</f>
        <v>0</v>
      </c>
      <c r="K368" s="9" t="b">
        <f aca="false">IF(AND(ISNUMBER(F368),ISNUMBER(G368),ISNUMBER(F367),ISNUMBER(G367)),AND(F368&lt;G368,F367&gt;=G367),FALSE())</f>
        <v>0</v>
      </c>
      <c r="L368" s="8" t="n">
        <f aca="false">IF(ISNUMBER(I368),E368-Inputs!$B$6*I368,"")</f>
        <v>0.836280786325261</v>
      </c>
      <c r="M368" s="9" t="b">
        <f aca="false">AND(Y367&gt;0,Z367)</f>
        <v>0</v>
      </c>
      <c r="N368" s="8" t="n">
        <f aca="false">B368*(1-Inputs!$B$12)</f>
        <v>0.858876749677</v>
      </c>
      <c r="O368" s="10" t="n">
        <f aca="false">IF(M368,Y367*(N368-AB367)-Inputs!$B$9-Y367*AD367*Inputs!$B$13*(A368-AC367),0)</f>
        <v>0</v>
      </c>
      <c r="P368" s="10" t="n">
        <f aca="false">X367+O368</f>
        <v>1016.3844066801</v>
      </c>
      <c r="Q368" s="9" t="b">
        <f aca="false">AND(IF(M368,0,Y367)=0,AA367,IF(ISNUMBER(AE367),B368&gt;AE367,FALSE()))</f>
        <v>0</v>
      </c>
      <c r="R368" s="8" t="n">
        <f aca="false">B368*(1+Inputs!$B$12)</f>
        <v>0.859220369100755</v>
      </c>
      <c r="S368" s="11" t="n">
        <f aca="false">IF(Q368,MIN(P368*Inputs!$B$3/(R368-AE367),P368*Inputs!$B$11/R368),0)</f>
        <v>0</v>
      </c>
      <c r="T368" s="11" t="n">
        <f aca="false">IF(Q368,S368,IF(M368,0,Y367))</f>
        <v>0</v>
      </c>
      <c r="U368" s="8" t="n">
        <f aca="false">IF(Q368,AE367,AF367)</f>
        <v>0.938328062071903</v>
      </c>
      <c r="V368" s="9" t="b">
        <f aca="false">AND(T368&gt;0,D368&lt;=U368)</f>
        <v>0</v>
      </c>
      <c r="W368" s="10" t="n">
        <f aca="false">IF(V368,T368*(AK368-AB368)-Inputs!$B$9-T368*AD368*Inputs!$B$13*(A368-AC368),0)</f>
        <v>0</v>
      </c>
      <c r="X368" s="10" t="n">
        <f aca="false">P368-IF(Q368,Inputs!$B$9,0)+W368</f>
        <v>1016.3844066801</v>
      </c>
      <c r="Y368" s="11" t="n">
        <f aca="false">IF(V368,0,T368)</f>
        <v>0</v>
      </c>
      <c r="Z368" s="9" t="b">
        <f aca="false">AND(Y368&gt;0,K368)</f>
        <v>0</v>
      </c>
      <c r="AA368" s="9" t="b">
        <f aca="false">AND(Y368=0,J368,ISNUMBER(L368))</f>
        <v>0</v>
      </c>
      <c r="AB368" s="8" t="n">
        <f aca="false">IF(Q368,R368,AB367)</f>
        <v>0.95824964655134</v>
      </c>
      <c r="AC368" s="12" t="n">
        <f aca="false">IF(Q368,A368,AC367)</f>
        <v>45034</v>
      </c>
      <c r="AD368" s="8" t="n">
        <f aca="false">IF(Q368,B368,AD367)</f>
        <v>0.958058034944351</v>
      </c>
      <c r="AE368" s="8" t="str">
        <f aca="false">IF(AA368,L368,"")</f>
        <v/>
      </c>
      <c r="AF368" s="8" t="n">
        <f aca="false">U368</f>
        <v>0.938328062071903</v>
      </c>
      <c r="AG368" s="2" t="n">
        <f aca="false">AG367+IF(Q368,1,0)</f>
        <v>2</v>
      </c>
      <c r="AH368" s="2" t="n">
        <f aca="false">AG367</f>
        <v>2</v>
      </c>
      <c r="AI368" s="10" t="n">
        <f aca="false">X368+Y368*(E368-AB368)-Y368*AD368*Inputs!$B$13*(A368-AC368)</f>
        <v>1016.3844066801</v>
      </c>
      <c r="AJ368" s="10" t="n">
        <v>0</v>
      </c>
      <c r="AK368" s="8" t="n">
        <f aca="false">IF(AND(B368&lt;=U368,NOT(Q368)),B368,U368)*(1-Inputs!$B$12)</f>
        <v>0.858876749677</v>
      </c>
    </row>
    <row r="369" customFormat="false" ht="15" hidden="false" customHeight="false" outlineLevel="0" collapsed="false">
      <c r="A369" s="6" t="n">
        <v>45153</v>
      </c>
      <c r="B369" s="7" t="n">
        <v>0.855549220830302</v>
      </c>
      <c r="C369" s="7" t="n">
        <v>0.860335317606889</v>
      </c>
      <c r="D369" s="7" t="n">
        <v>0.855200537265014</v>
      </c>
      <c r="E369" s="7" t="n">
        <v>0.86012327605299</v>
      </c>
      <c r="F369" s="8" t="n">
        <f aca="true">IF(ROW()-2&gt;=Inputs!$B$4,AVERAGE(OFFSET(E369,1-Inputs!$B$4,0,Inputs!$B$4,1)),"")</f>
        <v>0.847028344767368</v>
      </c>
      <c r="G369" s="8" t="n">
        <f aca="true">IF(ROW()-2&gt;=Inputs!$B$5,AVERAGE(OFFSET(E369,1-Inputs!$B$5,0,Inputs!$B$5,1)),"")</f>
        <v>0.857433350541709</v>
      </c>
      <c r="H369" s="8" t="n">
        <f aca="false">MAX(C369-D369,ABS(C369-E368),ABS(D369-E368))</f>
        <v>0.00513478034187509</v>
      </c>
      <c r="I369" s="8" t="n">
        <f aca="true">IF(ROW()-2&lt;14,"",IF(ROW()-2=14,AVERAGE(OFFSET(H369,-13,0,14,1)),(I368*13+H369)/14))</f>
        <v>0.00931282890176029</v>
      </c>
      <c r="J369" s="9" t="b">
        <f aca="false">IF(AND(ISNUMBER(F369),ISNUMBER(G369),ISNUMBER(F368),ISNUMBER(G368)),AND(F369&gt;G369,F368&lt;=G368),FALSE())</f>
        <v>0</v>
      </c>
      <c r="K369" s="9" t="b">
        <f aca="false">IF(AND(ISNUMBER(F369),ISNUMBER(G369),ISNUMBER(F368),ISNUMBER(G368)),AND(F369&lt;G369,F368&gt;=G368),FALSE())</f>
        <v>0</v>
      </c>
      <c r="L369" s="8" t="n">
        <f aca="false">IF(ISNUMBER(I369),E369-Inputs!$B$6*I369,"")</f>
        <v>0.841497618249469</v>
      </c>
      <c r="M369" s="9" t="b">
        <f aca="false">AND(Y368&gt;0,Z368)</f>
        <v>0</v>
      </c>
      <c r="N369" s="8" t="n">
        <f aca="false">B369*(1-Inputs!$B$12)</f>
        <v>0.855378110986136</v>
      </c>
      <c r="O369" s="10" t="n">
        <f aca="false">IF(M369,Y368*(N369-AB368)-Inputs!$B$9-Y368*AD368*Inputs!$B$13*(A369-AC368),0)</f>
        <v>0</v>
      </c>
      <c r="P369" s="10" t="n">
        <f aca="false">X368+O369</f>
        <v>1016.3844066801</v>
      </c>
      <c r="Q369" s="9" t="b">
        <f aca="false">AND(IF(M369,0,Y368)=0,AA368,IF(ISNUMBER(AE368),B369&gt;AE368,FALSE()))</f>
        <v>0</v>
      </c>
      <c r="R369" s="8" t="n">
        <f aca="false">B369*(1+Inputs!$B$12)</f>
        <v>0.855720330674468</v>
      </c>
      <c r="S369" s="11" t="n">
        <f aca="false">IF(Q369,MIN(P369*Inputs!$B$3/(R369-AE368),P369*Inputs!$B$11/R369),0)</f>
        <v>0</v>
      </c>
      <c r="T369" s="11" t="n">
        <f aca="false">IF(Q369,S369,IF(M369,0,Y368))</f>
        <v>0</v>
      </c>
      <c r="U369" s="8" t="n">
        <f aca="false">IF(Q369,AE368,AF368)</f>
        <v>0.938328062071903</v>
      </c>
      <c r="V369" s="9" t="b">
        <f aca="false">AND(T369&gt;0,D369&lt;=U369)</f>
        <v>0</v>
      </c>
      <c r="W369" s="10" t="n">
        <f aca="false">IF(V369,T369*(AK369-AB369)-Inputs!$B$9-T369*AD369*Inputs!$B$13*(A369-AC369),0)</f>
        <v>0</v>
      </c>
      <c r="X369" s="10" t="n">
        <f aca="false">P369-IF(Q369,Inputs!$B$9,0)+W369</f>
        <v>1016.3844066801</v>
      </c>
      <c r="Y369" s="11" t="n">
        <f aca="false">IF(V369,0,T369)</f>
        <v>0</v>
      </c>
      <c r="Z369" s="9" t="b">
        <f aca="false">AND(Y369&gt;0,K369)</f>
        <v>0</v>
      </c>
      <c r="AA369" s="9" t="b">
        <f aca="false">AND(Y369=0,J369,ISNUMBER(L369))</f>
        <v>0</v>
      </c>
      <c r="AB369" s="8" t="n">
        <f aca="false">IF(Q369,R369,AB368)</f>
        <v>0.95824964655134</v>
      </c>
      <c r="AC369" s="12" t="n">
        <f aca="false">IF(Q369,A369,AC368)</f>
        <v>45034</v>
      </c>
      <c r="AD369" s="8" t="n">
        <f aca="false">IF(Q369,B369,AD368)</f>
        <v>0.958058034944351</v>
      </c>
      <c r="AE369" s="8" t="str">
        <f aca="false">IF(AA369,L369,"")</f>
        <v/>
      </c>
      <c r="AF369" s="8" t="n">
        <f aca="false">U369</f>
        <v>0.938328062071903</v>
      </c>
      <c r="AG369" s="2" t="n">
        <f aca="false">AG368+IF(Q369,1,0)</f>
        <v>2</v>
      </c>
      <c r="AH369" s="2" t="n">
        <f aca="false">AG368</f>
        <v>2</v>
      </c>
      <c r="AI369" s="10" t="n">
        <f aca="false">X369+Y369*(E369-AB369)-Y369*AD369*Inputs!$B$13*(A369-AC369)</f>
        <v>1016.3844066801</v>
      </c>
      <c r="AJ369" s="10" t="n">
        <v>0</v>
      </c>
      <c r="AK369" s="8" t="n">
        <f aca="false">IF(AND(B369&lt;=U369,NOT(Q369)),B369,U369)*(1-Inputs!$B$12)</f>
        <v>0.855378110986136</v>
      </c>
    </row>
    <row r="370" customFormat="false" ht="15" hidden="false" customHeight="false" outlineLevel="0" collapsed="false">
      <c r="A370" s="6" t="n">
        <v>45154</v>
      </c>
      <c r="B370" s="7" t="n">
        <v>0.86012327605299</v>
      </c>
      <c r="C370" s="7" t="n">
        <v>0.86076123358598</v>
      </c>
      <c r="D370" s="7" t="n">
        <v>0.854299920347991</v>
      </c>
      <c r="E370" s="7" t="n">
        <v>0.856880008387374</v>
      </c>
      <c r="F370" s="8" t="n">
        <f aca="true">IF(ROW()-2&gt;=Inputs!$B$4,AVERAGE(OFFSET(E370,1-Inputs!$B$4,0,Inputs!$B$4,1)),"")</f>
        <v>0.846969226948877</v>
      </c>
      <c r="G370" s="8" t="n">
        <f aca="true">IF(ROW()-2&gt;=Inputs!$B$5,AVERAGE(OFFSET(E370,1-Inputs!$B$5,0,Inputs!$B$5,1)),"")</f>
        <v>0.856849452917259</v>
      </c>
      <c r="H370" s="8" t="n">
        <f aca="false">MAX(C370-D370,ABS(C370-E369),ABS(D370-E369))</f>
        <v>0.00646131323798904</v>
      </c>
      <c r="I370" s="8" t="n">
        <f aca="true">IF(ROW()-2&lt;14,"",IF(ROW()-2=14,AVERAGE(OFFSET(H370,-13,0,14,1)),(I369*13+H370)/14))</f>
        <v>0.00910914921149091</v>
      </c>
      <c r="J370" s="9" t="b">
        <f aca="false">IF(AND(ISNUMBER(F370),ISNUMBER(G370),ISNUMBER(F369),ISNUMBER(G369)),AND(F370&gt;G370,F369&lt;=G369),FALSE())</f>
        <v>0</v>
      </c>
      <c r="K370" s="9" t="b">
        <f aca="false">IF(AND(ISNUMBER(F370),ISNUMBER(G370),ISNUMBER(F369),ISNUMBER(G369)),AND(F370&lt;G370,F369&gt;=G369),FALSE())</f>
        <v>0</v>
      </c>
      <c r="L370" s="8" t="n">
        <f aca="false">IF(ISNUMBER(I370),E370-Inputs!$B$6*I370,"")</f>
        <v>0.838661709964392</v>
      </c>
      <c r="M370" s="9" t="b">
        <f aca="false">AND(Y369&gt;0,Z369)</f>
        <v>0</v>
      </c>
      <c r="N370" s="8" t="n">
        <f aca="false">B370*(1-Inputs!$B$12)</f>
        <v>0.859951251397779</v>
      </c>
      <c r="O370" s="10" t="n">
        <f aca="false">IF(M370,Y369*(N370-AB369)-Inputs!$B$9-Y369*AD369*Inputs!$B$13*(A370-AC369),0)</f>
        <v>0</v>
      </c>
      <c r="P370" s="10" t="n">
        <f aca="false">X369+O370</f>
        <v>1016.3844066801</v>
      </c>
      <c r="Q370" s="9" t="b">
        <f aca="false">AND(IF(M370,0,Y369)=0,AA369,IF(ISNUMBER(AE369),B370&gt;AE369,FALSE()))</f>
        <v>0</v>
      </c>
      <c r="R370" s="8" t="n">
        <f aca="false">B370*(1+Inputs!$B$12)</f>
        <v>0.8602953007082</v>
      </c>
      <c r="S370" s="11" t="n">
        <f aca="false">IF(Q370,MIN(P370*Inputs!$B$3/(R370-AE369),P370*Inputs!$B$11/R370),0)</f>
        <v>0</v>
      </c>
      <c r="T370" s="11" t="n">
        <f aca="false">IF(Q370,S370,IF(M370,0,Y369))</f>
        <v>0</v>
      </c>
      <c r="U370" s="8" t="n">
        <f aca="false">IF(Q370,AE369,AF369)</f>
        <v>0.938328062071903</v>
      </c>
      <c r="V370" s="9" t="b">
        <f aca="false">AND(T370&gt;0,D370&lt;=U370)</f>
        <v>0</v>
      </c>
      <c r="W370" s="10" t="n">
        <f aca="false">IF(V370,T370*(AK370-AB370)-Inputs!$B$9-T370*AD370*Inputs!$B$13*(A370-AC370),0)</f>
        <v>0</v>
      </c>
      <c r="X370" s="10" t="n">
        <f aca="false">P370-IF(Q370,Inputs!$B$9,0)+W370</f>
        <v>1016.3844066801</v>
      </c>
      <c r="Y370" s="11" t="n">
        <f aca="false">IF(V370,0,T370)</f>
        <v>0</v>
      </c>
      <c r="Z370" s="9" t="b">
        <f aca="false">AND(Y370&gt;0,K370)</f>
        <v>0</v>
      </c>
      <c r="AA370" s="9" t="b">
        <f aca="false">AND(Y370=0,J370,ISNUMBER(L370))</f>
        <v>0</v>
      </c>
      <c r="AB370" s="8" t="n">
        <f aca="false">IF(Q370,R370,AB369)</f>
        <v>0.95824964655134</v>
      </c>
      <c r="AC370" s="12" t="n">
        <f aca="false">IF(Q370,A370,AC369)</f>
        <v>45034</v>
      </c>
      <c r="AD370" s="8" t="n">
        <f aca="false">IF(Q370,B370,AD369)</f>
        <v>0.958058034944351</v>
      </c>
      <c r="AE370" s="8" t="str">
        <f aca="false">IF(AA370,L370,"")</f>
        <v/>
      </c>
      <c r="AF370" s="8" t="n">
        <f aca="false">U370</f>
        <v>0.938328062071903</v>
      </c>
      <c r="AG370" s="2" t="n">
        <f aca="false">AG369+IF(Q370,1,0)</f>
        <v>2</v>
      </c>
      <c r="AH370" s="2" t="n">
        <f aca="false">AG369</f>
        <v>2</v>
      </c>
      <c r="AI370" s="10" t="n">
        <f aca="false">X370+Y370*(E370-AB370)-Y370*AD370*Inputs!$B$13*(A370-AC370)</f>
        <v>1016.3844066801</v>
      </c>
      <c r="AJ370" s="10" t="n">
        <v>0</v>
      </c>
      <c r="AK370" s="8" t="n">
        <f aca="false">IF(AND(B370&lt;=U370,NOT(Q370)),B370,U370)*(1-Inputs!$B$12)</f>
        <v>0.859951251397779</v>
      </c>
    </row>
    <row r="371" customFormat="false" ht="15" hidden="false" customHeight="false" outlineLevel="0" collapsed="false">
      <c r="A371" s="6" t="n">
        <v>45155</v>
      </c>
      <c r="B371" s="7" t="n">
        <v>0.856880008387374</v>
      </c>
      <c r="C371" s="7" t="n">
        <v>0.859756765096672</v>
      </c>
      <c r="D371" s="7" t="n">
        <v>0.856009271512759</v>
      </c>
      <c r="E371" s="7" t="n">
        <v>0.858984253441544</v>
      </c>
      <c r="F371" s="8" t="n">
        <f aca="true">IF(ROW()-2&gt;=Inputs!$B$4,AVERAGE(OFFSET(E371,1-Inputs!$B$4,0,Inputs!$B$4,1)),"")</f>
        <v>0.847042291265571</v>
      </c>
      <c r="G371" s="8" t="n">
        <f aca="true">IF(ROW()-2&gt;=Inputs!$B$5,AVERAGE(OFFSET(E371,1-Inputs!$B$5,0,Inputs!$B$5,1)),"")</f>
        <v>0.856274391291046</v>
      </c>
      <c r="H371" s="8" t="n">
        <f aca="false">MAX(C371-D371,ABS(C371-E370),ABS(D371-E370))</f>
        <v>0.00374749358391313</v>
      </c>
      <c r="I371" s="8" t="n">
        <f aca="true">IF(ROW()-2&lt;14,"",IF(ROW()-2=14,AVERAGE(OFFSET(H371,-13,0,14,1)),(I370*13+H371)/14))</f>
        <v>0.00872617380952107</v>
      </c>
      <c r="J371" s="9" t="b">
        <f aca="false">IF(AND(ISNUMBER(F371),ISNUMBER(G371),ISNUMBER(F370),ISNUMBER(G370)),AND(F371&gt;G371,F370&lt;=G370),FALSE())</f>
        <v>0</v>
      </c>
      <c r="K371" s="9" t="b">
        <f aca="false">IF(AND(ISNUMBER(F371),ISNUMBER(G371),ISNUMBER(F370),ISNUMBER(G370)),AND(F371&lt;G371,F370&gt;=G370),FALSE())</f>
        <v>0</v>
      </c>
      <c r="L371" s="8" t="n">
        <f aca="false">IF(ISNUMBER(I371),E371-Inputs!$B$6*I371,"")</f>
        <v>0.841531905822502</v>
      </c>
      <c r="M371" s="9" t="b">
        <f aca="false">AND(Y370&gt;0,Z370)</f>
        <v>0</v>
      </c>
      <c r="N371" s="8" t="n">
        <f aca="false">B371*(1-Inputs!$B$12)</f>
        <v>0.856708632385697</v>
      </c>
      <c r="O371" s="10" t="n">
        <f aca="false">IF(M371,Y370*(N371-AB370)-Inputs!$B$9-Y370*AD370*Inputs!$B$13*(A371-AC370),0)</f>
        <v>0</v>
      </c>
      <c r="P371" s="10" t="n">
        <f aca="false">X370+O371</f>
        <v>1016.3844066801</v>
      </c>
      <c r="Q371" s="9" t="b">
        <f aca="false">AND(IF(M371,0,Y370)=0,AA370,IF(ISNUMBER(AE370),B371&gt;AE370,FALSE()))</f>
        <v>0</v>
      </c>
      <c r="R371" s="8" t="n">
        <f aca="false">B371*(1+Inputs!$B$12)</f>
        <v>0.857051384389052</v>
      </c>
      <c r="S371" s="11" t="n">
        <f aca="false">IF(Q371,MIN(P371*Inputs!$B$3/(R371-AE370),P371*Inputs!$B$11/R371),0)</f>
        <v>0</v>
      </c>
      <c r="T371" s="11" t="n">
        <f aca="false">IF(Q371,S371,IF(M371,0,Y370))</f>
        <v>0</v>
      </c>
      <c r="U371" s="8" t="n">
        <f aca="false">IF(Q371,AE370,AF370)</f>
        <v>0.938328062071903</v>
      </c>
      <c r="V371" s="9" t="b">
        <f aca="false">AND(T371&gt;0,D371&lt;=U371)</f>
        <v>0</v>
      </c>
      <c r="W371" s="10" t="n">
        <f aca="false">IF(V371,T371*(AK371-AB371)-Inputs!$B$9-T371*AD371*Inputs!$B$13*(A371-AC371),0)</f>
        <v>0</v>
      </c>
      <c r="X371" s="10" t="n">
        <f aca="false">P371-IF(Q371,Inputs!$B$9,0)+W371</f>
        <v>1016.3844066801</v>
      </c>
      <c r="Y371" s="11" t="n">
        <f aca="false">IF(V371,0,T371)</f>
        <v>0</v>
      </c>
      <c r="Z371" s="9" t="b">
        <f aca="false">AND(Y371&gt;0,K371)</f>
        <v>0</v>
      </c>
      <c r="AA371" s="9" t="b">
        <f aca="false">AND(Y371=0,J371,ISNUMBER(L371))</f>
        <v>0</v>
      </c>
      <c r="AB371" s="8" t="n">
        <f aca="false">IF(Q371,R371,AB370)</f>
        <v>0.95824964655134</v>
      </c>
      <c r="AC371" s="12" t="n">
        <f aca="false">IF(Q371,A371,AC370)</f>
        <v>45034</v>
      </c>
      <c r="AD371" s="8" t="n">
        <f aca="false">IF(Q371,B371,AD370)</f>
        <v>0.958058034944351</v>
      </c>
      <c r="AE371" s="8" t="str">
        <f aca="false">IF(AA371,L371,"")</f>
        <v/>
      </c>
      <c r="AF371" s="8" t="n">
        <f aca="false">U371</f>
        <v>0.938328062071903</v>
      </c>
      <c r="AG371" s="2" t="n">
        <f aca="false">AG370+IF(Q371,1,0)</f>
        <v>2</v>
      </c>
      <c r="AH371" s="2" t="n">
        <f aca="false">AG370</f>
        <v>2</v>
      </c>
      <c r="AI371" s="10" t="n">
        <f aca="false">X371+Y371*(E371-AB371)-Y371*AD371*Inputs!$B$13*(A371-AC371)</f>
        <v>1016.3844066801</v>
      </c>
      <c r="AJ371" s="10" t="n">
        <v>0</v>
      </c>
      <c r="AK371" s="8" t="n">
        <f aca="false">IF(AND(B371&lt;=U371,NOT(Q371)),B371,U371)*(1-Inputs!$B$12)</f>
        <v>0.856708632385697</v>
      </c>
    </row>
    <row r="372" customFormat="false" ht="15" hidden="false" customHeight="false" outlineLevel="0" collapsed="false">
      <c r="A372" s="6" t="n">
        <v>45156</v>
      </c>
      <c r="B372" s="7" t="n">
        <v>0.858984253441544</v>
      </c>
      <c r="C372" s="7" t="n">
        <v>0.859234848408957</v>
      </c>
      <c r="D372" s="7" t="n">
        <v>0.855826127563349</v>
      </c>
      <c r="E372" s="7" t="n">
        <v>0.856364602665899</v>
      </c>
      <c r="F372" s="8" t="n">
        <f aca="true">IF(ROW()-2&gt;=Inputs!$B$4,AVERAGE(OFFSET(E372,1-Inputs!$B$4,0,Inputs!$B$4,1)),"")</f>
        <v>0.847442822487043</v>
      </c>
      <c r="G372" s="8" t="n">
        <f aca="true">IF(ROW()-2&gt;=Inputs!$B$5,AVERAGE(OFFSET(E372,1-Inputs!$B$5,0,Inputs!$B$5,1)),"")</f>
        <v>0.855614049947398</v>
      </c>
      <c r="H372" s="8" t="n">
        <f aca="false">MAX(C372-D372,ABS(C372-E371),ABS(D372-E371))</f>
        <v>0.00340872084560806</v>
      </c>
      <c r="I372" s="8" t="n">
        <f aca="true">IF(ROW()-2&lt;14,"",IF(ROW()-2=14,AVERAGE(OFFSET(H372,-13,0,14,1)),(I371*13+H372)/14))</f>
        <v>0.00834635574067014</v>
      </c>
      <c r="J372" s="9" t="b">
        <f aca="false">IF(AND(ISNUMBER(F372),ISNUMBER(G372),ISNUMBER(F371),ISNUMBER(G371)),AND(F372&gt;G372,F371&lt;=G371),FALSE())</f>
        <v>0</v>
      </c>
      <c r="K372" s="9" t="b">
        <f aca="false">IF(AND(ISNUMBER(F372),ISNUMBER(G372),ISNUMBER(F371),ISNUMBER(G371)),AND(F372&lt;G372,F371&gt;=G371),FALSE())</f>
        <v>0</v>
      </c>
      <c r="L372" s="8" t="n">
        <f aca="false">IF(ISNUMBER(I372),E372-Inputs!$B$6*I372,"")</f>
        <v>0.839671891184559</v>
      </c>
      <c r="M372" s="9" t="b">
        <f aca="false">AND(Y371&gt;0,Z371)</f>
        <v>0</v>
      </c>
      <c r="N372" s="8" t="n">
        <f aca="false">B372*(1-Inputs!$B$12)</f>
        <v>0.858812456590856</v>
      </c>
      <c r="O372" s="10" t="n">
        <f aca="false">IF(M372,Y371*(N372-AB371)-Inputs!$B$9-Y371*AD371*Inputs!$B$13*(A372-AC371),0)</f>
        <v>0</v>
      </c>
      <c r="P372" s="10" t="n">
        <f aca="false">X371+O372</f>
        <v>1016.3844066801</v>
      </c>
      <c r="Q372" s="9" t="b">
        <f aca="false">AND(IF(M372,0,Y371)=0,AA371,IF(ISNUMBER(AE371),B372&gt;AE371,FALSE()))</f>
        <v>0</v>
      </c>
      <c r="R372" s="8" t="n">
        <f aca="false">B372*(1+Inputs!$B$12)</f>
        <v>0.859156050292233</v>
      </c>
      <c r="S372" s="11" t="n">
        <f aca="false">IF(Q372,MIN(P372*Inputs!$B$3/(R372-AE371),P372*Inputs!$B$11/R372),0)</f>
        <v>0</v>
      </c>
      <c r="T372" s="11" t="n">
        <f aca="false">IF(Q372,S372,IF(M372,0,Y371))</f>
        <v>0</v>
      </c>
      <c r="U372" s="8" t="n">
        <f aca="false">IF(Q372,AE371,AF371)</f>
        <v>0.938328062071903</v>
      </c>
      <c r="V372" s="9" t="b">
        <f aca="false">AND(T372&gt;0,D372&lt;=U372)</f>
        <v>0</v>
      </c>
      <c r="W372" s="10" t="n">
        <f aca="false">IF(V372,T372*(AK372-AB372)-Inputs!$B$9-T372*AD372*Inputs!$B$13*(A372-AC372),0)</f>
        <v>0</v>
      </c>
      <c r="X372" s="10" t="n">
        <f aca="false">P372-IF(Q372,Inputs!$B$9,0)+W372</f>
        <v>1016.3844066801</v>
      </c>
      <c r="Y372" s="11" t="n">
        <f aca="false">IF(V372,0,T372)</f>
        <v>0</v>
      </c>
      <c r="Z372" s="9" t="b">
        <f aca="false">AND(Y372&gt;0,K372)</f>
        <v>0</v>
      </c>
      <c r="AA372" s="9" t="b">
        <f aca="false">AND(Y372=0,J372,ISNUMBER(L372))</f>
        <v>0</v>
      </c>
      <c r="AB372" s="8" t="n">
        <f aca="false">IF(Q372,R372,AB371)</f>
        <v>0.95824964655134</v>
      </c>
      <c r="AC372" s="12" t="n">
        <f aca="false">IF(Q372,A372,AC371)</f>
        <v>45034</v>
      </c>
      <c r="AD372" s="8" t="n">
        <f aca="false">IF(Q372,B372,AD371)</f>
        <v>0.958058034944351</v>
      </c>
      <c r="AE372" s="8" t="str">
        <f aca="false">IF(AA372,L372,"")</f>
        <v/>
      </c>
      <c r="AF372" s="8" t="n">
        <f aca="false">U372</f>
        <v>0.938328062071903</v>
      </c>
      <c r="AG372" s="2" t="n">
        <f aca="false">AG371+IF(Q372,1,0)</f>
        <v>2</v>
      </c>
      <c r="AH372" s="2" t="n">
        <f aca="false">AG371</f>
        <v>2</v>
      </c>
      <c r="AI372" s="10" t="n">
        <f aca="false">X372+Y372*(E372-AB372)-Y372*AD372*Inputs!$B$13*(A372-AC372)</f>
        <v>1016.3844066801</v>
      </c>
      <c r="AJ372" s="10" t="n">
        <v>0</v>
      </c>
      <c r="AK372" s="8" t="n">
        <f aca="false">IF(AND(B372&lt;=U372,NOT(Q372)),B372,U372)*(1-Inputs!$B$12)</f>
        <v>0.858812456590856</v>
      </c>
    </row>
    <row r="373" customFormat="false" ht="15" hidden="false" customHeight="false" outlineLevel="0" collapsed="false">
      <c r="A373" s="6" t="n">
        <v>45157</v>
      </c>
      <c r="B373" s="7" t="n">
        <v>0.856364602665899</v>
      </c>
      <c r="C373" s="7" t="n">
        <v>0.857636881688377</v>
      </c>
      <c r="D373" s="7" t="n">
        <v>0.845062183386645</v>
      </c>
      <c r="E373" s="7" t="n">
        <v>0.84889596756111</v>
      </c>
      <c r="F373" s="8" t="n">
        <f aca="true">IF(ROW()-2&gt;=Inputs!$B$4,AVERAGE(OFFSET(E373,1-Inputs!$B$4,0,Inputs!$B$4,1)),"")</f>
        <v>0.847573885763541</v>
      </c>
      <c r="G373" s="8" t="n">
        <f aca="true">IF(ROW()-2&gt;=Inputs!$B$5,AVERAGE(OFFSET(E373,1-Inputs!$B$5,0,Inputs!$B$5,1)),"")</f>
        <v>0.855066395456794</v>
      </c>
      <c r="H373" s="8" t="n">
        <f aca="false">MAX(C373-D373,ABS(C373-E372),ABS(D373-E372))</f>
        <v>0.0125746983017325</v>
      </c>
      <c r="I373" s="8" t="n">
        <f aca="true">IF(ROW()-2&lt;14,"",IF(ROW()-2=14,AVERAGE(OFFSET(H373,-13,0,14,1)),(I372*13+H373)/14))</f>
        <v>0.00864838020931745</v>
      </c>
      <c r="J373" s="9" t="b">
        <f aca="false">IF(AND(ISNUMBER(F373),ISNUMBER(G373),ISNUMBER(F372),ISNUMBER(G372)),AND(F373&gt;G373,F372&lt;=G372),FALSE())</f>
        <v>0</v>
      </c>
      <c r="K373" s="9" t="b">
        <f aca="false">IF(AND(ISNUMBER(F373),ISNUMBER(G373),ISNUMBER(F372),ISNUMBER(G372)),AND(F373&lt;G373,F372&gt;=G372),FALSE())</f>
        <v>0</v>
      </c>
      <c r="L373" s="8" t="n">
        <f aca="false">IF(ISNUMBER(I373),E373-Inputs!$B$6*I373,"")</f>
        <v>0.831599207142475</v>
      </c>
      <c r="M373" s="9" t="b">
        <f aca="false">AND(Y372&gt;0,Z372)</f>
        <v>0</v>
      </c>
      <c r="N373" s="8" t="n">
        <f aca="false">B373*(1-Inputs!$B$12)</f>
        <v>0.856193329745366</v>
      </c>
      <c r="O373" s="10" t="n">
        <f aca="false">IF(M373,Y372*(N373-AB372)-Inputs!$B$9-Y372*AD372*Inputs!$B$13*(A373-AC372),0)</f>
        <v>0</v>
      </c>
      <c r="P373" s="10" t="n">
        <f aca="false">X372+O373</f>
        <v>1016.3844066801</v>
      </c>
      <c r="Q373" s="9" t="b">
        <f aca="false">AND(IF(M373,0,Y372)=0,AA372,IF(ISNUMBER(AE372),B373&gt;AE372,FALSE()))</f>
        <v>0</v>
      </c>
      <c r="R373" s="8" t="n">
        <f aca="false">B373*(1+Inputs!$B$12)</f>
        <v>0.856535875586432</v>
      </c>
      <c r="S373" s="11" t="n">
        <f aca="false">IF(Q373,MIN(P373*Inputs!$B$3/(R373-AE372),P373*Inputs!$B$11/R373),0)</f>
        <v>0</v>
      </c>
      <c r="T373" s="11" t="n">
        <f aca="false">IF(Q373,S373,IF(M373,0,Y372))</f>
        <v>0</v>
      </c>
      <c r="U373" s="8" t="n">
        <f aca="false">IF(Q373,AE372,AF372)</f>
        <v>0.938328062071903</v>
      </c>
      <c r="V373" s="9" t="b">
        <f aca="false">AND(T373&gt;0,D373&lt;=U373)</f>
        <v>0</v>
      </c>
      <c r="W373" s="10" t="n">
        <f aca="false">IF(V373,T373*(AK373-AB373)-Inputs!$B$9-T373*AD373*Inputs!$B$13*(A373-AC373),0)</f>
        <v>0</v>
      </c>
      <c r="X373" s="10" t="n">
        <f aca="false">P373-IF(Q373,Inputs!$B$9,0)+W373</f>
        <v>1016.3844066801</v>
      </c>
      <c r="Y373" s="11" t="n">
        <f aca="false">IF(V373,0,T373)</f>
        <v>0</v>
      </c>
      <c r="Z373" s="9" t="b">
        <f aca="false">AND(Y373&gt;0,K373)</f>
        <v>0</v>
      </c>
      <c r="AA373" s="9" t="b">
        <f aca="false">AND(Y373=0,J373,ISNUMBER(L373))</f>
        <v>0</v>
      </c>
      <c r="AB373" s="8" t="n">
        <f aca="false">IF(Q373,R373,AB372)</f>
        <v>0.95824964655134</v>
      </c>
      <c r="AC373" s="12" t="n">
        <f aca="false">IF(Q373,A373,AC372)</f>
        <v>45034</v>
      </c>
      <c r="AD373" s="8" t="n">
        <f aca="false">IF(Q373,B373,AD372)</f>
        <v>0.958058034944351</v>
      </c>
      <c r="AE373" s="8" t="str">
        <f aca="false">IF(AA373,L373,"")</f>
        <v/>
      </c>
      <c r="AF373" s="8" t="n">
        <f aca="false">U373</f>
        <v>0.938328062071903</v>
      </c>
      <c r="AG373" s="2" t="n">
        <f aca="false">AG372+IF(Q373,1,0)</f>
        <v>2</v>
      </c>
      <c r="AH373" s="2" t="n">
        <f aca="false">AG372</f>
        <v>2</v>
      </c>
      <c r="AI373" s="10" t="n">
        <f aca="false">X373+Y373*(E373-AB373)-Y373*AD373*Inputs!$B$13*(A373-AC373)</f>
        <v>1016.3844066801</v>
      </c>
      <c r="AJ373" s="10" t="n">
        <v>0</v>
      </c>
      <c r="AK373" s="8" t="n">
        <f aca="false">IF(AND(B373&lt;=U373,NOT(Q373)),B373,U373)*(1-Inputs!$B$12)</f>
        <v>0.856193329745366</v>
      </c>
    </row>
    <row r="374" customFormat="false" ht="15" hidden="false" customHeight="false" outlineLevel="0" collapsed="false">
      <c r="A374" s="6" t="n">
        <v>45158</v>
      </c>
      <c r="B374" s="7" t="n">
        <v>0.84889596756111</v>
      </c>
      <c r="C374" s="7" t="n">
        <v>0.851472625838939</v>
      </c>
      <c r="D374" s="7" t="n">
        <v>0.842629770477197</v>
      </c>
      <c r="E374" s="7" t="n">
        <v>0.844012374176806</v>
      </c>
      <c r="F374" s="8" t="n">
        <f aca="true">IF(ROW()-2&gt;=Inputs!$B$4,AVERAGE(OFFSET(E374,1-Inputs!$B$4,0,Inputs!$B$4,1)),"")</f>
        <v>0.847244654938587</v>
      </c>
      <c r="G374" s="8" t="n">
        <f aca="true">IF(ROW()-2&gt;=Inputs!$B$5,AVERAGE(OFFSET(E374,1-Inputs!$B$5,0,Inputs!$B$5,1)),"")</f>
        <v>0.854517507882714</v>
      </c>
      <c r="H374" s="8" t="n">
        <f aca="false">MAX(C374-D374,ABS(C374-E373),ABS(D374-E373))</f>
        <v>0.00884285536174168</v>
      </c>
      <c r="I374" s="8" t="n">
        <f aca="true">IF(ROW()-2&lt;14,"",IF(ROW()-2=14,AVERAGE(OFFSET(H374,-13,0,14,1)),(I373*13+H374)/14))</f>
        <v>0.00866227129163347</v>
      </c>
      <c r="J374" s="9" t="b">
        <f aca="false">IF(AND(ISNUMBER(F374),ISNUMBER(G374),ISNUMBER(F373),ISNUMBER(G373)),AND(F374&gt;G374,F373&lt;=G373),FALSE())</f>
        <v>0</v>
      </c>
      <c r="K374" s="9" t="b">
        <f aca="false">IF(AND(ISNUMBER(F374),ISNUMBER(G374),ISNUMBER(F373),ISNUMBER(G373)),AND(F374&lt;G374,F373&gt;=G373),FALSE())</f>
        <v>0</v>
      </c>
      <c r="L374" s="8" t="n">
        <f aca="false">IF(ISNUMBER(I374),E374-Inputs!$B$6*I374,"")</f>
        <v>0.826687831593539</v>
      </c>
      <c r="M374" s="9" t="b">
        <f aca="false">AND(Y373&gt;0,Z373)</f>
        <v>0</v>
      </c>
      <c r="N374" s="8" t="n">
        <f aca="false">B374*(1-Inputs!$B$12)</f>
        <v>0.848726188367598</v>
      </c>
      <c r="O374" s="10" t="n">
        <f aca="false">IF(M374,Y373*(N374-AB373)-Inputs!$B$9-Y373*AD373*Inputs!$B$13*(A374-AC373),0)</f>
        <v>0</v>
      </c>
      <c r="P374" s="10" t="n">
        <f aca="false">X373+O374</f>
        <v>1016.3844066801</v>
      </c>
      <c r="Q374" s="9" t="b">
        <f aca="false">AND(IF(M374,0,Y373)=0,AA373,IF(ISNUMBER(AE373),B374&gt;AE373,FALSE()))</f>
        <v>0</v>
      </c>
      <c r="R374" s="8" t="n">
        <f aca="false">B374*(1+Inputs!$B$12)</f>
        <v>0.849065746754622</v>
      </c>
      <c r="S374" s="11" t="n">
        <f aca="false">IF(Q374,MIN(P374*Inputs!$B$3/(R374-AE373),P374*Inputs!$B$11/R374),0)</f>
        <v>0</v>
      </c>
      <c r="T374" s="11" t="n">
        <f aca="false">IF(Q374,S374,IF(M374,0,Y373))</f>
        <v>0</v>
      </c>
      <c r="U374" s="8" t="n">
        <f aca="false">IF(Q374,AE373,AF373)</f>
        <v>0.938328062071903</v>
      </c>
      <c r="V374" s="9" t="b">
        <f aca="false">AND(T374&gt;0,D374&lt;=U374)</f>
        <v>0</v>
      </c>
      <c r="W374" s="10" t="n">
        <f aca="false">IF(V374,T374*(AK374-AB374)-Inputs!$B$9-T374*AD374*Inputs!$B$13*(A374-AC374),0)</f>
        <v>0</v>
      </c>
      <c r="X374" s="10" t="n">
        <f aca="false">P374-IF(Q374,Inputs!$B$9,0)+W374</f>
        <v>1016.3844066801</v>
      </c>
      <c r="Y374" s="11" t="n">
        <f aca="false">IF(V374,0,T374)</f>
        <v>0</v>
      </c>
      <c r="Z374" s="9" t="b">
        <f aca="false">AND(Y374&gt;0,K374)</f>
        <v>0</v>
      </c>
      <c r="AA374" s="9" t="b">
        <f aca="false">AND(Y374=0,J374,ISNUMBER(L374))</f>
        <v>0</v>
      </c>
      <c r="AB374" s="8" t="n">
        <f aca="false">IF(Q374,R374,AB373)</f>
        <v>0.95824964655134</v>
      </c>
      <c r="AC374" s="12" t="n">
        <f aca="false">IF(Q374,A374,AC373)</f>
        <v>45034</v>
      </c>
      <c r="AD374" s="8" t="n">
        <f aca="false">IF(Q374,B374,AD373)</f>
        <v>0.958058034944351</v>
      </c>
      <c r="AE374" s="8" t="str">
        <f aca="false">IF(AA374,L374,"")</f>
        <v/>
      </c>
      <c r="AF374" s="8" t="n">
        <f aca="false">U374</f>
        <v>0.938328062071903</v>
      </c>
      <c r="AG374" s="2" t="n">
        <f aca="false">AG373+IF(Q374,1,0)</f>
        <v>2</v>
      </c>
      <c r="AH374" s="2" t="n">
        <f aca="false">AG373</f>
        <v>2</v>
      </c>
      <c r="AI374" s="10" t="n">
        <f aca="false">X374+Y374*(E374-AB374)-Y374*AD374*Inputs!$B$13*(A374-AC374)</f>
        <v>1016.3844066801</v>
      </c>
      <c r="AJ374" s="10" t="n">
        <v>0</v>
      </c>
      <c r="AK374" s="8" t="n">
        <f aca="false">IF(AND(B374&lt;=U374,NOT(Q374)),B374,U374)*(1-Inputs!$B$12)</f>
        <v>0.848726188367598</v>
      </c>
    </row>
    <row r="375" customFormat="false" ht="15" hidden="false" customHeight="false" outlineLevel="0" collapsed="false">
      <c r="A375" s="6" t="n">
        <v>45159</v>
      </c>
      <c r="B375" s="7" t="n">
        <v>0.844012374176806</v>
      </c>
      <c r="C375" s="7" t="n">
        <v>0.846656577593926</v>
      </c>
      <c r="D375" s="7" t="n">
        <v>0.832364737636316</v>
      </c>
      <c r="E375" s="7" t="n">
        <v>0.834150190298747</v>
      </c>
      <c r="F375" s="8" t="n">
        <f aca="true">IF(ROW()-2&gt;=Inputs!$B$4,AVERAGE(OFFSET(E375,1-Inputs!$B$4,0,Inputs!$B$4,1)),"")</f>
        <v>0.846563416187885</v>
      </c>
      <c r="G375" s="8" t="n">
        <f aca="true">IF(ROW()-2&gt;=Inputs!$B$5,AVERAGE(OFFSET(E375,1-Inputs!$B$5,0,Inputs!$B$5,1)),"")</f>
        <v>0.853865431558331</v>
      </c>
      <c r="H375" s="8" t="n">
        <f aca="false">MAX(C375-D375,ABS(C375-E374),ABS(D375-E374))</f>
        <v>0.0142918399576104</v>
      </c>
      <c r="I375" s="8" t="n">
        <f aca="true">IF(ROW()-2&lt;14,"",IF(ROW()-2=14,AVERAGE(OFFSET(H375,-13,0,14,1)),(I374*13+H375)/14))</f>
        <v>0.00906438333920325</v>
      </c>
      <c r="J375" s="9" t="b">
        <f aca="false">IF(AND(ISNUMBER(F375),ISNUMBER(G375),ISNUMBER(F374),ISNUMBER(G374)),AND(F375&gt;G375,F374&lt;=G374),FALSE())</f>
        <v>0</v>
      </c>
      <c r="K375" s="9" t="b">
        <f aca="false">IF(AND(ISNUMBER(F375),ISNUMBER(G375),ISNUMBER(F374),ISNUMBER(G374)),AND(F375&lt;G375,F374&gt;=G374),FALSE())</f>
        <v>0</v>
      </c>
      <c r="L375" s="8" t="n">
        <f aca="false">IF(ISNUMBER(I375),E375-Inputs!$B$6*I375,"")</f>
        <v>0.816021423620341</v>
      </c>
      <c r="M375" s="9" t="b">
        <f aca="false">AND(Y374&gt;0,Z374)</f>
        <v>0</v>
      </c>
      <c r="N375" s="8" t="n">
        <f aca="false">B375*(1-Inputs!$B$12)</f>
        <v>0.843843571701971</v>
      </c>
      <c r="O375" s="10" t="n">
        <f aca="false">IF(M375,Y374*(N375-AB374)-Inputs!$B$9-Y374*AD374*Inputs!$B$13*(A375-AC374),0)</f>
        <v>0</v>
      </c>
      <c r="P375" s="10" t="n">
        <f aca="false">X374+O375</f>
        <v>1016.3844066801</v>
      </c>
      <c r="Q375" s="9" t="b">
        <f aca="false">AND(IF(M375,0,Y374)=0,AA374,IF(ISNUMBER(AE374),B375&gt;AE374,FALSE()))</f>
        <v>0</v>
      </c>
      <c r="R375" s="8" t="n">
        <f aca="false">B375*(1+Inputs!$B$12)</f>
        <v>0.844181176651642</v>
      </c>
      <c r="S375" s="11" t="n">
        <f aca="false">IF(Q375,MIN(P375*Inputs!$B$3/(R375-AE374),P375*Inputs!$B$11/R375),0)</f>
        <v>0</v>
      </c>
      <c r="T375" s="11" t="n">
        <f aca="false">IF(Q375,S375,IF(M375,0,Y374))</f>
        <v>0</v>
      </c>
      <c r="U375" s="8" t="n">
        <f aca="false">IF(Q375,AE374,AF374)</f>
        <v>0.938328062071903</v>
      </c>
      <c r="V375" s="9" t="b">
        <f aca="false">AND(T375&gt;0,D375&lt;=U375)</f>
        <v>0</v>
      </c>
      <c r="W375" s="10" t="n">
        <f aca="false">IF(V375,T375*(AK375-AB375)-Inputs!$B$9-T375*AD375*Inputs!$B$13*(A375-AC375),0)</f>
        <v>0</v>
      </c>
      <c r="X375" s="10" t="n">
        <f aca="false">P375-IF(Q375,Inputs!$B$9,0)+W375</f>
        <v>1016.3844066801</v>
      </c>
      <c r="Y375" s="11" t="n">
        <f aca="false">IF(V375,0,T375)</f>
        <v>0</v>
      </c>
      <c r="Z375" s="9" t="b">
        <f aca="false">AND(Y375&gt;0,K375)</f>
        <v>0</v>
      </c>
      <c r="AA375" s="9" t="b">
        <f aca="false">AND(Y375=0,J375,ISNUMBER(L375))</f>
        <v>0</v>
      </c>
      <c r="AB375" s="8" t="n">
        <f aca="false">IF(Q375,R375,AB374)</f>
        <v>0.95824964655134</v>
      </c>
      <c r="AC375" s="12" t="n">
        <f aca="false">IF(Q375,A375,AC374)</f>
        <v>45034</v>
      </c>
      <c r="AD375" s="8" t="n">
        <f aca="false">IF(Q375,B375,AD374)</f>
        <v>0.958058034944351</v>
      </c>
      <c r="AE375" s="8" t="str">
        <f aca="false">IF(AA375,L375,"")</f>
        <v/>
      </c>
      <c r="AF375" s="8" t="n">
        <f aca="false">U375</f>
        <v>0.938328062071903</v>
      </c>
      <c r="AG375" s="2" t="n">
        <f aca="false">AG374+IF(Q375,1,0)</f>
        <v>2</v>
      </c>
      <c r="AH375" s="2" t="n">
        <f aca="false">AG374</f>
        <v>2</v>
      </c>
      <c r="AI375" s="10" t="n">
        <f aca="false">X375+Y375*(E375-AB375)-Y375*AD375*Inputs!$B$13*(A375-AC375)</f>
        <v>1016.3844066801</v>
      </c>
      <c r="AJ375" s="10" t="n">
        <v>0</v>
      </c>
      <c r="AK375" s="8" t="n">
        <f aca="false">IF(AND(B375&lt;=U375,NOT(Q375)),B375,U375)*(1-Inputs!$B$12)</f>
        <v>0.843843571701971</v>
      </c>
    </row>
    <row r="376" customFormat="false" ht="15" hidden="false" customHeight="false" outlineLevel="0" collapsed="false">
      <c r="A376" s="6" t="n">
        <v>45160</v>
      </c>
      <c r="B376" s="7" t="n">
        <v>0.834150190298747</v>
      </c>
      <c r="C376" s="7" t="n">
        <v>0.837578639452246</v>
      </c>
      <c r="D376" s="7" t="n">
        <v>0.826842277815186</v>
      </c>
      <c r="E376" s="7" t="n">
        <v>0.829384136207198</v>
      </c>
      <c r="F376" s="8" t="n">
        <f aca="true">IF(ROW()-2&gt;=Inputs!$B$4,AVERAGE(OFFSET(E376,1-Inputs!$B$4,0,Inputs!$B$4,1)),"")</f>
        <v>0.845658388790453</v>
      </c>
      <c r="G376" s="8" t="n">
        <f aca="true">IF(ROW()-2&gt;=Inputs!$B$5,AVERAGE(OFFSET(E376,1-Inputs!$B$5,0,Inputs!$B$5,1)),"")</f>
        <v>0.853240022938724</v>
      </c>
      <c r="H376" s="8" t="n">
        <f aca="false">MAX(C376-D376,ABS(C376-E375),ABS(D376-E375))</f>
        <v>0.0107363616370604</v>
      </c>
      <c r="I376" s="8" t="n">
        <f aca="true">IF(ROW()-2&lt;14,"",IF(ROW()-2=14,AVERAGE(OFFSET(H376,-13,0,14,1)),(I375*13+H376)/14))</f>
        <v>0.00918381036047876</v>
      </c>
      <c r="J376" s="9" t="b">
        <f aca="false">IF(AND(ISNUMBER(F376),ISNUMBER(G376),ISNUMBER(F375),ISNUMBER(G375)),AND(F376&gt;G376,F375&lt;=G375),FALSE())</f>
        <v>0</v>
      </c>
      <c r="K376" s="9" t="b">
        <f aca="false">IF(AND(ISNUMBER(F376),ISNUMBER(G376),ISNUMBER(F375),ISNUMBER(G375)),AND(F376&lt;G376,F375&gt;=G375),FALSE())</f>
        <v>0</v>
      </c>
      <c r="L376" s="8" t="n">
        <f aca="false">IF(ISNUMBER(I376),E376-Inputs!$B$6*I376,"")</f>
        <v>0.81101651548624</v>
      </c>
      <c r="M376" s="9" t="b">
        <f aca="false">AND(Y375&gt;0,Z375)</f>
        <v>0</v>
      </c>
      <c r="N376" s="8" t="n">
        <f aca="false">B376*(1-Inputs!$B$12)</f>
        <v>0.833983360260687</v>
      </c>
      <c r="O376" s="10" t="n">
        <f aca="false">IF(M376,Y375*(N376-AB375)-Inputs!$B$9-Y375*AD375*Inputs!$B$13*(A376-AC375),0)</f>
        <v>0</v>
      </c>
      <c r="P376" s="10" t="n">
        <f aca="false">X375+O376</f>
        <v>1016.3844066801</v>
      </c>
      <c r="Q376" s="9" t="b">
        <f aca="false">AND(IF(M376,0,Y375)=0,AA375,IF(ISNUMBER(AE375),B376&gt;AE375,FALSE()))</f>
        <v>0</v>
      </c>
      <c r="R376" s="8" t="n">
        <f aca="false">B376*(1+Inputs!$B$12)</f>
        <v>0.834317020336807</v>
      </c>
      <c r="S376" s="11" t="n">
        <f aca="false">IF(Q376,MIN(P376*Inputs!$B$3/(R376-AE375),P376*Inputs!$B$11/R376),0)</f>
        <v>0</v>
      </c>
      <c r="T376" s="11" t="n">
        <f aca="false">IF(Q376,S376,IF(M376,0,Y375))</f>
        <v>0</v>
      </c>
      <c r="U376" s="8" t="n">
        <f aca="false">IF(Q376,AE375,AF375)</f>
        <v>0.938328062071903</v>
      </c>
      <c r="V376" s="9" t="b">
        <f aca="false">AND(T376&gt;0,D376&lt;=U376)</f>
        <v>0</v>
      </c>
      <c r="W376" s="10" t="n">
        <f aca="false">IF(V376,T376*(AK376-AB376)-Inputs!$B$9-T376*AD376*Inputs!$B$13*(A376-AC376),0)</f>
        <v>0</v>
      </c>
      <c r="X376" s="10" t="n">
        <f aca="false">P376-IF(Q376,Inputs!$B$9,0)+W376</f>
        <v>1016.3844066801</v>
      </c>
      <c r="Y376" s="11" t="n">
        <f aca="false">IF(V376,0,T376)</f>
        <v>0</v>
      </c>
      <c r="Z376" s="9" t="b">
        <f aca="false">AND(Y376&gt;0,K376)</f>
        <v>0</v>
      </c>
      <c r="AA376" s="9" t="b">
        <f aca="false">AND(Y376=0,J376,ISNUMBER(L376))</f>
        <v>0</v>
      </c>
      <c r="AB376" s="8" t="n">
        <f aca="false">IF(Q376,R376,AB375)</f>
        <v>0.95824964655134</v>
      </c>
      <c r="AC376" s="12" t="n">
        <f aca="false">IF(Q376,A376,AC375)</f>
        <v>45034</v>
      </c>
      <c r="AD376" s="8" t="n">
        <f aca="false">IF(Q376,B376,AD375)</f>
        <v>0.958058034944351</v>
      </c>
      <c r="AE376" s="8" t="str">
        <f aca="false">IF(AA376,L376,"")</f>
        <v/>
      </c>
      <c r="AF376" s="8" t="n">
        <f aca="false">U376</f>
        <v>0.938328062071903</v>
      </c>
      <c r="AG376" s="2" t="n">
        <f aca="false">AG375+IF(Q376,1,0)</f>
        <v>2</v>
      </c>
      <c r="AH376" s="2" t="n">
        <f aca="false">AG375</f>
        <v>2</v>
      </c>
      <c r="AI376" s="10" t="n">
        <f aca="false">X376+Y376*(E376-AB376)-Y376*AD376*Inputs!$B$13*(A376-AC376)</f>
        <v>1016.3844066801</v>
      </c>
      <c r="AJ376" s="10" t="n">
        <v>0</v>
      </c>
      <c r="AK376" s="8" t="n">
        <f aca="false">IF(AND(B376&lt;=U376,NOT(Q376)),B376,U376)*(1-Inputs!$B$12)</f>
        <v>0.833983360260687</v>
      </c>
    </row>
    <row r="377" customFormat="false" ht="15" hidden="false" customHeight="false" outlineLevel="0" collapsed="false">
      <c r="A377" s="6" t="n">
        <v>45161</v>
      </c>
      <c r="B377" s="7" t="n">
        <v>0.829384136207198</v>
      </c>
      <c r="C377" s="7" t="n">
        <v>0.830677451371293</v>
      </c>
      <c r="D377" s="7" t="n">
        <v>0.822605639866759</v>
      </c>
      <c r="E377" s="7" t="n">
        <v>0.824443451352942</v>
      </c>
      <c r="F377" s="8" t="n">
        <f aca="true">IF(ROW()-2&gt;=Inputs!$B$4,AVERAGE(OFFSET(E377,1-Inputs!$B$4,0,Inputs!$B$4,1)),"")</f>
        <v>0.844292728620084</v>
      </c>
      <c r="G377" s="8" t="n">
        <f aca="true">IF(ROW()-2&gt;=Inputs!$B$5,AVERAGE(OFFSET(E377,1-Inputs!$B$5,0,Inputs!$B$5,1)),"")</f>
        <v>0.852612579271041</v>
      </c>
      <c r="H377" s="8" t="n">
        <f aca="false">MAX(C377-D377,ABS(C377-E376),ABS(D377-E376))</f>
        <v>0.00807181150453429</v>
      </c>
      <c r="I377" s="8" t="n">
        <f aca="true">IF(ROW()-2&lt;14,"",IF(ROW()-2=14,AVERAGE(OFFSET(H377,-13,0,14,1)),(I376*13+H377)/14))</f>
        <v>0.00910438187076844</v>
      </c>
      <c r="J377" s="9" t="b">
        <f aca="false">IF(AND(ISNUMBER(F377),ISNUMBER(G377),ISNUMBER(F376),ISNUMBER(G376)),AND(F377&gt;G377,F376&lt;=G376),FALSE())</f>
        <v>0</v>
      </c>
      <c r="K377" s="9" t="b">
        <f aca="false">IF(AND(ISNUMBER(F377),ISNUMBER(G377),ISNUMBER(F376),ISNUMBER(G376)),AND(F377&lt;G377,F376&gt;=G376),FALSE())</f>
        <v>0</v>
      </c>
      <c r="L377" s="8" t="n">
        <f aca="false">IF(ISNUMBER(I377),E377-Inputs!$B$6*I377,"")</f>
        <v>0.806234687611405</v>
      </c>
      <c r="M377" s="9" t="b">
        <f aca="false">AND(Y376&gt;0,Z376)</f>
        <v>0</v>
      </c>
      <c r="N377" s="8" t="n">
        <f aca="false">B377*(1-Inputs!$B$12)</f>
        <v>0.829218259379956</v>
      </c>
      <c r="O377" s="10" t="n">
        <f aca="false">IF(M377,Y376*(N377-AB376)-Inputs!$B$9-Y376*AD376*Inputs!$B$13*(A377-AC376),0)</f>
        <v>0</v>
      </c>
      <c r="P377" s="10" t="n">
        <f aca="false">X376+O377</f>
        <v>1016.3844066801</v>
      </c>
      <c r="Q377" s="9" t="b">
        <f aca="false">AND(IF(M377,0,Y376)=0,AA376,IF(ISNUMBER(AE376),B377&gt;AE376,FALSE()))</f>
        <v>0</v>
      </c>
      <c r="R377" s="8" t="n">
        <f aca="false">B377*(1+Inputs!$B$12)</f>
        <v>0.829550013034439</v>
      </c>
      <c r="S377" s="11" t="n">
        <f aca="false">IF(Q377,MIN(P377*Inputs!$B$3/(R377-AE376),P377*Inputs!$B$11/R377),0)</f>
        <v>0</v>
      </c>
      <c r="T377" s="11" t="n">
        <f aca="false">IF(Q377,S377,IF(M377,0,Y376))</f>
        <v>0</v>
      </c>
      <c r="U377" s="8" t="n">
        <f aca="false">IF(Q377,AE376,AF376)</f>
        <v>0.938328062071903</v>
      </c>
      <c r="V377" s="9" t="b">
        <f aca="false">AND(T377&gt;0,D377&lt;=U377)</f>
        <v>0</v>
      </c>
      <c r="W377" s="10" t="n">
        <f aca="false">IF(V377,T377*(AK377-AB377)-Inputs!$B$9-T377*AD377*Inputs!$B$13*(A377-AC377),0)</f>
        <v>0</v>
      </c>
      <c r="X377" s="10" t="n">
        <f aca="false">P377-IF(Q377,Inputs!$B$9,0)+W377</f>
        <v>1016.3844066801</v>
      </c>
      <c r="Y377" s="11" t="n">
        <f aca="false">IF(V377,0,T377)</f>
        <v>0</v>
      </c>
      <c r="Z377" s="9" t="b">
        <f aca="false">AND(Y377&gt;0,K377)</f>
        <v>0</v>
      </c>
      <c r="AA377" s="9" t="b">
        <f aca="false">AND(Y377=0,J377,ISNUMBER(L377))</f>
        <v>0</v>
      </c>
      <c r="AB377" s="8" t="n">
        <f aca="false">IF(Q377,R377,AB376)</f>
        <v>0.95824964655134</v>
      </c>
      <c r="AC377" s="12" t="n">
        <f aca="false">IF(Q377,A377,AC376)</f>
        <v>45034</v>
      </c>
      <c r="AD377" s="8" t="n">
        <f aca="false">IF(Q377,B377,AD376)</f>
        <v>0.958058034944351</v>
      </c>
      <c r="AE377" s="8" t="str">
        <f aca="false">IF(AA377,L377,"")</f>
        <v/>
      </c>
      <c r="AF377" s="8" t="n">
        <f aca="false">U377</f>
        <v>0.938328062071903</v>
      </c>
      <c r="AG377" s="2" t="n">
        <f aca="false">AG376+IF(Q377,1,0)</f>
        <v>2</v>
      </c>
      <c r="AH377" s="2" t="n">
        <f aca="false">AG376</f>
        <v>2</v>
      </c>
      <c r="AI377" s="10" t="n">
        <f aca="false">X377+Y377*(E377-AB377)-Y377*AD377*Inputs!$B$13*(A377-AC377)</f>
        <v>1016.3844066801</v>
      </c>
      <c r="AJ377" s="10" t="n">
        <v>0</v>
      </c>
      <c r="AK377" s="8" t="n">
        <f aca="false">IF(AND(B377&lt;=U377,NOT(Q377)),B377,U377)*(1-Inputs!$B$12)</f>
        <v>0.829218259379956</v>
      </c>
    </row>
    <row r="378" customFormat="false" ht="15" hidden="false" customHeight="false" outlineLevel="0" collapsed="false">
      <c r="A378" s="6" t="n">
        <v>45162</v>
      </c>
      <c r="B378" s="7" t="n">
        <v>0.824443451352942</v>
      </c>
      <c r="C378" s="7" t="n">
        <v>0.827558134581167</v>
      </c>
      <c r="D378" s="7" t="n">
        <v>0.821317087228886</v>
      </c>
      <c r="E378" s="7" t="n">
        <v>0.824475829865478</v>
      </c>
      <c r="F378" s="8" t="n">
        <f aca="true">IF(ROW()-2&gt;=Inputs!$B$4,AVERAGE(OFFSET(E378,1-Inputs!$B$4,0,Inputs!$B$4,1)),"")</f>
        <v>0.843358440751863</v>
      </c>
      <c r="G378" s="8" t="n">
        <f aca="true">IF(ROW()-2&gt;=Inputs!$B$5,AVERAGE(OFFSET(E378,1-Inputs!$B$5,0,Inputs!$B$5,1)),"")</f>
        <v>0.851873975652758</v>
      </c>
      <c r="H378" s="8" t="n">
        <f aca="false">MAX(C378-D378,ABS(C378-E377),ABS(D378-E377))</f>
        <v>0.00624104735228104</v>
      </c>
      <c r="I378" s="8" t="n">
        <f aca="true">IF(ROW()-2&lt;14,"",IF(ROW()-2=14,AVERAGE(OFFSET(H378,-13,0,14,1)),(I377*13+H378)/14))</f>
        <v>0.00889985797659077</v>
      </c>
      <c r="J378" s="9" t="b">
        <f aca="false">IF(AND(ISNUMBER(F378),ISNUMBER(G378),ISNUMBER(F377),ISNUMBER(G377)),AND(F378&gt;G378,F377&lt;=G377),FALSE())</f>
        <v>0</v>
      </c>
      <c r="K378" s="9" t="b">
        <f aca="false">IF(AND(ISNUMBER(F378),ISNUMBER(G378),ISNUMBER(F377),ISNUMBER(G377)),AND(F378&lt;G378,F377&gt;=G377),FALSE())</f>
        <v>0</v>
      </c>
      <c r="L378" s="8" t="n">
        <f aca="false">IF(ISNUMBER(I378),E378-Inputs!$B$6*I378,"")</f>
        <v>0.806676113912297</v>
      </c>
      <c r="M378" s="9" t="b">
        <f aca="false">AND(Y377&gt;0,Z377)</f>
        <v>0</v>
      </c>
      <c r="N378" s="8" t="n">
        <f aca="false">B378*(1-Inputs!$B$12)</f>
        <v>0.824278562662671</v>
      </c>
      <c r="O378" s="10" t="n">
        <f aca="false">IF(M378,Y377*(N378-AB377)-Inputs!$B$9-Y377*AD377*Inputs!$B$13*(A378-AC377),0)</f>
        <v>0</v>
      </c>
      <c r="P378" s="10" t="n">
        <f aca="false">X377+O378</f>
        <v>1016.3844066801</v>
      </c>
      <c r="Q378" s="9" t="b">
        <f aca="false">AND(IF(M378,0,Y377)=0,AA377,IF(ISNUMBER(AE377),B378&gt;AE377,FALSE()))</f>
        <v>0</v>
      </c>
      <c r="R378" s="8" t="n">
        <f aca="false">B378*(1+Inputs!$B$12)</f>
        <v>0.824608340043213</v>
      </c>
      <c r="S378" s="11" t="n">
        <f aca="false">IF(Q378,MIN(P378*Inputs!$B$3/(R378-AE377),P378*Inputs!$B$11/R378),0)</f>
        <v>0</v>
      </c>
      <c r="T378" s="11" t="n">
        <f aca="false">IF(Q378,S378,IF(M378,0,Y377))</f>
        <v>0</v>
      </c>
      <c r="U378" s="8" t="n">
        <f aca="false">IF(Q378,AE377,AF377)</f>
        <v>0.938328062071903</v>
      </c>
      <c r="V378" s="9" t="b">
        <f aca="false">AND(T378&gt;0,D378&lt;=U378)</f>
        <v>0</v>
      </c>
      <c r="W378" s="10" t="n">
        <f aca="false">IF(V378,T378*(AK378-AB378)-Inputs!$B$9-T378*AD378*Inputs!$B$13*(A378-AC378),0)</f>
        <v>0</v>
      </c>
      <c r="X378" s="10" t="n">
        <f aca="false">P378-IF(Q378,Inputs!$B$9,0)+W378</f>
        <v>1016.3844066801</v>
      </c>
      <c r="Y378" s="11" t="n">
        <f aca="false">IF(V378,0,T378)</f>
        <v>0</v>
      </c>
      <c r="Z378" s="9" t="b">
        <f aca="false">AND(Y378&gt;0,K378)</f>
        <v>0</v>
      </c>
      <c r="AA378" s="9" t="b">
        <f aca="false">AND(Y378=0,J378,ISNUMBER(L378))</f>
        <v>0</v>
      </c>
      <c r="AB378" s="8" t="n">
        <f aca="false">IF(Q378,R378,AB377)</f>
        <v>0.95824964655134</v>
      </c>
      <c r="AC378" s="12" t="n">
        <f aca="false">IF(Q378,A378,AC377)</f>
        <v>45034</v>
      </c>
      <c r="AD378" s="8" t="n">
        <f aca="false">IF(Q378,B378,AD377)</f>
        <v>0.958058034944351</v>
      </c>
      <c r="AE378" s="8" t="str">
        <f aca="false">IF(AA378,L378,"")</f>
        <v/>
      </c>
      <c r="AF378" s="8" t="n">
        <f aca="false">U378</f>
        <v>0.938328062071903</v>
      </c>
      <c r="AG378" s="2" t="n">
        <f aca="false">AG377+IF(Q378,1,0)</f>
        <v>2</v>
      </c>
      <c r="AH378" s="2" t="n">
        <f aca="false">AG377</f>
        <v>2</v>
      </c>
      <c r="AI378" s="10" t="n">
        <f aca="false">X378+Y378*(E378-AB378)-Y378*AD378*Inputs!$B$13*(A378-AC378)</f>
        <v>1016.3844066801</v>
      </c>
      <c r="AJ378" s="10" t="n">
        <v>0</v>
      </c>
      <c r="AK378" s="8" t="n">
        <f aca="false">IF(AND(B378&lt;=U378,NOT(Q378)),B378,U378)*(1-Inputs!$B$12)</f>
        <v>0.824278562662671</v>
      </c>
    </row>
    <row r="379" customFormat="false" ht="15" hidden="false" customHeight="false" outlineLevel="0" collapsed="false">
      <c r="A379" s="6" t="n">
        <v>45163</v>
      </c>
      <c r="B379" s="7" t="n">
        <v>0.824475829865478</v>
      </c>
      <c r="C379" s="7" t="n">
        <v>0.832356928702497</v>
      </c>
      <c r="D379" s="7" t="n">
        <v>0.822423557213591</v>
      </c>
      <c r="E379" s="7" t="n">
        <v>0.831750534828099</v>
      </c>
      <c r="F379" s="8" t="n">
        <f aca="true">IF(ROW()-2&gt;=Inputs!$B$4,AVERAGE(OFFSET(E379,1-Inputs!$B$4,0,Inputs!$B$4,1)),"")</f>
        <v>0.843327275750783</v>
      </c>
      <c r="G379" s="8" t="n">
        <f aca="true">IF(ROW()-2&gt;=Inputs!$B$5,AVERAGE(OFFSET(E379,1-Inputs!$B$5,0,Inputs!$B$5,1)),"")</f>
        <v>0.851376967444253</v>
      </c>
      <c r="H379" s="8" t="n">
        <f aca="false">MAX(C379-D379,ABS(C379-E378),ABS(D379-E378))</f>
        <v>0.00993337148890583</v>
      </c>
      <c r="I379" s="8" t="n">
        <f aca="true">IF(ROW()-2&lt;14,"",IF(ROW()-2=14,AVERAGE(OFFSET(H379,-13,0,14,1)),(I378*13+H379)/14))</f>
        <v>0.00897368037032756</v>
      </c>
      <c r="J379" s="9" t="b">
        <f aca="false">IF(AND(ISNUMBER(F379),ISNUMBER(G379),ISNUMBER(F378),ISNUMBER(G378)),AND(F379&gt;G379,F378&lt;=G378),FALSE())</f>
        <v>0</v>
      </c>
      <c r="K379" s="9" t="b">
        <f aca="false">IF(AND(ISNUMBER(F379),ISNUMBER(G379),ISNUMBER(F378),ISNUMBER(G378)),AND(F379&lt;G379,F378&gt;=G378),FALSE())</f>
        <v>0</v>
      </c>
      <c r="L379" s="8" t="n">
        <f aca="false">IF(ISNUMBER(I379),E379-Inputs!$B$6*I379,"")</f>
        <v>0.813803174087444</v>
      </c>
      <c r="M379" s="9" t="b">
        <f aca="false">AND(Y378&gt;0,Z378)</f>
        <v>0</v>
      </c>
      <c r="N379" s="8" t="n">
        <f aca="false">B379*(1-Inputs!$B$12)</f>
        <v>0.824310934699505</v>
      </c>
      <c r="O379" s="10" t="n">
        <f aca="false">IF(M379,Y378*(N379-AB378)-Inputs!$B$9-Y378*AD378*Inputs!$B$13*(A379-AC378),0)</f>
        <v>0</v>
      </c>
      <c r="P379" s="10" t="n">
        <f aca="false">X378+O379</f>
        <v>1016.3844066801</v>
      </c>
      <c r="Q379" s="9" t="b">
        <f aca="false">AND(IF(M379,0,Y378)=0,AA378,IF(ISNUMBER(AE378),B379&gt;AE378,FALSE()))</f>
        <v>0</v>
      </c>
      <c r="R379" s="8" t="n">
        <f aca="false">B379*(1+Inputs!$B$12)</f>
        <v>0.824640725031452</v>
      </c>
      <c r="S379" s="11" t="n">
        <f aca="false">IF(Q379,MIN(P379*Inputs!$B$3/(R379-AE378),P379*Inputs!$B$11/R379),0)</f>
        <v>0</v>
      </c>
      <c r="T379" s="11" t="n">
        <f aca="false">IF(Q379,S379,IF(M379,0,Y378))</f>
        <v>0</v>
      </c>
      <c r="U379" s="8" t="n">
        <f aca="false">IF(Q379,AE378,AF378)</f>
        <v>0.938328062071903</v>
      </c>
      <c r="V379" s="9" t="b">
        <f aca="false">AND(T379&gt;0,D379&lt;=U379)</f>
        <v>0</v>
      </c>
      <c r="W379" s="10" t="n">
        <f aca="false">IF(V379,T379*(AK379-AB379)-Inputs!$B$9-T379*AD379*Inputs!$B$13*(A379-AC379),0)</f>
        <v>0</v>
      </c>
      <c r="X379" s="10" t="n">
        <f aca="false">P379-IF(Q379,Inputs!$B$9,0)+W379</f>
        <v>1016.3844066801</v>
      </c>
      <c r="Y379" s="11" t="n">
        <f aca="false">IF(V379,0,T379)</f>
        <v>0</v>
      </c>
      <c r="Z379" s="9" t="b">
        <f aca="false">AND(Y379&gt;0,K379)</f>
        <v>0</v>
      </c>
      <c r="AA379" s="9" t="b">
        <f aca="false">AND(Y379=0,J379,ISNUMBER(L379))</f>
        <v>0</v>
      </c>
      <c r="AB379" s="8" t="n">
        <f aca="false">IF(Q379,R379,AB378)</f>
        <v>0.95824964655134</v>
      </c>
      <c r="AC379" s="12" t="n">
        <f aca="false">IF(Q379,A379,AC378)</f>
        <v>45034</v>
      </c>
      <c r="AD379" s="8" t="n">
        <f aca="false">IF(Q379,B379,AD378)</f>
        <v>0.958058034944351</v>
      </c>
      <c r="AE379" s="8" t="str">
        <f aca="false">IF(AA379,L379,"")</f>
        <v/>
      </c>
      <c r="AF379" s="8" t="n">
        <f aca="false">U379</f>
        <v>0.938328062071903</v>
      </c>
      <c r="AG379" s="2" t="n">
        <f aca="false">AG378+IF(Q379,1,0)</f>
        <v>2</v>
      </c>
      <c r="AH379" s="2" t="n">
        <f aca="false">AG378</f>
        <v>2</v>
      </c>
      <c r="AI379" s="10" t="n">
        <f aca="false">X379+Y379*(E379-AB379)-Y379*AD379*Inputs!$B$13*(A379-AC379)</f>
        <v>1016.3844066801</v>
      </c>
      <c r="AJ379" s="10" t="n">
        <v>0</v>
      </c>
      <c r="AK379" s="8" t="n">
        <f aca="false">IF(AND(B379&lt;=U379,NOT(Q379)),B379,U379)*(1-Inputs!$B$12)</f>
        <v>0.824310934699505</v>
      </c>
    </row>
    <row r="380" customFormat="false" ht="15" hidden="false" customHeight="false" outlineLevel="0" collapsed="false">
      <c r="A380" s="6" t="n">
        <v>45164</v>
      </c>
      <c r="B380" s="7" t="n">
        <v>0.831750534828099</v>
      </c>
      <c r="C380" s="7" t="n">
        <v>0.839963741946393</v>
      </c>
      <c r="D380" s="7" t="n">
        <v>0.829493407514357</v>
      </c>
      <c r="E380" s="7" t="n">
        <v>0.833695226983405</v>
      </c>
      <c r="F380" s="8" t="n">
        <f aca="true">IF(ROW()-2&gt;=Inputs!$B$4,AVERAGE(OFFSET(E380,1-Inputs!$B$4,0,Inputs!$B$4,1)),"")</f>
        <v>0.843593183855422</v>
      </c>
      <c r="G380" s="8" t="n">
        <f aca="true">IF(ROW()-2&gt;=Inputs!$B$5,AVERAGE(OFFSET(E380,1-Inputs!$B$5,0,Inputs!$B$5,1)),"")</f>
        <v>0.850894691137239</v>
      </c>
      <c r="H380" s="8" t="n">
        <f aca="false">MAX(C380-D380,ABS(C380-E379),ABS(D380-E379))</f>
        <v>0.0104703344320358</v>
      </c>
      <c r="I380" s="8" t="n">
        <f aca="true">IF(ROW()-2&lt;14,"",IF(ROW()-2=14,AVERAGE(OFFSET(H380,-13,0,14,1)),(I379*13+H380)/14))</f>
        <v>0.00908058423187815</v>
      </c>
      <c r="J380" s="9" t="b">
        <f aca="false">IF(AND(ISNUMBER(F380),ISNUMBER(G380),ISNUMBER(F379),ISNUMBER(G379)),AND(F380&gt;G380,F379&lt;=G379),FALSE())</f>
        <v>0</v>
      </c>
      <c r="K380" s="9" t="b">
        <f aca="false">IF(AND(ISNUMBER(F380),ISNUMBER(G380),ISNUMBER(F379),ISNUMBER(G379)),AND(F380&lt;G380,F379&gt;=G379),FALSE())</f>
        <v>0</v>
      </c>
      <c r="L380" s="8" t="n">
        <f aca="false">IF(ISNUMBER(I380),E380-Inputs!$B$6*I380,"")</f>
        <v>0.815534058519649</v>
      </c>
      <c r="M380" s="9" t="b">
        <f aca="false">AND(Y379&gt;0,Z379)</f>
        <v>0</v>
      </c>
      <c r="N380" s="8" t="n">
        <f aca="false">B380*(1-Inputs!$B$12)</f>
        <v>0.831584184721133</v>
      </c>
      <c r="O380" s="10" t="n">
        <f aca="false">IF(M380,Y379*(N380-AB379)-Inputs!$B$9-Y379*AD379*Inputs!$B$13*(A380-AC379),0)</f>
        <v>0</v>
      </c>
      <c r="P380" s="10" t="n">
        <f aca="false">X379+O380</f>
        <v>1016.3844066801</v>
      </c>
      <c r="Q380" s="9" t="b">
        <f aca="false">AND(IF(M380,0,Y379)=0,AA379,IF(ISNUMBER(AE379),B380&gt;AE379,FALSE()))</f>
        <v>0</v>
      </c>
      <c r="R380" s="8" t="n">
        <f aca="false">B380*(1+Inputs!$B$12)</f>
        <v>0.831916884935065</v>
      </c>
      <c r="S380" s="11" t="n">
        <f aca="false">IF(Q380,MIN(P380*Inputs!$B$3/(R380-AE379),P380*Inputs!$B$11/R380),0)</f>
        <v>0</v>
      </c>
      <c r="T380" s="11" t="n">
        <f aca="false">IF(Q380,S380,IF(M380,0,Y379))</f>
        <v>0</v>
      </c>
      <c r="U380" s="8" t="n">
        <f aca="false">IF(Q380,AE379,AF379)</f>
        <v>0.938328062071903</v>
      </c>
      <c r="V380" s="9" t="b">
        <f aca="false">AND(T380&gt;0,D380&lt;=U380)</f>
        <v>0</v>
      </c>
      <c r="W380" s="10" t="n">
        <f aca="false">IF(V380,T380*(AK380-AB380)-Inputs!$B$9-T380*AD380*Inputs!$B$13*(A380-AC380),0)</f>
        <v>0</v>
      </c>
      <c r="X380" s="10" t="n">
        <f aca="false">P380-IF(Q380,Inputs!$B$9,0)+W380</f>
        <v>1016.3844066801</v>
      </c>
      <c r="Y380" s="11" t="n">
        <f aca="false">IF(V380,0,T380)</f>
        <v>0</v>
      </c>
      <c r="Z380" s="9" t="b">
        <f aca="false">AND(Y380&gt;0,K380)</f>
        <v>0</v>
      </c>
      <c r="AA380" s="9" t="b">
        <f aca="false">AND(Y380=0,J380,ISNUMBER(L380))</f>
        <v>0</v>
      </c>
      <c r="AB380" s="8" t="n">
        <f aca="false">IF(Q380,R380,AB379)</f>
        <v>0.95824964655134</v>
      </c>
      <c r="AC380" s="12" t="n">
        <f aca="false">IF(Q380,A380,AC379)</f>
        <v>45034</v>
      </c>
      <c r="AD380" s="8" t="n">
        <f aca="false">IF(Q380,B380,AD379)</f>
        <v>0.958058034944351</v>
      </c>
      <c r="AE380" s="8" t="str">
        <f aca="false">IF(AA380,L380,"")</f>
        <v/>
      </c>
      <c r="AF380" s="8" t="n">
        <f aca="false">U380</f>
        <v>0.938328062071903</v>
      </c>
      <c r="AG380" s="2" t="n">
        <f aca="false">AG379+IF(Q380,1,0)</f>
        <v>2</v>
      </c>
      <c r="AH380" s="2" t="n">
        <f aca="false">AG379</f>
        <v>2</v>
      </c>
      <c r="AI380" s="10" t="n">
        <f aca="false">X380+Y380*(E380-AB380)-Y380*AD380*Inputs!$B$13*(A380-AC380)</f>
        <v>1016.3844066801</v>
      </c>
      <c r="AJ380" s="10" t="n">
        <v>0</v>
      </c>
      <c r="AK380" s="8" t="n">
        <f aca="false">IF(AND(B380&lt;=U380,NOT(Q380)),B380,U380)*(1-Inputs!$B$12)</f>
        <v>0.831584184721133</v>
      </c>
    </row>
    <row r="381" customFormat="false" ht="15" hidden="false" customHeight="false" outlineLevel="0" collapsed="false">
      <c r="A381" s="6" t="n">
        <v>45165</v>
      </c>
      <c r="B381" s="7" t="n">
        <v>0.833695226983405</v>
      </c>
      <c r="C381" s="7" t="n">
        <v>0.837263861633403</v>
      </c>
      <c r="D381" s="7" t="n">
        <v>0.81442735905781</v>
      </c>
      <c r="E381" s="7" t="n">
        <v>0.817716225577008</v>
      </c>
      <c r="F381" s="8" t="n">
        <f aca="true">IF(ROW()-2&gt;=Inputs!$B$4,AVERAGE(OFFSET(E381,1-Inputs!$B$4,0,Inputs!$B$4,1)),"")</f>
        <v>0.842900595180881</v>
      </c>
      <c r="G381" s="8" t="n">
        <f aca="true">IF(ROW()-2&gt;=Inputs!$B$5,AVERAGE(OFFSET(E381,1-Inputs!$B$5,0,Inputs!$B$5,1)),"")</f>
        <v>0.850139718672</v>
      </c>
      <c r="H381" s="8" t="n">
        <f aca="false">MAX(C381-D381,ABS(C381-E380),ABS(D381-E380))</f>
        <v>0.0228365025755923</v>
      </c>
      <c r="I381" s="8" t="n">
        <f aca="true">IF(ROW()-2&lt;14,"",IF(ROW()-2=14,AVERAGE(OFFSET(H381,-13,0,14,1)),(I380*13+H381)/14))</f>
        <v>0.0100631498278577</v>
      </c>
      <c r="J381" s="9" t="b">
        <f aca="false">IF(AND(ISNUMBER(F381),ISNUMBER(G381),ISNUMBER(F380),ISNUMBER(G380)),AND(F381&gt;G381,F380&lt;=G380),FALSE())</f>
        <v>0</v>
      </c>
      <c r="K381" s="9" t="b">
        <f aca="false">IF(AND(ISNUMBER(F381),ISNUMBER(G381),ISNUMBER(F380),ISNUMBER(G380)),AND(F381&lt;G381,F380&gt;=G380),FALSE())</f>
        <v>0</v>
      </c>
      <c r="L381" s="8" t="n">
        <f aca="false">IF(ISNUMBER(I381),E381-Inputs!$B$6*I381,"")</f>
        <v>0.797589925921293</v>
      </c>
      <c r="M381" s="9" t="b">
        <f aca="false">AND(Y380&gt;0,Z380)</f>
        <v>0</v>
      </c>
      <c r="N381" s="8" t="n">
        <f aca="false">B381*(1-Inputs!$B$12)</f>
        <v>0.833528487938008</v>
      </c>
      <c r="O381" s="10" t="n">
        <f aca="false">IF(M381,Y380*(N381-AB380)-Inputs!$B$9-Y380*AD380*Inputs!$B$13*(A381-AC380),0)</f>
        <v>0</v>
      </c>
      <c r="P381" s="10" t="n">
        <f aca="false">X380+O381</f>
        <v>1016.3844066801</v>
      </c>
      <c r="Q381" s="9" t="b">
        <f aca="false">AND(IF(M381,0,Y380)=0,AA380,IF(ISNUMBER(AE380),B381&gt;AE380,FALSE()))</f>
        <v>0</v>
      </c>
      <c r="R381" s="8" t="n">
        <f aca="false">B381*(1+Inputs!$B$12)</f>
        <v>0.833861966028802</v>
      </c>
      <c r="S381" s="11" t="n">
        <f aca="false">IF(Q381,MIN(P381*Inputs!$B$3/(R381-AE380),P381*Inputs!$B$11/R381),0)</f>
        <v>0</v>
      </c>
      <c r="T381" s="11" t="n">
        <f aca="false">IF(Q381,S381,IF(M381,0,Y380))</f>
        <v>0</v>
      </c>
      <c r="U381" s="8" t="n">
        <f aca="false">IF(Q381,AE380,AF380)</f>
        <v>0.938328062071903</v>
      </c>
      <c r="V381" s="9" t="b">
        <f aca="false">AND(T381&gt;0,D381&lt;=U381)</f>
        <v>0</v>
      </c>
      <c r="W381" s="10" t="n">
        <f aca="false">IF(V381,T381*(AK381-AB381)-Inputs!$B$9-T381*AD381*Inputs!$B$13*(A381-AC381),0)</f>
        <v>0</v>
      </c>
      <c r="X381" s="10" t="n">
        <f aca="false">P381-IF(Q381,Inputs!$B$9,0)+W381</f>
        <v>1016.3844066801</v>
      </c>
      <c r="Y381" s="11" t="n">
        <f aca="false">IF(V381,0,T381)</f>
        <v>0</v>
      </c>
      <c r="Z381" s="9" t="b">
        <f aca="false">AND(Y381&gt;0,K381)</f>
        <v>0</v>
      </c>
      <c r="AA381" s="9" t="b">
        <f aca="false">AND(Y381=0,J381,ISNUMBER(L381))</f>
        <v>0</v>
      </c>
      <c r="AB381" s="8" t="n">
        <f aca="false">IF(Q381,R381,AB380)</f>
        <v>0.95824964655134</v>
      </c>
      <c r="AC381" s="12" t="n">
        <f aca="false">IF(Q381,A381,AC380)</f>
        <v>45034</v>
      </c>
      <c r="AD381" s="8" t="n">
        <f aca="false">IF(Q381,B381,AD380)</f>
        <v>0.958058034944351</v>
      </c>
      <c r="AE381" s="8" t="str">
        <f aca="false">IF(AA381,L381,"")</f>
        <v/>
      </c>
      <c r="AF381" s="8" t="n">
        <f aca="false">U381</f>
        <v>0.938328062071903</v>
      </c>
      <c r="AG381" s="2" t="n">
        <f aca="false">AG380+IF(Q381,1,0)</f>
        <v>2</v>
      </c>
      <c r="AH381" s="2" t="n">
        <f aca="false">AG380</f>
        <v>2</v>
      </c>
      <c r="AI381" s="10" t="n">
        <f aca="false">X381+Y381*(E381-AB381)-Y381*AD381*Inputs!$B$13*(A381-AC381)</f>
        <v>1016.3844066801</v>
      </c>
      <c r="AJ381" s="10" t="n">
        <v>0</v>
      </c>
      <c r="AK381" s="8" t="n">
        <f aca="false">IF(AND(B381&lt;=U381,NOT(Q381)),B381,U381)*(1-Inputs!$B$12)</f>
        <v>0.833528487938008</v>
      </c>
    </row>
    <row r="382" customFormat="false" ht="15" hidden="false" customHeight="false" outlineLevel="0" collapsed="false">
      <c r="A382" s="6" t="n">
        <v>45166</v>
      </c>
      <c r="B382" s="7" t="n">
        <v>0.817716225577008</v>
      </c>
      <c r="C382" s="7" t="n">
        <v>0.823383111688278</v>
      </c>
      <c r="D382" s="7" t="n">
        <v>0.810260771656377</v>
      </c>
      <c r="E382" s="7" t="n">
        <v>0.813172082080694</v>
      </c>
      <c r="F382" s="8" t="n">
        <f aca="true">IF(ROW()-2&gt;=Inputs!$B$4,AVERAGE(OFFSET(E382,1-Inputs!$B$4,0,Inputs!$B$4,1)),"")</f>
        <v>0.841823899913429</v>
      </c>
      <c r="G382" s="8" t="n">
        <f aca="true">IF(ROW()-2&gt;=Inputs!$B$5,AVERAGE(OFFSET(E382,1-Inputs!$B$5,0,Inputs!$B$5,1)),"")</f>
        <v>0.849308684604559</v>
      </c>
      <c r="H382" s="8" t="n">
        <f aca="false">MAX(C382-D382,ABS(C382-E381),ABS(D382-E381))</f>
        <v>0.0131223400319008</v>
      </c>
      <c r="I382" s="8" t="n">
        <f aca="true">IF(ROW()-2&lt;14,"",IF(ROW()-2=14,AVERAGE(OFFSET(H382,-13,0,14,1)),(I381*13+H382)/14))</f>
        <v>0.0102816634138608</v>
      </c>
      <c r="J382" s="9" t="b">
        <f aca="false">IF(AND(ISNUMBER(F382),ISNUMBER(G382),ISNUMBER(F381),ISNUMBER(G381)),AND(F382&gt;G382,F381&lt;=G381),FALSE())</f>
        <v>0</v>
      </c>
      <c r="K382" s="9" t="b">
        <f aca="false">IF(AND(ISNUMBER(F382),ISNUMBER(G382),ISNUMBER(F381),ISNUMBER(G381)),AND(F382&lt;G382,F381&gt;=G381),FALSE())</f>
        <v>0</v>
      </c>
      <c r="L382" s="8" t="n">
        <f aca="false">IF(ISNUMBER(I382),E382-Inputs!$B$6*I382,"")</f>
        <v>0.792608755252972</v>
      </c>
      <c r="M382" s="9" t="b">
        <f aca="false">AND(Y381&gt;0,Z381)</f>
        <v>0</v>
      </c>
      <c r="N382" s="8" t="n">
        <f aca="false">B382*(1-Inputs!$B$12)</f>
        <v>0.817552682331893</v>
      </c>
      <c r="O382" s="10" t="n">
        <f aca="false">IF(M382,Y381*(N382-AB381)-Inputs!$B$9-Y381*AD381*Inputs!$B$13*(A382-AC381),0)</f>
        <v>0</v>
      </c>
      <c r="P382" s="10" t="n">
        <f aca="false">X381+O382</f>
        <v>1016.3844066801</v>
      </c>
      <c r="Q382" s="9" t="b">
        <f aca="false">AND(IF(M382,0,Y381)=0,AA381,IF(ISNUMBER(AE381),B382&gt;AE381,FALSE()))</f>
        <v>0</v>
      </c>
      <c r="R382" s="8" t="n">
        <f aca="false">B382*(1+Inputs!$B$12)</f>
        <v>0.817879768822124</v>
      </c>
      <c r="S382" s="11" t="n">
        <f aca="false">IF(Q382,MIN(P382*Inputs!$B$3/(R382-AE381),P382*Inputs!$B$11/R382),0)</f>
        <v>0</v>
      </c>
      <c r="T382" s="11" t="n">
        <f aca="false">IF(Q382,S382,IF(M382,0,Y381))</f>
        <v>0</v>
      </c>
      <c r="U382" s="8" t="n">
        <f aca="false">IF(Q382,AE381,AF381)</f>
        <v>0.938328062071903</v>
      </c>
      <c r="V382" s="9" t="b">
        <f aca="false">AND(T382&gt;0,D382&lt;=U382)</f>
        <v>0</v>
      </c>
      <c r="W382" s="10" t="n">
        <f aca="false">IF(V382,T382*(AK382-AB382)-Inputs!$B$9-T382*AD382*Inputs!$B$13*(A382-AC382),0)</f>
        <v>0</v>
      </c>
      <c r="X382" s="10" t="n">
        <f aca="false">P382-IF(Q382,Inputs!$B$9,0)+W382</f>
        <v>1016.3844066801</v>
      </c>
      <c r="Y382" s="11" t="n">
        <f aca="false">IF(V382,0,T382)</f>
        <v>0</v>
      </c>
      <c r="Z382" s="9" t="b">
        <f aca="false">AND(Y382&gt;0,K382)</f>
        <v>0</v>
      </c>
      <c r="AA382" s="9" t="b">
        <f aca="false">AND(Y382=0,J382,ISNUMBER(L382))</f>
        <v>0</v>
      </c>
      <c r="AB382" s="8" t="n">
        <f aca="false">IF(Q382,R382,AB381)</f>
        <v>0.95824964655134</v>
      </c>
      <c r="AC382" s="12" t="n">
        <f aca="false">IF(Q382,A382,AC381)</f>
        <v>45034</v>
      </c>
      <c r="AD382" s="8" t="n">
        <f aca="false">IF(Q382,B382,AD381)</f>
        <v>0.958058034944351</v>
      </c>
      <c r="AE382" s="8" t="str">
        <f aca="false">IF(AA382,L382,"")</f>
        <v/>
      </c>
      <c r="AF382" s="8" t="n">
        <f aca="false">U382</f>
        <v>0.938328062071903</v>
      </c>
      <c r="AG382" s="2" t="n">
        <f aca="false">AG381+IF(Q382,1,0)</f>
        <v>2</v>
      </c>
      <c r="AH382" s="2" t="n">
        <f aca="false">AG381</f>
        <v>2</v>
      </c>
      <c r="AI382" s="10" t="n">
        <f aca="false">X382+Y382*(E382-AB382)-Y382*AD382*Inputs!$B$13*(A382-AC382)</f>
        <v>1016.3844066801</v>
      </c>
      <c r="AJ382" s="10" t="n">
        <v>0</v>
      </c>
      <c r="AK382" s="8" t="n">
        <f aca="false">IF(AND(B382&lt;=U382,NOT(Q382)),B382,U382)*(1-Inputs!$B$12)</f>
        <v>0.817552682331893</v>
      </c>
    </row>
    <row r="383" customFormat="false" ht="15" hidden="false" customHeight="false" outlineLevel="0" collapsed="false">
      <c r="A383" s="6" t="n">
        <v>45167</v>
      </c>
      <c r="B383" s="7" t="n">
        <v>0.813172082080694</v>
      </c>
      <c r="C383" s="7" t="n">
        <v>0.819604344510411</v>
      </c>
      <c r="D383" s="7" t="n">
        <v>0.811017588913816</v>
      </c>
      <c r="E383" s="7" t="n">
        <v>0.815761083865654</v>
      </c>
      <c r="F383" s="8" t="n">
        <f aca="true">IF(ROW()-2&gt;=Inputs!$B$4,AVERAGE(OFFSET(E383,1-Inputs!$B$4,0,Inputs!$B$4,1)),"")</f>
        <v>0.840456669237364</v>
      </c>
      <c r="G383" s="8" t="n">
        <f aca="true">IF(ROW()-2&gt;=Inputs!$B$5,AVERAGE(OFFSET(E383,1-Inputs!$B$5,0,Inputs!$B$5,1)),"")</f>
        <v>0.848487423032957</v>
      </c>
      <c r="H383" s="8" t="n">
        <f aca="false">MAX(C383-D383,ABS(C383-E382),ABS(D383-E382))</f>
        <v>0.00858675559659528</v>
      </c>
      <c r="I383" s="8" t="n">
        <f aca="true">IF(ROW()-2&lt;14,"",IF(ROW()-2=14,AVERAGE(OFFSET(H383,-13,0,14,1)),(I382*13+H383)/14))</f>
        <v>0.0101605985697704</v>
      </c>
      <c r="J383" s="9" t="b">
        <f aca="false">IF(AND(ISNUMBER(F383),ISNUMBER(G383),ISNUMBER(F382),ISNUMBER(G382)),AND(F383&gt;G383,F382&lt;=G382),FALSE())</f>
        <v>0</v>
      </c>
      <c r="K383" s="9" t="b">
        <f aca="false">IF(AND(ISNUMBER(F383),ISNUMBER(G383),ISNUMBER(F382),ISNUMBER(G382)),AND(F383&lt;G383,F382&gt;=G382),FALSE())</f>
        <v>0</v>
      </c>
      <c r="L383" s="8" t="n">
        <f aca="false">IF(ISNUMBER(I383),E383-Inputs!$B$6*I383,"")</f>
        <v>0.795439886726113</v>
      </c>
      <c r="M383" s="9" t="b">
        <f aca="false">AND(Y382&gt;0,Z382)</f>
        <v>0</v>
      </c>
      <c r="N383" s="8" t="n">
        <f aca="false">B383*(1-Inputs!$B$12)</f>
        <v>0.813009447664278</v>
      </c>
      <c r="O383" s="10" t="n">
        <f aca="false">IF(M383,Y382*(N383-AB382)-Inputs!$B$9-Y382*AD382*Inputs!$B$13*(A383-AC382),0)</f>
        <v>0</v>
      </c>
      <c r="P383" s="10" t="n">
        <f aca="false">X382+O383</f>
        <v>1016.3844066801</v>
      </c>
      <c r="Q383" s="9" t="b">
        <f aca="false">AND(IF(M383,0,Y382)=0,AA382,IF(ISNUMBER(AE382),B383&gt;AE382,FALSE()))</f>
        <v>0</v>
      </c>
      <c r="R383" s="8" t="n">
        <f aca="false">B383*(1+Inputs!$B$12)</f>
        <v>0.81333471649711</v>
      </c>
      <c r="S383" s="11" t="n">
        <f aca="false">IF(Q383,MIN(P383*Inputs!$B$3/(R383-AE382),P383*Inputs!$B$11/R383),0)</f>
        <v>0</v>
      </c>
      <c r="T383" s="11" t="n">
        <f aca="false">IF(Q383,S383,IF(M383,0,Y382))</f>
        <v>0</v>
      </c>
      <c r="U383" s="8" t="n">
        <f aca="false">IF(Q383,AE382,AF382)</f>
        <v>0.938328062071903</v>
      </c>
      <c r="V383" s="9" t="b">
        <f aca="false">AND(T383&gt;0,D383&lt;=U383)</f>
        <v>0</v>
      </c>
      <c r="W383" s="10" t="n">
        <f aca="false">IF(V383,T383*(AK383-AB383)-Inputs!$B$9-T383*AD383*Inputs!$B$13*(A383-AC383),0)</f>
        <v>0</v>
      </c>
      <c r="X383" s="10" t="n">
        <f aca="false">P383-IF(Q383,Inputs!$B$9,0)+W383</f>
        <v>1016.3844066801</v>
      </c>
      <c r="Y383" s="11" t="n">
        <f aca="false">IF(V383,0,T383)</f>
        <v>0</v>
      </c>
      <c r="Z383" s="9" t="b">
        <f aca="false">AND(Y383&gt;0,K383)</f>
        <v>0</v>
      </c>
      <c r="AA383" s="9" t="b">
        <f aca="false">AND(Y383=0,J383,ISNUMBER(L383))</f>
        <v>0</v>
      </c>
      <c r="AB383" s="8" t="n">
        <f aca="false">IF(Q383,R383,AB382)</f>
        <v>0.95824964655134</v>
      </c>
      <c r="AC383" s="12" t="n">
        <f aca="false">IF(Q383,A383,AC382)</f>
        <v>45034</v>
      </c>
      <c r="AD383" s="8" t="n">
        <f aca="false">IF(Q383,B383,AD382)</f>
        <v>0.958058034944351</v>
      </c>
      <c r="AE383" s="8" t="str">
        <f aca="false">IF(AA383,L383,"")</f>
        <v/>
      </c>
      <c r="AF383" s="8" t="n">
        <f aca="false">U383</f>
        <v>0.938328062071903</v>
      </c>
      <c r="AG383" s="2" t="n">
        <f aca="false">AG382+IF(Q383,1,0)</f>
        <v>2</v>
      </c>
      <c r="AH383" s="2" t="n">
        <f aca="false">AG382</f>
        <v>2</v>
      </c>
      <c r="AI383" s="10" t="n">
        <f aca="false">X383+Y383*(E383-AB383)-Y383*AD383*Inputs!$B$13*(A383-AC383)</f>
        <v>1016.3844066801</v>
      </c>
      <c r="AJ383" s="10" t="n">
        <v>0</v>
      </c>
      <c r="AK383" s="8" t="n">
        <f aca="false">IF(AND(B383&lt;=U383,NOT(Q383)),B383,U383)*(1-Inputs!$B$12)</f>
        <v>0.813009447664278</v>
      </c>
    </row>
    <row r="384" customFormat="false" ht="15" hidden="false" customHeight="false" outlineLevel="0" collapsed="false">
      <c r="A384" s="6" t="n">
        <v>45168</v>
      </c>
      <c r="B384" s="7" t="n">
        <v>0.815761083865654</v>
      </c>
      <c r="C384" s="7" t="n">
        <v>0.819809646912126</v>
      </c>
      <c r="D384" s="7" t="n">
        <v>0.81485040573992</v>
      </c>
      <c r="E384" s="7" t="n">
        <v>0.817318854339866</v>
      </c>
      <c r="F384" s="8" t="n">
        <f aca="true">IF(ROW()-2&gt;=Inputs!$B$4,AVERAGE(OFFSET(E384,1-Inputs!$B$4,0,Inputs!$B$4,1)),"")</f>
        <v>0.839241911010733</v>
      </c>
      <c r="G384" s="8" t="n">
        <f aca="true">IF(ROW()-2&gt;=Inputs!$B$5,AVERAGE(OFFSET(E384,1-Inputs!$B$5,0,Inputs!$B$5,1)),"")</f>
        <v>0.847574940036372</v>
      </c>
      <c r="H384" s="8" t="n">
        <f aca="false">MAX(C384-D384,ABS(C384-E383),ABS(D384-E383))</f>
        <v>0.00495924117220603</v>
      </c>
      <c r="I384" s="8" t="n">
        <f aca="true">IF(ROW()-2&lt;14,"",IF(ROW()-2=14,AVERAGE(OFFSET(H384,-13,0,14,1)),(I383*13+H384)/14))</f>
        <v>0.00978907304137296</v>
      </c>
      <c r="J384" s="9" t="b">
        <f aca="false">IF(AND(ISNUMBER(F384),ISNUMBER(G384),ISNUMBER(F383),ISNUMBER(G383)),AND(F384&gt;G384,F383&lt;=G383),FALSE())</f>
        <v>0</v>
      </c>
      <c r="K384" s="9" t="b">
        <f aca="false">IF(AND(ISNUMBER(F384),ISNUMBER(G384),ISNUMBER(F383),ISNUMBER(G383)),AND(F384&lt;G384,F383&gt;=G383),FALSE())</f>
        <v>0</v>
      </c>
      <c r="L384" s="8" t="n">
        <f aca="false">IF(ISNUMBER(I384),E384-Inputs!$B$6*I384,"")</f>
        <v>0.797740708257121</v>
      </c>
      <c r="M384" s="9" t="b">
        <f aca="false">AND(Y383&gt;0,Z383)</f>
        <v>0</v>
      </c>
      <c r="N384" s="8" t="n">
        <f aca="false">B384*(1-Inputs!$B$12)</f>
        <v>0.815597931648881</v>
      </c>
      <c r="O384" s="10" t="n">
        <f aca="false">IF(M384,Y383*(N384-AB383)-Inputs!$B$9-Y383*AD383*Inputs!$B$13*(A384-AC383),0)</f>
        <v>0</v>
      </c>
      <c r="P384" s="10" t="n">
        <f aca="false">X383+O384</f>
        <v>1016.3844066801</v>
      </c>
      <c r="Q384" s="9" t="b">
        <f aca="false">AND(IF(M384,0,Y383)=0,AA383,IF(ISNUMBER(AE383),B384&gt;AE383,FALSE()))</f>
        <v>0</v>
      </c>
      <c r="R384" s="8" t="n">
        <f aca="false">B384*(1+Inputs!$B$12)</f>
        <v>0.815924236082427</v>
      </c>
      <c r="S384" s="11" t="n">
        <f aca="false">IF(Q384,MIN(P384*Inputs!$B$3/(R384-AE383),P384*Inputs!$B$11/R384),0)</f>
        <v>0</v>
      </c>
      <c r="T384" s="11" t="n">
        <f aca="false">IF(Q384,S384,IF(M384,0,Y383))</f>
        <v>0</v>
      </c>
      <c r="U384" s="8" t="n">
        <f aca="false">IF(Q384,AE383,AF383)</f>
        <v>0.938328062071903</v>
      </c>
      <c r="V384" s="9" t="b">
        <f aca="false">AND(T384&gt;0,D384&lt;=U384)</f>
        <v>0</v>
      </c>
      <c r="W384" s="10" t="n">
        <f aca="false">IF(V384,T384*(AK384-AB384)-Inputs!$B$9-T384*AD384*Inputs!$B$13*(A384-AC384),0)</f>
        <v>0</v>
      </c>
      <c r="X384" s="10" t="n">
        <f aca="false">P384-IF(Q384,Inputs!$B$9,0)+W384</f>
        <v>1016.3844066801</v>
      </c>
      <c r="Y384" s="11" t="n">
        <f aca="false">IF(V384,0,T384)</f>
        <v>0</v>
      </c>
      <c r="Z384" s="9" t="b">
        <f aca="false">AND(Y384&gt;0,K384)</f>
        <v>0</v>
      </c>
      <c r="AA384" s="9" t="b">
        <f aca="false">AND(Y384=0,J384,ISNUMBER(L384))</f>
        <v>0</v>
      </c>
      <c r="AB384" s="8" t="n">
        <f aca="false">IF(Q384,R384,AB383)</f>
        <v>0.95824964655134</v>
      </c>
      <c r="AC384" s="12" t="n">
        <f aca="false">IF(Q384,A384,AC383)</f>
        <v>45034</v>
      </c>
      <c r="AD384" s="8" t="n">
        <f aca="false">IF(Q384,B384,AD383)</f>
        <v>0.958058034944351</v>
      </c>
      <c r="AE384" s="8" t="str">
        <f aca="false">IF(AA384,L384,"")</f>
        <v/>
      </c>
      <c r="AF384" s="8" t="n">
        <f aca="false">U384</f>
        <v>0.938328062071903</v>
      </c>
      <c r="AG384" s="2" t="n">
        <f aca="false">AG383+IF(Q384,1,0)</f>
        <v>2</v>
      </c>
      <c r="AH384" s="2" t="n">
        <f aca="false">AG383</f>
        <v>2</v>
      </c>
      <c r="AI384" s="10" t="n">
        <f aca="false">X384+Y384*(E384-AB384)-Y384*AD384*Inputs!$B$13*(A384-AC384)</f>
        <v>1016.3844066801</v>
      </c>
      <c r="AJ384" s="10" t="n">
        <v>0</v>
      </c>
      <c r="AK384" s="8" t="n">
        <f aca="false">IF(AND(B384&lt;=U384,NOT(Q384)),B384,U384)*(1-Inputs!$B$12)</f>
        <v>0.815597931648881</v>
      </c>
    </row>
    <row r="385" customFormat="false" ht="15" hidden="false" customHeight="false" outlineLevel="0" collapsed="false">
      <c r="A385" s="6" t="n">
        <v>45169</v>
      </c>
      <c r="B385" s="7" t="n">
        <v>0.817318854339866</v>
      </c>
      <c r="C385" s="7" t="n">
        <v>0.819007727039666</v>
      </c>
      <c r="D385" s="7" t="n">
        <v>0.816633541933016</v>
      </c>
      <c r="E385" s="7" t="n">
        <v>0.818579046240373</v>
      </c>
      <c r="F385" s="8" t="n">
        <f aca="true">IF(ROW()-2&gt;=Inputs!$B$4,AVERAGE(OFFSET(E385,1-Inputs!$B$4,0,Inputs!$B$4,1)),"")</f>
        <v>0.837751443752889</v>
      </c>
      <c r="G385" s="8" t="n">
        <f aca="true">IF(ROW()-2&gt;=Inputs!$B$5,AVERAGE(OFFSET(E385,1-Inputs!$B$5,0,Inputs!$B$5,1)),"")</f>
        <v>0.846610125447866</v>
      </c>
      <c r="H385" s="8" t="n">
        <f aca="false">MAX(C385-D385,ABS(C385-E384),ABS(D385-E384))</f>
        <v>0.00237418510664988</v>
      </c>
      <c r="I385" s="8" t="n">
        <f aca="true">IF(ROW()-2&lt;14,"",IF(ROW()-2=14,AVERAGE(OFFSET(H385,-13,0,14,1)),(I384*13+H385)/14))</f>
        <v>0.00925943818889274</v>
      </c>
      <c r="J385" s="9" t="b">
        <f aca="false">IF(AND(ISNUMBER(F385),ISNUMBER(G385),ISNUMBER(F384),ISNUMBER(G384)),AND(F385&gt;G385,F384&lt;=G384),FALSE())</f>
        <v>0</v>
      </c>
      <c r="K385" s="9" t="b">
        <f aca="false">IF(AND(ISNUMBER(F385),ISNUMBER(G385),ISNUMBER(F384),ISNUMBER(G384)),AND(F385&lt;G385,F384&gt;=G384),FALSE())</f>
        <v>0</v>
      </c>
      <c r="L385" s="8" t="n">
        <f aca="false">IF(ISNUMBER(I385),E385-Inputs!$B$6*I385,"")</f>
        <v>0.800060169862587</v>
      </c>
      <c r="M385" s="9" t="b">
        <f aca="false">AND(Y384&gt;0,Z384)</f>
        <v>0</v>
      </c>
      <c r="N385" s="8" t="n">
        <f aca="false">B385*(1-Inputs!$B$12)</f>
        <v>0.817155390568998</v>
      </c>
      <c r="O385" s="10" t="n">
        <f aca="false">IF(M385,Y384*(N385-AB384)-Inputs!$B$9-Y384*AD384*Inputs!$B$13*(A385-AC384),0)</f>
        <v>0</v>
      </c>
      <c r="P385" s="10" t="n">
        <f aca="false">X384+O385</f>
        <v>1016.3844066801</v>
      </c>
      <c r="Q385" s="9" t="b">
        <f aca="false">AND(IF(M385,0,Y384)=0,AA384,IF(ISNUMBER(AE384),B385&gt;AE384,FALSE()))</f>
        <v>0</v>
      </c>
      <c r="R385" s="8" t="n">
        <f aca="false">B385*(1+Inputs!$B$12)</f>
        <v>0.817482318110734</v>
      </c>
      <c r="S385" s="11" t="n">
        <f aca="false">IF(Q385,MIN(P385*Inputs!$B$3/(R385-AE384),P385*Inputs!$B$11/R385),0)</f>
        <v>0</v>
      </c>
      <c r="T385" s="11" t="n">
        <f aca="false">IF(Q385,S385,IF(M385,0,Y384))</f>
        <v>0</v>
      </c>
      <c r="U385" s="8" t="n">
        <f aca="false">IF(Q385,AE384,AF384)</f>
        <v>0.938328062071903</v>
      </c>
      <c r="V385" s="9" t="b">
        <f aca="false">AND(T385&gt;0,D385&lt;=U385)</f>
        <v>0</v>
      </c>
      <c r="W385" s="10" t="n">
        <f aca="false">IF(V385,T385*(AK385-AB385)-Inputs!$B$9-T385*AD385*Inputs!$B$13*(A385-AC385),0)</f>
        <v>0</v>
      </c>
      <c r="X385" s="10" t="n">
        <f aca="false">P385-IF(Q385,Inputs!$B$9,0)+W385</f>
        <v>1016.3844066801</v>
      </c>
      <c r="Y385" s="11" t="n">
        <f aca="false">IF(V385,0,T385)</f>
        <v>0</v>
      </c>
      <c r="Z385" s="9" t="b">
        <f aca="false">AND(Y385&gt;0,K385)</f>
        <v>0</v>
      </c>
      <c r="AA385" s="9" t="b">
        <f aca="false">AND(Y385=0,J385,ISNUMBER(L385))</f>
        <v>0</v>
      </c>
      <c r="AB385" s="8" t="n">
        <f aca="false">IF(Q385,R385,AB384)</f>
        <v>0.95824964655134</v>
      </c>
      <c r="AC385" s="12" t="n">
        <f aca="false">IF(Q385,A385,AC384)</f>
        <v>45034</v>
      </c>
      <c r="AD385" s="8" t="n">
        <f aca="false">IF(Q385,B385,AD384)</f>
        <v>0.958058034944351</v>
      </c>
      <c r="AE385" s="8" t="str">
        <f aca="false">IF(AA385,L385,"")</f>
        <v/>
      </c>
      <c r="AF385" s="8" t="n">
        <f aca="false">U385</f>
        <v>0.938328062071903</v>
      </c>
      <c r="AG385" s="2" t="n">
        <f aca="false">AG384+IF(Q385,1,0)</f>
        <v>2</v>
      </c>
      <c r="AH385" s="2" t="n">
        <f aca="false">AG384</f>
        <v>2</v>
      </c>
      <c r="AI385" s="10" t="n">
        <f aca="false">X385+Y385*(E385-AB385)-Y385*AD385*Inputs!$B$13*(A385-AC385)</f>
        <v>1016.3844066801</v>
      </c>
      <c r="AJ385" s="10" t="n">
        <v>0</v>
      </c>
      <c r="AK385" s="8" t="n">
        <f aca="false">IF(AND(B385&lt;=U385,NOT(Q385)),B385,U385)*(1-Inputs!$B$12)</f>
        <v>0.817155390568998</v>
      </c>
    </row>
    <row r="386" customFormat="false" ht="15" hidden="false" customHeight="false" outlineLevel="0" collapsed="false">
      <c r="A386" s="6" t="n">
        <v>45170</v>
      </c>
      <c r="B386" s="7" t="n">
        <v>0.818579046240373</v>
      </c>
      <c r="C386" s="7" t="n">
        <v>0.819212451505357</v>
      </c>
      <c r="D386" s="7" t="n">
        <v>0.803773183305082</v>
      </c>
      <c r="E386" s="7" t="n">
        <v>0.80942677310817</v>
      </c>
      <c r="F386" s="8" t="n">
        <f aca="true">IF(ROW()-2&gt;=Inputs!$B$4,AVERAGE(OFFSET(E386,1-Inputs!$B$4,0,Inputs!$B$4,1)),"")</f>
        <v>0.835486584862627</v>
      </c>
      <c r="G386" s="8" t="n">
        <f aca="true">IF(ROW()-2&gt;=Inputs!$B$5,AVERAGE(OFFSET(E386,1-Inputs!$B$5,0,Inputs!$B$5,1)),"")</f>
        <v>0.845351095097924</v>
      </c>
      <c r="H386" s="8" t="n">
        <f aca="false">MAX(C386-D386,ABS(C386-E385),ABS(D386-E385))</f>
        <v>0.0154392682002755</v>
      </c>
      <c r="I386" s="8" t="n">
        <f aca="true">IF(ROW()-2&lt;14,"",IF(ROW()-2=14,AVERAGE(OFFSET(H386,-13,0,14,1)),(I385*13+H386)/14))</f>
        <v>0.00970085461827723</v>
      </c>
      <c r="J386" s="9" t="b">
        <f aca="false">IF(AND(ISNUMBER(F386),ISNUMBER(G386),ISNUMBER(F385),ISNUMBER(G385)),AND(F386&gt;G386,F385&lt;=G385),FALSE())</f>
        <v>0</v>
      </c>
      <c r="K386" s="9" t="b">
        <f aca="false">IF(AND(ISNUMBER(F386),ISNUMBER(G386),ISNUMBER(F385),ISNUMBER(G385)),AND(F386&lt;G386,F385&gt;=G385),FALSE())</f>
        <v>0</v>
      </c>
      <c r="L386" s="8" t="n">
        <f aca="false">IF(ISNUMBER(I386),E386-Inputs!$B$6*I386,"")</f>
        <v>0.790025063871615</v>
      </c>
      <c r="M386" s="9" t="b">
        <f aca="false">AND(Y385&gt;0,Z385)</f>
        <v>0</v>
      </c>
      <c r="N386" s="8" t="n">
        <f aca="false">B386*(1-Inputs!$B$12)</f>
        <v>0.818415330431125</v>
      </c>
      <c r="O386" s="10" t="n">
        <f aca="false">IF(M386,Y385*(N386-AB385)-Inputs!$B$9-Y385*AD385*Inputs!$B$13*(A386-AC385),0)</f>
        <v>0</v>
      </c>
      <c r="P386" s="10" t="n">
        <f aca="false">X385+O386</f>
        <v>1016.3844066801</v>
      </c>
      <c r="Q386" s="9" t="b">
        <f aca="false">AND(IF(M386,0,Y385)=0,AA385,IF(ISNUMBER(AE385),B386&gt;AE385,FALSE()))</f>
        <v>0</v>
      </c>
      <c r="R386" s="8" t="n">
        <f aca="false">B386*(1+Inputs!$B$12)</f>
        <v>0.818742762049621</v>
      </c>
      <c r="S386" s="11" t="n">
        <f aca="false">IF(Q386,MIN(P386*Inputs!$B$3/(R386-AE385),P386*Inputs!$B$11/R386),0)</f>
        <v>0</v>
      </c>
      <c r="T386" s="11" t="n">
        <f aca="false">IF(Q386,S386,IF(M386,0,Y385))</f>
        <v>0</v>
      </c>
      <c r="U386" s="8" t="n">
        <f aca="false">IF(Q386,AE385,AF385)</f>
        <v>0.938328062071903</v>
      </c>
      <c r="V386" s="9" t="b">
        <f aca="false">AND(T386&gt;0,D386&lt;=U386)</f>
        <v>0</v>
      </c>
      <c r="W386" s="10" t="n">
        <f aca="false">IF(V386,T386*(AK386-AB386)-Inputs!$B$9-T386*AD386*Inputs!$B$13*(A386-AC386),0)</f>
        <v>0</v>
      </c>
      <c r="X386" s="10" t="n">
        <f aca="false">P386-IF(Q386,Inputs!$B$9,0)+W386</f>
        <v>1016.3844066801</v>
      </c>
      <c r="Y386" s="11" t="n">
        <f aca="false">IF(V386,0,T386)</f>
        <v>0</v>
      </c>
      <c r="Z386" s="9" t="b">
        <f aca="false">AND(Y386&gt;0,K386)</f>
        <v>0</v>
      </c>
      <c r="AA386" s="9" t="b">
        <f aca="false">AND(Y386=0,J386,ISNUMBER(L386))</f>
        <v>0</v>
      </c>
      <c r="AB386" s="8" t="n">
        <f aca="false">IF(Q386,R386,AB385)</f>
        <v>0.95824964655134</v>
      </c>
      <c r="AC386" s="12" t="n">
        <f aca="false">IF(Q386,A386,AC385)</f>
        <v>45034</v>
      </c>
      <c r="AD386" s="8" t="n">
        <f aca="false">IF(Q386,B386,AD385)</f>
        <v>0.958058034944351</v>
      </c>
      <c r="AE386" s="8" t="str">
        <f aca="false">IF(AA386,L386,"")</f>
        <v/>
      </c>
      <c r="AF386" s="8" t="n">
        <f aca="false">U386</f>
        <v>0.938328062071903</v>
      </c>
      <c r="AG386" s="2" t="n">
        <f aca="false">AG385+IF(Q386,1,0)</f>
        <v>2</v>
      </c>
      <c r="AH386" s="2" t="n">
        <f aca="false">AG385</f>
        <v>2</v>
      </c>
      <c r="AI386" s="10" t="n">
        <f aca="false">X386+Y386*(E386-AB386)-Y386*AD386*Inputs!$B$13*(A386-AC386)</f>
        <v>1016.3844066801</v>
      </c>
      <c r="AJ386" s="10" t="n">
        <v>0</v>
      </c>
      <c r="AK386" s="8" t="n">
        <f aca="false">IF(AND(B386&lt;=U386,NOT(Q386)),B386,U386)*(1-Inputs!$B$12)</f>
        <v>0.818415330431125</v>
      </c>
    </row>
    <row r="387" customFormat="false" ht="15" hidden="false" customHeight="false" outlineLevel="0" collapsed="false">
      <c r="A387" s="6" t="n">
        <v>45171</v>
      </c>
      <c r="B387" s="7" t="n">
        <v>0.80942677310817</v>
      </c>
      <c r="C387" s="7" t="n">
        <v>0.812062972468334</v>
      </c>
      <c r="D387" s="7" t="n">
        <v>0.808161736518471</v>
      </c>
      <c r="E387" s="7" t="n">
        <v>0.811846071113902</v>
      </c>
      <c r="F387" s="8" t="n">
        <f aca="true">IF(ROW()-2&gt;=Inputs!$B$4,AVERAGE(OFFSET(E387,1-Inputs!$B$4,0,Inputs!$B$4,1)),"")</f>
        <v>0.833126460448878</v>
      </c>
      <c r="G387" s="8" t="n">
        <f aca="true">IF(ROW()-2&gt;=Inputs!$B$5,AVERAGE(OFFSET(E387,1-Inputs!$B$5,0,Inputs!$B$5,1)),"")</f>
        <v>0.844204065160482</v>
      </c>
      <c r="H387" s="8" t="n">
        <f aca="false">MAX(C387-D387,ABS(C387-E386),ABS(D387-E386))</f>
        <v>0.00390123594986236</v>
      </c>
      <c r="I387" s="8" t="n">
        <f aca="true">IF(ROW()-2&lt;14,"",IF(ROW()-2=14,AVERAGE(OFFSET(H387,-13,0,14,1)),(I386*13+H387)/14))</f>
        <v>0.00928659614196188</v>
      </c>
      <c r="J387" s="9" t="b">
        <f aca="false">IF(AND(ISNUMBER(F387),ISNUMBER(G387),ISNUMBER(F386),ISNUMBER(G386)),AND(F387&gt;G387,F386&lt;=G386),FALSE())</f>
        <v>0</v>
      </c>
      <c r="K387" s="9" t="b">
        <f aca="false">IF(AND(ISNUMBER(F387),ISNUMBER(G387),ISNUMBER(F386),ISNUMBER(G386)),AND(F387&lt;G387,F386&gt;=G386),FALSE())</f>
        <v>0</v>
      </c>
      <c r="L387" s="8" t="n">
        <f aca="false">IF(ISNUMBER(I387),E387-Inputs!$B$6*I387,"")</f>
        <v>0.793272878829978</v>
      </c>
      <c r="M387" s="9" t="b">
        <f aca="false">AND(Y386&gt;0,Z386)</f>
        <v>0</v>
      </c>
      <c r="N387" s="8" t="n">
        <f aca="false">B387*(1-Inputs!$B$12)</f>
        <v>0.809264887753548</v>
      </c>
      <c r="O387" s="10" t="n">
        <f aca="false">IF(M387,Y386*(N387-AB386)-Inputs!$B$9-Y386*AD386*Inputs!$B$13*(A387-AC386),0)</f>
        <v>0</v>
      </c>
      <c r="P387" s="10" t="n">
        <f aca="false">X386+O387</f>
        <v>1016.3844066801</v>
      </c>
      <c r="Q387" s="9" t="b">
        <f aca="false">AND(IF(M387,0,Y386)=0,AA386,IF(ISNUMBER(AE386),B387&gt;AE386,FALSE()))</f>
        <v>0</v>
      </c>
      <c r="R387" s="8" t="n">
        <f aca="false">B387*(1+Inputs!$B$12)</f>
        <v>0.809588658462792</v>
      </c>
      <c r="S387" s="11" t="n">
        <f aca="false">IF(Q387,MIN(P387*Inputs!$B$3/(R387-AE386),P387*Inputs!$B$11/R387),0)</f>
        <v>0</v>
      </c>
      <c r="T387" s="11" t="n">
        <f aca="false">IF(Q387,S387,IF(M387,0,Y386))</f>
        <v>0</v>
      </c>
      <c r="U387" s="8" t="n">
        <f aca="false">IF(Q387,AE386,AF386)</f>
        <v>0.938328062071903</v>
      </c>
      <c r="V387" s="9" t="b">
        <f aca="false">AND(T387&gt;0,D387&lt;=U387)</f>
        <v>0</v>
      </c>
      <c r="W387" s="10" t="n">
        <f aca="false">IF(V387,T387*(AK387-AB387)-Inputs!$B$9-T387*AD387*Inputs!$B$13*(A387-AC387),0)</f>
        <v>0</v>
      </c>
      <c r="X387" s="10" t="n">
        <f aca="false">P387-IF(Q387,Inputs!$B$9,0)+W387</f>
        <v>1016.3844066801</v>
      </c>
      <c r="Y387" s="11" t="n">
        <f aca="false">IF(V387,0,T387)</f>
        <v>0</v>
      </c>
      <c r="Z387" s="9" t="b">
        <f aca="false">AND(Y387&gt;0,K387)</f>
        <v>0</v>
      </c>
      <c r="AA387" s="9" t="b">
        <f aca="false">AND(Y387=0,J387,ISNUMBER(L387))</f>
        <v>0</v>
      </c>
      <c r="AB387" s="8" t="n">
        <f aca="false">IF(Q387,R387,AB386)</f>
        <v>0.95824964655134</v>
      </c>
      <c r="AC387" s="12" t="n">
        <f aca="false">IF(Q387,A387,AC386)</f>
        <v>45034</v>
      </c>
      <c r="AD387" s="8" t="n">
        <f aca="false">IF(Q387,B387,AD386)</f>
        <v>0.958058034944351</v>
      </c>
      <c r="AE387" s="8" t="str">
        <f aca="false">IF(AA387,L387,"")</f>
        <v/>
      </c>
      <c r="AF387" s="8" t="n">
        <f aca="false">U387</f>
        <v>0.938328062071903</v>
      </c>
      <c r="AG387" s="2" t="n">
        <f aca="false">AG386+IF(Q387,1,0)</f>
        <v>2</v>
      </c>
      <c r="AH387" s="2" t="n">
        <f aca="false">AG386</f>
        <v>2</v>
      </c>
      <c r="AI387" s="10" t="n">
        <f aca="false">X387+Y387*(E387-AB387)-Y387*AD387*Inputs!$B$13*(A387-AC387)</f>
        <v>1016.3844066801</v>
      </c>
      <c r="AJ387" s="10" t="n">
        <v>0</v>
      </c>
      <c r="AK387" s="8" t="n">
        <f aca="false">IF(AND(B387&lt;=U387,NOT(Q387)),B387,U387)*(1-Inputs!$B$12)</f>
        <v>0.809264887753548</v>
      </c>
    </row>
    <row r="388" customFormat="false" ht="15" hidden="false" customHeight="false" outlineLevel="0" collapsed="false">
      <c r="A388" s="6" t="n">
        <v>45172</v>
      </c>
      <c r="B388" s="7" t="n">
        <v>0.811846071113902</v>
      </c>
      <c r="C388" s="7" t="n">
        <v>0.813193276483226</v>
      </c>
      <c r="D388" s="7" t="n">
        <v>0.801375487711373</v>
      </c>
      <c r="E388" s="7" t="n">
        <v>0.807078836050253</v>
      </c>
      <c r="F388" s="8" t="n">
        <f aca="true">IF(ROW()-2&gt;=Inputs!$B$4,AVERAGE(OFFSET(E388,1-Inputs!$B$4,0,Inputs!$B$4,1)),"")</f>
        <v>0.830702941209876</v>
      </c>
      <c r="G388" s="8" t="n">
        <f aca="true">IF(ROW()-2&gt;=Inputs!$B$5,AVERAGE(OFFSET(E388,1-Inputs!$B$5,0,Inputs!$B$5,1)),"")</f>
        <v>0.843146432247414</v>
      </c>
      <c r="H388" s="8" t="n">
        <f aca="false">MAX(C388-D388,ABS(C388-E387),ABS(D388-E387))</f>
        <v>0.0118177887718536</v>
      </c>
      <c r="I388" s="8" t="n">
        <f aca="true">IF(ROW()-2&lt;14,"",IF(ROW()-2=14,AVERAGE(OFFSET(H388,-13,0,14,1)),(I387*13+H388)/14))</f>
        <v>0.00946739561552557</v>
      </c>
      <c r="J388" s="9" t="b">
        <f aca="false">IF(AND(ISNUMBER(F388),ISNUMBER(G388),ISNUMBER(F387),ISNUMBER(G387)),AND(F388&gt;G388,F387&lt;=G387),FALSE())</f>
        <v>0</v>
      </c>
      <c r="K388" s="9" t="b">
        <f aca="false">IF(AND(ISNUMBER(F388),ISNUMBER(G388),ISNUMBER(F387),ISNUMBER(G387)),AND(F388&lt;G388,F387&gt;=G387),FALSE())</f>
        <v>0</v>
      </c>
      <c r="L388" s="8" t="n">
        <f aca="false">IF(ISNUMBER(I388),E388-Inputs!$B$6*I388,"")</f>
        <v>0.788144044819202</v>
      </c>
      <c r="M388" s="9" t="b">
        <f aca="false">AND(Y387&gt;0,Z387)</f>
        <v>0</v>
      </c>
      <c r="N388" s="8" t="n">
        <f aca="false">B388*(1-Inputs!$B$12)</f>
        <v>0.811683701899679</v>
      </c>
      <c r="O388" s="10" t="n">
        <f aca="false">IF(M388,Y387*(N388-AB387)-Inputs!$B$9-Y387*AD387*Inputs!$B$13*(A388-AC387),0)</f>
        <v>0</v>
      </c>
      <c r="P388" s="10" t="n">
        <f aca="false">X387+O388</f>
        <v>1016.3844066801</v>
      </c>
      <c r="Q388" s="9" t="b">
        <f aca="false">AND(IF(M388,0,Y387)=0,AA387,IF(ISNUMBER(AE387),B388&gt;AE387,FALSE()))</f>
        <v>0</v>
      </c>
      <c r="R388" s="8" t="n">
        <f aca="false">B388*(1+Inputs!$B$12)</f>
        <v>0.812008440328125</v>
      </c>
      <c r="S388" s="11" t="n">
        <f aca="false">IF(Q388,MIN(P388*Inputs!$B$3/(R388-AE387),P388*Inputs!$B$11/R388),0)</f>
        <v>0</v>
      </c>
      <c r="T388" s="11" t="n">
        <f aca="false">IF(Q388,S388,IF(M388,0,Y387))</f>
        <v>0</v>
      </c>
      <c r="U388" s="8" t="n">
        <f aca="false">IF(Q388,AE387,AF387)</f>
        <v>0.938328062071903</v>
      </c>
      <c r="V388" s="9" t="b">
        <f aca="false">AND(T388&gt;0,D388&lt;=U388)</f>
        <v>0</v>
      </c>
      <c r="W388" s="10" t="n">
        <f aca="false">IF(V388,T388*(AK388-AB388)-Inputs!$B$9-T388*AD388*Inputs!$B$13*(A388-AC388),0)</f>
        <v>0</v>
      </c>
      <c r="X388" s="10" t="n">
        <f aca="false">P388-IF(Q388,Inputs!$B$9,0)+W388</f>
        <v>1016.3844066801</v>
      </c>
      <c r="Y388" s="11" t="n">
        <f aca="false">IF(V388,0,T388)</f>
        <v>0</v>
      </c>
      <c r="Z388" s="9" t="b">
        <f aca="false">AND(Y388&gt;0,K388)</f>
        <v>0</v>
      </c>
      <c r="AA388" s="9" t="b">
        <f aca="false">AND(Y388=0,J388,ISNUMBER(L388))</f>
        <v>0</v>
      </c>
      <c r="AB388" s="8" t="n">
        <f aca="false">IF(Q388,R388,AB387)</f>
        <v>0.95824964655134</v>
      </c>
      <c r="AC388" s="12" t="n">
        <f aca="false">IF(Q388,A388,AC387)</f>
        <v>45034</v>
      </c>
      <c r="AD388" s="8" t="n">
        <f aca="false">IF(Q388,B388,AD387)</f>
        <v>0.958058034944351</v>
      </c>
      <c r="AE388" s="8" t="str">
        <f aca="false">IF(AA388,L388,"")</f>
        <v/>
      </c>
      <c r="AF388" s="8" t="n">
        <f aca="false">U388</f>
        <v>0.938328062071903</v>
      </c>
      <c r="AG388" s="2" t="n">
        <f aca="false">AG387+IF(Q388,1,0)</f>
        <v>2</v>
      </c>
      <c r="AH388" s="2" t="n">
        <f aca="false">AG387</f>
        <v>2</v>
      </c>
      <c r="AI388" s="10" t="n">
        <f aca="false">X388+Y388*(E388-AB388)-Y388*AD388*Inputs!$B$13*(A388-AC388)</f>
        <v>1016.3844066801</v>
      </c>
      <c r="AJ388" s="10" t="n">
        <v>0</v>
      </c>
      <c r="AK388" s="8" t="n">
        <f aca="false">IF(AND(B388&lt;=U388,NOT(Q388)),B388,U388)*(1-Inputs!$B$12)</f>
        <v>0.811683701899679</v>
      </c>
    </row>
    <row r="389" customFormat="false" ht="15" hidden="false" customHeight="false" outlineLevel="0" collapsed="false">
      <c r="A389" s="6" t="n">
        <v>45173</v>
      </c>
      <c r="B389" s="7" t="n">
        <v>0.807078836050253</v>
      </c>
      <c r="C389" s="7" t="n">
        <v>0.809468612862063</v>
      </c>
      <c r="D389" s="7" t="n">
        <v>0.804061049412348</v>
      </c>
      <c r="E389" s="7" t="n">
        <v>0.80847375460966</v>
      </c>
      <c r="F389" s="8" t="n">
        <f aca="true">IF(ROW()-2&gt;=Inputs!$B$4,AVERAGE(OFFSET(E389,1-Inputs!$B$4,0,Inputs!$B$4,1)),"")</f>
        <v>0.828120465137709</v>
      </c>
      <c r="G389" s="8" t="n">
        <f aca="true">IF(ROW()-2&gt;=Inputs!$B$5,AVERAGE(OFFSET(E389,1-Inputs!$B$5,0,Inputs!$B$5,1)),"")</f>
        <v>0.841961235305071</v>
      </c>
      <c r="H389" s="8" t="n">
        <f aca="false">MAX(C389-D389,ABS(C389-E388),ABS(D389-E388))</f>
        <v>0.00540756344971505</v>
      </c>
      <c r="I389" s="8" t="n">
        <f aca="true">IF(ROW()-2&lt;14,"",IF(ROW()-2=14,AVERAGE(OFFSET(H389,-13,0,14,1)),(I388*13+H389)/14))</f>
        <v>0.00917740760368196</v>
      </c>
      <c r="J389" s="9" t="b">
        <f aca="false">IF(AND(ISNUMBER(F389),ISNUMBER(G389),ISNUMBER(F388),ISNUMBER(G388)),AND(F389&gt;G389,F388&lt;=G388),FALSE())</f>
        <v>0</v>
      </c>
      <c r="K389" s="9" t="b">
        <f aca="false">IF(AND(ISNUMBER(F389),ISNUMBER(G389),ISNUMBER(F388),ISNUMBER(G388)),AND(F389&lt;G389,F388&gt;=G388),FALSE())</f>
        <v>0</v>
      </c>
      <c r="L389" s="8" t="n">
        <f aca="false">IF(ISNUMBER(I389),E389-Inputs!$B$6*I389,"")</f>
        <v>0.790118939402296</v>
      </c>
      <c r="M389" s="9" t="b">
        <f aca="false">AND(Y388&gt;0,Z388)</f>
        <v>0</v>
      </c>
      <c r="N389" s="8" t="n">
        <f aca="false">B389*(1-Inputs!$B$12)</f>
        <v>0.806917420283043</v>
      </c>
      <c r="O389" s="10" t="n">
        <f aca="false">IF(M389,Y388*(N389-AB388)-Inputs!$B$9-Y388*AD388*Inputs!$B$13*(A389-AC388),0)</f>
        <v>0</v>
      </c>
      <c r="P389" s="10" t="n">
        <f aca="false">X388+O389</f>
        <v>1016.3844066801</v>
      </c>
      <c r="Q389" s="9" t="b">
        <f aca="false">AND(IF(M389,0,Y388)=0,AA388,IF(ISNUMBER(AE388),B389&gt;AE388,FALSE()))</f>
        <v>0</v>
      </c>
      <c r="R389" s="8" t="n">
        <f aca="false">B389*(1+Inputs!$B$12)</f>
        <v>0.807240251817464</v>
      </c>
      <c r="S389" s="11" t="n">
        <f aca="false">IF(Q389,MIN(P389*Inputs!$B$3/(R389-AE388),P389*Inputs!$B$11/R389),0)</f>
        <v>0</v>
      </c>
      <c r="T389" s="11" t="n">
        <f aca="false">IF(Q389,S389,IF(M389,0,Y388))</f>
        <v>0</v>
      </c>
      <c r="U389" s="8" t="n">
        <f aca="false">IF(Q389,AE388,AF388)</f>
        <v>0.938328062071903</v>
      </c>
      <c r="V389" s="9" t="b">
        <f aca="false">AND(T389&gt;0,D389&lt;=U389)</f>
        <v>0</v>
      </c>
      <c r="W389" s="10" t="n">
        <f aca="false">IF(V389,T389*(AK389-AB389)-Inputs!$B$9-T389*AD389*Inputs!$B$13*(A389-AC389),0)</f>
        <v>0</v>
      </c>
      <c r="X389" s="10" t="n">
        <f aca="false">P389-IF(Q389,Inputs!$B$9,0)+W389</f>
        <v>1016.3844066801</v>
      </c>
      <c r="Y389" s="11" t="n">
        <f aca="false">IF(V389,0,T389)</f>
        <v>0</v>
      </c>
      <c r="Z389" s="9" t="b">
        <f aca="false">AND(Y389&gt;0,K389)</f>
        <v>0</v>
      </c>
      <c r="AA389" s="9" t="b">
        <f aca="false">AND(Y389=0,J389,ISNUMBER(L389))</f>
        <v>0</v>
      </c>
      <c r="AB389" s="8" t="n">
        <f aca="false">IF(Q389,R389,AB388)</f>
        <v>0.95824964655134</v>
      </c>
      <c r="AC389" s="12" t="n">
        <f aca="false">IF(Q389,A389,AC388)</f>
        <v>45034</v>
      </c>
      <c r="AD389" s="8" t="n">
        <f aca="false">IF(Q389,B389,AD388)</f>
        <v>0.958058034944351</v>
      </c>
      <c r="AE389" s="8" t="str">
        <f aca="false">IF(AA389,L389,"")</f>
        <v/>
      </c>
      <c r="AF389" s="8" t="n">
        <f aca="false">U389</f>
        <v>0.938328062071903</v>
      </c>
      <c r="AG389" s="2" t="n">
        <f aca="false">AG388+IF(Q389,1,0)</f>
        <v>2</v>
      </c>
      <c r="AH389" s="2" t="n">
        <f aca="false">AG388</f>
        <v>2</v>
      </c>
      <c r="AI389" s="10" t="n">
        <f aca="false">X389+Y389*(E389-AB389)-Y389*AD389*Inputs!$B$13*(A389-AC389)</f>
        <v>1016.3844066801</v>
      </c>
      <c r="AJ389" s="10" t="n">
        <v>0</v>
      </c>
      <c r="AK389" s="8" t="n">
        <f aca="false">IF(AND(B389&lt;=U389,NOT(Q389)),B389,U389)*(1-Inputs!$B$12)</f>
        <v>0.806917420283043</v>
      </c>
    </row>
    <row r="390" customFormat="false" ht="15" hidden="false" customHeight="false" outlineLevel="0" collapsed="false">
      <c r="A390" s="6" t="n">
        <v>45174</v>
      </c>
      <c r="B390" s="7" t="n">
        <v>0.80847375460966</v>
      </c>
      <c r="C390" s="7" t="n">
        <v>0.809080098471399</v>
      </c>
      <c r="D390" s="7" t="n">
        <v>0.798289595529586</v>
      </c>
      <c r="E390" s="7" t="n">
        <v>0.801035179911404</v>
      </c>
      <c r="F390" s="8" t="n">
        <f aca="true">IF(ROW()-2&gt;=Inputs!$B$4,AVERAGE(OFFSET(E390,1-Inputs!$B$4,0,Inputs!$B$4,1)),"")</f>
        <v>0.825328223713911</v>
      </c>
      <c r="G390" s="8" t="n">
        <f aca="true">IF(ROW()-2&gt;=Inputs!$B$5,AVERAGE(OFFSET(E390,1-Inputs!$B$5,0,Inputs!$B$5,1)),"")</f>
        <v>0.840583614448899</v>
      </c>
      <c r="H390" s="8" t="n">
        <f aca="false">MAX(C390-D390,ABS(C390-E389),ABS(D390-E389))</f>
        <v>0.0107905029418134</v>
      </c>
      <c r="I390" s="8" t="n">
        <f aca="true">IF(ROW()-2&lt;14,"",IF(ROW()-2=14,AVERAGE(OFFSET(H390,-13,0,14,1)),(I389*13+H390)/14))</f>
        <v>0.00929262869926278</v>
      </c>
      <c r="J390" s="9" t="b">
        <f aca="false">IF(AND(ISNUMBER(F390),ISNUMBER(G390),ISNUMBER(F389),ISNUMBER(G389)),AND(F390&gt;G390,F389&lt;=G389),FALSE())</f>
        <v>0</v>
      </c>
      <c r="K390" s="9" t="b">
        <f aca="false">IF(AND(ISNUMBER(F390),ISNUMBER(G390),ISNUMBER(F389),ISNUMBER(G389)),AND(F390&lt;G390,F389&gt;=G389),FALSE())</f>
        <v>0</v>
      </c>
      <c r="L390" s="8" t="n">
        <f aca="false">IF(ISNUMBER(I390),E390-Inputs!$B$6*I390,"")</f>
        <v>0.782449922512879</v>
      </c>
      <c r="M390" s="9" t="b">
        <f aca="false">AND(Y389&gt;0,Z389)</f>
        <v>0</v>
      </c>
      <c r="N390" s="8" t="n">
        <f aca="false">B390*(1-Inputs!$B$12)</f>
        <v>0.808312059858738</v>
      </c>
      <c r="O390" s="10" t="n">
        <f aca="false">IF(M390,Y389*(N390-AB389)-Inputs!$B$9-Y389*AD389*Inputs!$B$13*(A390-AC389),0)</f>
        <v>0</v>
      </c>
      <c r="P390" s="10" t="n">
        <f aca="false">X389+O390</f>
        <v>1016.3844066801</v>
      </c>
      <c r="Q390" s="9" t="b">
        <f aca="false">AND(IF(M390,0,Y389)=0,AA389,IF(ISNUMBER(AE389),B390&gt;AE389,FALSE()))</f>
        <v>0</v>
      </c>
      <c r="R390" s="8" t="n">
        <f aca="false">B390*(1+Inputs!$B$12)</f>
        <v>0.808635449360582</v>
      </c>
      <c r="S390" s="11" t="n">
        <f aca="false">IF(Q390,MIN(P390*Inputs!$B$3/(R390-AE389),P390*Inputs!$B$11/R390),0)</f>
        <v>0</v>
      </c>
      <c r="T390" s="11" t="n">
        <f aca="false">IF(Q390,S390,IF(M390,0,Y389))</f>
        <v>0</v>
      </c>
      <c r="U390" s="8" t="n">
        <f aca="false">IF(Q390,AE389,AF389)</f>
        <v>0.938328062071903</v>
      </c>
      <c r="V390" s="9" t="b">
        <f aca="false">AND(T390&gt;0,D390&lt;=U390)</f>
        <v>0</v>
      </c>
      <c r="W390" s="10" t="n">
        <f aca="false">IF(V390,T390*(AK390-AB390)-Inputs!$B$9-T390*AD390*Inputs!$B$13*(A390-AC390),0)</f>
        <v>0</v>
      </c>
      <c r="X390" s="10" t="n">
        <f aca="false">P390-IF(Q390,Inputs!$B$9,0)+W390</f>
        <v>1016.3844066801</v>
      </c>
      <c r="Y390" s="11" t="n">
        <f aca="false">IF(V390,0,T390)</f>
        <v>0</v>
      </c>
      <c r="Z390" s="9" t="b">
        <f aca="false">AND(Y390&gt;0,K390)</f>
        <v>0</v>
      </c>
      <c r="AA390" s="9" t="b">
        <f aca="false">AND(Y390=0,J390,ISNUMBER(L390))</f>
        <v>0</v>
      </c>
      <c r="AB390" s="8" t="n">
        <f aca="false">IF(Q390,R390,AB389)</f>
        <v>0.95824964655134</v>
      </c>
      <c r="AC390" s="12" t="n">
        <f aca="false">IF(Q390,A390,AC389)</f>
        <v>45034</v>
      </c>
      <c r="AD390" s="8" t="n">
        <f aca="false">IF(Q390,B390,AD389)</f>
        <v>0.958058034944351</v>
      </c>
      <c r="AE390" s="8" t="str">
        <f aca="false">IF(AA390,L390,"")</f>
        <v/>
      </c>
      <c r="AF390" s="8" t="n">
        <f aca="false">U390</f>
        <v>0.938328062071903</v>
      </c>
      <c r="AG390" s="2" t="n">
        <f aca="false">AG389+IF(Q390,1,0)</f>
        <v>2</v>
      </c>
      <c r="AH390" s="2" t="n">
        <f aca="false">AG389</f>
        <v>2</v>
      </c>
      <c r="AI390" s="10" t="n">
        <f aca="false">X390+Y390*(E390-AB390)-Y390*AD390*Inputs!$B$13*(A390-AC390)</f>
        <v>1016.3844066801</v>
      </c>
      <c r="AJ390" s="10" t="n">
        <v>0</v>
      </c>
      <c r="AK390" s="8" t="n">
        <f aca="false">IF(AND(B390&lt;=U390,NOT(Q390)),B390,U390)*(1-Inputs!$B$12)</f>
        <v>0.808312059858738</v>
      </c>
    </row>
    <row r="391" customFormat="false" ht="15" hidden="false" customHeight="false" outlineLevel="0" collapsed="false">
      <c r="A391" s="6" t="n">
        <v>45175</v>
      </c>
      <c r="B391" s="7" t="n">
        <v>0.801035179911404</v>
      </c>
      <c r="C391" s="7" t="n">
        <v>0.803567275076638</v>
      </c>
      <c r="D391" s="7" t="n">
        <v>0.796344316581299</v>
      </c>
      <c r="E391" s="7" t="n">
        <v>0.800266794161214</v>
      </c>
      <c r="F391" s="8" t="n">
        <f aca="true">IF(ROW()-2&gt;=Inputs!$B$4,AVERAGE(OFFSET(E391,1-Inputs!$B$4,0,Inputs!$B$4,1)),"")</f>
        <v>0.822392350749894</v>
      </c>
      <c r="G391" s="8" t="n">
        <f aca="true">IF(ROW()-2&gt;=Inputs!$B$5,AVERAGE(OFFSET(E391,1-Inputs!$B$5,0,Inputs!$B$5,1)),"")</f>
        <v>0.839246674525465</v>
      </c>
      <c r="H391" s="8" t="n">
        <f aca="false">MAX(C391-D391,ABS(C391-E390),ABS(D391-E390))</f>
        <v>0.00722295849533883</v>
      </c>
      <c r="I391" s="8" t="n">
        <f aca="true">IF(ROW()-2&lt;14,"",IF(ROW()-2=14,AVERAGE(OFFSET(H391,-13,0,14,1)),(I390*13+H391)/14))</f>
        <v>0.00914479511326821</v>
      </c>
      <c r="J391" s="9" t="b">
        <f aca="false">IF(AND(ISNUMBER(F391),ISNUMBER(G391),ISNUMBER(F390),ISNUMBER(G390)),AND(F391&gt;G391,F390&lt;=G390),FALSE())</f>
        <v>0</v>
      </c>
      <c r="K391" s="9" t="b">
        <f aca="false">IF(AND(ISNUMBER(F391),ISNUMBER(G391),ISNUMBER(F390),ISNUMBER(G390)),AND(F391&lt;G391,F390&gt;=G390),FALSE())</f>
        <v>0</v>
      </c>
      <c r="L391" s="8" t="n">
        <f aca="false">IF(ISNUMBER(I391),E391-Inputs!$B$6*I391,"")</f>
        <v>0.781977203934677</v>
      </c>
      <c r="M391" s="9" t="b">
        <f aca="false">AND(Y390&gt;0,Z390)</f>
        <v>0</v>
      </c>
      <c r="N391" s="8" t="n">
        <f aca="false">B391*(1-Inputs!$B$12)</f>
        <v>0.800874972875422</v>
      </c>
      <c r="O391" s="10" t="n">
        <f aca="false">IF(M391,Y390*(N391-AB390)-Inputs!$B$9-Y390*AD390*Inputs!$B$13*(A391-AC390),0)</f>
        <v>0</v>
      </c>
      <c r="P391" s="10" t="n">
        <f aca="false">X390+O391</f>
        <v>1016.3844066801</v>
      </c>
      <c r="Q391" s="9" t="b">
        <f aca="false">AND(IF(M391,0,Y390)=0,AA390,IF(ISNUMBER(AE390),B391&gt;AE390,FALSE()))</f>
        <v>0</v>
      </c>
      <c r="R391" s="8" t="n">
        <f aca="false">B391*(1+Inputs!$B$12)</f>
        <v>0.801195386947387</v>
      </c>
      <c r="S391" s="11" t="n">
        <f aca="false">IF(Q391,MIN(P391*Inputs!$B$3/(R391-AE390),P391*Inputs!$B$11/R391),0)</f>
        <v>0</v>
      </c>
      <c r="T391" s="11" t="n">
        <f aca="false">IF(Q391,S391,IF(M391,0,Y390))</f>
        <v>0</v>
      </c>
      <c r="U391" s="8" t="n">
        <f aca="false">IF(Q391,AE390,AF390)</f>
        <v>0.938328062071903</v>
      </c>
      <c r="V391" s="9" t="b">
        <f aca="false">AND(T391&gt;0,D391&lt;=U391)</f>
        <v>0</v>
      </c>
      <c r="W391" s="10" t="n">
        <f aca="false">IF(V391,T391*(AK391-AB391)-Inputs!$B$9-T391*AD391*Inputs!$B$13*(A391-AC391),0)</f>
        <v>0</v>
      </c>
      <c r="X391" s="10" t="n">
        <f aca="false">P391-IF(Q391,Inputs!$B$9,0)+W391</f>
        <v>1016.3844066801</v>
      </c>
      <c r="Y391" s="11" t="n">
        <f aca="false">IF(V391,0,T391)</f>
        <v>0</v>
      </c>
      <c r="Z391" s="9" t="b">
        <f aca="false">AND(Y391&gt;0,K391)</f>
        <v>0</v>
      </c>
      <c r="AA391" s="9" t="b">
        <f aca="false">AND(Y391=0,J391,ISNUMBER(L391))</f>
        <v>0</v>
      </c>
      <c r="AB391" s="8" t="n">
        <f aca="false">IF(Q391,R391,AB390)</f>
        <v>0.95824964655134</v>
      </c>
      <c r="AC391" s="12" t="n">
        <f aca="false">IF(Q391,A391,AC390)</f>
        <v>45034</v>
      </c>
      <c r="AD391" s="8" t="n">
        <f aca="false">IF(Q391,B391,AD390)</f>
        <v>0.958058034944351</v>
      </c>
      <c r="AE391" s="8" t="str">
        <f aca="false">IF(AA391,L391,"")</f>
        <v/>
      </c>
      <c r="AF391" s="8" t="n">
        <f aca="false">U391</f>
        <v>0.938328062071903</v>
      </c>
      <c r="AG391" s="2" t="n">
        <f aca="false">AG390+IF(Q391,1,0)</f>
        <v>2</v>
      </c>
      <c r="AH391" s="2" t="n">
        <f aca="false">AG390</f>
        <v>2</v>
      </c>
      <c r="AI391" s="10" t="n">
        <f aca="false">X391+Y391*(E391-AB391)-Y391*AD391*Inputs!$B$13*(A391-AC391)</f>
        <v>1016.3844066801</v>
      </c>
      <c r="AJ391" s="10" t="n">
        <v>0</v>
      </c>
      <c r="AK391" s="8" t="n">
        <f aca="false">IF(AND(B391&lt;=U391,NOT(Q391)),B391,U391)*(1-Inputs!$B$12)</f>
        <v>0.800874972875422</v>
      </c>
    </row>
    <row r="392" customFormat="false" ht="15" hidden="false" customHeight="false" outlineLevel="0" collapsed="false">
      <c r="A392" s="6" t="n">
        <v>45176</v>
      </c>
      <c r="B392" s="7" t="n">
        <v>0.800266794161214</v>
      </c>
      <c r="C392" s="7" t="n">
        <v>0.801386707032314</v>
      </c>
      <c r="D392" s="7" t="n">
        <v>0.795198234367575</v>
      </c>
      <c r="E392" s="7" t="n">
        <v>0.797480121595985</v>
      </c>
      <c r="F392" s="8" t="n">
        <f aca="true">IF(ROW()-2&gt;=Inputs!$B$4,AVERAGE(OFFSET(E392,1-Inputs!$B$4,0,Inputs!$B$4,1)),"")</f>
        <v>0.819448126696398</v>
      </c>
      <c r="G392" s="8" t="n">
        <f aca="true">IF(ROW()-2&gt;=Inputs!$B$5,AVERAGE(OFFSET(E392,1-Inputs!$B$5,0,Inputs!$B$5,1)),"")</f>
        <v>0.837897717231693</v>
      </c>
      <c r="H392" s="8" t="n">
        <f aca="false">MAX(C392-D392,ABS(C392-E391),ABS(D392-E391))</f>
        <v>0.00618847266473888</v>
      </c>
      <c r="I392" s="8" t="n">
        <f aca="true">IF(ROW()-2&lt;14,"",IF(ROW()-2=14,AVERAGE(OFFSET(H392,-13,0,14,1)),(I391*13+H392)/14))</f>
        <v>0.00893362922408754</v>
      </c>
      <c r="J392" s="9" t="b">
        <f aca="false">IF(AND(ISNUMBER(F392),ISNUMBER(G392),ISNUMBER(F391),ISNUMBER(G391)),AND(F392&gt;G392,F391&lt;=G391),FALSE())</f>
        <v>0</v>
      </c>
      <c r="K392" s="9" t="b">
        <f aca="false">IF(AND(ISNUMBER(F392),ISNUMBER(G392),ISNUMBER(F391),ISNUMBER(G391)),AND(F392&lt;G392,F391&gt;=G391),FALSE())</f>
        <v>0</v>
      </c>
      <c r="L392" s="8" t="n">
        <f aca="false">IF(ISNUMBER(I392),E392-Inputs!$B$6*I392,"")</f>
        <v>0.77961286314781</v>
      </c>
      <c r="M392" s="9" t="b">
        <f aca="false">AND(Y391&gt;0,Z391)</f>
        <v>0</v>
      </c>
      <c r="N392" s="8" t="n">
        <f aca="false">B392*(1-Inputs!$B$12)</f>
        <v>0.800106740802381</v>
      </c>
      <c r="O392" s="10" t="n">
        <f aca="false">IF(M392,Y391*(N392-AB391)-Inputs!$B$9-Y391*AD391*Inputs!$B$13*(A392-AC391),0)</f>
        <v>0</v>
      </c>
      <c r="P392" s="10" t="n">
        <f aca="false">X391+O392</f>
        <v>1016.3844066801</v>
      </c>
      <c r="Q392" s="9" t="b">
        <f aca="false">AND(IF(M392,0,Y391)=0,AA391,IF(ISNUMBER(AE391),B392&gt;AE391,FALSE()))</f>
        <v>0</v>
      </c>
      <c r="R392" s="8" t="n">
        <f aca="false">B392*(1+Inputs!$B$12)</f>
        <v>0.800426847520046</v>
      </c>
      <c r="S392" s="11" t="n">
        <f aca="false">IF(Q392,MIN(P392*Inputs!$B$3/(R392-AE391),P392*Inputs!$B$11/R392),0)</f>
        <v>0</v>
      </c>
      <c r="T392" s="11" t="n">
        <f aca="false">IF(Q392,S392,IF(M392,0,Y391))</f>
        <v>0</v>
      </c>
      <c r="U392" s="8" t="n">
        <f aca="false">IF(Q392,AE391,AF391)</f>
        <v>0.938328062071903</v>
      </c>
      <c r="V392" s="9" t="b">
        <f aca="false">AND(T392&gt;0,D392&lt;=U392)</f>
        <v>0</v>
      </c>
      <c r="W392" s="10" t="n">
        <f aca="false">IF(V392,T392*(AK392-AB392)-Inputs!$B$9-T392*AD392*Inputs!$B$13*(A392-AC392),0)</f>
        <v>0</v>
      </c>
      <c r="X392" s="10" t="n">
        <f aca="false">P392-IF(Q392,Inputs!$B$9,0)+W392</f>
        <v>1016.3844066801</v>
      </c>
      <c r="Y392" s="11" t="n">
        <f aca="false">IF(V392,0,T392)</f>
        <v>0</v>
      </c>
      <c r="Z392" s="9" t="b">
        <f aca="false">AND(Y392&gt;0,K392)</f>
        <v>0</v>
      </c>
      <c r="AA392" s="9" t="b">
        <f aca="false">AND(Y392=0,J392,ISNUMBER(L392))</f>
        <v>0</v>
      </c>
      <c r="AB392" s="8" t="n">
        <f aca="false">IF(Q392,R392,AB391)</f>
        <v>0.95824964655134</v>
      </c>
      <c r="AC392" s="12" t="n">
        <f aca="false">IF(Q392,A392,AC391)</f>
        <v>45034</v>
      </c>
      <c r="AD392" s="8" t="n">
        <f aca="false">IF(Q392,B392,AD391)</f>
        <v>0.958058034944351</v>
      </c>
      <c r="AE392" s="8" t="str">
        <f aca="false">IF(AA392,L392,"")</f>
        <v/>
      </c>
      <c r="AF392" s="8" t="n">
        <f aca="false">U392</f>
        <v>0.938328062071903</v>
      </c>
      <c r="AG392" s="2" t="n">
        <f aca="false">AG391+IF(Q392,1,0)</f>
        <v>2</v>
      </c>
      <c r="AH392" s="2" t="n">
        <f aca="false">AG391</f>
        <v>2</v>
      </c>
      <c r="AI392" s="10" t="n">
        <f aca="false">X392+Y392*(E392-AB392)-Y392*AD392*Inputs!$B$13*(A392-AC392)</f>
        <v>1016.3844066801</v>
      </c>
      <c r="AJ392" s="10" t="n">
        <v>0</v>
      </c>
      <c r="AK392" s="8" t="n">
        <f aca="false">IF(AND(B392&lt;=U392,NOT(Q392)),B392,U392)*(1-Inputs!$B$12)</f>
        <v>0.800106740802381</v>
      </c>
    </row>
    <row r="393" customFormat="false" ht="15" hidden="false" customHeight="false" outlineLevel="0" collapsed="false">
      <c r="A393" s="6" t="n">
        <v>45177</v>
      </c>
      <c r="B393" s="7" t="n">
        <v>0.797480121595985</v>
      </c>
      <c r="C393" s="7" t="n">
        <v>0.79874178269734</v>
      </c>
      <c r="D393" s="7" t="n">
        <v>0.796772994229456</v>
      </c>
      <c r="E393" s="7" t="n">
        <v>0.797281404644913</v>
      </c>
      <c r="F393" s="8" t="n">
        <f aca="true">IF(ROW()-2&gt;=Inputs!$B$4,AVERAGE(OFFSET(E393,1-Inputs!$B$4,0,Inputs!$B$4,1)),"")</f>
        <v>0.816867398550589</v>
      </c>
      <c r="G393" s="8" t="n">
        <f aca="true">IF(ROW()-2&gt;=Inputs!$B$5,AVERAGE(OFFSET(E393,1-Inputs!$B$5,0,Inputs!$B$5,1)),"")</f>
        <v>0.836619903584807</v>
      </c>
      <c r="H393" s="8" t="n">
        <f aca="false">MAX(C393-D393,ABS(C393-E392),ABS(D393-E392))</f>
        <v>0.00196878846788429</v>
      </c>
      <c r="I393" s="8" t="n">
        <f aca="true">IF(ROW()-2&lt;14,"",IF(ROW()-2=14,AVERAGE(OFFSET(H393,-13,0,14,1)),(I392*13+H393)/14))</f>
        <v>0.00843614059864445</v>
      </c>
      <c r="J393" s="9" t="b">
        <f aca="false">IF(AND(ISNUMBER(F393),ISNUMBER(G393),ISNUMBER(F392),ISNUMBER(G392)),AND(F393&gt;G393,F392&lt;=G392),FALSE())</f>
        <v>0</v>
      </c>
      <c r="K393" s="9" t="b">
        <f aca="false">IF(AND(ISNUMBER(F393),ISNUMBER(G393),ISNUMBER(F392),ISNUMBER(G392)),AND(F393&lt;G393,F392&gt;=G392),FALSE())</f>
        <v>0</v>
      </c>
      <c r="L393" s="8" t="n">
        <f aca="false">IF(ISNUMBER(I393),E393-Inputs!$B$6*I393,"")</f>
        <v>0.780409123447624</v>
      </c>
      <c r="M393" s="9" t="b">
        <f aca="false">AND(Y392&gt;0,Z392)</f>
        <v>0</v>
      </c>
      <c r="N393" s="8" t="n">
        <f aca="false">B393*(1-Inputs!$B$12)</f>
        <v>0.797320625571666</v>
      </c>
      <c r="O393" s="10" t="n">
        <f aca="false">IF(M393,Y392*(N393-AB392)-Inputs!$B$9-Y392*AD392*Inputs!$B$13*(A393-AC392),0)</f>
        <v>0</v>
      </c>
      <c r="P393" s="10" t="n">
        <f aca="false">X392+O393</f>
        <v>1016.3844066801</v>
      </c>
      <c r="Q393" s="9" t="b">
        <f aca="false">AND(IF(M393,0,Y392)=0,AA392,IF(ISNUMBER(AE392),B393&gt;AE392,FALSE()))</f>
        <v>0</v>
      </c>
      <c r="R393" s="8" t="n">
        <f aca="false">B393*(1+Inputs!$B$12)</f>
        <v>0.797639617620304</v>
      </c>
      <c r="S393" s="11" t="n">
        <f aca="false">IF(Q393,MIN(P393*Inputs!$B$3/(R393-AE392),P393*Inputs!$B$11/R393),0)</f>
        <v>0</v>
      </c>
      <c r="T393" s="11" t="n">
        <f aca="false">IF(Q393,S393,IF(M393,0,Y392))</f>
        <v>0</v>
      </c>
      <c r="U393" s="8" t="n">
        <f aca="false">IF(Q393,AE392,AF392)</f>
        <v>0.938328062071903</v>
      </c>
      <c r="V393" s="9" t="b">
        <f aca="false">AND(T393&gt;0,D393&lt;=U393)</f>
        <v>0</v>
      </c>
      <c r="W393" s="10" t="n">
        <f aca="false">IF(V393,T393*(AK393-AB393)-Inputs!$B$9-T393*AD393*Inputs!$B$13*(A393-AC393),0)</f>
        <v>0</v>
      </c>
      <c r="X393" s="10" t="n">
        <f aca="false">P393-IF(Q393,Inputs!$B$9,0)+W393</f>
        <v>1016.3844066801</v>
      </c>
      <c r="Y393" s="11" t="n">
        <f aca="false">IF(V393,0,T393)</f>
        <v>0</v>
      </c>
      <c r="Z393" s="9" t="b">
        <f aca="false">AND(Y393&gt;0,K393)</f>
        <v>0</v>
      </c>
      <c r="AA393" s="9" t="b">
        <f aca="false">AND(Y393=0,J393,ISNUMBER(L393))</f>
        <v>0</v>
      </c>
      <c r="AB393" s="8" t="n">
        <f aca="false">IF(Q393,R393,AB392)</f>
        <v>0.95824964655134</v>
      </c>
      <c r="AC393" s="12" t="n">
        <f aca="false">IF(Q393,A393,AC392)</f>
        <v>45034</v>
      </c>
      <c r="AD393" s="8" t="n">
        <f aca="false">IF(Q393,B393,AD392)</f>
        <v>0.958058034944351</v>
      </c>
      <c r="AE393" s="8" t="str">
        <f aca="false">IF(AA393,L393,"")</f>
        <v/>
      </c>
      <c r="AF393" s="8" t="n">
        <f aca="false">U393</f>
        <v>0.938328062071903</v>
      </c>
      <c r="AG393" s="2" t="n">
        <f aca="false">AG392+IF(Q393,1,0)</f>
        <v>2</v>
      </c>
      <c r="AH393" s="2" t="n">
        <f aca="false">AG392</f>
        <v>2</v>
      </c>
      <c r="AI393" s="10" t="n">
        <f aca="false">X393+Y393*(E393-AB393)-Y393*AD393*Inputs!$B$13*(A393-AC393)</f>
        <v>1016.3844066801</v>
      </c>
      <c r="AJ393" s="10" t="n">
        <v>0</v>
      </c>
      <c r="AK393" s="8" t="n">
        <f aca="false">IF(AND(B393&lt;=U393,NOT(Q393)),B393,U393)*(1-Inputs!$B$12)</f>
        <v>0.797320625571666</v>
      </c>
    </row>
    <row r="394" customFormat="false" ht="15" hidden="false" customHeight="false" outlineLevel="0" collapsed="false">
      <c r="A394" s="6" t="n">
        <v>45178</v>
      </c>
      <c r="B394" s="7" t="n">
        <v>0.797281404644913</v>
      </c>
      <c r="C394" s="7" t="n">
        <v>0.80002375637976</v>
      </c>
      <c r="D394" s="7" t="n">
        <v>0.78457822070814</v>
      </c>
      <c r="E394" s="7" t="n">
        <v>0.784859347618549</v>
      </c>
      <c r="F394" s="8" t="n">
        <f aca="true">IF(ROW()-2&gt;=Inputs!$B$4,AVERAGE(OFFSET(E394,1-Inputs!$B$4,0,Inputs!$B$4,1)),"")</f>
        <v>0.813909747222676</v>
      </c>
      <c r="G394" s="8" t="n">
        <f aca="true">IF(ROW()-2&gt;=Inputs!$B$5,AVERAGE(OFFSET(E394,1-Inputs!$B$5,0,Inputs!$B$5,1)),"")</f>
        <v>0.83527453996643</v>
      </c>
      <c r="H394" s="8" t="n">
        <f aca="false">MAX(C394-D394,ABS(C394-E393),ABS(D394-E393))</f>
        <v>0.0154455356716203</v>
      </c>
      <c r="I394" s="8" t="n">
        <f aca="true">IF(ROW()-2&lt;14,"",IF(ROW()-2=14,AVERAGE(OFFSET(H394,-13,0,14,1)),(I393*13+H394)/14))</f>
        <v>0.00893681167528559</v>
      </c>
      <c r="J394" s="9" t="b">
        <f aca="false">IF(AND(ISNUMBER(F394),ISNUMBER(G394),ISNUMBER(F393),ISNUMBER(G393)),AND(F394&gt;G394,F393&lt;=G393),FALSE())</f>
        <v>0</v>
      </c>
      <c r="K394" s="9" t="b">
        <f aca="false">IF(AND(ISNUMBER(F394),ISNUMBER(G394),ISNUMBER(F393),ISNUMBER(G393)),AND(F394&lt;G394,F393&gt;=G393),FALSE())</f>
        <v>0</v>
      </c>
      <c r="L394" s="8" t="n">
        <f aca="false">IF(ISNUMBER(I394),E394-Inputs!$B$6*I394,"")</f>
        <v>0.766985724267977</v>
      </c>
      <c r="M394" s="9" t="b">
        <f aca="false">AND(Y393&gt;0,Z393)</f>
        <v>0</v>
      </c>
      <c r="N394" s="8" t="n">
        <f aca="false">B394*(1-Inputs!$B$12)</f>
        <v>0.797121948363984</v>
      </c>
      <c r="O394" s="10" t="n">
        <f aca="false">IF(M394,Y393*(N394-AB393)-Inputs!$B$9-Y393*AD393*Inputs!$B$13*(A394-AC393),0)</f>
        <v>0</v>
      </c>
      <c r="P394" s="10" t="n">
        <f aca="false">X393+O394</f>
        <v>1016.3844066801</v>
      </c>
      <c r="Q394" s="9" t="b">
        <f aca="false">AND(IF(M394,0,Y393)=0,AA393,IF(ISNUMBER(AE393),B394&gt;AE393,FALSE()))</f>
        <v>0</v>
      </c>
      <c r="R394" s="8" t="n">
        <f aca="false">B394*(1+Inputs!$B$12)</f>
        <v>0.797440860925842</v>
      </c>
      <c r="S394" s="11" t="n">
        <f aca="false">IF(Q394,MIN(P394*Inputs!$B$3/(R394-AE393),P394*Inputs!$B$11/R394),0)</f>
        <v>0</v>
      </c>
      <c r="T394" s="11" t="n">
        <f aca="false">IF(Q394,S394,IF(M394,0,Y393))</f>
        <v>0</v>
      </c>
      <c r="U394" s="8" t="n">
        <f aca="false">IF(Q394,AE393,AF393)</f>
        <v>0.938328062071903</v>
      </c>
      <c r="V394" s="9" t="b">
        <f aca="false">AND(T394&gt;0,D394&lt;=U394)</f>
        <v>0</v>
      </c>
      <c r="W394" s="10" t="n">
        <f aca="false">IF(V394,T394*(AK394-AB394)-Inputs!$B$9-T394*AD394*Inputs!$B$13*(A394-AC394),0)</f>
        <v>0</v>
      </c>
      <c r="X394" s="10" t="n">
        <f aca="false">P394-IF(Q394,Inputs!$B$9,0)+W394</f>
        <v>1016.3844066801</v>
      </c>
      <c r="Y394" s="11" t="n">
        <f aca="false">IF(V394,0,T394)</f>
        <v>0</v>
      </c>
      <c r="Z394" s="9" t="b">
        <f aca="false">AND(Y394&gt;0,K394)</f>
        <v>0</v>
      </c>
      <c r="AA394" s="9" t="b">
        <f aca="false">AND(Y394=0,J394,ISNUMBER(L394))</f>
        <v>0</v>
      </c>
      <c r="AB394" s="8" t="n">
        <f aca="false">IF(Q394,R394,AB393)</f>
        <v>0.95824964655134</v>
      </c>
      <c r="AC394" s="12" t="n">
        <f aca="false">IF(Q394,A394,AC393)</f>
        <v>45034</v>
      </c>
      <c r="AD394" s="8" t="n">
        <f aca="false">IF(Q394,B394,AD393)</f>
        <v>0.958058034944351</v>
      </c>
      <c r="AE394" s="8" t="str">
        <f aca="false">IF(AA394,L394,"")</f>
        <v/>
      </c>
      <c r="AF394" s="8" t="n">
        <f aca="false">U394</f>
        <v>0.938328062071903</v>
      </c>
      <c r="AG394" s="2" t="n">
        <f aca="false">AG393+IF(Q394,1,0)</f>
        <v>2</v>
      </c>
      <c r="AH394" s="2" t="n">
        <f aca="false">AG393</f>
        <v>2</v>
      </c>
      <c r="AI394" s="10" t="n">
        <f aca="false">X394+Y394*(E394-AB394)-Y394*AD394*Inputs!$B$13*(A394-AC394)</f>
        <v>1016.3844066801</v>
      </c>
      <c r="AJ394" s="10" t="n">
        <v>0</v>
      </c>
      <c r="AK394" s="8" t="n">
        <f aca="false">IF(AND(B394&lt;=U394,NOT(Q394)),B394,U394)*(1-Inputs!$B$12)</f>
        <v>0.797121948363984</v>
      </c>
    </row>
    <row r="395" customFormat="false" ht="15" hidden="false" customHeight="false" outlineLevel="0" collapsed="false">
      <c r="A395" s="6" t="n">
        <v>45179</v>
      </c>
      <c r="B395" s="7" t="n">
        <v>0.784859347618549</v>
      </c>
      <c r="C395" s="7" t="n">
        <v>0.788517729464218</v>
      </c>
      <c r="D395" s="7" t="n">
        <v>0.775908998131233</v>
      </c>
      <c r="E395" s="7" t="n">
        <v>0.781674691196846</v>
      </c>
      <c r="F395" s="8" t="n">
        <f aca="true">IF(ROW()-2&gt;=Inputs!$B$4,AVERAGE(OFFSET(E395,1-Inputs!$B$4,0,Inputs!$B$4,1)),"")</f>
        <v>0.811285972267581</v>
      </c>
      <c r="G395" s="8" t="n">
        <f aca="true">IF(ROW()-2&gt;=Inputs!$B$5,AVERAGE(OFFSET(E395,1-Inputs!$B$5,0,Inputs!$B$5,1)),"")</f>
        <v>0.833765435027674</v>
      </c>
      <c r="H395" s="8" t="n">
        <f aca="false">MAX(C395-D395,ABS(C395-E394),ABS(D395-E394))</f>
        <v>0.0126087313329856</v>
      </c>
      <c r="I395" s="8" t="n">
        <f aca="true">IF(ROW()-2&lt;14,"",IF(ROW()-2=14,AVERAGE(OFFSET(H395,-13,0,14,1)),(I394*13+H395)/14))</f>
        <v>0.00919909165083559</v>
      </c>
      <c r="J395" s="9" t="b">
        <f aca="false">IF(AND(ISNUMBER(F395),ISNUMBER(G395),ISNUMBER(F394),ISNUMBER(G394)),AND(F395&gt;G395,F394&lt;=G394),FALSE())</f>
        <v>0</v>
      </c>
      <c r="K395" s="9" t="b">
        <f aca="false">IF(AND(ISNUMBER(F395),ISNUMBER(G395),ISNUMBER(F394),ISNUMBER(G394)),AND(F395&lt;G395,F394&gt;=G394),FALSE())</f>
        <v>0</v>
      </c>
      <c r="L395" s="8" t="n">
        <f aca="false">IF(ISNUMBER(I395),E395-Inputs!$B$6*I395,"")</f>
        <v>0.763276507895175</v>
      </c>
      <c r="M395" s="9" t="b">
        <f aca="false">AND(Y394&gt;0,Z394)</f>
        <v>0</v>
      </c>
      <c r="N395" s="8" t="n">
        <f aca="false">B395*(1-Inputs!$B$12)</f>
        <v>0.784702375749025</v>
      </c>
      <c r="O395" s="10" t="n">
        <f aca="false">IF(M395,Y394*(N395-AB394)-Inputs!$B$9-Y394*AD394*Inputs!$B$13*(A395-AC394),0)</f>
        <v>0</v>
      </c>
      <c r="P395" s="10" t="n">
        <f aca="false">X394+O395</f>
        <v>1016.3844066801</v>
      </c>
      <c r="Q395" s="9" t="b">
        <f aca="false">AND(IF(M395,0,Y394)=0,AA394,IF(ISNUMBER(AE394),B395&gt;AE394,FALSE()))</f>
        <v>0</v>
      </c>
      <c r="R395" s="8" t="n">
        <f aca="false">B395*(1+Inputs!$B$12)</f>
        <v>0.785016319488072</v>
      </c>
      <c r="S395" s="11" t="n">
        <f aca="false">IF(Q395,MIN(P395*Inputs!$B$3/(R395-AE394),P395*Inputs!$B$11/R395),0)</f>
        <v>0</v>
      </c>
      <c r="T395" s="11" t="n">
        <f aca="false">IF(Q395,S395,IF(M395,0,Y394))</f>
        <v>0</v>
      </c>
      <c r="U395" s="8" t="n">
        <f aca="false">IF(Q395,AE394,AF394)</f>
        <v>0.938328062071903</v>
      </c>
      <c r="V395" s="9" t="b">
        <f aca="false">AND(T395&gt;0,D395&lt;=U395)</f>
        <v>0</v>
      </c>
      <c r="W395" s="10" t="n">
        <f aca="false">IF(V395,T395*(AK395-AB395)-Inputs!$B$9-T395*AD395*Inputs!$B$13*(A395-AC395),0)</f>
        <v>0</v>
      </c>
      <c r="X395" s="10" t="n">
        <f aca="false">P395-IF(Q395,Inputs!$B$9,0)+W395</f>
        <v>1016.3844066801</v>
      </c>
      <c r="Y395" s="11" t="n">
        <f aca="false">IF(V395,0,T395)</f>
        <v>0</v>
      </c>
      <c r="Z395" s="9" t="b">
        <f aca="false">AND(Y395&gt;0,K395)</f>
        <v>0</v>
      </c>
      <c r="AA395" s="9" t="b">
        <f aca="false">AND(Y395=0,J395,ISNUMBER(L395))</f>
        <v>0</v>
      </c>
      <c r="AB395" s="8" t="n">
        <f aca="false">IF(Q395,R395,AB394)</f>
        <v>0.95824964655134</v>
      </c>
      <c r="AC395" s="12" t="n">
        <f aca="false">IF(Q395,A395,AC394)</f>
        <v>45034</v>
      </c>
      <c r="AD395" s="8" t="n">
        <f aca="false">IF(Q395,B395,AD394)</f>
        <v>0.958058034944351</v>
      </c>
      <c r="AE395" s="8" t="str">
        <f aca="false">IF(AA395,L395,"")</f>
        <v/>
      </c>
      <c r="AF395" s="8" t="n">
        <f aca="false">U395</f>
        <v>0.938328062071903</v>
      </c>
      <c r="AG395" s="2" t="n">
        <f aca="false">AG394+IF(Q395,1,0)</f>
        <v>2</v>
      </c>
      <c r="AH395" s="2" t="n">
        <f aca="false">AG394</f>
        <v>2</v>
      </c>
      <c r="AI395" s="10" t="n">
        <f aca="false">X395+Y395*(E395-AB395)-Y395*AD395*Inputs!$B$13*(A395-AC395)</f>
        <v>1016.3844066801</v>
      </c>
      <c r="AJ395" s="10" t="n">
        <v>0</v>
      </c>
      <c r="AK395" s="8" t="n">
        <f aca="false">IF(AND(B395&lt;=U395,NOT(Q395)),B395,U395)*(1-Inputs!$B$12)</f>
        <v>0.784702375749025</v>
      </c>
    </row>
    <row r="396" customFormat="false" ht="15" hidden="false" customHeight="false" outlineLevel="0" collapsed="false">
      <c r="A396" s="6" t="n">
        <v>45180</v>
      </c>
      <c r="B396" s="7" t="n">
        <v>0.781674691196846</v>
      </c>
      <c r="C396" s="7" t="n">
        <v>0.783281719058949</v>
      </c>
      <c r="D396" s="7" t="n">
        <v>0.777265400965785</v>
      </c>
      <c r="E396" s="7" t="n">
        <v>0.77761362245138</v>
      </c>
      <c r="F396" s="8" t="n">
        <f aca="true">IF(ROW()-2&gt;=Inputs!$B$4,AVERAGE(OFFSET(E396,1-Inputs!$B$4,0,Inputs!$B$4,1)),"")</f>
        <v>0.80869744657979</v>
      </c>
      <c r="G396" s="8" t="n">
        <f aca="true">IF(ROW()-2&gt;=Inputs!$B$5,AVERAGE(OFFSET(E396,1-Inputs!$B$5,0,Inputs!$B$5,1)),"")</f>
        <v>0.832264909088289</v>
      </c>
      <c r="H396" s="8" t="n">
        <f aca="false">MAX(C396-D396,ABS(C396-E395),ABS(D396-E395))</f>
        <v>0.00601631809316328</v>
      </c>
      <c r="I396" s="8" t="n">
        <f aca="true">IF(ROW()-2&lt;14,"",IF(ROW()-2=14,AVERAGE(OFFSET(H396,-13,0,14,1)),(I395*13+H396)/14))</f>
        <v>0.00897175068243042</v>
      </c>
      <c r="J396" s="9" t="b">
        <f aca="false">IF(AND(ISNUMBER(F396),ISNUMBER(G396),ISNUMBER(F395),ISNUMBER(G395)),AND(F396&gt;G396,F395&lt;=G395),FALSE())</f>
        <v>0</v>
      </c>
      <c r="K396" s="9" t="b">
        <f aca="false">IF(AND(ISNUMBER(F396),ISNUMBER(G396),ISNUMBER(F395),ISNUMBER(G395)),AND(F396&lt;G396,F395&gt;=G395),FALSE())</f>
        <v>0</v>
      </c>
      <c r="L396" s="8" t="n">
        <f aca="false">IF(ISNUMBER(I396),E396-Inputs!$B$6*I396,"")</f>
        <v>0.759670121086519</v>
      </c>
      <c r="M396" s="9" t="b">
        <f aca="false">AND(Y395&gt;0,Z395)</f>
        <v>0</v>
      </c>
      <c r="N396" s="8" t="n">
        <f aca="false">B396*(1-Inputs!$B$12)</f>
        <v>0.781518356258607</v>
      </c>
      <c r="O396" s="10" t="n">
        <f aca="false">IF(M396,Y395*(N396-AB395)-Inputs!$B$9-Y395*AD395*Inputs!$B$13*(A396-AC395),0)</f>
        <v>0</v>
      </c>
      <c r="P396" s="10" t="n">
        <f aca="false">X395+O396</f>
        <v>1016.3844066801</v>
      </c>
      <c r="Q396" s="9" t="b">
        <f aca="false">AND(IF(M396,0,Y395)=0,AA395,IF(ISNUMBER(AE395),B396&gt;AE395,FALSE()))</f>
        <v>0</v>
      </c>
      <c r="R396" s="8" t="n">
        <f aca="false">B396*(1+Inputs!$B$12)</f>
        <v>0.781831026135085</v>
      </c>
      <c r="S396" s="11" t="n">
        <f aca="false">IF(Q396,MIN(P396*Inputs!$B$3/(R396-AE395),P396*Inputs!$B$11/R396),0)</f>
        <v>0</v>
      </c>
      <c r="T396" s="11" t="n">
        <f aca="false">IF(Q396,S396,IF(M396,0,Y395))</f>
        <v>0</v>
      </c>
      <c r="U396" s="8" t="n">
        <f aca="false">IF(Q396,AE395,AF395)</f>
        <v>0.938328062071903</v>
      </c>
      <c r="V396" s="9" t="b">
        <f aca="false">AND(T396&gt;0,D396&lt;=U396)</f>
        <v>0</v>
      </c>
      <c r="W396" s="10" t="n">
        <f aca="false">IF(V396,T396*(AK396-AB396)-Inputs!$B$9-T396*AD396*Inputs!$B$13*(A396-AC396),0)</f>
        <v>0</v>
      </c>
      <c r="X396" s="10" t="n">
        <f aca="false">P396-IF(Q396,Inputs!$B$9,0)+W396</f>
        <v>1016.3844066801</v>
      </c>
      <c r="Y396" s="11" t="n">
        <f aca="false">IF(V396,0,T396)</f>
        <v>0</v>
      </c>
      <c r="Z396" s="9" t="b">
        <f aca="false">AND(Y396&gt;0,K396)</f>
        <v>0</v>
      </c>
      <c r="AA396" s="9" t="b">
        <f aca="false">AND(Y396=0,J396,ISNUMBER(L396))</f>
        <v>0</v>
      </c>
      <c r="AB396" s="8" t="n">
        <f aca="false">IF(Q396,R396,AB395)</f>
        <v>0.95824964655134</v>
      </c>
      <c r="AC396" s="12" t="n">
        <f aca="false">IF(Q396,A396,AC395)</f>
        <v>45034</v>
      </c>
      <c r="AD396" s="8" t="n">
        <f aca="false">IF(Q396,B396,AD395)</f>
        <v>0.958058034944351</v>
      </c>
      <c r="AE396" s="8" t="str">
        <f aca="false">IF(AA396,L396,"")</f>
        <v/>
      </c>
      <c r="AF396" s="8" t="n">
        <f aca="false">U396</f>
        <v>0.938328062071903</v>
      </c>
      <c r="AG396" s="2" t="n">
        <f aca="false">AG395+IF(Q396,1,0)</f>
        <v>2</v>
      </c>
      <c r="AH396" s="2" t="n">
        <f aca="false">AG395</f>
        <v>2</v>
      </c>
      <c r="AI396" s="10" t="n">
        <f aca="false">X396+Y396*(E396-AB396)-Y396*AD396*Inputs!$B$13*(A396-AC396)</f>
        <v>1016.3844066801</v>
      </c>
      <c r="AJ396" s="10" t="n">
        <v>0</v>
      </c>
      <c r="AK396" s="8" t="n">
        <f aca="false">IF(AND(B396&lt;=U396,NOT(Q396)),B396,U396)*(1-Inputs!$B$12)</f>
        <v>0.781518356258607</v>
      </c>
    </row>
    <row r="397" customFormat="false" ht="15" hidden="false" customHeight="false" outlineLevel="0" collapsed="false">
      <c r="A397" s="6" t="n">
        <v>45181</v>
      </c>
      <c r="B397" s="7" t="n">
        <v>0.77761362245138</v>
      </c>
      <c r="C397" s="7" t="n">
        <v>0.779668770077459</v>
      </c>
      <c r="D397" s="7" t="n">
        <v>0.759626872155237</v>
      </c>
      <c r="E397" s="7" t="n">
        <v>0.766792626597425</v>
      </c>
      <c r="F397" s="8" t="n">
        <f aca="true">IF(ROW()-2&gt;=Inputs!$B$4,AVERAGE(OFFSET(E397,1-Inputs!$B$4,0,Inputs!$B$4,1)),"")</f>
        <v>0.805814905342014</v>
      </c>
      <c r="G397" s="8" t="n">
        <f aca="true">IF(ROW()-2&gt;=Inputs!$B$5,AVERAGE(OFFSET(E397,1-Inputs!$B$5,0,Inputs!$B$5,1)),"")</f>
        <v>0.830480419493386</v>
      </c>
      <c r="H397" s="8" t="n">
        <f aca="false">MAX(C397-D397,ABS(C397-E396),ABS(D397-E396))</f>
        <v>0.0200418979222217</v>
      </c>
      <c r="I397" s="8" t="n">
        <f aca="true">IF(ROW()-2&lt;14,"",IF(ROW()-2=14,AVERAGE(OFFSET(H397,-13,0,14,1)),(I396*13+H397)/14))</f>
        <v>0.00976247548527265</v>
      </c>
      <c r="J397" s="9" t="b">
        <f aca="false">IF(AND(ISNUMBER(F397),ISNUMBER(G397),ISNUMBER(F396),ISNUMBER(G396)),AND(F397&gt;G397,F396&lt;=G396),FALSE())</f>
        <v>0</v>
      </c>
      <c r="K397" s="9" t="b">
        <f aca="false">IF(AND(ISNUMBER(F397),ISNUMBER(G397),ISNUMBER(F396),ISNUMBER(G396)),AND(F397&lt;G397,F396&gt;=G396),FALSE())</f>
        <v>0</v>
      </c>
      <c r="L397" s="8" t="n">
        <f aca="false">IF(ISNUMBER(I397),E397-Inputs!$B$6*I397,"")</f>
        <v>0.74726767562688</v>
      </c>
      <c r="M397" s="9" t="b">
        <f aca="false">AND(Y396&gt;0,Z396)</f>
        <v>0</v>
      </c>
      <c r="N397" s="8" t="n">
        <f aca="false">B397*(1-Inputs!$B$12)</f>
        <v>0.77745809972689</v>
      </c>
      <c r="O397" s="10" t="n">
        <f aca="false">IF(M397,Y396*(N397-AB396)-Inputs!$B$9-Y396*AD396*Inputs!$B$13*(A397-AC396),0)</f>
        <v>0</v>
      </c>
      <c r="P397" s="10" t="n">
        <f aca="false">X396+O397</f>
        <v>1016.3844066801</v>
      </c>
      <c r="Q397" s="9" t="b">
        <f aca="false">AND(IF(M397,0,Y396)=0,AA396,IF(ISNUMBER(AE396),B397&gt;AE396,FALSE()))</f>
        <v>0</v>
      </c>
      <c r="R397" s="8" t="n">
        <f aca="false">B397*(1+Inputs!$B$12)</f>
        <v>0.77776914517587</v>
      </c>
      <c r="S397" s="11" t="n">
        <f aca="false">IF(Q397,MIN(P397*Inputs!$B$3/(R397-AE396),P397*Inputs!$B$11/R397),0)</f>
        <v>0</v>
      </c>
      <c r="T397" s="11" t="n">
        <f aca="false">IF(Q397,S397,IF(M397,0,Y396))</f>
        <v>0</v>
      </c>
      <c r="U397" s="8" t="n">
        <f aca="false">IF(Q397,AE396,AF396)</f>
        <v>0.938328062071903</v>
      </c>
      <c r="V397" s="9" t="b">
        <f aca="false">AND(T397&gt;0,D397&lt;=U397)</f>
        <v>0</v>
      </c>
      <c r="W397" s="10" t="n">
        <f aca="false">IF(V397,T397*(AK397-AB397)-Inputs!$B$9-T397*AD397*Inputs!$B$13*(A397-AC397),0)</f>
        <v>0</v>
      </c>
      <c r="X397" s="10" t="n">
        <f aca="false">P397-IF(Q397,Inputs!$B$9,0)+W397</f>
        <v>1016.3844066801</v>
      </c>
      <c r="Y397" s="11" t="n">
        <f aca="false">IF(V397,0,T397)</f>
        <v>0</v>
      </c>
      <c r="Z397" s="9" t="b">
        <f aca="false">AND(Y397&gt;0,K397)</f>
        <v>0</v>
      </c>
      <c r="AA397" s="9" t="b">
        <f aca="false">AND(Y397=0,J397,ISNUMBER(L397))</f>
        <v>0</v>
      </c>
      <c r="AB397" s="8" t="n">
        <f aca="false">IF(Q397,R397,AB396)</f>
        <v>0.95824964655134</v>
      </c>
      <c r="AC397" s="12" t="n">
        <f aca="false">IF(Q397,A397,AC396)</f>
        <v>45034</v>
      </c>
      <c r="AD397" s="8" t="n">
        <f aca="false">IF(Q397,B397,AD396)</f>
        <v>0.958058034944351</v>
      </c>
      <c r="AE397" s="8" t="str">
        <f aca="false">IF(AA397,L397,"")</f>
        <v/>
      </c>
      <c r="AF397" s="8" t="n">
        <f aca="false">U397</f>
        <v>0.938328062071903</v>
      </c>
      <c r="AG397" s="2" t="n">
        <f aca="false">AG396+IF(Q397,1,0)</f>
        <v>2</v>
      </c>
      <c r="AH397" s="2" t="n">
        <f aca="false">AG396</f>
        <v>2</v>
      </c>
      <c r="AI397" s="10" t="n">
        <f aca="false">X397+Y397*(E397-AB397)-Y397*AD397*Inputs!$B$13*(A397-AC397)</f>
        <v>1016.3844066801</v>
      </c>
      <c r="AJ397" s="10" t="n">
        <v>0</v>
      </c>
      <c r="AK397" s="8" t="n">
        <f aca="false">IF(AND(B397&lt;=U397,NOT(Q397)),B397,U397)*(1-Inputs!$B$12)</f>
        <v>0.77745809972689</v>
      </c>
    </row>
    <row r="398" customFormat="false" ht="15" hidden="false" customHeight="false" outlineLevel="0" collapsed="false">
      <c r="A398" s="6" t="n">
        <v>45182</v>
      </c>
      <c r="B398" s="7" t="n">
        <v>0.766792626597425</v>
      </c>
      <c r="C398" s="7" t="n">
        <v>0.770596513977493</v>
      </c>
      <c r="D398" s="7" t="n">
        <v>0.762904371672477</v>
      </c>
      <c r="E398" s="7" t="n">
        <v>0.765472182271767</v>
      </c>
      <c r="F398" s="8" t="n">
        <f aca="true">IF(ROW()-2&gt;=Inputs!$B$4,AVERAGE(OFFSET(E398,1-Inputs!$B$4,0,Inputs!$B$4,1)),"")</f>
        <v>0.802864722962328</v>
      </c>
      <c r="G398" s="8" t="n">
        <f aca="true">IF(ROW()-2&gt;=Inputs!$B$5,AVERAGE(OFFSET(E398,1-Inputs!$B$5,0,Inputs!$B$5,1)),"")</f>
        <v>0.828609383560028</v>
      </c>
      <c r="H398" s="8" t="n">
        <f aca="false">MAX(C398-D398,ABS(C398-E397),ABS(D398-E397))</f>
        <v>0.00769214230501603</v>
      </c>
      <c r="I398" s="8" t="n">
        <f aca="true">IF(ROW()-2&lt;14,"",IF(ROW()-2=14,AVERAGE(OFFSET(H398,-13,0,14,1)),(I397*13+H398)/14))</f>
        <v>0.00961459454382575</v>
      </c>
      <c r="J398" s="9" t="b">
        <f aca="false">IF(AND(ISNUMBER(F398),ISNUMBER(G398),ISNUMBER(F397),ISNUMBER(G397)),AND(F398&gt;G398,F397&lt;=G397),FALSE())</f>
        <v>0</v>
      </c>
      <c r="K398" s="9" t="b">
        <f aca="false">IF(AND(ISNUMBER(F398),ISNUMBER(G398),ISNUMBER(F397),ISNUMBER(G397)),AND(F398&lt;G398,F397&gt;=G397),FALSE())</f>
        <v>0</v>
      </c>
      <c r="L398" s="8" t="n">
        <f aca="false">IF(ISNUMBER(I398),E398-Inputs!$B$6*I398,"")</f>
        <v>0.746242993184116</v>
      </c>
      <c r="M398" s="9" t="b">
        <f aca="false">AND(Y397&gt;0,Z397)</f>
        <v>0</v>
      </c>
      <c r="N398" s="8" t="n">
        <f aca="false">B398*(1-Inputs!$B$12)</f>
        <v>0.766639268072106</v>
      </c>
      <c r="O398" s="10" t="n">
        <f aca="false">IF(M398,Y397*(N398-AB397)-Inputs!$B$9-Y397*AD397*Inputs!$B$13*(A398-AC397),0)</f>
        <v>0</v>
      </c>
      <c r="P398" s="10" t="n">
        <f aca="false">X397+O398</f>
        <v>1016.3844066801</v>
      </c>
      <c r="Q398" s="9" t="b">
        <f aca="false">AND(IF(M398,0,Y397)=0,AA397,IF(ISNUMBER(AE397),B398&gt;AE397,FALSE()))</f>
        <v>0</v>
      </c>
      <c r="R398" s="8" t="n">
        <f aca="false">B398*(1+Inputs!$B$12)</f>
        <v>0.766945985122745</v>
      </c>
      <c r="S398" s="11" t="n">
        <f aca="false">IF(Q398,MIN(P398*Inputs!$B$3/(R398-AE397),P398*Inputs!$B$11/R398),0)</f>
        <v>0</v>
      </c>
      <c r="T398" s="11" t="n">
        <f aca="false">IF(Q398,S398,IF(M398,0,Y397))</f>
        <v>0</v>
      </c>
      <c r="U398" s="8" t="n">
        <f aca="false">IF(Q398,AE397,AF397)</f>
        <v>0.938328062071903</v>
      </c>
      <c r="V398" s="9" t="b">
        <f aca="false">AND(T398&gt;0,D398&lt;=U398)</f>
        <v>0</v>
      </c>
      <c r="W398" s="10" t="n">
        <f aca="false">IF(V398,T398*(AK398-AB398)-Inputs!$B$9-T398*AD398*Inputs!$B$13*(A398-AC398),0)</f>
        <v>0</v>
      </c>
      <c r="X398" s="10" t="n">
        <f aca="false">P398-IF(Q398,Inputs!$B$9,0)+W398</f>
        <v>1016.3844066801</v>
      </c>
      <c r="Y398" s="11" t="n">
        <f aca="false">IF(V398,0,T398)</f>
        <v>0</v>
      </c>
      <c r="Z398" s="9" t="b">
        <f aca="false">AND(Y398&gt;0,K398)</f>
        <v>0</v>
      </c>
      <c r="AA398" s="9" t="b">
        <f aca="false">AND(Y398=0,J398,ISNUMBER(L398))</f>
        <v>0</v>
      </c>
      <c r="AB398" s="8" t="n">
        <f aca="false">IF(Q398,R398,AB397)</f>
        <v>0.95824964655134</v>
      </c>
      <c r="AC398" s="12" t="n">
        <f aca="false">IF(Q398,A398,AC397)</f>
        <v>45034</v>
      </c>
      <c r="AD398" s="8" t="n">
        <f aca="false">IF(Q398,B398,AD397)</f>
        <v>0.958058034944351</v>
      </c>
      <c r="AE398" s="8" t="str">
        <f aca="false">IF(AA398,L398,"")</f>
        <v/>
      </c>
      <c r="AF398" s="8" t="n">
        <f aca="false">U398</f>
        <v>0.938328062071903</v>
      </c>
      <c r="AG398" s="2" t="n">
        <f aca="false">AG397+IF(Q398,1,0)</f>
        <v>2</v>
      </c>
      <c r="AH398" s="2" t="n">
        <f aca="false">AG397</f>
        <v>2</v>
      </c>
      <c r="AI398" s="10" t="n">
        <f aca="false">X398+Y398*(E398-AB398)-Y398*AD398*Inputs!$B$13*(A398-AC398)</f>
        <v>1016.3844066801</v>
      </c>
      <c r="AJ398" s="10" t="n">
        <v>0</v>
      </c>
      <c r="AK398" s="8" t="n">
        <f aca="false">IF(AND(B398&lt;=U398,NOT(Q398)),B398,U398)*(1-Inputs!$B$12)</f>
        <v>0.766639268072106</v>
      </c>
    </row>
    <row r="399" customFormat="false" ht="15" hidden="false" customHeight="false" outlineLevel="0" collapsed="false">
      <c r="A399" s="6" t="n">
        <v>45183</v>
      </c>
      <c r="B399" s="7" t="n">
        <v>0.765472182271767</v>
      </c>
      <c r="C399" s="7" t="n">
        <v>0.769876844151631</v>
      </c>
      <c r="D399" s="7" t="n">
        <v>0.764764908178138</v>
      </c>
      <c r="E399" s="7" t="n">
        <v>0.765376859278497</v>
      </c>
      <c r="F399" s="8" t="n">
        <f aca="true">IF(ROW()-2&gt;=Inputs!$B$4,AVERAGE(OFFSET(E399,1-Inputs!$B$4,0,Inputs!$B$4,1)),"")</f>
        <v>0.799546039184848</v>
      </c>
      <c r="G399" s="8" t="n">
        <f aca="true">IF(ROW()-2&gt;=Inputs!$B$5,AVERAGE(OFFSET(E399,1-Inputs!$B$5,0,Inputs!$B$5,1)),"")</f>
        <v>0.826816580556591</v>
      </c>
      <c r="H399" s="8" t="n">
        <f aca="false">MAX(C399-D399,ABS(C399-E398),ABS(D399-E398))</f>
        <v>0.00511193597349269</v>
      </c>
      <c r="I399" s="8" t="n">
        <f aca="true">IF(ROW()-2&lt;14,"",IF(ROW()-2=14,AVERAGE(OFFSET(H399,-13,0,14,1)),(I398*13+H399)/14))</f>
        <v>0.00929297607451625</v>
      </c>
      <c r="J399" s="9" t="b">
        <f aca="false">IF(AND(ISNUMBER(F399),ISNUMBER(G399),ISNUMBER(F398),ISNUMBER(G398)),AND(F399&gt;G399,F398&lt;=G398),FALSE())</f>
        <v>0</v>
      </c>
      <c r="K399" s="9" t="b">
        <f aca="false">IF(AND(ISNUMBER(F399),ISNUMBER(G399),ISNUMBER(F398),ISNUMBER(G398)),AND(F399&lt;G399,F398&gt;=G398),FALSE())</f>
        <v>0</v>
      </c>
      <c r="L399" s="8" t="n">
        <f aca="false">IF(ISNUMBER(I399),E399-Inputs!$B$6*I399,"")</f>
        <v>0.746790907129465</v>
      </c>
      <c r="M399" s="9" t="b">
        <f aca="false">AND(Y398&gt;0,Z398)</f>
        <v>0</v>
      </c>
      <c r="N399" s="8" t="n">
        <f aca="false">B399*(1-Inputs!$B$12)</f>
        <v>0.765319087835313</v>
      </c>
      <c r="O399" s="10" t="n">
        <f aca="false">IF(M399,Y398*(N399-AB398)-Inputs!$B$9-Y398*AD398*Inputs!$B$13*(A399-AC398),0)</f>
        <v>0</v>
      </c>
      <c r="P399" s="10" t="n">
        <f aca="false">X398+O399</f>
        <v>1016.3844066801</v>
      </c>
      <c r="Q399" s="9" t="b">
        <f aca="false">AND(IF(M399,0,Y398)=0,AA398,IF(ISNUMBER(AE398),B399&gt;AE398,FALSE()))</f>
        <v>0</v>
      </c>
      <c r="R399" s="8" t="n">
        <f aca="false">B399*(1+Inputs!$B$12)</f>
        <v>0.765625276708222</v>
      </c>
      <c r="S399" s="11" t="n">
        <f aca="false">IF(Q399,MIN(P399*Inputs!$B$3/(R399-AE398),P399*Inputs!$B$11/R399),0)</f>
        <v>0</v>
      </c>
      <c r="T399" s="11" t="n">
        <f aca="false">IF(Q399,S399,IF(M399,0,Y398))</f>
        <v>0</v>
      </c>
      <c r="U399" s="8" t="n">
        <f aca="false">IF(Q399,AE398,AF398)</f>
        <v>0.938328062071903</v>
      </c>
      <c r="V399" s="9" t="b">
        <f aca="false">AND(T399&gt;0,D399&lt;=U399)</f>
        <v>0</v>
      </c>
      <c r="W399" s="10" t="n">
        <f aca="false">IF(V399,T399*(AK399-AB399)-Inputs!$B$9-T399*AD399*Inputs!$B$13*(A399-AC399),0)</f>
        <v>0</v>
      </c>
      <c r="X399" s="10" t="n">
        <f aca="false">P399-IF(Q399,Inputs!$B$9,0)+W399</f>
        <v>1016.3844066801</v>
      </c>
      <c r="Y399" s="11" t="n">
        <f aca="false">IF(V399,0,T399)</f>
        <v>0</v>
      </c>
      <c r="Z399" s="9" t="b">
        <f aca="false">AND(Y399&gt;0,K399)</f>
        <v>0</v>
      </c>
      <c r="AA399" s="9" t="b">
        <f aca="false">AND(Y399=0,J399,ISNUMBER(L399))</f>
        <v>0</v>
      </c>
      <c r="AB399" s="8" t="n">
        <f aca="false">IF(Q399,R399,AB398)</f>
        <v>0.95824964655134</v>
      </c>
      <c r="AC399" s="12" t="n">
        <f aca="false">IF(Q399,A399,AC398)</f>
        <v>45034</v>
      </c>
      <c r="AD399" s="8" t="n">
        <f aca="false">IF(Q399,B399,AD398)</f>
        <v>0.958058034944351</v>
      </c>
      <c r="AE399" s="8" t="str">
        <f aca="false">IF(AA399,L399,"")</f>
        <v/>
      </c>
      <c r="AF399" s="8" t="n">
        <f aca="false">U399</f>
        <v>0.938328062071903</v>
      </c>
      <c r="AG399" s="2" t="n">
        <f aca="false">AG398+IF(Q399,1,0)</f>
        <v>2</v>
      </c>
      <c r="AH399" s="2" t="n">
        <f aca="false">AG398</f>
        <v>2</v>
      </c>
      <c r="AI399" s="10" t="n">
        <f aca="false">X399+Y399*(E399-AB399)-Y399*AD399*Inputs!$B$13*(A399-AC399)</f>
        <v>1016.3844066801</v>
      </c>
      <c r="AJ399" s="10" t="n">
        <v>0</v>
      </c>
      <c r="AK399" s="8" t="n">
        <f aca="false">IF(AND(B399&lt;=U399,NOT(Q399)),B399,U399)*(1-Inputs!$B$12)</f>
        <v>0.765319087835313</v>
      </c>
    </row>
    <row r="400" customFormat="false" ht="15" hidden="false" customHeight="false" outlineLevel="0" collapsed="false">
      <c r="A400" s="6" t="n">
        <v>45184</v>
      </c>
      <c r="B400" s="7" t="n">
        <v>0.765376859278497</v>
      </c>
      <c r="C400" s="7" t="n">
        <v>0.77178070025956</v>
      </c>
      <c r="D400" s="7" t="n">
        <v>0.762907631075644</v>
      </c>
      <c r="E400" s="7" t="n">
        <v>0.769889044910718</v>
      </c>
      <c r="F400" s="8" t="n">
        <f aca="true">IF(ROW()-2&gt;=Inputs!$B$4,AVERAGE(OFFSET(E400,1-Inputs!$B$4,0,Inputs!$B$4,1)),"")</f>
        <v>0.796355730081214</v>
      </c>
      <c r="G400" s="8" t="n">
        <f aca="true">IF(ROW()-2&gt;=Inputs!$B$5,AVERAGE(OFFSET(E400,1-Inputs!$B$5,0,Inputs!$B$5,1)),"")</f>
        <v>0.825053114159661</v>
      </c>
      <c r="H400" s="8" t="n">
        <f aca="false">MAX(C400-D400,ABS(C400-E399),ABS(D400-E399))</f>
        <v>0.00887306918391584</v>
      </c>
      <c r="I400" s="8" t="n">
        <f aca="true">IF(ROW()-2&lt;14,"",IF(ROW()-2=14,AVERAGE(OFFSET(H400,-13,0,14,1)),(I399*13+H400)/14))</f>
        <v>0.00926298272518765</v>
      </c>
      <c r="J400" s="9" t="b">
        <f aca="false">IF(AND(ISNUMBER(F400),ISNUMBER(G400),ISNUMBER(F399),ISNUMBER(G399)),AND(F400&gt;G400,F399&lt;=G399),FALSE())</f>
        <v>0</v>
      </c>
      <c r="K400" s="9" t="b">
        <f aca="false">IF(AND(ISNUMBER(F400),ISNUMBER(G400),ISNUMBER(F399),ISNUMBER(G399)),AND(F400&lt;G400,F399&gt;=G399),FALSE())</f>
        <v>0</v>
      </c>
      <c r="L400" s="8" t="n">
        <f aca="false">IF(ISNUMBER(I400),E400-Inputs!$B$6*I400,"")</f>
        <v>0.751363079460343</v>
      </c>
      <c r="M400" s="9" t="b">
        <f aca="false">AND(Y399&gt;0,Z399)</f>
        <v>0</v>
      </c>
      <c r="N400" s="8" t="n">
        <f aca="false">B400*(1-Inputs!$B$12)</f>
        <v>0.765223783906641</v>
      </c>
      <c r="O400" s="10" t="n">
        <f aca="false">IF(M400,Y399*(N400-AB399)-Inputs!$B$9-Y399*AD399*Inputs!$B$13*(A400-AC399),0)</f>
        <v>0</v>
      </c>
      <c r="P400" s="10" t="n">
        <f aca="false">X399+O400</f>
        <v>1016.3844066801</v>
      </c>
      <c r="Q400" s="9" t="b">
        <f aca="false">AND(IF(M400,0,Y399)=0,AA399,IF(ISNUMBER(AE399),B400&gt;AE399,FALSE()))</f>
        <v>0</v>
      </c>
      <c r="R400" s="8" t="n">
        <f aca="false">B400*(1+Inputs!$B$12)</f>
        <v>0.765529934650353</v>
      </c>
      <c r="S400" s="11" t="n">
        <f aca="false">IF(Q400,MIN(P400*Inputs!$B$3/(R400-AE399),P400*Inputs!$B$11/R400),0)</f>
        <v>0</v>
      </c>
      <c r="T400" s="11" t="n">
        <f aca="false">IF(Q400,S400,IF(M400,0,Y399))</f>
        <v>0</v>
      </c>
      <c r="U400" s="8" t="n">
        <f aca="false">IF(Q400,AE399,AF399)</f>
        <v>0.938328062071903</v>
      </c>
      <c r="V400" s="9" t="b">
        <f aca="false">AND(T400&gt;0,D400&lt;=U400)</f>
        <v>0</v>
      </c>
      <c r="W400" s="10" t="n">
        <f aca="false">IF(V400,T400*(AK400-AB400)-Inputs!$B$9-T400*AD400*Inputs!$B$13*(A400-AC400),0)</f>
        <v>0</v>
      </c>
      <c r="X400" s="10" t="n">
        <f aca="false">P400-IF(Q400,Inputs!$B$9,0)+W400</f>
        <v>1016.3844066801</v>
      </c>
      <c r="Y400" s="11" t="n">
        <f aca="false">IF(V400,0,T400)</f>
        <v>0</v>
      </c>
      <c r="Z400" s="9" t="b">
        <f aca="false">AND(Y400&gt;0,K400)</f>
        <v>0</v>
      </c>
      <c r="AA400" s="9" t="b">
        <f aca="false">AND(Y400=0,J400,ISNUMBER(L400))</f>
        <v>0</v>
      </c>
      <c r="AB400" s="8" t="n">
        <f aca="false">IF(Q400,R400,AB399)</f>
        <v>0.95824964655134</v>
      </c>
      <c r="AC400" s="12" t="n">
        <f aca="false">IF(Q400,A400,AC399)</f>
        <v>45034</v>
      </c>
      <c r="AD400" s="8" t="n">
        <f aca="false">IF(Q400,B400,AD399)</f>
        <v>0.958058034944351</v>
      </c>
      <c r="AE400" s="8" t="str">
        <f aca="false">IF(AA400,L400,"")</f>
        <v/>
      </c>
      <c r="AF400" s="8" t="n">
        <f aca="false">U400</f>
        <v>0.938328062071903</v>
      </c>
      <c r="AG400" s="2" t="n">
        <f aca="false">AG399+IF(Q400,1,0)</f>
        <v>2</v>
      </c>
      <c r="AH400" s="2" t="n">
        <f aca="false">AG399</f>
        <v>2</v>
      </c>
      <c r="AI400" s="10" t="n">
        <f aca="false">X400+Y400*(E400-AB400)-Y400*AD400*Inputs!$B$13*(A400-AC400)</f>
        <v>1016.3844066801</v>
      </c>
      <c r="AJ400" s="10" t="n">
        <v>0</v>
      </c>
      <c r="AK400" s="8" t="n">
        <f aca="false">IF(AND(B400&lt;=U400,NOT(Q400)),B400,U400)*(1-Inputs!$B$12)</f>
        <v>0.765223783906641</v>
      </c>
    </row>
    <row r="401" customFormat="false" ht="15" hidden="false" customHeight="false" outlineLevel="0" collapsed="false">
      <c r="A401" s="6" t="n">
        <v>45185</v>
      </c>
      <c r="B401" s="7" t="n">
        <v>0.769889044910718</v>
      </c>
      <c r="C401" s="7" t="n">
        <v>0.772954225239418</v>
      </c>
      <c r="D401" s="7" t="n">
        <v>0.769477372329538</v>
      </c>
      <c r="E401" s="7" t="n">
        <v>0.772150984442176</v>
      </c>
      <c r="F401" s="8" t="n">
        <f aca="true">IF(ROW()-2&gt;=Inputs!$B$4,AVERAGE(OFFSET(E401,1-Inputs!$B$4,0,Inputs!$B$4,1)),"")</f>
        <v>0.794077468024472</v>
      </c>
      <c r="G401" s="8" t="n">
        <f aca="true">IF(ROW()-2&gt;=Inputs!$B$5,AVERAGE(OFFSET(E401,1-Inputs!$B$5,0,Inputs!$B$5,1)),"")</f>
        <v>0.823345674506351</v>
      </c>
      <c r="H401" s="8" t="n">
        <f aca="false">MAX(C401-D401,ABS(C401-E400),ABS(D401-E400))</f>
        <v>0.00347685290987987</v>
      </c>
      <c r="I401" s="8" t="n">
        <f aca="true">IF(ROW()-2&lt;14,"",IF(ROW()-2=14,AVERAGE(OFFSET(H401,-13,0,14,1)),(I400*13+H401)/14))</f>
        <v>0.00884968773837995</v>
      </c>
      <c r="J401" s="9" t="b">
        <f aca="false">IF(AND(ISNUMBER(F401),ISNUMBER(G401),ISNUMBER(F400),ISNUMBER(G400)),AND(F401&gt;G401,F400&lt;=G400),FALSE())</f>
        <v>0</v>
      </c>
      <c r="K401" s="9" t="b">
        <f aca="false">IF(AND(ISNUMBER(F401),ISNUMBER(G401),ISNUMBER(F400),ISNUMBER(G400)),AND(F401&lt;G401,F400&gt;=G400),FALSE())</f>
        <v>0</v>
      </c>
      <c r="L401" s="8" t="n">
        <f aca="false">IF(ISNUMBER(I401),E401-Inputs!$B$6*I401,"")</f>
        <v>0.754451608965416</v>
      </c>
      <c r="M401" s="9" t="b">
        <f aca="false">AND(Y400&gt;0,Z400)</f>
        <v>0</v>
      </c>
      <c r="N401" s="8" t="n">
        <f aca="false">B401*(1-Inputs!$B$12)</f>
        <v>0.769735067101736</v>
      </c>
      <c r="O401" s="10" t="n">
        <f aca="false">IF(M401,Y400*(N401-AB400)-Inputs!$B$9-Y400*AD400*Inputs!$B$13*(A401-AC400),0)</f>
        <v>0</v>
      </c>
      <c r="P401" s="10" t="n">
        <f aca="false">X400+O401</f>
        <v>1016.3844066801</v>
      </c>
      <c r="Q401" s="9" t="b">
        <f aca="false">AND(IF(M401,0,Y400)=0,AA400,IF(ISNUMBER(AE400),B401&gt;AE400,FALSE()))</f>
        <v>0</v>
      </c>
      <c r="R401" s="8" t="n">
        <f aca="false">B401*(1+Inputs!$B$12)</f>
        <v>0.7700430227197</v>
      </c>
      <c r="S401" s="11" t="n">
        <f aca="false">IF(Q401,MIN(P401*Inputs!$B$3/(R401-AE400),P401*Inputs!$B$11/R401),0)</f>
        <v>0</v>
      </c>
      <c r="T401" s="11" t="n">
        <f aca="false">IF(Q401,S401,IF(M401,0,Y400))</f>
        <v>0</v>
      </c>
      <c r="U401" s="8" t="n">
        <f aca="false">IF(Q401,AE400,AF400)</f>
        <v>0.938328062071903</v>
      </c>
      <c r="V401" s="9" t="b">
        <f aca="false">AND(T401&gt;0,D401&lt;=U401)</f>
        <v>0</v>
      </c>
      <c r="W401" s="10" t="n">
        <f aca="false">IF(V401,T401*(AK401-AB401)-Inputs!$B$9-T401*AD401*Inputs!$B$13*(A401-AC401),0)</f>
        <v>0</v>
      </c>
      <c r="X401" s="10" t="n">
        <f aca="false">P401-IF(Q401,Inputs!$B$9,0)+W401</f>
        <v>1016.3844066801</v>
      </c>
      <c r="Y401" s="11" t="n">
        <f aca="false">IF(V401,0,T401)</f>
        <v>0</v>
      </c>
      <c r="Z401" s="9" t="b">
        <f aca="false">AND(Y401&gt;0,K401)</f>
        <v>0</v>
      </c>
      <c r="AA401" s="9" t="b">
        <f aca="false">AND(Y401=0,J401,ISNUMBER(L401))</f>
        <v>0</v>
      </c>
      <c r="AB401" s="8" t="n">
        <f aca="false">IF(Q401,R401,AB400)</f>
        <v>0.95824964655134</v>
      </c>
      <c r="AC401" s="12" t="n">
        <f aca="false">IF(Q401,A401,AC400)</f>
        <v>45034</v>
      </c>
      <c r="AD401" s="8" t="n">
        <f aca="false">IF(Q401,B401,AD400)</f>
        <v>0.958058034944351</v>
      </c>
      <c r="AE401" s="8" t="str">
        <f aca="false">IF(AA401,L401,"")</f>
        <v/>
      </c>
      <c r="AF401" s="8" t="n">
        <f aca="false">U401</f>
        <v>0.938328062071903</v>
      </c>
      <c r="AG401" s="2" t="n">
        <f aca="false">AG400+IF(Q401,1,0)</f>
        <v>2</v>
      </c>
      <c r="AH401" s="2" t="n">
        <f aca="false">AG400</f>
        <v>2</v>
      </c>
      <c r="AI401" s="10" t="n">
        <f aca="false">X401+Y401*(E401-AB401)-Y401*AD401*Inputs!$B$13*(A401-AC401)</f>
        <v>1016.3844066801</v>
      </c>
      <c r="AJ401" s="10" t="n">
        <v>0</v>
      </c>
      <c r="AK401" s="8" t="n">
        <f aca="false">IF(AND(B401&lt;=U401,NOT(Q401)),B401,U401)*(1-Inputs!$B$12)</f>
        <v>0.769735067101736</v>
      </c>
    </row>
    <row r="402" customFormat="false" ht="15" hidden="false" customHeight="false" outlineLevel="0" collapsed="false">
      <c r="A402" s="6" t="n">
        <v>45186</v>
      </c>
      <c r="B402" s="7" t="n">
        <v>0.772150984442176</v>
      </c>
      <c r="C402" s="7" t="n">
        <v>0.773166756046482</v>
      </c>
      <c r="D402" s="7" t="n">
        <v>0.766372300955623</v>
      </c>
      <c r="E402" s="7" t="n">
        <v>0.76735482442027</v>
      </c>
      <c r="F402" s="8" t="n">
        <f aca="true">IF(ROW()-2&gt;=Inputs!$B$4,AVERAGE(OFFSET(E402,1-Inputs!$B$4,0,Inputs!$B$4,1)),"")</f>
        <v>0.791786605141451</v>
      </c>
      <c r="G402" s="8" t="n">
        <f aca="true">IF(ROW()-2&gt;=Inputs!$B$5,AVERAGE(OFFSET(E402,1-Inputs!$B$5,0,Inputs!$B$5,1)),"")</f>
        <v>0.821725691430027</v>
      </c>
      <c r="H402" s="8" t="n">
        <f aca="false">MAX(C402-D402,ABS(C402-E401),ABS(D402-E401))</f>
        <v>0.00679445509085919</v>
      </c>
      <c r="I402" s="8" t="n">
        <f aca="true">IF(ROW()-2&lt;14,"",IF(ROW()-2=14,AVERAGE(OFFSET(H402,-13,0,14,1)),(I401*13+H402)/14))</f>
        <v>0.00870288540641418</v>
      </c>
      <c r="J402" s="9" t="b">
        <f aca="false">IF(AND(ISNUMBER(F402),ISNUMBER(G402),ISNUMBER(F401),ISNUMBER(G401)),AND(F402&gt;G402,F401&lt;=G401),FALSE())</f>
        <v>0</v>
      </c>
      <c r="K402" s="9" t="b">
        <f aca="false">IF(AND(ISNUMBER(F402),ISNUMBER(G402),ISNUMBER(F401),ISNUMBER(G401)),AND(F402&lt;G402,F401&gt;=G401),FALSE())</f>
        <v>0</v>
      </c>
      <c r="L402" s="8" t="n">
        <f aca="false">IF(ISNUMBER(I402),E402-Inputs!$B$6*I402,"")</f>
        <v>0.749949053607442</v>
      </c>
      <c r="M402" s="9" t="b">
        <f aca="false">AND(Y401&gt;0,Z401)</f>
        <v>0</v>
      </c>
      <c r="N402" s="8" t="n">
        <f aca="false">B402*(1-Inputs!$B$12)</f>
        <v>0.771996554245287</v>
      </c>
      <c r="O402" s="10" t="n">
        <f aca="false">IF(M402,Y401*(N402-AB401)-Inputs!$B$9-Y401*AD401*Inputs!$B$13*(A402-AC401),0)</f>
        <v>0</v>
      </c>
      <c r="P402" s="10" t="n">
        <f aca="false">X401+O402</f>
        <v>1016.3844066801</v>
      </c>
      <c r="Q402" s="9" t="b">
        <f aca="false">AND(IF(M402,0,Y401)=0,AA401,IF(ISNUMBER(AE401),B402&gt;AE401,FALSE()))</f>
        <v>0</v>
      </c>
      <c r="R402" s="8" t="n">
        <f aca="false">B402*(1+Inputs!$B$12)</f>
        <v>0.772305414639064</v>
      </c>
      <c r="S402" s="11" t="n">
        <f aca="false">IF(Q402,MIN(P402*Inputs!$B$3/(R402-AE401),P402*Inputs!$B$11/R402),0)</f>
        <v>0</v>
      </c>
      <c r="T402" s="11" t="n">
        <f aca="false">IF(Q402,S402,IF(M402,0,Y401))</f>
        <v>0</v>
      </c>
      <c r="U402" s="8" t="n">
        <f aca="false">IF(Q402,AE401,AF401)</f>
        <v>0.938328062071903</v>
      </c>
      <c r="V402" s="9" t="b">
        <f aca="false">AND(T402&gt;0,D402&lt;=U402)</f>
        <v>0</v>
      </c>
      <c r="W402" s="10" t="n">
        <f aca="false">IF(V402,T402*(AK402-AB402)-Inputs!$B$9-T402*AD402*Inputs!$B$13*(A402-AC402),0)</f>
        <v>0</v>
      </c>
      <c r="X402" s="10" t="n">
        <f aca="false">P402-IF(Q402,Inputs!$B$9,0)+W402</f>
        <v>1016.3844066801</v>
      </c>
      <c r="Y402" s="11" t="n">
        <f aca="false">IF(V402,0,T402)</f>
        <v>0</v>
      </c>
      <c r="Z402" s="9" t="b">
        <f aca="false">AND(Y402&gt;0,K402)</f>
        <v>0</v>
      </c>
      <c r="AA402" s="9" t="b">
        <f aca="false">AND(Y402=0,J402,ISNUMBER(L402))</f>
        <v>0</v>
      </c>
      <c r="AB402" s="8" t="n">
        <f aca="false">IF(Q402,R402,AB401)</f>
        <v>0.95824964655134</v>
      </c>
      <c r="AC402" s="12" t="n">
        <f aca="false">IF(Q402,A402,AC401)</f>
        <v>45034</v>
      </c>
      <c r="AD402" s="8" t="n">
        <f aca="false">IF(Q402,B402,AD401)</f>
        <v>0.958058034944351</v>
      </c>
      <c r="AE402" s="8" t="str">
        <f aca="false">IF(AA402,L402,"")</f>
        <v/>
      </c>
      <c r="AF402" s="8" t="n">
        <f aca="false">U402</f>
        <v>0.938328062071903</v>
      </c>
      <c r="AG402" s="2" t="n">
        <f aca="false">AG401+IF(Q402,1,0)</f>
        <v>2</v>
      </c>
      <c r="AH402" s="2" t="n">
        <f aca="false">AG401</f>
        <v>2</v>
      </c>
      <c r="AI402" s="10" t="n">
        <f aca="false">X402+Y402*(E402-AB402)-Y402*AD402*Inputs!$B$13*(A402-AC402)</f>
        <v>1016.3844066801</v>
      </c>
      <c r="AJ402" s="10" t="n">
        <v>0</v>
      </c>
      <c r="AK402" s="8" t="n">
        <f aca="false">IF(AND(B402&lt;=U402,NOT(Q402)),B402,U402)*(1-Inputs!$B$12)</f>
        <v>0.771996554245287</v>
      </c>
    </row>
    <row r="403" customFormat="false" ht="15" hidden="false" customHeight="false" outlineLevel="0" collapsed="false">
      <c r="A403" s="6" t="n">
        <v>45187</v>
      </c>
      <c r="B403" s="7" t="n">
        <v>0.76735482442027</v>
      </c>
      <c r="C403" s="7" t="n">
        <v>0.772722013807303</v>
      </c>
      <c r="D403" s="7" t="n">
        <v>0.765350808646247</v>
      </c>
      <c r="E403" s="7" t="n">
        <v>0.772140252972818</v>
      </c>
      <c r="F403" s="8" t="n">
        <f aca="true">IF(ROW()-2&gt;=Inputs!$B$4,AVERAGE(OFFSET(E403,1-Inputs!$B$4,0,Inputs!$B$4,1)),"")</f>
        <v>0.789605563596809</v>
      </c>
      <c r="G403" s="8" t="n">
        <f aca="true">IF(ROW()-2&gt;=Inputs!$B$5,AVERAGE(OFFSET(E403,1-Inputs!$B$5,0,Inputs!$B$5,1)),"")</f>
        <v>0.820243002448861</v>
      </c>
      <c r="H403" s="8" t="n">
        <f aca="false">MAX(C403-D403,ABS(C403-E402),ABS(D403-E402))</f>
        <v>0.00737120516105638</v>
      </c>
      <c r="I403" s="8" t="n">
        <f aca="true">IF(ROW()-2&lt;14,"",IF(ROW()-2=14,AVERAGE(OFFSET(H403,-13,0,14,1)),(I402*13+H403)/14))</f>
        <v>0.00860776538888862</v>
      </c>
      <c r="J403" s="9" t="b">
        <f aca="false">IF(AND(ISNUMBER(F403),ISNUMBER(G403),ISNUMBER(F402),ISNUMBER(G402)),AND(F403&gt;G403,F402&lt;=G402),FALSE())</f>
        <v>0</v>
      </c>
      <c r="K403" s="9" t="b">
        <f aca="false">IF(AND(ISNUMBER(F403),ISNUMBER(G403),ISNUMBER(F402),ISNUMBER(G402)),AND(F403&lt;G403,F402&gt;=G402),FALSE())</f>
        <v>0</v>
      </c>
      <c r="L403" s="8" t="n">
        <f aca="false">IF(ISNUMBER(I403),E403-Inputs!$B$6*I403,"")</f>
        <v>0.75492472219504</v>
      </c>
      <c r="M403" s="9" t="b">
        <f aca="false">AND(Y402&gt;0,Z402)</f>
        <v>0</v>
      </c>
      <c r="N403" s="8" t="n">
        <f aca="false">B403*(1-Inputs!$B$12)</f>
        <v>0.767201353455386</v>
      </c>
      <c r="O403" s="10" t="n">
        <f aca="false">IF(M403,Y402*(N403-AB402)-Inputs!$B$9-Y402*AD402*Inputs!$B$13*(A403-AC402),0)</f>
        <v>0</v>
      </c>
      <c r="P403" s="10" t="n">
        <f aca="false">X402+O403</f>
        <v>1016.3844066801</v>
      </c>
      <c r="Q403" s="9" t="b">
        <f aca="false">AND(IF(M403,0,Y402)=0,AA402,IF(ISNUMBER(AE402),B403&gt;AE402,FALSE()))</f>
        <v>0</v>
      </c>
      <c r="R403" s="8" t="n">
        <f aca="false">B403*(1+Inputs!$B$12)</f>
        <v>0.767508295385154</v>
      </c>
      <c r="S403" s="11" t="n">
        <f aca="false">IF(Q403,MIN(P403*Inputs!$B$3/(R403-AE402),P403*Inputs!$B$11/R403),0)</f>
        <v>0</v>
      </c>
      <c r="T403" s="11" t="n">
        <f aca="false">IF(Q403,S403,IF(M403,0,Y402))</f>
        <v>0</v>
      </c>
      <c r="U403" s="8" t="n">
        <f aca="false">IF(Q403,AE402,AF402)</f>
        <v>0.938328062071903</v>
      </c>
      <c r="V403" s="9" t="b">
        <f aca="false">AND(T403&gt;0,D403&lt;=U403)</f>
        <v>0</v>
      </c>
      <c r="W403" s="10" t="n">
        <f aca="false">IF(V403,T403*(AK403-AB403)-Inputs!$B$9-T403*AD403*Inputs!$B$13*(A403-AC403),0)</f>
        <v>0</v>
      </c>
      <c r="X403" s="10" t="n">
        <f aca="false">P403-IF(Q403,Inputs!$B$9,0)+W403</f>
        <v>1016.3844066801</v>
      </c>
      <c r="Y403" s="11" t="n">
        <f aca="false">IF(V403,0,T403)</f>
        <v>0</v>
      </c>
      <c r="Z403" s="9" t="b">
        <f aca="false">AND(Y403&gt;0,K403)</f>
        <v>0</v>
      </c>
      <c r="AA403" s="9" t="b">
        <f aca="false">AND(Y403=0,J403,ISNUMBER(L403))</f>
        <v>0</v>
      </c>
      <c r="AB403" s="8" t="n">
        <f aca="false">IF(Q403,R403,AB402)</f>
        <v>0.95824964655134</v>
      </c>
      <c r="AC403" s="12" t="n">
        <f aca="false">IF(Q403,A403,AC402)</f>
        <v>45034</v>
      </c>
      <c r="AD403" s="8" t="n">
        <f aca="false">IF(Q403,B403,AD402)</f>
        <v>0.958058034944351</v>
      </c>
      <c r="AE403" s="8" t="str">
        <f aca="false">IF(AA403,L403,"")</f>
        <v/>
      </c>
      <c r="AF403" s="8" t="n">
        <f aca="false">U403</f>
        <v>0.938328062071903</v>
      </c>
      <c r="AG403" s="2" t="n">
        <f aca="false">AG402+IF(Q403,1,0)</f>
        <v>2</v>
      </c>
      <c r="AH403" s="2" t="n">
        <f aca="false">AG402</f>
        <v>2</v>
      </c>
      <c r="AI403" s="10" t="n">
        <f aca="false">X403+Y403*(E403-AB403)-Y403*AD403*Inputs!$B$13*(A403-AC403)</f>
        <v>1016.3844066801</v>
      </c>
      <c r="AJ403" s="10" t="n">
        <v>0</v>
      </c>
      <c r="AK403" s="8" t="n">
        <f aca="false">IF(AND(B403&lt;=U403,NOT(Q403)),B403,U403)*(1-Inputs!$B$12)</f>
        <v>0.767201353455386</v>
      </c>
    </row>
    <row r="404" customFormat="false" ht="15" hidden="false" customHeight="false" outlineLevel="0" collapsed="false">
      <c r="A404" s="6" t="n">
        <v>45188</v>
      </c>
      <c r="B404" s="7" t="n">
        <v>0.772140252972818</v>
      </c>
      <c r="C404" s="7" t="n">
        <v>0.774730145938809</v>
      </c>
      <c r="D404" s="7" t="n">
        <v>0.76782223678782</v>
      </c>
      <c r="E404" s="7" t="n">
        <v>0.771241705532424</v>
      </c>
      <c r="F404" s="8" t="n">
        <f aca="true">IF(ROW()-2&gt;=Inputs!$B$4,AVERAGE(OFFSET(E404,1-Inputs!$B$4,0,Inputs!$B$4,1)),"")</f>
        <v>0.787301706156437</v>
      </c>
      <c r="G404" s="8" t="n">
        <f aca="true">IF(ROW()-2&gt;=Inputs!$B$5,AVERAGE(OFFSET(E404,1-Inputs!$B$5,0,Inputs!$B$5,1)),"")</f>
        <v>0.818655896745991</v>
      </c>
      <c r="H404" s="8" t="n">
        <f aca="false">MAX(C404-D404,ABS(C404-E403),ABS(D404-E403))</f>
        <v>0.00690790915098949</v>
      </c>
      <c r="I404" s="8" t="n">
        <f aca="true">IF(ROW()-2&lt;14,"",IF(ROW()-2=14,AVERAGE(OFFSET(H404,-13,0,14,1)),(I403*13+H404)/14))</f>
        <v>0.00848634708618154</v>
      </c>
      <c r="J404" s="9" t="b">
        <f aca="false">IF(AND(ISNUMBER(F404),ISNUMBER(G404),ISNUMBER(F403),ISNUMBER(G403)),AND(F404&gt;G404,F403&lt;=G403),FALSE())</f>
        <v>0</v>
      </c>
      <c r="K404" s="9" t="b">
        <f aca="false">IF(AND(ISNUMBER(F404),ISNUMBER(G404),ISNUMBER(F403),ISNUMBER(G403)),AND(F404&lt;G404,F403&gt;=G403),FALSE())</f>
        <v>0</v>
      </c>
      <c r="L404" s="8" t="n">
        <f aca="false">IF(ISNUMBER(I404),E404-Inputs!$B$6*I404,"")</f>
        <v>0.75426901136006</v>
      </c>
      <c r="M404" s="9" t="b">
        <f aca="false">AND(Y403&gt;0,Z403)</f>
        <v>0</v>
      </c>
      <c r="N404" s="8" t="n">
        <f aca="false">B404*(1-Inputs!$B$12)</f>
        <v>0.771985824922223</v>
      </c>
      <c r="O404" s="10" t="n">
        <f aca="false">IF(M404,Y403*(N404-AB403)-Inputs!$B$9-Y403*AD403*Inputs!$B$13*(A404-AC403),0)</f>
        <v>0</v>
      </c>
      <c r="P404" s="10" t="n">
        <f aca="false">X403+O404</f>
        <v>1016.3844066801</v>
      </c>
      <c r="Q404" s="9" t="b">
        <f aca="false">AND(IF(M404,0,Y403)=0,AA403,IF(ISNUMBER(AE403),B404&gt;AE403,FALSE()))</f>
        <v>0</v>
      </c>
      <c r="R404" s="8" t="n">
        <f aca="false">B404*(1+Inputs!$B$12)</f>
        <v>0.772294681023412</v>
      </c>
      <c r="S404" s="11" t="n">
        <f aca="false">IF(Q404,MIN(P404*Inputs!$B$3/(R404-AE403),P404*Inputs!$B$11/R404),0)</f>
        <v>0</v>
      </c>
      <c r="T404" s="11" t="n">
        <f aca="false">IF(Q404,S404,IF(M404,0,Y403))</f>
        <v>0</v>
      </c>
      <c r="U404" s="8" t="n">
        <f aca="false">IF(Q404,AE403,AF403)</f>
        <v>0.938328062071903</v>
      </c>
      <c r="V404" s="9" t="b">
        <f aca="false">AND(T404&gt;0,D404&lt;=U404)</f>
        <v>0</v>
      </c>
      <c r="W404" s="10" t="n">
        <f aca="false">IF(V404,T404*(AK404-AB404)-Inputs!$B$9-T404*AD404*Inputs!$B$13*(A404-AC404),0)</f>
        <v>0</v>
      </c>
      <c r="X404" s="10" t="n">
        <f aca="false">P404-IF(Q404,Inputs!$B$9,0)+W404</f>
        <v>1016.3844066801</v>
      </c>
      <c r="Y404" s="11" t="n">
        <f aca="false">IF(V404,0,T404)</f>
        <v>0</v>
      </c>
      <c r="Z404" s="9" t="b">
        <f aca="false">AND(Y404&gt;0,K404)</f>
        <v>0</v>
      </c>
      <c r="AA404" s="9" t="b">
        <f aca="false">AND(Y404=0,J404,ISNUMBER(L404))</f>
        <v>0</v>
      </c>
      <c r="AB404" s="8" t="n">
        <f aca="false">IF(Q404,R404,AB403)</f>
        <v>0.95824964655134</v>
      </c>
      <c r="AC404" s="12" t="n">
        <f aca="false">IF(Q404,A404,AC403)</f>
        <v>45034</v>
      </c>
      <c r="AD404" s="8" t="n">
        <f aca="false">IF(Q404,B404,AD403)</f>
        <v>0.958058034944351</v>
      </c>
      <c r="AE404" s="8" t="str">
        <f aca="false">IF(AA404,L404,"")</f>
        <v/>
      </c>
      <c r="AF404" s="8" t="n">
        <f aca="false">U404</f>
        <v>0.938328062071903</v>
      </c>
      <c r="AG404" s="2" t="n">
        <f aca="false">AG403+IF(Q404,1,0)</f>
        <v>2</v>
      </c>
      <c r="AH404" s="2" t="n">
        <f aca="false">AG403</f>
        <v>2</v>
      </c>
      <c r="AI404" s="10" t="n">
        <f aca="false">X404+Y404*(E404-AB404)-Y404*AD404*Inputs!$B$13*(A404-AC404)</f>
        <v>1016.3844066801</v>
      </c>
      <c r="AJ404" s="10" t="n">
        <v>0</v>
      </c>
      <c r="AK404" s="8" t="n">
        <f aca="false">IF(AND(B404&lt;=U404,NOT(Q404)),B404,U404)*(1-Inputs!$B$12)</f>
        <v>0.771985824922223</v>
      </c>
    </row>
    <row r="405" customFormat="false" ht="15" hidden="false" customHeight="false" outlineLevel="0" collapsed="false">
      <c r="A405" s="6" t="n">
        <v>45189</v>
      </c>
      <c r="B405" s="7" t="n">
        <v>0.771241705532424</v>
      </c>
      <c r="C405" s="7" t="n">
        <v>0.773799464446857</v>
      </c>
      <c r="D405" s="7" t="n">
        <v>0.764048194224346</v>
      </c>
      <c r="E405" s="7" t="n">
        <v>0.765132757780383</v>
      </c>
      <c r="F405" s="8" t="n">
        <f aca="true">IF(ROW()-2&gt;=Inputs!$B$4,AVERAGE(OFFSET(E405,1-Inputs!$B$4,0,Inputs!$B$4,1)),"")</f>
        <v>0.784629391733438</v>
      </c>
      <c r="G405" s="8" t="n">
        <f aca="true">IF(ROW()-2&gt;=Inputs!$B$5,AVERAGE(OFFSET(E405,1-Inputs!$B$5,0,Inputs!$B$5,1)),"")</f>
        <v>0.817003052595343</v>
      </c>
      <c r="H405" s="8" t="n">
        <f aca="false">MAX(C405-D405,ABS(C405-E404),ABS(D405-E404))</f>
        <v>0.00975127022251132</v>
      </c>
      <c r="I405" s="8" t="n">
        <f aca="true">IF(ROW()-2&lt;14,"",IF(ROW()-2=14,AVERAGE(OFFSET(H405,-13,0,14,1)),(I404*13+H405)/14))</f>
        <v>0.00857669873877653</v>
      </c>
      <c r="J405" s="9" t="b">
        <f aca="false">IF(AND(ISNUMBER(F405),ISNUMBER(G405),ISNUMBER(F404),ISNUMBER(G404)),AND(F405&gt;G405,F404&lt;=G404),FALSE())</f>
        <v>0</v>
      </c>
      <c r="K405" s="9" t="b">
        <f aca="false">IF(AND(ISNUMBER(F405),ISNUMBER(G405),ISNUMBER(F404),ISNUMBER(G404)),AND(F405&lt;G405,F404&gt;=G404),FALSE())</f>
        <v>0</v>
      </c>
      <c r="L405" s="8" t="n">
        <f aca="false">IF(ISNUMBER(I405),E405-Inputs!$B$6*I405,"")</f>
        <v>0.74797936030283</v>
      </c>
      <c r="M405" s="9" t="b">
        <f aca="false">AND(Y404&gt;0,Z404)</f>
        <v>0</v>
      </c>
      <c r="N405" s="8" t="n">
        <f aca="false">B405*(1-Inputs!$B$12)</f>
        <v>0.771087457191317</v>
      </c>
      <c r="O405" s="10" t="n">
        <f aca="false">IF(M405,Y404*(N405-AB404)-Inputs!$B$9-Y404*AD404*Inputs!$B$13*(A405-AC404),0)</f>
        <v>0</v>
      </c>
      <c r="P405" s="10" t="n">
        <f aca="false">X404+O405</f>
        <v>1016.3844066801</v>
      </c>
      <c r="Q405" s="9" t="b">
        <f aca="false">AND(IF(M405,0,Y404)=0,AA404,IF(ISNUMBER(AE404),B405&gt;AE404,FALSE()))</f>
        <v>0</v>
      </c>
      <c r="R405" s="8" t="n">
        <f aca="false">B405*(1+Inputs!$B$12)</f>
        <v>0.77139595387353</v>
      </c>
      <c r="S405" s="11" t="n">
        <f aca="false">IF(Q405,MIN(P405*Inputs!$B$3/(R405-AE404),P405*Inputs!$B$11/R405),0)</f>
        <v>0</v>
      </c>
      <c r="T405" s="11" t="n">
        <f aca="false">IF(Q405,S405,IF(M405,0,Y404))</f>
        <v>0</v>
      </c>
      <c r="U405" s="8" t="n">
        <f aca="false">IF(Q405,AE404,AF404)</f>
        <v>0.938328062071903</v>
      </c>
      <c r="V405" s="9" t="b">
        <f aca="false">AND(T405&gt;0,D405&lt;=U405)</f>
        <v>0</v>
      </c>
      <c r="W405" s="10" t="n">
        <f aca="false">IF(V405,T405*(AK405-AB405)-Inputs!$B$9-T405*AD405*Inputs!$B$13*(A405-AC405),0)</f>
        <v>0</v>
      </c>
      <c r="X405" s="10" t="n">
        <f aca="false">P405-IF(Q405,Inputs!$B$9,0)+W405</f>
        <v>1016.3844066801</v>
      </c>
      <c r="Y405" s="11" t="n">
        <f aca="false">IF(V405,0,T405)</f>
        <v>0</v>
      </c>
      <c r="Z405" s="9" t="b">
        <f aca="false">AND(Y405&gt;0,K405)</f>
        <v>0</v>
      </c>
      <c r="AA405" s="9" t="b">
        <f aca="false">AND(Y405=0,J405,ISNUMBER(L405))</f>
        <v>0</v>
      </c>
      <c r="AB405" s="8" t="n">
        <f aca="false">IF(Q405,R405,AB404)</f>
        <v>0.95824964655134</v>
      </c>
      <c r="AC405" s="12" t="n">
        <f aca="false">IF(Q405,A405,AC404)</f>
        <v>45034</v>
      </c>
      <c r="AD405" s="8" t="n">
        <f aca="false">IF(Q405,B405,AD404)</f>
        <v>0.958058034944351</v>
      </c>
      <c r="AE405" s="8" t="str">
        <f aca="false">IF(AA405,L405,"")</f>
        <v/>
      </c>
      <c r="AF405" s="8" t="n">
        <f aca="false">U405</f>
        <v>0.938328062071903</v>
      </c>
      <c r="AG405" s="2" t="n">
        <f aca="false">AG404+IF(Q405,1,0)</f>
        <v>2</v>
      </c>
      <c r="AH405" s="2" t="n">
        <f aca="false">AG404</f>
        <v>2</v>
      </c>
      <c r="AI405" s="10" t="n">
        <f aca="false">X405+Y405*(E405-AB405)-Y405*AD405*Inputs!$B$13*(A405-AC405)</f>
        <v>1016.3844066801</v>
      </c>
      <c r="AJ405" s="10" t="n">
        <v>0</v>
      </c>
      <c r="AK405" s="8" t="n">
        <f aca="false">IF(AND(B405&lt;=U405,NOT(Q405)),B405,U405)*(1-Inputs!$B$12)</f>
        <v>0.771087457191317</v>
      </c>
    </row>
    <row r="406" customFormat="false" ht="15" hidden="false" customHeight="false" outlineLevel="0" collapsed="false">
      <c r="A406" s="6" t="n">
        <v>45190</v>
      </c>
      <c r="B406" s="7" t="n">
        <v>0.765132757780383</v>
      </c>
      <c r="C406" s="7" t="n">
        <v>0.769800278676538</v>
      </c>
      <c r="D406" s="7" t="n">
        <v>0.762738125047955</v>
      </c>
      <c r="E406" s="7" t="n">
        <v>0.769549302644525</v>
      </c>
      <c r="F406" s="8" t="n">
        <f aca="true">IF(ROW()-2&gt;=Inputs!$B$4,AVERAGE(OFFSET(E406,1-Inputs!$B$4,0,Inputs!$B$4,1)),"")</f>
        <v>0.782635518210255</v>
      </c>
      <c r="G406" s="8" t="n">
        <f aca="true">IF(ROW()-2&gt;=Inputs!$B$5,AVERAGE(OFFSET(E406,1-Inputs!$B$5,0,Inputs!$B$5,1)),"")</f>
        <v>0.815444344965117</v>
      </c>
      <c r="H406" s="8" t="n">
        <f aca="false">MAX(C406-D406,ABS(C406-E405),ABS(D406-E405))</f>
        <v>0.0070621536285832</v>
      </c>
      <c r="I406" s="8" t="n">
        <f aca="true">IF(ROW()-2&lt;14,"",IF(ROW()-2=14,AVERAGE(OFFSET(H406,-13,0,14,1)),(I405*13+H406)/14))</f>
        <v>0.00846851694519129</v>
      </c>
      <c r="J406" s="9" t="b">
        <f aca="false">IF(AND(ISNUMBER(F406),ISNUMBER(G406),ISNUMBER(F405),ISNUMBER(G405)),AND(F406&gt;G406,F405&lt;=G405),FALSE())</f>
        <v>0</v>
      </c>
      <c r="K406" s="9" t="b">
        <f aca="false">IF(AND(ISNUMBER(F406),ISNUMBER(G406),ISNUMBER(F405),ISNUMBER(G405)),AND(F406&lt;G406,F405&gt;=G405),FALSE())</f>
        <v>0</v>
      </c>
      <c r="L406" s="8" t="n">
        <f aca="false">IF(ISNUMBER(I406),E406-Inputs!$B$6*I406,"")</f>
        <v>0.752612268754142</v>
      </c>
      <c r="M406" s="9" t="b">
        <f aca="false">AND(Y405&gt;0,Z405)</f>
        <v>0</v>
      </c>
      <c r="N406" s="8" t="n">
        <f aca="false">B406*(1-Inputs!$B$12)</f>
        <v>0.764979731228827</v>
      </c>
      <c r="O406" s="10" t="n">
        <f aca="false">IF(M406,Y405*(N406-AB405)-Inputs!$B$9-Y405*AD405*Inputs!$B$13*(A406-AC405),0)</f>
        <v>0</v>
      </c>
      <c r="P406" s="10" t="n">
        <f aca="false">X405+O406</f>
        <v>1016.3844066801</v>
      </c>
      <c r="Q406" s="9" t="b">
        <f aca="false">AND(IF(M406,0,Y405)=0,AA405,IF(ISNUMBER(AE405),B406&gt;AE405,FALSE()))</f>
        <v>0</v>
      </c>
      <c r="R406" s="8" t="n">
        <f aca="false">B406*(1+Inputs!$B$12)</f>
        <v>0.765285784331939</v>
      </c>
      <c r="S406" s="11" t="n">
        <f aca="false">IF(Q406,MIN(P406*Inputs!$B$3/(R406-AE405),P406*Inputs!$B$11/R406),0)</f>
        <v>0</v>
      </c>
      <c r="T406" s="11" t="n">
        <f aca="false">IF(Q406,S406,IF(M406,0,Y405))</f>
        <v>0</v>
      </c>
      <c r="U406" s="8" t="n">
        <f aca="false">IF(Q406,AE405,AF405)</f>
        <v>0.938328062071903</v>
      </c>
      <c r="V406" s="9" t="b">
        <f aca="false">AND(T406&gt;0,D406&lt;=U406)</f>
        <v>0</v>
      </c>
      <c r="W406" s="10" t="n">
        <f aca="false">IF(V406,T406*(AK406-AB406)-Inputs!$B$9-T406*AD406*Inputs!$B$13*(A406-AC406),0)</f>
        <v>0</v>
      </c>
      <c r="X406" s="10" t="n">
        <f aca="false">P406-IF(Q406,Inputs!$B$9,0)+W406</f>
        <v>1016.3844066801</v>
      </c>
      <c r="Y406" s="11" t="n">
        <f aca="false">IF(V406,0,T406)</f>
        <v>0</v>
      </c>
      <c r="Z406" s="9" t="b">
        <f aca="false">AND(Y406&gt;0,K406)</f>
        <v>0</v>
      </c>
      <c r="AA406" s="9" t="b">
        <f aca="false">AND(Y406=0,J406,ISNUMBER(L406))</f>
        <v>0</v>
      </c>
      <c r="AB406" s="8" t="n">
        <f aca="false">IF(Q406,R406,AB405)</f>
        <v>0.95824964655134</v>
      </c>
      <c r="AC406" s="12" t="n">
        <f aca="false">IF(Q406,A406,AC405)</f>
        <v>45034</v>
      </c>
      <c r="AD406" s="8" t="n">
        <f aca="false">IF(Q406,B406,AD405)</f>
        <v>0.958058034944351</v>
      </c>
      <c r="AE406" s="8" t="str">
        <f aca="false">IF(AA406,L406,"")</f>
        <v/>
      </c>
      <c r="AF406" s="8" t="n">
        <f aca="false">U406</f>
        <v>0.938328062071903</v>
      </c>
      <c r="AG406" s="2" t="n">
        <f aca="false">AG405+IF(Q406,1,0)</f>
        <v>2</v>
      </c>
      <c r="AH406" s="2" t="n">
        <f aca="false">AG405</f>
        <v>2</v>
      </c>
      <c r="AI406" s="10" t="n">
        <f aca="false">X406+Y406*(E406-AB406)-Y406*AD406*Inputs!$B$13*(A406-AC406)</f>
        <v>1016.3844066801</v>
      </c>
      <c r="AJ406" s="10" t="n">
        <v>0</v>
      </c>
      <c r="AK406" s="8" t="n">
        <f aca="false">IF(AND(B406&lt;=U406,NOT(Q406)),B406,U406)*(1-Inputs!$B$12)</f>
        <v>0.764979731228827</v>
      </c>
    </row>
    <row r="407" customFormat="false" ht="15" hidden="false" customHeight="false" outlineLevel="0" collapsed="false">
      <c r="A407" s="6" t="n">
        <v>45191</v>
      </c>
      <c r="B407" s="7" t="n">
        <v>0.769549302644525</v>
      </c>
      <c r="C407" s="7" t="n">
        <v>0.775591625072776</v>
      </c>
      <c r="D407" s="7" t="n">
        <v>0.769443151854057</v>
      </c>
      <c r="E407" s="7" t="n">
        <v>0.775345531757999</v>
      </c>
      <c r="F407" s="8" t="n">
        <f aca="true">IF(ROW()-2&gt;=Inputs!$B$4,AVERAGE(OFFSET(E407,1-Inputs!$B$4,0,Inputs!$B$4,1)),"")</f>
        <v>0.78081049124246</v>
      </c>
      <c r="G407" s="8" t="n">
        <f aca="true">IF(ROW()-2&gt;=Inputs!$B$5,AVERAGE(OFFSET(E407,1-Inputs!$B$5,0,Inputs!$B$5,1)),"")</f>
        <v>0.813916122505071</v>
      </c>
      <c r="H407" s="8" t="n">
        <f aca="false">MAX(C407-D407,ABS(C407-E406),ABS(D407-E406))</f>
        <v>0.00614847321871936</v>
      </c>
      <c r="I407" s="8" t="n">
        <f aca="true">IF(ROW()-2&lt;14,"",IF(ROW()-2=14,AVERAGE(OFFSET(H407,-13,0,14,1)),(I406*13+H407)/14))</f>
        <v>0.00830279953615758</v>
      </c>
      <c r="J407" s="9" t="b">
        <f aca="false">IF(AND(ISNUMBER(F407),ISNUMBER(G407),ISNUMBER(F406),ISNUMBER(G406)),AND(F407&gt;G407,F406&lt;=G406),FALSE())</f>
        <v>0</v>
      </c>
      <c r="K407" s="9" t="b">
        <f aca="false">IF(AND(ISNUMBER(F407),ISNUMBER(G407),ISNUMBER(F406),ISNUMBER(G406)),AND(F407&lt;G407,F406&gt;=G406),FALSE())</f>
        <v>0</v>
      </c>
      <c r="L407" s="8" t="n">
        <f aca="false">IF(ISNUMBER(I407),E407-Inputs!$B$6*I407,"")</f>
        <v>0.758739932685684</v>
      </c>
      <c r="M407" s="9" t="b">
        <f aca="false">AND(Y406&gt;0,Z406)</f>
        <v>0</v>
      </c>
      <c r="N407" s="8" t="n">
        <f aca="false">B407*(1-Inputs!$B$12)</f>
        <v>0.769395392783996</v>
      </c>
      <c r="O407" s="10" t="n">
        <f aca="false">IF(M407,Y406*(N407-AB406)-Inputs!$B$9-Y406*AD406*Inputs!$B$13*(A407-AC406),0)</f>
        <v>0</v>
      </c>
      <c r="P407" s="10" t="n">
        <f aca="false">X406+O407</f>
        <v>1016.3844066801</v>
      </c>
      <c r="Q407" s="9" t="b">
        <f aca="false">AND(IF(M407,0,Y406)=0,AA406,IF(ISNUMBER(AE406),B407&gt;AE406,FALSE()))</f>
        <v>0</v>
      </c>
      <c r="R407" s="8" t="n">
        <f aca="false">B407*(1+Inputs!$B$12)</f>
        <v>0.769703212505054</v>
      </c>
      <c r="S407" s="11" t="n">
        <f aca="false">IF(Q407,MIN(P407*Inputs!$B$3/(R407-AE406),P407*Inputs!$B$11/R407),0)</f>
        <v>0</v>
      </c>
      <c r="T407" s="11" t="n">
        <f aca="false">IF(Q407,S407,IF(M407,0,Y406))</f>
        <v>0</v>
      </c>
      <c r="U407" s="8" t="n">
        <f aca="false">IF(Q407,AE406,AF406)</f>
        <v>0.938328062071903</v>
      </c>
      <c r="V407" s="9" t="b">
        <f aca="false">AND(T407&gt;0,D407&lt;=U407)</f>
        <v>0</v>
      </c>
      <c r="W407" s="10" t="n">
        <f aca="false">IF(V407,T407*(AK407-AB407)-Inputs!$B$9-T407*AD407*Inputs!$B$13*(A407-AC407),0)</f>
        <v>0</v>
      </c>
      <c r="X407" s="10" t="n">
        <f aca="false">P407-IF(Q407,Inputs!$B$9,0)+W407</f>
        <v>1016.3844066801</v>
      </c>
      <c r="Y407" s="11" t="n">
        <f aca="false">IF(V407,0,T407)</f>
        <v>0</v>
      </c>
      <c r="Z407" s="9" t="b">
        <f aca="false">AND(Y407&gt;0,K407)</f>
        <v>0</v>
      </c>
      <c r="AA407" s="9" t="b">
        <f aca="false">AND(Y407=0,J407,ISNUMBER(L407))</f>
        <v>0</v>
      </c>
      <c r="AB407" s="8" t="n">
        <f aca="false">IF(Q407,R407,AB406)</f>
        <v>0.95824964655134</v>
      </c>
      <c r="AC407" s="12" t="n">
        <f aca="false">IF(Q407,A407,AC406)</f>
        <v>45034</v>
      </c>
      <c r="AD407" s="8" t="n">
        <f aca="false">IF(Q407,B407,AD406)</f>
        <v>0.958058034944351</v>
      </c>
      <c r="AE407" s="8" t="str">
        <f aca="false">IF(AA407,L407,"")</f>
        <v/>
      </c>
      <c r="AF407" s="8" t="n">
        <f aca="false">U407</f>
        <v>0.938328062071903</v>
      </c>
      <c r="AG407" s="2" t="n">
        <f aca="false">AG406+IF(Q407,1,0)</f>
        <v>2</v>
      </c>
      <c r="AH407" s="2" t="n">
        <f aca="false">AG406</f>
        <v>2</v>
      </c>
      <c r="AI407" s="10" t="n">
        <f aca="false">X407+Y407*(E407-AB407)-Y407*AD407*Inputs!$B$13*(A407-AC407)</f>
        <v>1016.3844066801</v>
      </c>
      <c r="AJ407" s="10" t="n">
        <v>0</v>
      </c>
      <c r="AK407" s="8" t="n">
        <f aca="false">IF(AND(B407&lt;=U407,NOT(Q407)),B407,U407)*(1-Inputs!$B$12)</f>
        <v>0.769395392783996</v>
      </c>
    </row>
    <row r="408" customFormat="false" ht="15" hidden="false" customHeight="false" outlineLevel="0" collapsed="false">
      <c r="A408" s="6" t="n">
        <v>45192</v>
      </c>
      <c r="B408" s="7" t="n">
        <v>0.775345531757999</v>
      </c>
      <c r="C408" s="7" t="n">
        <v>0.780372965345021</v>
      </c>
      <c r="D408" s="7" t="n">
        <v>0.770047239630398</v>
      </c>
      <c r="E408" s="7" t="n">
        <v>0.778115768767499</v>
      </c>
      <c r="F408" s="8" t="n">
        <f aca="true">IF(ROW()-2&gt;=Inputs!$B$4,AVERAGE(OFFSET(E408,1-Inputs!$B$4,0,Inputs!$B$4,1)),"")</f>
        <v>0.779362337878323</v>
      </c>
      <c r="G408" s="8" t="n">
        <f aca="true">IF(ROW()-2&gt;=Inputs!$B$5,AVERAGE(OFFSET(E408,1-Inputs!$B$5,0,Inputs!$B$5,1)),"")</f>
        <v>0.812615206135823</v>
      </c>
      <c r="H408" s="8" t="n">
        <f aca="false">MAX(C408-D408,ABS(C408-E407),ABS(D408-E407))</f>
        <v>0.010325725714623</v>
      </c>
      <c r="I408" s="8" t="n">
        <f aca="true">IF(ROW()-2&lt;14,"",IF(ROW()-2=14,AVERAGE(OFFSET(H408,-13,0,14,1)),(I407*13+H408)/14))</f>
        <v>0.00844729426319082</v>
      </c>
      <c r="J408" s="9" t="b">
        <f aca="false">IF(AND(ISNUMBER(F408),ISNUMBER(G408),ISNUMBER(F407),ISNUMBER(G407)),AND(F408&gt;G408,F407&lt;=G407),FALSE())</f>
        <v>0</v>
      </c>
      <c r="K408" s="9" t="b">
        <f aca="false">IF(AND(ISNUMBER(F408),ISNUMBER(G408),ISNUMBER(F407),ISNUMBER(G407)),AND(F408&lt;G408,F407&gt;=G407),FALSE())</f>
        <v>0</v>
      </c>
      <c r="L408" s="8" t="n">
        <f aca="false">IF(ISNUMBER(I408),E408-Inputs!$B$6*I408,"")</f>
        <v>0.761221180241117</v>
      </c>
      <c r="M408" s="9" t="b">
        <f aca="false">AND(Y407&gt;0,Z407)</f>
        <v>0</v>
      </c>
      <c r="N408" s="8" t="n">
        <f aca="false">B408*(1-Inputs!$B$12)</f>
        <v>0.775190462651647</v>
      </c>
      <c r="O408" s="10" t="n">
        <f aca="false">IF(M408,Y407*(N408-AB407)-Inputs!$B$9-Y407*AD407*Inputs!$B$13*(A408-AC407),0)</f>
        <v>0</v>
      </c>
      <c r="P408" s="10" t="n">
        <f aca="false">X407+O408</f>
        <v>1016.3844066801</v>
      </c>
      <c r="Q408" s="9" t="b">
        <f aca="false">AND(IF(M408,0,Y407)=0,AA407,IF(ISNUMBER(AE407),B408&gt;AE407,FALSE()))</f>
        <v>0</v>
      </c>
      <c r="R408" s="8" t="n">
        <f aca="false">B408*(1+Inputs!$B$12)</f>
        <v>0.77550060086435</v>
      </c>
      <c r="S408" s="11" t="n">
        <f aca="false">IF(Q408,MIN(P408*Inputs!$B$3/(R408-AE407),P408*Inputs!$B$11/R408),0)</f>
        <v>0</v>
      </c>
      <c r="T408" s="11" t="n">
        <f aca="false">IF(Q408,S408,IF(M408,0,Y407))</f>
        <v>0</v>
      </c>
      <c r="U408" s="8" t="n">
        <f aca="false">IF(Q408,AE407,AF407)</f>
        <v>0.938328062071903</v>
      </c>
      <c r="V408" s="9" t="b">
        <f aca="false">AND(T408&gt;0,D408&lt;=U408)</f>
        <v>0</v>
      </c>
      <c r="W408" s="10" t="n">
        <f aca="false">IF(V408,T408*(AK408-AB408)-Inputs!$B$9-T408*AD408*Inputs!$B$13*(A408-AC408),0)</f>
        <v>0</v>
      </c>
      <c r="X408" s="10" t="n">
        <f aca="false">P408-IF(Q408,Inputs!$B$9,0)+W408</f>
        <v>1016.3844066801</v>
      </c>
      <c r="Y408" s="11" t="n">
        <f aca="false">IF(V408,0,T408)</f>
        <v>0</v>
      </c>
      <c r="Z408" s="9" t="b">
        <f aca="false">AND(Y408&gt;0,K408)</f>
        <v>0</v>
      </c>
      <c r="AA408" s="9" t="b">
        <f aca="false">AND(Y408=0,J408,ISNUMBER(L408))</f>
        <v>0</v>
      </c>
      <c r="AB408" s="8" t="n">
        <f aca="false">IF(Q408,R408,AB407)</f>
        <v>0.95824964655134</v>
      </c>
      <c r="AC408" s="12" t="n">
        <f aca="false">IF(Q408,A408,AC407)</f>
        <v>45034</v>
      </c>
      <c r="AD408" s="8" t="n">
        <f aca="false">IF(Q408,B408,AD407)</f>
        <v>0.958058034944351</v>
      </c>
      <c r="AE408" s="8" t="str">
        <f aca="false">IF(AA408,L408,"")</f>
        <v/>
      </c>
      <c r="AF408" s="8" t="n">
        <f aca="false">U408</f>
        <v>0.938328062071903</v>
      </c>
      <c r="AG408" s="2" t="n">
        <f aca="false">AG407+IF(Q408,1,0)</f>
        <v>2</v>
      </c>
      <c r="AH408" s="2" t="n">
        <f aca="false">AG407</f>
        <v>2</v>
      </c>
      <c r="AI408" s="10" t="n">
        <f aca="false">X408+Y408*(E408-AB408)-Y408*AD408*Inputs!$B$13*(A408-AC408)</f>
        <v>1016.3844066801</v>
      </c>
      <c r="AJ408" s="10" t="n">
        <v>0</v>
      </c>
      <c r="AK408" s="8" t="n">
        <f aca="false">IF(AND(B408&lt;=U408,NOT(Q408)),B408,U408)*(1-Inputs!$B$12)</f>
        <v>0.775190462651647</v>
      </c>
    </row>
    <row r="409" customFormat="false" ht="15" hidden="false" customHeight="false" outlineLevel="0" collapsed="false">
      <c r="A409" s="6" t="n">
        <v>45193</v>
      </c>
      <c r="B409" s="7" t="n">
        <v>0.778115768767499</v>
      </c>
      <c r="C409" s="7" t="n">
        <v>0.779785819716819</v>
      </c>
      <c r="D409" s="7" t="n">
        <v>0.773894873830819</v>
      </c>
      <c r="E409" s="7" t="n">
        <v>0.77514438981834</v>
      </c>
      <c r="F409" s="8" t="n">
        <f aca="true">IF(ROW()-2&gt;=Inputs!$B$4,AVERAGE(OFFSET(E409,1-Inputs!$B$4,0,Inputs!$B$4,1)),"")</f>
        <v>0.777695869638757</v>
      </c>
      <c r="G409" s="8" t="n">
        <f aca="true">IF(ROW()-2&gt;=Inputs!$B$5,AVERAGE(OFFSET(E409,1-Inputs!$B$5,0,Inputs!$B$5,1)),"")</f>
        <v>0.811470617235196</v>
      </c>
      <c r="H409" s="8" t="n">
        <f aca="false">MAX(C409-D409,ABS(C409-E408),ABS(D409-E408))</f>
        <v>0.00589094588599959</v>
      </c>
      <c r="I409" s="8" t="n">
        <f aca="true">IF(ROW()-2&lt;14,"",IF(ROW()-2=14,AVERAGE(OFFSET(H409,-13,0,14,1)),(I408*13+H409)/14))</f>
        <v>0.0082646979505343</v>
      </c>
      <c r="J409" s="9" t="b">
        <f aca="false">IF(AND(ISNUMBER(F409),ISNUMBER(G409),ISNUMBER(F408),ISNUMBER(G408)),AND(F409&gt;G409,F408&lt;=G408),FALSE())</f>
        <v>0</v>
      </c>
      <c r="K409" s="9" t="b">
        <f aca="false">IF(AND(ISNUMBER(F409),ISNUMBER(G409),ISNUMBER(F408),ISNUMBER(G408)),AND(F409&lt;G409,F408&gt;=G408),FALSE())</f>
        <v>0</v>
      </c>
      <c r="L409" s="8" t="n">
        <f aca="false">IF(ISNUMBER(I409),E409-Inputs!$B$6*I409,"")</f>
        <v>0.758614993917271</v>
      </c>
      <c r="M409" s="9" t="b">
        <f aca="false">AND(Y408&gt;0,Z408)</f>
        <v>0</v>
      </c>
      <c r="N409" s="8" t="n">
        <f aca="false">B409*(1-Inputs!$B$12)</f>
        <v>0.777960145613745</v>
      </c>
      <c r="O409" s="10" t="n">
        <f aca="false">IF(M409,Y408*(N409-AB408)-Inputs!$B$9-Y408*AD408*Inputs!$B$13*(A409-AC408),0)</f>
        <v>0</v>
      </c>
      <c r="P409" s="10" t="n">
        <f aca="false">X408+O409</f>
        <v>1016.3844066801</v>
      </c>
      <c r="Q409" s="9" t="b">
        <f aca="false">AND(IF(M409,0,Y408)=0,AA408,IF(ISNUMBER(AE408),B409&gt;AE408,FALSE()))</f>
        <v>0</v>
      </c>
      <c r="R409" s="8" t="n">
        <f aca="false">B409*(1+Inputs!$B$12)</f>
        <v>0.778271391921252</v>
      </c>
      <c r="S409" s="11" t="n">
        <f aca="false">IF(Q409,MIN(P409*Inputs!$B$3/(R409-AE408),P409*Inputs!$B$11/R409),0)</f>
        <v>0</v>
      </c>
      <c r="T409" s="11" t="n">
        <f aca="false">IF(Q409,S409,IF(M409,0,Y408))</f>
        <v>0</v>
      </c>
      <c r="U409" s="8" t="n">
        <f aca="false">IF(Q409,AE408,AF408)</f>
        <v>0.938328062071903</v>
      </c>
      <c r="V409" s="9" t="b">
        <f aca="false">AND(T409&gt;0,D409&lt;=U409)</f>
        <v>0</v>
      </c>
      <c r="W409" s="10" t="n">
        <f aca="false">IF(V409,T409*(AK409-AB409)-Inputs!$B$9-T409*AD409*Inputs!$B$13*(A409-AC409),0)</f>
        <v>0</v>
      </c>
      <c r="X409" s="10" t="n">
        <f aca="false">P409-IF(Q409,Inputs!$B$9,0)+W409</f>
        <v>1016.3844066801</v>
      </c>
      <c r="Y409" s="11" t="n">
        <f aca="false">IF(V409,0,T409)</f>
        <v>0</v>
      </c>
      <c r="Z409" s="9" t="b">
        <f aca="false">AND(Y409&gt;0,K409)</f>
        <v>0</v>
      </c>
      <c r="AA409" s="9" t="b">
        <f aca="false">AND(Y409=0,J409,ISNUMBER(L409))</f>
        <v>0</v>
      </c>
      <c r="AB409" s="8" t="n">
        <f aca="false">IF(Q409,R409,AB408)</f>
        <v>0.95824964655134</v>
      </c>
      <c r="AC409" s="12" t="n">
        <f aca="false">IF(Q409,A409,AC408)</f>
        <v>45034</v>
      </c>
      <c r="AD409" s="8" t="n">
        <f aca="false">IF(Q409,B409,AD408)</f>
        <v>0.958058034944351</v>
      </c>
      <c r="AE409" s="8" t="str">
        <f aca="false">IF(AA409,L409,"")</f>
        <v/>
      </c>
      <c r="AF409" s="8" t="n">
        <f aca="false">U409</f>
        <v>0.938328062071903</v>
      </c>
      <c r="AG409" s="2" t="n">
        <f aca="false">AG408+IF(Q409,1,0)</f>
        <v>2</v>
      </c>
      <c r="AH409" s="2" t="n">
        <f aca="false">AG408</f>
        <v>2</v>
      </c>
      <c r="AI409" s="10" t="n">
        <f aca="false">X409+Y409*(E409-AB409)-Y409*AD409*Inputs!$B$13*(A409-AC409)</f>
        <v>1016.3844066801</v>
      </c>
      <c r="AJ409" s="10" t="n">
        <v>0</v>
      </c>
      <c r="AK409" s="8" t="n">
        <f aca="false">IF(AND(B409&lt;=U409,NOT(Q409)),B409,U409)*(1-Inputs!$B$12)</f>
        <v>0.777960145613745</v>
      </c>
    </row>
    <row r="410" customFormat="false" ht="15" hidden="false" customHeight="false" outlineLevel="0" collapsed="false">
      <c r="A410" s="6" t="n">
        <v>45194</v>
      </c>
      <c r="B410" s="7" t="n">
        <v>0.77514438981834</v>
      </c>
      <c r="C410" s="7" t="n">
        <v>0.78157363059607</v>
      </c>
      <c r="D410" s="7" t="n">
        <v>0.774254724142085</v>
      </c>
      <c r="E410" s="7" t="n">
        <v>0.77563832071019</v>
      </c>
      <c r="F410" s="8" t="n">
        <f aca="true">IF(ROW()-2&gt;=Inputs!$B$4,AVERAGE(OFFSET(E410,1-Inputs!$B$4,0,Inputs!$B$4,1)),"")</f>
        <v>0.776426026678696</v>
      </c>
      <c r="G410" s="8" t="n">
        <f aca="true">IF(ROW()-2&gt;=Inputs!$B$5,AVERAGE(OFFSET(E410,1-Inputs!$B$5,0,Inputs!$B$5,1)),"")</f>
        <v>0.810415842351587</v>
      </c>
      <c r="H410" s="8" t="n">
        <f aca="false">MAX(C410-D410,ABS(C410-E409),ABS(D410-E409))</f>
        <v>0.00731890645398559</v>
      </c>
      <c r="I410" s="8" t="n">
        <f aca="true">IF(ROW()-2&lt;14,"",IF(ROW()-2=14,AVERAGE(OFFSET(H410,-13,0,14,1)),(I409*13+H410)/14))</f>
        <v>0.00819714141506654</v>
      </c>
      <c r="J410" s="9" t="b">
        <f aca="false">IF(AND(ISNUMBER(F410),ISNUMBER(G410),ISNUMBER(F409),ISNUMBER(G409)),AND(F410&gt;G410,F409&lt;=G409),FALSE())</f>
        <v>0</v>
      </c>
      <c r="K410" s="9" t="b">
        <f aca="false">IF(AND(ISNUMBER(F410),ISNUMBER(G410),ISNUMBER(F409),ISNUMBER(G409)),AND(F410&lt;G410,F409&gt;=G409),FALSE())</f>
        <v>0</v>
      </c>
      <c r="L410" s="8" t="n">
        <f aca="false">IF(ISNUMBER(I410),E410-Inputs!$B$6*I410,"")</f>
        <v>0.759244037880057</v>
      </c>
      <c r="M410" s="9" t="b">
        <f aca="false">AND(Y409&gt;0,Z409)</f>
        <v>0</v>
      </c>
      <c r="N410" s="8" t="n">
        <f aca="false">B410*(1-Inputs!$B$12)</f>
        <v>0.774989360940376</v>
      </c>
      <c r="O410" s="10" t="n">
        <f aca="false">IF(M410,Y409*(N410-AB409)-Inputs!$B$9-Y409*AD409*Inputs!$B$13*(A410-AC409),0)</f>
        <v>0</v>
      </c>
      <c r="P410" s="10" t="n">
        <f aca="false">X409+O410</f>
        <v>1016.3844066801</v>
      </c>
      <c r="Q410" s="9" t="b">
        <f aca="false">AND(IF(M410,0,Y409)=0,AA409,IF(ISNUMBER(AE409),B410&gt;AE409,FALSE()))</f>
        <v>0</v>
      </c>
      <c r="R410" s="8" t="n">
        <f aca="false">B410*(1+Inputs!$B$12)</f>
        <v>0.775299418696304</v>
      </c>
      <c r="S410" s="11" t="n">
        <f aca="false">IF(Q410,MIN(P410*Inputs!$B$3/(R410-AE409),P410*Inputs!$B$11/R410),0)</f>
        <v>0</v>
      </c>
      <c r="T410" s="11" t="n">
        <f aca="false">IF(Q410,S410,IF(M410,0,Y409))</f>
        <v>0</v>
      </c>
      <c r="U410" s="8" t="n">
        <f aca="false">IF(Q410,AE409,AF409)</f>
        <v>0.938328062071903</v>
      </c>
      <c r="V410" s="9" t="b">
        <f aca="false">AND(T410&gt;0,D410&lt;=U410)</f>
        <v>0</v>
      </c>
      <c r="W410" s="10" t="n">
        <f aca="false">IF(V410,T410*(AK410-AB410)-Inputs!$B$9-T410*AD410*Inputs!$B$13*(A410-AC410),0)</f>
        <v>0</v>
      </c>
      <c r="X410" s="10" t="n">
        <f aca="false">P410-IF(Q410,Inputs!$B$9,0)+W410</f>
        <v>1016.3844066801</v>
      </c>
      <c r="Y410" s="11" t="n">
        <f aca="false">IF(V410,0,T410)</f>
        <v>0</v>
      </c>
      <c r="Z410" s="9" t="b">
        <f aca="false">AND(Y410&gt;0,K410)</f>
        <v>0</v>
      </c>
      <c r="AA410" s="9" t="b">
        <f aca="false">AND(Y410=0,J410,ISNUMBER(L410))</f>
        <v>0</v>
      </c>
      <c r="AB410" s="8" t="n">
        <f aca="false">IF(Q410,R410,AB409)</f>
        <v>0.95824964655134</v>
      </c>
      <c r="AC410" s="12" t="n">
        <f aca="false">IF(Q410,A410,AC409)</f>
        <v>45034</v>
      </c>
      <c r="AD410" s="8" t="n">
        <f aca="false">IF(Q410,B410,AD409)</f>
        <v>0.958058034944351</v>
      </c>
      <c r="AE410" s="8" t="str">
        <f aca="false">IF(AA410,L410,"")</f>
        <v/>
      </c>
      <c r="AF410" s="8" t="n">
        <f aca="false">U410</f>
        <v>0.938328062071903</v>
      </c>
      <c r="AG410" s="2" t="n">
        <f aca="false">AG409+IF(Q410,1,0)</f>
        <v>2</v>
      </c>
      <c r="AH410" s="2" t="n">
        <f aca="false">AG409</f>
        <v>2</v>
      </c>
      <c r="AI410" s="10" t="n">
        <f aca="false">X410+Y410*(E410-AB410)-Y410*AD410*Inputs!$B$13*(A410-AC410)</f>
        <v>1016.3844066801</v>
      </c>
      <c r="AJ410" s="10" t="n">
        <v>0</v>
      </c>
      <c r="AK410" s="8" t="n">
        <f aca="false">IF(AND(B410&lt;=U410,NOT(Q410)),B410,U410)*(1-Inputs!$B$12)</f>
        <v>0.774989360940376</v>
      </c>
    </row>
    <row r="411" customFormat="false" ht="15" hidden="false" customHeight="false" outlineLevel="0" collapsed="false">
      <c r="A411" s="6" t="n">
        <v>45195</v>
      </c>
      <c r="B411" s="7" t="n">
        <v>0.77563832071019</v>
      </c>
      <c r="C411" s="7" t="n">
        <v>0.777847668013075</v>
      </c>
      <c r="D411" s="7" t="n">
        <v>0.769567185626294</v>
      </c>
      <c r="E411" s="7" t="n">
        <v>0.770771847187041</v>
      </c>
      <c r="F411" s="8" t="n">
        <f aca="true">IF(ROW()-2&gt;=Inputs!$B$4,AVERAGE(OFFSET(E411,1-Inputs!$B$4,0,Inputs!$B$4,1)),"")</f>
        <v>0.774951279329987</v>
      </c>
      <c r="G411" s="8" t="n">
        <f aca="true">IF(ROW()-2&gt;=Inputs!$B$5,AVERAGE(OFFSET(E411,1-Inputs!$B$5,0,Inputs!$B$5,1)),"")</f>
        <v>0.809199919313971</v>
      </c>
      <c r="H411" s="8" t="n">
        <f aca="false">MAX(C411-D411,ABS(C411-E410),ABS(D411-E410))</f>
        <v>0.00828048238678114</v>
      </c>
      <c r="I411" s="8" t="n">
        <f aca="true">IF(ROW()-2&lt;14,"",IF(ROW()-2=14,AVERAGE(OFFSET(H411,-13,0,14,1)),(I410*13+H411)/14))</f>
        <v>0.00820309434161758</v>
      </c>
      <c r="J411" s="9" t="b">
        <f aca="false">IF(AND(ISNUMBER(F411),ISNUMBER(G411),ISNUMBER(F410),ISNUMBER(G410)),AND(F411&gt;G411,F410&lt;=G410),FALSE())</f>
        <v>0</v>
      </c>
      <c r="K411" s="9" t="b">
        <f aca="false">IF(AND(ISNUMBER(F411),ISNUMBER(G411),ISNUMBER(F410),ISNUMBER(G410)),AND(F411&lt;G411,F410&gt;=G410),FALSE())</f>
        <v>0</v>
      </c>
      <c r="L411" s="8" t="n">
        <f aca="false">IF(ISNUMBER(I411),E411-Inputs!$B$6*I411,"")</f>
        <v>0.754365658503806</v>
      </c>
      <c r="M411" s="9" t="b">
        <f aca="false">AND(Y410&gt;0,Z410)</f>
        <v>0</v>
      </c>
      <c r="N411" s="8" t="n">
        <f aca="false">B411*(1-Inputs!$B$12)</f>
        <v>0.775483193046048</v>
      </c>
      <c r="O411" s="10" t="n">
        <f aca="false">IF(M411,Y410*(N411-AB410)-Inputs!$B$9-Y410*AD410*Inputs!$B$13*(A411-AC410),0)</f>
        <v>0</v>
      </c>
      <c r="P411" s="10" t="n">
        <f aca="false">X410+O411</f>
        <v>1016.3844066801</v>
      </c>
      <c r="Q411" s="9" t="b">
        <f aca="false">AND(IF(M411,0,Y410)=0,AA410,IF(ISNUMBER(AE410),B411&gt;AE410,FALSE()))</f>
        <v>0</v>
      </c>
      <c r="R411" s="8" t="n">
        <f aca="false">B411*(1+Inputs!$B$12)</f>
        <v>0.775793448374332</v>
      </c>
      <c r="S411" s="11" t="n">
        <f aca="false">IF(Q411,MIN(P411*Inputs!$B$3/(R411-AE410),P411*Inputs!$B$11/R411),0)</f>
        <v>0</v>
      </c>
      <c r="T411" s="11" t="n">
        <f aca="false">IF(Q411,S411,IF(M411,0,Y410))</f>
        <v>0</v>
      </c>
      <c r="U411" s="8" t="n">
        <f aca="false">IF(Q411,AE410,AF410)</f>
        <v>0.938328062071903</v>
      </c>
      <c r="V411" s="9" t="b">
        <f aca="false">AND(T411&gt;0,D411&lt;=U411)</f>
        <v>0</v>
      </c>
      <c r="W411" s="10" t="n">
        <f aca="false">IF(V411,T411*(AK411-AB411)-Inputs!$B$9-T411*AD411*Inputs!$B$13*(A411-AC411),0)</f>
        <v>0</v>
      </c>
      <c r="X411" s="10" t="n">
        <f aca="false">P411-IF(Q411,Inputs!$B$9,0)+W411</f>
        <v>1016.3844066801</v>
      </c>
      <c r="Y411" s="11" t="n">
        <f aca="false">IF(V411,0,T411)</f>
        <v>0</v>
      </c>
      <c r="Z411" s="9" t="b">
        <f aca="false">AND(Y411&gt;0,K411)</f>
        <v>0</v>
      </c>
      <c r="AA411" s="9" t="b">
        <f aca="false">AND(Y411=0,J411,ISNUMBER(L411))</f>
        <v>0</v>
      </c>
      <c r="AB411" s="8" t="n">
        <f aca="false">IF(Q411,R411,AB410)</f>
        <v>0.95824964655134</v>
      </c>
      <c r="AC411" s="12" t="n">
        <f aca="false">IF(Q411,A411,AC410)</f>
        <v>45034</v>
      </c>
      <c r="AD411" s="8" t="n">
        <f aca="false">IF(Q411,B411,AD410)</f>
        <v>0.958058034944351</v>
      </c>
      <c r="AE411" s="8" t="str">
        <f aca="false">IF(AA411,L411,"")</f>
        <v/>
      </c>
      <c r="AF411" s="8" t="n">
        <f aca="false">U411</f>
        <v>0.938328062071903</v>
      </c>
      <c r="AG411" s="2" t="n">
        <f aca="false">AG410+IF(Q411,1,0)</f>
        <v>2</v>
      </c>
      <c r="AH411" s="2" t="n">
        <f aca="false">AG410</f>
        <v>2</v>
      </c>
      <c r="AI411" s="10" t="n">
        <f aca="false">X411+Y411*(E411-AB411)-Y411*AD411*Inputs!$B$13*(A411-AC411)</f>
        <v>1016.3844066801</v>
      </c>
      <c r="AJ411" s="10" t="n">
        <v>0</v>
      </c>
      <c r="AK411" s="8" t="n">
        <f aca="false">IF(AND(B411&lt;=U411,NOT(Q411)),B411,U411)*(1-Inputs!$B$12)</f>
        <v>0.775483193046048</v>
      </c>
    </row>
    <row r="412" customFormat="false" ht="15" hidden="false" customHeight="false" outlineLevel="0" collapsed="false">
      <c r="A412" s="6" t="n">
        <v>45196</v>
      </c>
      <c r="B412" s="7" t="n">
        <v>0.770771847187041</v>
      </c>
      <c r="C412" s="7" t="n">
        <v>0.77491664287886</v>
      </c>
      <c r="D412" s="7" t="n">
        <v>0.770241812107697</v>
      </c>
      <c r="E412" s="7" t="n">
        <v>0.772129678715955</v>
      </c>
      <c r="F412" s="8" t="n">
        <f aca="true">IF(ROW()-2&gt;=Inputs!$B$4,AVERAGE(OFFSET(E412,1-Inputs!$B$4,0,Inputs!$B$4,1)),"")</f>
        <v>0.773683757185986</v>
      </c>
      <c r="G412" s="8" t="n">
        <f aca="true">IF(ROW()-2&gt;=Inputs!$B$5,AVERAGE(OFFSET(E412,1-Inputs!$B$5,0,Inputs!$B$5,1)),"")</f>
        <v>0.807948393139696</v>
      </c>
      <c r="H412" s="8" t="n">
        <f aca="false">MAX(C412-D412,ABS(C412-E411),ABS(D412-E411))</f>
        <v>0.00467483077116337</v>
      </c>
      <c r="I412" s="8" t="n">
        <f aca="true">IF(ROW()-2&lt;14,"",IF(ROW()-2=14,AVERAGE(OFFSET(H412,-13,0,14,1)),(I411*13+H412)/14))</f>
        <v>0.00795107551515657</v>
      </c>
      <c r="J412" s="9" t="b">
        <f aca="false">IF(AND(ISNUMBER(F412),ISNUMBER(G412),ISNUMBER(F411),ISNUMBER(G411)),AND(F412&gt;G412,F411&lt;=G411),FALSE())</f>
        <v>0</v>
      </c>
      <c r="K412" s="9" t="b">
        <f aca="false">IF(AND(ISNUMBER(F412),ISNUMBER(G412),ISNUMBER(F411),ISNUMBER(G411)),AND(F412&lt;G412,F411&gt;=G411),FALSE())</f>
        <v>0</v>
      </c>
      <c r="L412" s="8" t="n">
        <f aca="false">IF(ISNUMBER(I412),E412-Inputs!$B$6*I412,"")</f>
        <v>0.756227527685641</v>
      </c>
      <c r="M412" s="9" t="b">
        <f aca="false">AND(Y411&gt;0,Z411)</f>
        <v>0</v>
      </c>
      <c r="N412" s="8" t="n">
        <f aca="false">B412*(1-Inputs!$B$12)</f>
        <v>0.770617692817604</v>
      </c>
      <c r="O412" s="10" t="n">
        <f aca="false">IF(M412,Y411*(N412-AB411)-Inputs!$B$9-Y411*AD411*Inputs!$B$13*(A412-AC411),0)</f>
        <v>0</v>
      </c>
      <c r="P412" s="10" t="n">
        <f aca="false">X411+O412</f>
        <v>1016.3844066801</v>
      </c>
      <c r="Q412" s="9" t="b">
        <f aca="false">AND(IF(M412,0,Y411)=0,AA411,IF(ISNUMBER(AE411),B412&gt;AE411,FALSE()))</f>
        <v>0</v>
      </c>
      <c r="R412" s="8" t="n">
        <f aca="false">B412*(1+Inputs!$B$12)</f>
        <v>0.770926001556479</v>
      </c>
      <c r="S412" s="11" t="n">
        <f aca="false">IF(Q412,MIN(P412*Inputs!$B$3/(R412-AE411),P412*Inputs!$B$11/R412),0)</f>
        <v>0</v>
      </c>
      <c r="T412" s="11" t="n">
        <f aca="false">IF(Q412,S412,IF(M412,0,Y411))</f>
        <v>0</v>
      </c>
      <c r="U412" s="8" t="n">
        <f aca="false">IF(Q412,AE411,AF411)</f>
        <v>0.938328062071903</v>
      </c>
      <c r="V412" s="9" t="b">
        <f aca="false">AND(T412&gt;0,D412&lt;=U412)</f>
        <v>0</v>
      </c>
      <c r="W412" s="10" t="n">
        <f aca="false">IF(V412,T412*(AK412-AB412)-Inputs!$B$9-T412*AD412*Inputs!$B$13*(A412-AC412),0)</f>
        <v>0</v>
      </c>
      <c r="X412" s="10" t="n">
        <f aca="false">P412-IF(Q412,Inputs!$B$9,0)+W412</f>
        <v>1016.3844066801</v>
      </c>
      <c r="Y412" s="11" t="n">
        <f aca="false">IF(V412,0,T412)</f>
        <v>0</v>
      </c>
      <c r="Z412" s="9" t="b">
        <f aca="false">AND(Y412&gt;0,K412)</f>
        <v>0</v>
      </c>
      <c r="AA412" s="9" t="b">
        <f aca="false">AND(Y412=0,J412,ISNUMBER(L412))</f>
        <v>0</v>
      </c>
      <c r="AB412" s="8" t="n">
        <f aca="false">IF(Q412,R412,AB411)</f>
        <v>0.95824964655134</v>
      </c>
      <c r="AC412" s="12" t="n">
        <f aca="false">IF(Q412,A412,AC411)</f>
        <v>45034</v>
      </c>
      <c r="AD412" s="8" t="n">
        <f aca="false">IF(Q412,B412,AD411)</f>
        <v>0.958058034944351</v>
      </c>
      <c r="AE412" s="8" t="str">
        <f aca="false">IF(AA412,L412,"")</f>
        <v/>
      </c>
      <c r="AF412" s="8" t="n">
        <f aca="false">U412</f>
        <v>0.938328062071903</v>
      </c>
      <c r="AG412" s="2" t="n">
        <f aca="false">AG411+IF(Q412,1,0)</f>
        <v>2</v>
      </c>
      <c r="AH412" s="2" t="n">
        <f aca="false">AG411</f>
        <v>2</v>
      </c>
      <c r="AI412" s="10" t="n">
        <f aca="false">X412+Y412*(E412-AB412)-Y412*AD412*Inputs!$B$13*(A412-AC412)</f>
        <v>1016.3844066801</v>
      </c>
      <c r="AJ412" s="10" t="n">
        <v>0</v>
      </c>
      <c r="AK412" s="8" t="n">
        <f aca="false">IF(AND(B412&lt;=U412,NOT(Q412)),B412,U412)*(1-Inputs!$B$12)</f>
        <v>0.770617692817604</v>
      </c>
    </row>
    <row r="413" customFormat="false" ht="15" hidden="false" customHeight="false" outlineLevel="0" collapsed="false">
      <c r="A413" s="6" t="n">
        <v>45197</v>
      </c>
      <c r="B413" s="7" t="n">
        <v>0.772129678715955</v>
      </c>
      <c r="C413" s="7" t="n">
        <v>0.775959679887292</v>
      </c>
      <c r="D413" s="7" t="n">
        <v>0.76769002913222</v>
      </c>
      <c r="E413" s="7" t="n">
        <v>0.775523663404893</v>
      </c>
      <c r="F413" s="8" t="n">
        <f aca="true">IF(ROW()-2&gt;=Inputs!$B$4,AVERAGE(OFFSET(E413,1-Inputs!$B$4,0,Inputs!$B$4,1)),"")</f>
        <v>0.772595870123985</v>
      </c>
      <c r="G413" s="8" t="n">
        <f aca="true">IF(ROW()-2&gt;=Inputs!$B$5,AVERAGE(OFFSET(E413,1-Inputs!$B$5,0,Inputs!$B$5,1)),"")</f>
        <v>0.806596752460054</v>
      </c>
      <c r="H413" s="8" t="n">
        <f aca="false">MAX(C413-D413,ABS(C413-E412),ABS(D413-E412))</f>
        <v>0.0082696507550728</v>
      </c>
      <c r="I413" s="8" t="n">
        <f aca="true">IF(ROW()-2&lt;14,"",IF(ROW()-2=14,AVERAGE(OFFSET(H413,-13,0,14,1)),(I412*13+H413)/14))</f>
        <v>0.0079738308894363</v>
      </c>
      <c r="J413" s="9" t="b">
        <f aca="false">IF(AND(ISNUMBER(F413),ISNUMBER(G413),ISNUMBER(F412),ISNUMBER(G412)),AND(F413&gt;G413,F412&lt;=G412),FALSE())</f>
        <v>0</v>
      </c>
      <c r="K413" s="9" t="b">
        <f aca="false">IF(AND(ISNUMBER(F413),ISNUMBER(G413),ISNUMBER(F412),ISNUMBER(G412)),AND(F413&lt;G413,F412&gt;=G412),FALSE())</f>
        <v>0</v>
      </c>
      <c r="L413" s="8" t="n">
        <f aca="false">IF(ISNUMBER(I413),E413-Inputs!$B$6*I413,"")</f>
        <v>0.759576001626021</v>
      </c>
      <c r="M413" s="9" t="b">
        <f aca="false">AND(Y412&gt;0,Z412)</f>
        <v>0</v>
      </c>
      <c r="N413" s="8" t="n">
        <f aca="false">B413*(1-Inputs!$B$12)</f>
        <v>0.771975252780211</v>
      </c>
      <c r="O413" s="10" t="n">
        <f aca="false">IF(M413,Y412*(N413-AB412)-Inputs!$B$9-Y412*AD412*Inputs!$B$13*(A413-AC412),0)</f>
        <v>0</v>
      </c>
      <c r="P413" s="10" t="n">
        <f aca="false">X412+O413</f>
        <v>1016.3844066801</v>
      </c>
      <c r="Q413" s="9" t="b">
        <f aca="false">AND(IF(M413,0,Y412)=0,AA412,IF(ISNUMBER(AE412),B413&gt;AE412,FALSE()))</f>
        <v>0</v>
      </c>
      <c r="R413" s="8" t="n">
        <f aca="false">B413*(1+Inputs!$B$12)</f>
        <v>0.772284104651698</v>
      </c>
      <c r="S413" s="11" t="n">
        <f aca="false">IF(Q413,MIN(P413*Inputs!$B$3/(R413-AE412),P413*Inputs!$B$11/R413),0)</f>
        <v>0</v>
      </c>
      <c r="T413" s="11" t="n">
        <f aca="false">IF(Q413,S413,IF(M413,0,Y412))</f>
        <v>0</v>
      </c>
      <c r="U413" s="8" t="n">
        <f aca="false">IF(Q413,AE412,AF412)</f>
        <v>0.938328062071903</v>
      </c>
      <c r="V413" s="9" t="b">
        <f aca="false">AND(T413&gt;0,D413&lt;=U413)</f>
        <v>0</v>
      </c>
      <c r="W413" s="10" t="n">
        <f aca="false">IF(V413,T413*(AK413-AB413)-Inputs!$B$9-T413*AD413*Inputs!$B$13*(A413-AC413),0)</f>
        <v>0</v>
      </c>
      <c r="X413" s="10" t="n">
        <f aca="false">P413-IF(Q413,Inputs!$B$9,0)+W413</f>
        <v>1016.3844066801</v>
      </c>
      <c r="Y413" s="11" t="n">
        <f aca="false">IF(V413,0,T413)</f>
        <v>0</v>
      </c>
      <c r="Z413" s="9" t="b">
        <f aca="false">AND(Y413&gt;0,K413)</f>
        <v>0</v>
      </c>
      <c r="AA413" s="9" t="b">
        <f aca="false">AND(Y413=0,J413,ISNUMBER(L413))</f>
        <v>0</v>
      </c>
      <c r="AB413" s="8" t="n">
        <f aca="false">IF(Q413,R413,AB412)</f>
        <v>0.95824964655134</v>
      </c>
      <c r="AC413" s="12" t="n">
        <f aca="false">IF(Q413,A413,AC412)</f>
        <v>45034</v>
      </c>
      <c r="AD413" s="8" t="n">
        <f aca="false">IF(Q413,B413,AD412)</f>
        <v>0.958058034944351</v>
      </c>
      <c r="AE413" s="8" t="str">
        <f aca="false">IF(AA413,L413,"")</f>
        <v/>
      </c>
      <c r="AF413" s="8" t="n">
        <f aca="false">U413</f>
        <v>0.938328062071903</v>
      </c>
      <c r="AG413" s="2" t="n">
        <f aca="false">AG412+IF(Q413,1,0)</f>
        <v>2</v>
      </c>
      <c r="AH413" s="2" t="n">
        <f aca="false">AG412</f>
        <v>2</v>
      </c>
      <c r="AI413" s="10" t="n">
        <f aca="false">X413+Y413*(E413-AB413)-Y413*AD413*Inputs!$B$13*(A413-AC413)</f>
        <v>1016.3844066801</v>
      </c>
      <c r="AJ413" s="10" t="n">
        <v>0</v>
      </c>
      <c r="AK413" s="8" t="n">
        <f aca="false">IF(AND(B413&lt;=U413,NOT(Q413)),B413,U413)*(1-Inputs!$B$12)</f>
        <v>0.771975252780211</v>
      </c>
    </row>
    <row r="414" customFormat="false" ht="15" hidden="false" customHeight="false" outlineLevel="0" collapsed="false">
      <c r="A414" s="6" t="n">
        <v>45198</v>
      </c>
      <c r="B414" s="7" t="n">
        <v>0.775523663404893</v>
      </c>
      <c r="C414" s="7" t="n">
        <v>0.780541243977436</v>
      </c>
      <c r="D414" s="7" t="n">
        <v>0.773968929686404</v>
      </c>
      <c r="E414" s="7" t="n">
        <v>0.78029244290319</v>
      </c>
      <c r="F414" s="8" t="n">
        <f aca="true">IF(ROW()-2&gt;=Inputs!$B$4,AVERAGE(OFFSET(E414,1-Inputs!$B$4,0,Inputs!$B$4,1)),"")</f>
        <v>0.772367524888217</v>
      </c>
      <c r="G414" s="8" t="n">
        <f aca="true">IF(ROW()-2&gt;=Inputs!$B$5,AVERAGE(OFFSET(E414,1-Inputs!$B$5,0,Inputs!$B$5,1)),"")</f>
        <v>0.805370320940668</v>
      </c>
      <c r="H414" s="8" t="n">
        <f aca="false">MAX(C414-D414,ABS(C414-E413),ABS(D414-E413))</f>
        <v>0.00657231429103211</v>
      </c>
      <c r="I414" s="8" t="n">
        <f aca="true">IF(ROW()-2&lt;14,"",IF(ROW()-2=14,AVERAGE(OFFSET(H414,-13,0,14,1)),(I413*13+H414)/14))</f>
        <v>0.00787372256097886</v>
      </c>
      <c r="J414" s="9" t="b">
        <f aca="false">IF(AND(ISNUMBER(F414),ISNUMBER(G414),ISNUMBER(F413),ISNUMBER(G413)),AND(F414&gt;G414,F413&lt;=G413),FALSE())</f>
        <v>0</v>
      </c>
      <c r="K414" s="9" t="b">
        <f aca="false">IF(AND(ISNUMBER(F414),ISNUMBER(G414),ISNUMBER(F413),ISNUMBER(G413)),AND(F414&lt;G414,F413&gt;=G413),FALSE())</f>
        <v>0</v>
      </c>
      <c r="L414" s="8" t="n">
        <f aca="false">IF(ISNUMBER(I414),E414-Inputs!$B$6*I414,"")</f>
        <v>0.764544997781232</v>
      </c>
      <c r="M414" s="9" t="b">
        <f aca="false">AND(Y413&gt;0,Z413)</f>
        <v>0</v>
      </c>
      <c r="N414" s="8" t="n">
        <f aca="false">B414*(1-Inputs!$B$12)</f>
        <v>0.775368558672212</v>
      </c>
      <c r="O414" s="10" t="n">
        <f aca="false">IF(M414,Y413*(N414-AB413)-Inputs!$B$9-Y413*AD413*Inputs!$B$13*(A414-AC413),0)</f>
        <v>0</v>
      </c>
      <c r="P414" s="10" t="n">
        <f aca="false">X413+O414</f>
        <v>1016.3844066801</v>
      </c>
      <c r="Q414" s="9" t="b">
        <f aca="false">AND(IF(M414,0,Y413)=0,AA413,IF(ISNUMBER(AE413),B414&gt;AE413,FALSE()))</f>
        <v>0</v>
      </c>
      <c r="R414" s="8" t="n">
        <f aca="false">B414*(1+Inputs!$B$12)</f>
        <v>0.775678768137574</v>
      </c>
      <c r="S414" s="11" t="n">
        <f aca="false">IF(Q414,MIN(P414*Inputs!$B$3/(R414-AE413),P414*Inputs!$B$11/R414),0)</f>
        <v>0</v>
      </c>
      <c r="T414" s="11" t="n">
        <f aca="false">IF(Q414,S414,IF(M414,0,Y413))</f>
        <v>0</v>
      </c>
      <c r="U414" s="8" t="n">
        <f aca="false">IF(Q414,AE413,AF413)</f>
        <v>0.938328062071903</v>
      </c>
      <c r="V414" s="9" t="b">
        <f aca="false">AND(T414&gt;0,D414&lt;=U414)</f>
        <v>0</v>
      </c>
      <c r="W414" s="10" t="n">
        <f aca="false">IF(V414,T414*(AK414-AB414)-Inputs!$B$9-T414*AD414*Inputs!$B$13*(A414-AC414),0)</f>
        <v>0</v>
      </c>
      <c r="X414" s="10" t="n">
        <f aca="false">P414-IF(Q414,Inputs!$B$9,0)+W414</f>
        <v>1016.3844066801</v>
      </c>
      <c r="Y414" s="11" t="n">
        <f aca="false">IF(V414,0,T414)</f>
        <v>0</v>
      </c>
      <c r="Z414" s="9" t="b">
        <f aca="false">AND(Y414&gt;0,K414)</f>
        <v>0</v>
      </c>
      <c r="AA414" s="9" t="b">
        <f aca="false">AND(Y414=0,J414,ISNUMBER(L414))</f>
        <v>0</v>
      </c>
      <c r="AB414" s="8" t="n">
        <f aca="false">IF(Q414,R414,AB413)</f>
        <v>0.95824964655134</v>
      </c>
      <c r="AC414" s="12" t="n">
        <f aca="false">IF(Q414,A414,AC413)</f>
        <v>45034</v>
      </c>
      <c r="AD414" s="8" t="n">
        <f aca="false">IF(Q414,B414,AD413)</f>
        <v>0.958058034944351</v>
      </c>
      <c r="AE414" s="8" t="str">
        <f aca="false">IF(AA414,L414,"")</f>
        <v/>
      </c>
      <c r="AF414" s="8" t="n">
        <f aca="false">U414</f>
        <v>0.938328062071903</v>
      </c>
      <c r="AG414" s="2" t="n">
        <f aca="false">AG413+IF(Q414,1,0)</f>
        <v>2</v>
      </c>
      <c r="AH414" s="2" t="n">
        <f aca="false">AG413</f>
        <v>2</v>
      </c>
      <c r="AI414" s="10" t="n">
        <f aca="false">X414+Y414*(E414-AB414)-Y414*AD414*Inputs!$B$13*(A414-AC414)</f>
        <v>1016.3844066801</v>
      </c>
      <c r="AJ414" s="10" t="n">
        <v>0</v>
      </c>
      <c r="AK414" s="8" t="n">
        <f aca="false">IF(AND(B414&lt;=U414,NOT(Q414)),B414,U414)*(1-Inputs!$B$12)</f>
        <v>0.775368558672212</v>
      </c>
    </row>
    <row r="415" customFormat="false" ht="15" hidden="false" customHeight="false" outlineLevel="0" collapsed="false">
      <c r="A415" s="6" t="n">
        <v>45199</v>
      </c>
      <c r="B415" s="7" t="n">
        <v>0.78029244290319</v>
      </c>
      <c r="C415" s="7" t="n">
        <v>0.785205406087753</v>
      </c>
      <c r="D415" s="7" t="n">
        <v>0.778125227009356</v>
      </c>
      <c r="E415" s="7" t="n">
        <v>0.783282879436156</v>
      </c>
      <c r="F415" s="8" t="n">
        <f aca="true">IF(ROW()-2&gt;=Inputs!$B$4,AVERAGE(OFFSET(E415,1-Inputs!$B$4,0,Inputs!$B$4,1)),"")</f>
        <v>0.772447934300182</v>
      </c>
      <c r="G415" s="8" t="n">
        <f aca="true">IF(ROW()-2&gt;=Inputs!$B$5,AVERAGE(OFFSET(E415,1-Inputs!$B$5,0,Inputs!$B$5,1)),"")</f>
        <v>0.804068210701446</v>
      </c>
      <c r="H415" s="8" t="n">
        <f aca="false">MAX(C415-D415,ABS(C415-E414),ABS(D415-E414))</f>
        <v>0.00708017907839709</v>
      </c>
      <c r="I415" s="8" t="n">
        <f aca="true">IF(ROW()-2&lt;14,"",IF(ROW()-2=14,AVERAGE(OFFSET(H415,-13,0,14,1)),(I414*13+H415)/14))</f>
        <v>0.00781704088365159</v>
      </c>
      <c r="J415" s="9" t="b">
        <f aca="false">IF(AND(ISNUMBER(F415),ISNUMBER(G415),ISNUMBER(F414),ISNUMBER(G414)),AND(F415&gt;G415,F414&lt;=G414),FALSE())</f>
        <v>0</v>
      </c>
      <c r="K415" s="9" t="b">
        <f aca="false">IF(AND(ISNUMBER(F415),ISNUMBER(G415),ISNUMBER(F414),ISNUMBER(G414)),AND(F415&lt;G415,F414&gt;=G414),FALSE())</f>
        <v>0</v>
      </c>
      <c r="L415" s="8" t="n">
        <f aca="false">IF(ISNUMBER(I415),E415-Inputs!$B$6*I415,"")</f>
        <v>0.767648797668853</v>
      </c>
      <c r="M415" s="9" t="b">
        <f aca="false">AND(Y414&gt;0,Z414)</f>
        <v>0</v>
      </c>
      <c r="N415" s="8" t="n">
        <f aca="false">B415*(1-Inputs!$B$12)</f>
        <v>0.780136384414609</v>
      </c>
      <c r="O415" s="10" t="n">
        <f aca="false">IF(M415,Y414*(N415-AB414)-Inputs!$B$9-Y414*AD414*Inputs!$B$13*(A415-AC414),0)</f>
        <v>0</v>
      </c>
      <c r="P415" s="10" t="n">
        <f aca="false">X414+O415</f>
        <v>1016.3844066801</v>
      </c>
      <c r="Q415" s="9" t="b">
        <f aca="false">AND(IF(M415,0,Y414)=0,AA414,IF(ISNUMBER(AE414),B415&gt;AE414,FALSE()))</f>
        <v>0</v>
      </c>
      <c r="R415" s="8" t="n">
        <f aca="false">B415*(1+Inputs!$B$12)</f>
        <v>0.78044850139177</v>
      </c>
      <c r="S415" s="11" t="n">
        <f aca="false">IF(Q415,MIN(P415*Inputs!$B$3/(R415-AE414),P415*Inputs!$B$11/R415),0)</f>
        <v>0</v>
      </c>
      <c r="T415" s="11" t="n">
        <f aca="false">IF(Q415,S415,IF(M415,0,Y414))</f>
        <v>0</v>
      </c>
      <c r="U415" s="8" t="n">
        <f aca="false">IF(Q415,AE414,AF414)</f>
        <v>0.938328062071903</v>
      </c>
      <c r="V415" s="9" t="b">
        <f aca="false">AND(T415&gt;0,D415&lt;=U415)</f>
        <v>0</v>
      </c>
      <c r="W415" s="10" t="n">
        <f aca="false">IF(V415,T415*(AK415-AB415)-Inputs!$B$9-T415*AD415*Inputs!$B$13*(A415-AC415),0)</f>
        <v>0</v>
      </c>
      <c r="X415" s="10" t="n">
        <f aca="false">P415-IF(Q415,Inputs!$B$9,0)+W415</f>
        <v>1016.3844066801</v>
      </c>
      <c r="Y415" s="11" t="n">
        <f aca="false">IF(V415,0,T415)</f>
        <v>0</v>
      </c>
      <c r="Z415" s="9" t="b">
        <f aca="false">AND(Y415&gt;0,K415)</f>
        <v>0</v>
      </c>
      <c r="AA415" s="9" t="b">
        <f aca="false">AND(Y415=0,J415,ISNUMBER(L415))</f>
        <v>0</v>
      </c>
      <c r="AB415" s="8" t="n">
        <f aca="false">IF(Q415,R415,AB414)</f>
        <v>0.95824964655134</v>
      </c>
      <c r="AC415" s="12" t="n">
        <f aca="false">IF(Q415,A415,AC414)</f>
        <v>45034</v>
      </c>
      <c r="AD415" s="8" t="n">
        <f aca="false">IF(Q415,B415,AD414)</f>
        <v>0.958058034944351</v>
      </c>
      <c r="AE415" s="8" t="str">
        <f aca="false">IF(AA415,L415,"")</f>
        <v/>
      </c>
      <c r="AF415" s="8" t="n">
        <f aca="false">U415</f>
        <v>0.938328062071903</v>
      </c>
      <c r="AG415" s="2" t="n">
        <f aca="false">AG414+IF(Q415,1,0)</f>
        <v>2</v>
      </c>
      <c r="AH415" s="2" t="n">
        <f aca="false">AG414</f>
        <v>2</v>
      </c>
      <c r="AI415" s="10" t="n">
        <f aca="false">X415+Y415*(E415-AB415)-Y415*AD415*Inputs!$B$13*(A415-AC415)</f>
        <v>1016.3844066801</v>
      </c>
      <c r="AJ415" s="10" t="n">
        <v>0</v>
      </c>
      <c r="AK415" s="8" t="n">
        <f aca="false">IF(AND(B415&lt;=U415,NOT(Q415)),B415,U415)*(1-Inputs!$B$12)</f>
        <v>0.780136384414609</v>
      </c>
    </row>
    <row r="416" customFormat="false" ht="15" hidden="false" customHeight="false" outlineLevel="0" collapsed="false">
      <c r="A416" s="6" t="n">
        <v>45200</v>
      </c>
      <c r="B416" s="7" t="n">
        <v>0.783282879436156</v>
      </c>
      <c r="C416" s="7" t="n">
        <v>0.783916411724798</v>
      </c>
      <c r="D416" s="7" t="n">
        <v>0.773112171256257</v>
      </c>
      <c r="E416" s="7" t="n">
        <v>0.773763076275872</v>
      </c>
      <c r="F416" s="8" t="n">
        <f aca="true">IF(ROW()-2&gt;=Inputs!$B$4,AVERAGE(OFFSET(E416,1-Inputs!$B$4,0,Inputs!$B$4,1)),"")</f>
        <v>0.772255406991407</v>
      </c>
      <c r="G416" s="8" t="n">
        <f aca="true">IF(ROW()-2&gt;=Inputs!$B$5,AVERAGE(OFFSET(E416,1-Inputs!$B$5,0,Inputs!$B$5,1)),"")</f>
        <v>0.802448993208696</v>
      </c>
      <c r="H416" s="8" t="n">
        <f aca="false">MAX(C416-D416,ABS(C416-E415),ABS(D416-E415))</f>
        <v>0.0108042404685405</v>
      </c>
      <c r="I416" s="8" t="n">
        <f aca="true">IF(ROW()-2&lt;14,"",IF(ROW()-2=14,AVERAGE(OFFSET(H416,-13,0,14,1)),(I415*13+H416)/14))</f>
        <v>0.00803041228257222</v>
      </c>
      <c r="J416" s="9" t="b">
        <f aca="false">IF(AND(ISNUMBER(F416),ISNUMBER(G416),ISNUMBER(F415),ISNUMBER(G415)),AND(F416&gt;G416,F415&lt;=G415),FALSE())</f>
        <v>0</v>
      </c>
      <c r="K416" s="9" t="b">
        <f aca="false">IF(AND(ISNUMBER(F416),ISNUMBER(G416),ISNUMBER(F415),ISNUMBER(G415)),AND(F416&lt;G416,F415&gt;=G415),FALSE())</f>
        <v>0</v>
      </c>
      <c r="L416" s="8" t="n">
        <f aca="false">IF(ISNUMBER(I416),E416-Inputs!$B$6*I416,"")</f>
        <v>0.757702251710728</v>
      </c>
      <c r="M416" s="9" t="b">
        <f aca="false">AND(Y415&gt;0,Z415)</f>
        <v>0</v>
      </c>
      <c r="N416" s="8" t="n">
        <f aca="false">B416*(1-Inputs!$B$12)</f>
        <v>0.783126222860269</v>
      </c>
      <c r="O416" s="10" t="n">
        <f aca="false">IF(M416,Y415*(N416-AB415)-Inputs!$B$9-Y415*AD415*Inputs!$B$13*(A416-AC415),0)</f>
        <v>0</v>
      </c>
      <c r="P416" s="10" t="n">
        <f aca="false">X415+O416</f>
        <v>1016.3844066801</v>
      </c>
      <c r="Q416" s="9" t="b">
        <f aca="false">AND(IF(M416,0,Y415)=0,AA415,IF(ISNUMBER(AE415),B416&gt;AE415,FALSE()))</f>
        <v>0</v>
      </c>
      <c r="R416" s="8" t="n">
        <f aca="false">B416*(1+Inputs!$B$12)</f>
        <v>0.783439536012043</v>
      </c>
      <c r="S416" s="11" t="n">
        <f aca="false">IF(Q416,MIN(P416*Inputs!$B$3/(R416-AE415),P416*Inputs!$B$11/R416),0)</f>
        <v>0</v>
      </c>
      <c r="T416" s="11" t="n">
        <f aca="false">IF(Q416,S416,IF(M416,0,Y415))</f>
        <v>0</v>
      </c>
      <c r="U416" s="8" t="n">
        <f aca="false">IF(Q416,AE415,AF415)</f>
        <v>0.938328062071903</v>
      </c>
      <c r="V416" s="9" t="b">
        <f aca="false">AND(T416&gt;0,D416&lt;=U416)</f>
        <v>0</v>
      </c>
      <c r="W416" s="10" t="n">
        <f aca="false">IF(V416,T416*(AK416-AB416)-Inputs!$B$9-T416*AD416*Inputs!$B$13*(A416-AC416),0)</f>
        <v>0</v>
      </c>
      <c r="X416" s="10" t="n">
        <f aca="false">P416-IF(Q416,Inputs!$B$9,0)+W416</f>
        <v>1016.3844066801</v>
      </c>
      <c r="Y416" s="11" t="n">
        <f aca="false">IF(V416,0,T416)</f>
        <v>0</v>
      </c>
      <c r="Z416" s="9" t="b">
        <f aca="false">AND(Y416&gt;0,K416)</f>
        <v>0</v>
      </c>
      <c r="AA416" s="9" t="b">
        <f aca="false">AND(Y416=0,J416,ISNUMBER(L416))</f>
        <v>0</v>
      </c>
      <c r="AB416" s="8" t="n">
        <f aca="false">IF(Q416,R416,AB415)</f>
        <v>0.95824964655134</v>
      </c>
      <c r="AC416" s="12" t="n">
        <f aca="false">IF(Q416,A416,AC415)</f>
        <v>45034</v>
      </c>
      <c r="AD416" s="8" t="n">
        <f aca="false">IF(Q416,B416,AD415)</f>
        <v>0.958058034944351</v>
      </c>
      <c r="AE416" s="8" t="str">
        <f aca="false">IF(AA416,L416,"")</f>
        <v/>
      </c>
      <c r="AF416" s="8" t="n">
        <f aca="false">U416</f>
        <v>0.938328062071903</v>
      </c>
      <c r="AG416" s="2" t="n">
        <f aca="false">AG415+IF(Q416,1,0)</f>
        <v>2</v>
      </c>
      <c r="AH416" s="2" t="n">
        <f aca="false">AG415</f>
        <v>2</v>
      </c>
      <c r="AI416" s="10" t="n">
        <f aca="false">X416+Y416*(E416-AB416)-Y416*AD416*Inputs!$B$13*(A416-AC416)</f>
        <v>1016.3844066801</v>
      </c>
      <c r="AJ416" s="10" t="n">
        <v>0</v>
      </c>
      <c r="AK416" s="8" t="n">
        <f aca="false">IF(AND(B416&lt;=U416,NOT(Q416)),B416,U416)*(1-Inputs!$B$12)</f>
        <v>0.783126222860269</v>
      </c>
    </row>
    <row r="417" customFormat="false" ht="15" hidden="false" customHeight="false" outlineLevel="0" collapsed="false">
      <c r="A417" s="6" t="n">
        <v>45201</v>
      </c>
      <c r="B417" s="7" t="n">
        <v>0.773763076275872</v>
      </c>
      <c r="C417" s="7" t="n">
        <v>0.773907176734521</v>
      </c>
      <c r="D417" s="7" t="n">
        <v>0.7694130235544</v>
      </c>
      <c r="E417" s="7" t="n">
        <v>0.773685835482274</v>
      </c>
      <c r="F417" s="8" t="n">
        <f aca="true">IF(ROW()-2&gt;=Inputs!$B$4,AVERAGE(OFFSET(E417,1-Inputs!$B$4,0,Inputs!$B$4,1)),"")</f>
        <v>0.772600067435649</v>
      </c>
      <c r="G417" s="8" t="n">
        <f aca="true">IF(ROW()-2&gt;=Inputs!$B$5,AVERAGE(OFFSET(E417,1-Inputs!$B$5,0,Inputs!$B$5,1)),"")</f>
        <v>0.800741738730564</v>
      </c>
      <c r="H417" s="8" t="n">
        <f aca="false">MAX(C417-D417,ABS(C417-E416),ABS(D417-E416))</f>
        <v>0.00449415318012103</v>
      </c>
      <c r="I417" s="8" t="n">
        <f aca="true">IF(ROW()-2&lt;14,"",IF(ROW()-2=14,AVERAGE(OFFSET(H417,-13,0,14,1)),(I416*13+H417)/14))</f>
        <v>0.00777782234668285</v>
      </c>
      <c r="J417" s="9" t="b">
        <f aca="false">IF(AND(ISNUMBER(F417),ISNUMBER(G417),ISNUMBER(F416),ISNUMBER(G416)),AND(F417&gt;G417,F416&lt;=G416),FALSE())</f>
        <v>0</v>
      </c>
      <c r="K417" s="9" t="b">
        <f aca="false">IF(AND(ISNUMBER(F417),ISNUMBER(G417),ISNUMBER(F416),ISNUMBER(G416)),AND(F417&lt;G417,F416&gt;=G416),FALSE())</f>
        <v>0</v>
      </c>
      <c r="L417" s="8" t="n">
        <f aca="false">IF(ISNUMBER(I417),E417-Inputs!$B$6*I417,"")</f>
        <v>0.758130190788908</v>
      </c>
      <c r="M417" s="9" t="b">
        <f aca="false">AND(Y416&gt;0,Z416)</f>
        <v>0</v>
      </c>
      <c r="N417" s="8" t="n">
        <f aca="false">B417*(1-Inputs!$B$12)</f>
        <v>0.773608323660617</v>
      </c>
      <c r="O417" s="10" t="n">
        <f aca="false">IF(M417,Y416*(N417-AB416)-Inputs!$B$9-Y416*AD416*Inputs!$B$13*(A417-AC416),0)</f>
        <v>0</v>
      </c>
      <c r="P417" s="10" t="n">
        <f aca="false">X416+O417</f>
        <v>1016.3844066801</v>
      </c>
      <c r="Q417" s="9" t="b">
        <f aca="false">AND(IF(M417,0,Y416)=0,AA416,IF(ISNUMBER(AE416),B417&gt;AE416,FALSE()))</f>
        <v>0</v>
      </c>
      <c r="R417" s="8" t="n">
        <f aca="false">B417*(1+Inputs!$B$12)</f>
        <v>0.773917828891127</v>
      </c>
      <c r="S417" s="11" t="n">
        <f aca="false">IF(Q417,MIN(P417*Inputs!$B$3/(R417-AE416),P417*Inputs!$B$11/R417),0)</f>
        <v>0</v>
      </c>
      <c r="T417" s="11" t="n">
        <f aca="false">IF(Q417,S417,IF(M417,0,Y416))</f>
        <v>0</v>
      </c>
      <c r="U417" s="8" t="n">
        <f aca="false">IF(Q417,AE416,AF416)</f>
        <v>0.938328062071903</v>
      </c>
      <c r="V417" s="9" t="b">
        <f aca="false">AND(T417&gt;0,D417&lt;=U417)</f>
        <v>0</v>
      </c>
      <c r="W417" s="10" t="n">
        <f aca="false">IF(V417,T417*(AK417-AB417)-Inputs!$B$9-T417*AD417*Inputs!$B$13*(A417-AC417),0)</f>
        <v>0</v>
      </c>
      <c r="X417" s="10" t="n">
        <f aca="false">P417-IF(Q417,Inputs!$B$9,0)+W417</f>
        <v>1016.3844066801</v>
      </c>
      <c r="Y417" s="11" t="n">
        <f aca="false">IF(V417,0,T417)</f>
        <v>0</v>
      </c>
      <c r="Z417" s="9" t="b">
        <f aca="false">AND(Y417&gt;0,K417)</f>
        <v>0</v>
      </c>
      <c r="AA417" s="9" t="b">
        <f aca="false">AND(Y417=0,J417,ISNUMBER(L417))</f>
        <v>0</v>
      </c>
      <c r="AB417" s="8" t="n">
        <f aca="false">IF(Q417,R417,AB416)</f>
        <v>0.95824964655134</v>
      </c>
      <c r="AC417" s="12" t="n">
        <f aca="false">IF(Q417,A417,AC416)</f>
        <v>45034</v>
      </c>
      <c r="AD417" s="8" t="n">
        <f aca="false">IF(Q417,B417,AD416)</f>
        <v>0.958058034944351</v>
      </c>
      <c r="AE417" s="8" t="str">
        <f aca="false">IF(AA417,L417,"")</f>
        <v/>
      </c>
      <c r="AF417" s="8" t="n">
        <f aca="false">U417</f>
        <v>0.938328062071903</v>
      </c>
      <c r="AG417" s="2" t="n">
        <f aca="false">AG416+IF(Q417,1,0)</f>
        <v>2</v>
      </c>
      <c r="AH417" s="2" t="n">
        <f aca="false">AG416</f>
        <v>2</v>
      </c>
      <c r="AI417" s="10" t="n">
        <f aca="false">X417+Y417*(E417-AB417)-Y417*AD417*Inputs!$B$13*(A417-AC417)</f>
        <v>1016.3844066801</v>
      </c>
      <c r="AJ417" s="10" t="n">
        <v>0</v>
      </c>
      <c r="AK417" s="8" t="n">
        <f aca="false">IF(AND(B417&lt;=U417,NOT(Q417)),B417,U417)*(1-Inputs!$B$12)</f>
        <v>0.773608323660617</v>
      </c>
    </row>
    <row r="418" customFormat="false" ht="15" hidden="false" customHeight="false" outlineLevel="0" collapsed="false">
      <c r="A418" s="6" t="n">
        <v>45202</v>
      </c>
      <c r="B418" s="7" t="n">
        <v>0.773685835482274</v>
      </c>
      <c r="C418" s="7" t="n">
        <v>0.775107798199987</v>
      </c>
      <c r="D418" s="7" t="n">
        <v>0.77292901055386</v>
      </c>
      <c r="E418" s="7" t="n">
        <v>0.773497590500234</v>
      </c>
      <c r="F418" s="8" t="n">
        <f aca="true">IF(ROW()-2&gt;=Inputs!$B$4,AVERAGE(OFFSET(E418,1-Inputs!$B$4,0,Inputs!$B$4,1)),"")</f>
        <v>0.773001337847073</v>
      </c>
      <c r="G418" s="8" t="n">
        <f aca="true">IF(ROW()-2&gt;=Inputs!$B$5,AVERAGE(OFFSET(E418,1-Inputs!$B$5,0,Inputs!$B$5,1)),"")</f>
        <v>0.799100706123962</v>
      </c>
      <c r="H418" s="8" t="n">
        <f aca="false">MAX(C418-D418,ABS(C418-E417),ABS(D418-E417))</f>
        <v>0.00217878764612744</v>
      </c>
      <c r="I418" s="8" t="n">
        <f aca="true">IF(ROW()-2&lt;14,"",IF(ROW()-2=14,AVERAGE(OFFSET(H418,-13,0,14,1)),(I417*13+H418)/14))</f>
        <v>0.00737789129664318</v>
      </c>
      <c r="J418" s="9" t="b">
        <f aca="false">IF(AND(ISNUMBER(F418),ISNUMBER(G418),ISNUMBER(F417),ISNUMBER(G417)),AND(F418&gt;G418,F417&lt;=G417),FALSE())</f>
        <v>0</v>
      </c>
      <c r="K418" s="9" t="b">
        <f aca="false">IF(AND(ISNUMBER(F418),ISNUMBER(G418),ISNUMBER(F417),ISNUMBER(G417)),AND(F418&lt;G418,F417&gt;=G417),FALSE())</f>
        <v>0</v>
      </c>
      <c r="L418" s="8" t="n">
        <f aca="false">IF(ISNUMBER(I418),E418-Inputs!$B$6*I418,"")</f>
        <v>0.758741807906947</v>
      </c>
      <c r="M418" s="9" t="b">
        <f aca="false">AND(Y417&gt;0,Z417)</f>
        <v>0</v>
      </c>
      <c r="N418" s="8" t="n">
        <f aca="false">B418*(1-Inputs!$B$12)</f>
        <v>0.773531098315178</v>
      </c>
      <c r="O418" s="10" t="n">
        <f aca="false">IF(M418,Y417*(N418-AB417)-Inputs!$B$9-Y417*AD417*Inputs!$B$13*(A418-AC417),0)</f>
        <v>0</v>
      </c>
      <c r="P418" s="10" t="n">
        <f aca="false">X417+O418</f>
        <v>1016.3844066801</v>
      </c>
      <c r="Q418" s="9" t="b">
        <f aca="false">AND(IF(M418,0,Y417)=0,AA417,IF(ISNUMBER(AE417),B418&gt;AE417,FALSE()))</f>
        <v>0</v>
      </c>
      <c r="R418" s="8" t="n">
        <f aca="false">B418*(1+Inputs!$B$12)</f>
        <v>0.773840572649371</v>
      </c>
      <c r="S418" s="11" t="n">
        <f aca="false">IF(Q418,MIN(P418*Inputs!$B$3/(R418-AE417),P418*Inputs!$B$11/R418),0)</f>
        <v>0</v>
      </c>
      <c r="T418" s="11" t="n">
        <f aca="false">IF(Q418,S418,IF(M418,0,Y417))</f>
        <v>0</v>
      </c>
      <c r="U418" s="8" t="n">
        <f aca="false">IF(Q418,AE417,AF417)</f>
        <v>0.938328062071903</v>
      </c>
      <c r="V418" s="9" t="b">
        <f aca="false">AND(T418&gt;0,D418&lt;=U418)</f>
        <v>0</v>
      </c>
      <c r="W418" s="10" t="n">
        <f aca="false">IF(V418,T418*(AK418-AB418)-Inputs!$B$9-T418*AD418*Inputs!$B$13*(A418-AC418),0)</f>
        <v>0</v>
      </c>
      <c r="X418" s="10" t="n">
        <f aca="false">P418-IF(Q418,Inputs!$B$9,0)+W418</f>
        <v>1016.3844066801</v>
      </c>
      <c r="Y418" s="11" t="n">
        <f aca="false">IF(V418,0,T418)</f>
        <v>0</v>
      </c>
      <c r="Z418" s="9" t="b">
        <f aca="false">AND(Y418&gt;0,K418)</f>
        <v>0</v>
      </c>
      <c r="AA418" s="9" t="b">
        <f aca="false">AND(Y418=0,J418,ISNUMBER(L418))</f>
        <v>0</v>
      </c>
      <c r="AB418" s="8" t="n">
        <f aca="false">IF(Q418,R418,AB417)</f>
        <v>0.95824964655134</v>
      </c>
      <c r="AC418" s="12" t="n">
        <f aca="false">IF(Q418,A418,AC417)</f>
        <v>45034</v>
      </c>
      <c r="AD418" s="8" t="n">
        <f aca="false">IF(Q418,B418,AD417)</f>
        <v>0.958058034944351</v>
      </c>
      <c r="AE418" s="8" t="str">
        <f aca="false">IF(AA418,L418,"")</f>
        <v/>
      </c>
      <c r="AF418" s="8" t="n">
        <f aca="false">U418</f>
        <v>0.938328062071903</v>
      </c>
      <c r="AG418" s="2" t="n">
        <f aca="false">AG417+IF(Q418,1,0)</f>
        <v>2</v>
      </c>
      <c r="AH418" s="2" t="n">
        <f aca="false">AG417</f>
        <v>2</v>
      </c>
      <c r="AI418" s="10" t="n">
        <f aca="false">X418+Y418*(E418-AB418)-Y418*AD418*Inputs!$B$13*(A418-AC418)</f>
        <v>1016.3844066801</v>
      </c>
      <c r="AJ418" s="10" t="n">
        <v>0</v>
      </c>
      <c r="AK418" s="8" t="n">
        <f aca="false">IF(AND(B418&lt;=U418,NOT(Q418)),B418,U418)*(1-Inputs!$B$12)</f>
        <v>0.773531098315178</v>
      </c>
    </row>
    <row r="419" customFormat="false" ht="15" hidden="false" customHeight="false" outlineLevel="0" collapsed="false">
      <c r="A419" s="6" t="n">
        <v>45203</v>
      </c>
      <c r="B419" s="7" t="n">
        <v>0.773497590500234</v>
      </c>
      <c r="C419" s="7" t="n">
        <v>0.774331159945693</v>
      </c>
      <c r="D419" s="7" t="n">
        <v>0.768267079648161</v>
      </c>
      <c r="E419" s="7" t="n">
        <v>0.770301269879006</v>
      </c>
      <c r="F419" s="8" t="n">
        <f aca="true">IF(ROW()-2&gt;=Inputs!$B$4,AVERAGE(OFFSET(E419,1-Inputs!$B$4,0,Inputs!$B$4,1)),"")</f>
        <v>0.773247558377098</v>
      </c>
      <c r="G419" s="8" t="n">
        <f aca="true">IF(ROW()-2&gt;=Inputs!$B$5,AVERAGE(OFFSET(E419,1-Inputs!$B$5,0,Inputs!$B$5,1)),"")</f>
        <v>0.797304266000482</v>
      </c>
      <c r="H419" s="8" t="n">
        <f aca="false">MAX(C419-D419,ABS(C419-E418),ABS(D419-E418))</f>
        <v>0.0060640802975318</v>
      </c>
      <c r="I419" s="8" t="n">
        <f aca="true">IF(ROW()-2&lt;14,"",IF(ROW()-2=14,AVERAGE(OFFSET(H419,-13,0,14,1)),(I418*13+H419)/14))</f>
        <v>0.00728404765384951</v>
      </c>
      <c r="J419" s="9" t="b">
        <f aca="false">IF(AND(ISNUMBER(F419),ISNUMBER(G419),ISNUMBER(F418),ISNUMBER(G418)),AND(F419&gt;G419,F418&lt;=G418),FALSE())</f>
        <v>0</v>
      </c>
      <c r="K419" s="9" t="b">
        <f aca="false">IF(AND(ISNUMBER(F419),ISNUMBER(G419),ISNUMBER(F418),ISNUMBER(G418)),AND(F419&lt;G419,F418&gt;=G418),FALSE())</f>
        <v>0</v>
      </c>
      <c r="L419" s="8" t="n">
        <f aca="false">IF(ISNUMBER(I419),E419-Inputs!$B$6*I419,"")</f>
        <v>0.755733174571307</v>
      </c>
      <c r="M419" s="9" t="b">
        <f aca="false">AND(Y418&gt;0,Z418)</f>
        <v>0</v>
      </c>
      <c r="N419" s="8" t="n">
        <f aca="false">B419*(1-Inputs!$B$12)</f>
        <v>0.773342890982134</v>
      </c>
      <c r="O419" s="10" t="n">
        <f aca="false">IF(M419,Y418*(N419-AB418)-Inputs!$B$9-Y418*AD418*Inputs!$B$13*(A419-AC418),0)</f>
        <v>0</v>
      </c>
      <c r="P419" s="10" t="n">
        <f aca="false">X418+O419</f>
        <v>1016.3844066801</v>
      </c>
      <c r="Q419" s="9" t="b">
        <f aca="false">AND(IF(M419,0,Y418)=0,AA418,IF(ISNUMBER(AE418),B419&gt;AE418,FALSE()))</f>
        <v>0</v>
      </c>
      <c r="R419" s="8" t="n">
        <f aca="false">B419*(1+Inputs!$B$12)</f>
        <v>0.773652290018334</v>
      </c>
      <c r="S419" s="11" t="n">
        <f aca="false">IF(Q419,MIN(P419*Inputs!$B$3/(R419-AE418),P419*Inputs!$B$11/R419),0)</f>
        <v>0</v>
      </c>
      <c r="T419" s="11" t="n">
        <f aca="false">IF(Q419,S419,IF(M419,0,Y418))</f>
        <v>0</v>
      </c>
      <c r="U419" s="8" t="n">
        <f aca="false">IF(Q419,AE418,AF418)</f>
        <v>0.938328062071903</v>
      </c>
      <c r="V419" s="9" t="b">
        <f aca="false">AND(T419&gt;0,D419&lt;=U419)</f>
        <v>0</v>
      </c>
      <c r="W419" s="10" t="n">
        <f aca="false">IF(V419,T419*(AK419-AB419)-Inputs!$B$9-T419*AD419*Inputs!$B$13*(A419-AC419),0)</f>
        <v>0</v>
      </c>
      <c r="X419" s="10" t="n">
        <f aca="false">P419-IF(Q419,Inputs!$B$9,0)+W419</f>
        <v>1016.3844066801</v>
      </c>
      <c r="Y419" s="11" t="n">
        <f aca="false">IF(V419,0,T419)</f>
        <v>0</v>
      </c>
      <c r="Z419" s="9" t="b">
        <f aca="false">AND(Y419&gt;0,K419)</f>
        <v>0</v>
      </c>
      <c r="AA419" s="9" t="b">
        <f aca="false">AND(Y419=0,J419,ISNUMBER(L419))</f>
        <v>0</v>
      </c>
      <c r="AB419" s="8" t="n">
        <f aca="false">IF(Q419,R419,AB418)</f>
        <v>0.95824964655134</v>
      </c>
      <c r="AC419" s="12" t="n">
        <f aca="false">IF(Q419,A419,AC418)</f>
        <v>45034</v>
      </c>
      <c r="AD419" s="8" t="n">
        <f aca="false">IF(Q419,B419,AD418)</f>
        <v>0.958058034944351</v>
      </c>
      <c r="AE419" s="8" t="str">
        <f aca="false">IF(AA419,L419,"")</f>
        <v/>
      </c>
      <c r="AF419" s="8" t="n">
        <f aca="false">U419</f>
        <v>0.938328062071903</v>
      </c>
      <c r="AG419" s="2" t="n">
        <f aca="false">AG418+IF(Q419,1,0)</f>
        <v>2</v>
      </c>
      <c r="AH419" s="2" t="n">
        <f aca="false">AG418</f>
        <v>2</v>
      </c>
      <c r="AI419" s="10" t="n">
        <f aca="false">X419+Y419*(E419-AB419)-Y419*AD419*Inputs!$B$13*(A419-AC419)</f>
        <v>1016.3844066801</v>
      </c>
      <c r="AJ419" s="10" t="n">
        <v>0</v>
      </c>
      <c r="AK419" s="8" t="n">
        <f aca="false">IF(AND(B419&lt;=U419,NOT(Q419)),B419,U419)*(1-Inputs!$B$12)</f>
        <v>0.773342890982134</v>
      </c>
    </row>
    <row r="420" customFormat="false" ht="15" hidden="false" customHeight="false" outlineLevel="0" collapsed="false">
      <c r="A420" s="6" t="n">
        <v>45204</v>
      </c>
      <c r="B420" s="7" t="n">
        <v>0.770301269879006</v>
      </c>
      <c r="C420" s="7" t="n">
        <v>0.772114752365324</v>
      </c>
      <c r="D420" s="7" t="n">
        <v>0.765085947840889</v>
      </c>
      <c r="E420" s="7" t="n">
        <v>0.766591854025587</v>
      </c>
      <c r="F420" s="8" t="n">
        <f aca="true">IF(ROW()-2&gt;=Inputs!$B$4,AVERAGE(OFFSET(E420,1-Inputs!$B$4,0,Inputs!$B$4,1)),"")</f>
        <v>0.773082698832842</v>
      </c>
      <c r="G420" s="8" t="n">
        <f aca="true">IF(ROW()-2&gt;=Inputs!$B$5,AVERAGE(OFFSET(E420,1-Inputs!$B$5,0,Inputs!$B$5,1)),"")</f>
        <v>0.795498502913247</v>
      </c>
      <c r="H420" s="8" t="n">
        <f aca="false">MAX(C420-D420,ABS(C420-E419),ABS(D420-E419))</f>
        <v>0.00702880452443555</v>
      </c>
      <c r="I420" s="8" t="n">
        <f aca="true">IF(ROW()-2&lt;14,"",IF(ROW()-2=14,AVERAGE(OFFSET(H420,-13,0,14,1)),(I419*13+H420)/14))</f>
        <v>0.00726581600174851</v>
      </c>
      <c r="J420" s="9" t="b">
        <f aca="false">IF(AND(ISNUMBER(F420),ISNUMBER(G420),ISNUMBER(F419),ISNUMBER(G419)),AND(F420&gt;G420,F419&lt;=G419),FALSE())</f>
        <v>0</v>
      </c>
      <c r="K420" s="9" t="b">
        <f aca="false">IF(AND(ISNUMBER(F420),ISNUMBER(G420),ISNUMBER(F419),ISNUMBER(G419)),AND(F420&lt;G420,F419&gt;=G419),FALSE())</f>
        <v>0</v>
      </c>
      <c r="L420" s="8" t="n">
        <f aca="false">IF(ISNUMBER(I420),E420-Inputs!$B$6*I420,"")</f>
        <v>0.75206022202209</v>
      </c>
      <c r="M420" s="9" t="b">
        <f aca="false">AND(Y419&gt;0,Z419)</f>
        <v>0</v>
      </c>
      <c r="N420" s="8" t="n">
        <f aca="false">B420*(1-Inputs!$B$12)</f>
        <v>0.77014720962503</v>
      </c>
      <c r="O420" s="10" t="n">
        <f aca="false">IF(M420,Y419*(N420-AB419)-Inputs!$B$9-Y419*AD419*Inputs!$B$13*(A420-AC419),0)</f>
        <v>0</v>
      </c>
      <c r="P420" s="10" t="n">
        <f aca="false">X419+O420</f>
        <v>1016.3844066801</v>
      </c>
      <c r="Q420" s="9" t="b">
        <f aca="false">AND(IF(M420,0,Y419)=0,AA419,IF(ISNUMBER(AE419),B420&gt;AE419,FALSE()))</f>
        <v>0</v>
      </c>
      <c r="R420" s="8" t="n">
        <f aca="false">B420*(1+Inputs!$B$12)</f>
        <v>0.770455330132982</v>
      </c>
      <c r="S420" s="11" t="n">
        <f aca="false">IF(Q420,MIN(P420*Inputs!$B$3/(R420-AE419),P420*Inputs!$B$11/R420),0)</f>
        <v>0</v>
      </c>
      <c r="T420" s="11" t="n">
        <f aca="false">IF(Q420,S420,IF(M420,0,Y419))</f>
        <v>0</v>
      </c>
      <c r="U420" s="8" t="n">
        <f aca="false">IF(Q420,AE419,AF419)</f>
        <v>0.938328062071903</v>
      </c>
      <c r="V420" s="9" t="b">
        <f aca="false">AND(T420&gt;0,D420&lt;=U420)</f>
        <v>0</v>
      </c>
      <c r="W420" s="10" t="n">
        <f aca="false">IF(V420,T420*(AK420-AB420)-Inputs!$B$9-T420*AD420*Inputs!$B$13*(A420-AC420),0)</f>
        <v>0</v>
      </c>
      <c r="X420" s="10" t="n">
        <f aca="false">P420-IF(Q420,Inputs!$B$9,0)+W420</f>
        <v>1016.3844066801</v>
      </c>
      <c r="Y420" s="11" t="n">
        <f aca="false">IF(V420,0,T420)</f>
        <v>0</v>
      </c>
      <c r="Z420" s="9" t="b">
        <f aca="false">AND(Y420&gt;0,K420)</f>
        <v>0</v>
      </c>
      <c r="AA420" s="9" t="b">
        <f aca="false">AND(Y420=0,J420,ISNUMBER(L420))</f>
        <v>0</v>
      </c>
      <c r="AB420" s="8" t="n">
        <f aca="false">IF(Q420,R420,AB419)</f>
        <v>0.95824964655134</v>
      </c>
      <c r="AC420" s="12" t="n">
        <f aca="false">IF(Q420,A420,AC419)</f>
        <v>45034</v>
      </c>
      <c r="AD420" s="8" t="n">
        <f aca="false">IF(Q420,B420,AD419)</f>
        <v>0.958058034944351</v>
      </c>
      <c r="AE420" s="8" t="str">
        <f aca="false">IF(AA420,L420,"")</f>
        <v/>
      </c>
      <c r="AF420" s="8" t="n">
        <f aca="false">U420</f>
        <v>0.938328062071903</v>
      </c>
      <c r="AG420" s="2" t="n">
        <f aca="false">AG419+IF(Q420,1,0)</f>
        <v>2</v>
      </c>
      <c r="AH420" s="2" t="n">
        <f aca="false">AG419</f>
        <v>2</v>
      </c>
      <c r="AI420" s="10" t="n">
        <f aca="false">X420+Y420*(E420-AB420)-Y420*AD420*Inputs!$B$13*(A420-AC420)</f>
        <v>1016.3844066801</v>
      </c>
      <c r="AJ420" s="10" t="n">
        <v>0</v>
      </c>
      <c r="AK420" s="8" t="n">
        <f aca="false">IF(AND(B420&lt;=U420,NOT(Q420)),B420,U420)*(1-Inputs!$B$12)</f>
        <v>0.77014720962503</v>
      </c>
    </row>
    <row r="421" customFormat="false" ht="15" hidden="false" customHeight="false" outlineLevel="0" collapsed="false">
      <c r="A421" s="6" t="n">
        <v>45205</v>
      </c>
      <c r="B421" s="7" t="n">
        <v>0.766591854025587</v>
      </c>
      <c r="C421" s="7" t="n">
        <v>0.771489875356087</v>
      </c>
      <c r="D421" s="7" t="n">
        <v>0.761170916640817</v>
      </c>
      <c r="E421" s="7" t="n">
        <v>0.770646378265326</v>
      </c>
      <c r="F421" s="8" t="n">
        <f aca="true">IF(ROW()-2&gt;=Inputs!$B$4,AVERAGE(OFFSET(E421,1-Inputs!$B$4,0,Inputs!$B$4,1)),"")</f>
        <v>0.773007468523999</v>
      </c>
      <c r="G421" s="8" t="n">
        <f aca="true">IF(ROW()-2&gt;=Inputs!$B$5,AVERAGE(OFFSET(E421,1-Inputs!$B$5,0,Inputs!$B$5,1)),"")</f>
        <v>0.793731745409723</v>
      </c>
      <c r="H421" s="8" t="n">
        <f aca="false">MAX(C421-D421,ABS(C421-E420),ABS(D421-E420))</f>
        <v>0.0103189587152696</v>
      </c>
      <c r="I421" s="8" t="n">
        <f aca="true">IF(ROW()-2&lt;14,"",IF(ROW()-2=14,AVERAGE(OFFSET(H421,-13,0,14,1)),(I420*13+H421)/14))</f>
        <v>0.00748389762414287</v>
      </c>
      <c r="J421" s="9" t="b">
        <f aca="false">IF(AND(ISNUMBER(F421),ISNUMBER(G421),ISNUMBER(F420),ISNUMBER(G420)),AND(F421&gt;G421,F420&lt;=G420),FALSE())</f>
        <v>0</v>
      </c>
      <c r="K421" s="9" t="b">
        <f aca="false">IF(AND(ISNUMBER(F421),ISNUMBER(G421),ISNUMBER(F420),ISNUMBER(G420)),AND(F421&lt;G421,F420&gt;=G420),FALSE())</f>
        <v>0</v>
      </c>
      <c r="L421" s="8" t="n">
        <f aca="false">IF(ISNUMBER(I421),E421-Inputs!$B$6*I421,"")</f>
        <v>0.75567858301704</v>
      </c>
      <c r="M421" s="9" t="b">
        <f aca="false">AND(Y420&gt;0,Z420)</f>
        <v>0</v>
      </c>
      <c r="N421" s="8" t="n">
        <f aca="false">B421*(1-Inputs!$B$12)</f>
        <v>0.766438535654782</v>
      </c>
      <c r="O421" s="10" t="n">
        <f aca="false">IF(M421,Y420*(N421-AB420)-Inputs!$B$9-Y420*AD420*Inputs!$B$13*(A421-AC420),0)</f>
        <v>0</v>
      </c>
      <c r="P421" s="10" t="n">
        <f aca="false">X420+O421</f>
        <v>1016.3844066801</v>
      </c>
      <c r="Q421" s="9" t="b">
        <f aca="false">AND(IF(M421,0,Y420)=0,AA420,IF(ISNUMBER(AE420),B421&gt;AE420,FALSE()))</f>
        <v>0</v>
      </c>
      <c r="R421" s="8" t="n">
        <f aca="false">B421*(1+Inputs!$B$12)</f>
        <v>0.766745172396392</v>
      </c>
      <c r="S421" s="11" t="n">
        <f aca="false">IF(Q421,MIN(P421*Inputs!$B$3/(R421-AE420),P421*Inputs!$B$11/R421),0)</f>
        <v>0</v>
      </c>
      <c r="T421" s="11" t="n">
        <f aca="false">IF(Q421,S421,IF(M421,0,Y420))</f>
        <v>0</v>
      </c>
      <c r="U421" s="8" t="n">
        <f aca="false">IF(Q421,AE420,AF420)</f>
        <v>0.938328062071903</v>
      </c>
      <c r="V421" s="9" t="b">
        <f aca="false">AND(T421&gt;0,D421&lt;=U421)</f>
        <v>0</v>
      </c>
      <c r="W421" s="10" t="n">
        <f aca="false">IF(V421,T421*(AK421-AB421)-Inputs!$B$9-T421*AD421*Inputs!$B$13*(A421-AC421),0)</f>
        <v>0</v>
      </c>
      <c r="X421" s="10" t="n">
        <f aca="false">P421-IF(Q421,Inputs!$B$9,0)+W421</f>
        <v>1016.3844066801</v>
      </c>
      <c r="Y421" s="11" t="n">
        <f aca="false">IF(V421,0,T421)</f>
        <v>0</v>
      </c>
      <c r="Z421" s="9" t="b">
        <f aca="false">AND(Y421&gt;0,K421)</f>
        <v>0</v>
      </c>
      <c r="AA421" s="9" t="b">
        <f aca="false">AND(Y421=0,J421,ISNUMBER(L421))</f>
        <v>0</v>
      </c>
      <c r="AB421" s="8" t="n">
        <f aca="false">IF(Q421,R421,AB420)</f>
        <v>0.95824964655134</v>
      </c>
      <c r="AC421" s="12" t="n">
        <f aca="false">IF(Q421,A421,AC420)</f>
        <v>45034</v>
      </c>
      <c r="AD421" s="8" t="n">
        <f aca="false">IF(Q421,B421,AD420)</f>
        <v>0.958058034944351</v>
      </c>
      <c r="AE421" s="8" t="str">
        <f aca="false">IF(AA421,L421,"")</f>
        <v/>
      </c>
      <c r="AF421" s="8" t="n">
        <f aca="false">U421</f>
        <v>0.938328062071903</v>
      </c>
      <c r="AG421" s="2" t="n">
        <f aca="false">AG420+IF(Q421,1,0)</f>
        <v>2</v>
      </c>
      <c r="AH421" s="2" t="n">
        <f aca="false">AG420</f>
        <v>2</v>
      </c>
      <c r="AI421" s="10" t="n">
        <f aca="false">X421+Y421*(E421-AB421)-Y421*AD421*Inputs!$B$13*(A421-AC421)</f>
        <v>1016.3844066801</v>
      </c>
      <c r="AJ421" s="10" t="n">
        <v>0</v>
      </c>
      <c r="AK421" s="8" t="n">
        <f aca="false">IF(AND(B421&lt;=U421,NOT(Q421)),B421,U421)*(1-Inputs!$B$12)</f>
        <v>0.766438535654782</v>
      </c>
    </row>
    <row r="422" customFormat="false" ht="15" hidden="false" customHeight="false" outlineLevel="0" collapsed="false">
      <c r="A422" s="6" t="n">
        <v>45206</v>
      </c>
      <c r="B422" s="7" t="n">
        <v>0.770646378265326</v>
      </c>
      <c r="C422" s="7" t="n">
        <v>0.780153423225051</v>
      </c>
      <c r="D422" s="7" t="n">
        <v>0.769163988336915</v>
      </c>
      <c r="E422" s="7" t="n">
        <v>0.779959214208181</v>
      </c>
      <c r="F422" s="8" t="n">
        <f aca="true">IF(ROW()-2&gt;=Inputs!$B$4,AVERAGE(OFFSET(E422,1-Inputs!$B$4,0,Inputs!$B$4,1)),"")</f>
        <v>0.773637688013395</v>
      </c>
      <c r="G422" s="8" t="n">
        <f aca="true">IF(ROW()-2&gt;=Inputs!$B$5,AVERAGE(OFFSET(E422,1-Inputs!$B$5,0,Inputs!$B$5,1)),"")</f>
        <v>0.792203637640568</v>
      </c>
      <c r="H422" s="8" t="n">
        <f aca="false">MAX(C422-D422,ABS(C422-E421),ABS(D422-E421))</f>
        <v>0.0109894348881356</v>
      </c>
      <c r="I422" s="8" t="n">
        <f aca="true">IF(ROW()-2&lt;14,"",IF(ROW()-2=14,AVERAGE(OFFSET(H422,-13,0,14,1)),(I421*13+H422)/14))</f>
        <v>0.0077342931429995</v>
      </c>
      <c r="J422" s="9" t="b">
        <f aca="false">IF(AND(ISNUMBER(F422),ISNUMBER(G422),ISNUMBER(F421),ISNUMBER(G421)),AND(F422&gt;G422,F421&lt;=G421),FALSE())</f>
        <v>0</v>
      </c>
      <c r="K422" s="9" t="b">
        <f aca="false">IF(AND(ISNUMBER(F422),ISNUMBER(G422),ISNUMBER(F421),ISNUMBER(G421)),AND(F422&lt;G422,F421&gt;=G421),FALSE())</f>
        <v>0</v>
      </c>
      <c r="L422" s="8" t="n">
        <f aca="false">IF(ISNUMBER(I422),E422-Inputs!$B$6*I422,"")</f>
        <v>0.764490627922182</v>
      </c>
      <c r="M422" s="9" t="b">
        <f aca="false">AND(Y421&gt;0,Z421)</f>
        <v>0</v>
      </c>
      <c r="N422" s="8" t="n">
        <f aca="false">B422*(1-Inputs!$B$12)</f>
        <v>0.770492248989673</v>
      </c>
      <c r="O422" s="10" t="n">
        <f aca="false">IF(M422,Y421*(N422-AB421)-Inputs!$B$9-Y421*AD421*Inputs!$B$13*(A422-AC421),0)</f>
        <v>0</v>
      </c>
      <c r="P422" s="10" t="n">
        <f aca="false">X421+O422</f>
        <v>1016.3844066801</v>
      </c>
      <c r="Q422" s="9" t="b">
        <f aca="false">AND(IF(M422,0,Y421)=0,AA421,IF(ISNUMBER(AE421),B422&gt;AE421,FALSE()))</f>
        <v>0</v>
      </c>
      <c r="R422" s="8" t="n">
        <f aca="false">B422*(1+Inputs!$B$12)</f>
        <v>0.770800507540979</v>
      </c>
      <c r="S422" s="11" t="n">
        <f aca="false">IF(Q422,MIN(P422*Inputs!$B$3/(R422-AE421),P422*Inputs!$B$11/R422),0)</f>
        <v>0</v>
      </c>
      <c r="T422" s="11" t="n">
        <f aca="false">IF(Q422,S422,IF(M422,0,Y421))</f>
        <v>0</v>
      </c>
      <c r="U422" s="8" t="n">
        <f aca="false">IF(Q422,AE421,AF421)</f>
        <v>0.938328062071903</v>
      </c>
      <c r="V422" s="9" t="b">
        <f aca="false">AND(T422&gt;0,D422&lt;=U422)</f>
        <v>0</v>
      </c>
      <c r="W422" s="10" t="n">
        <f aca="false">IF(V422,T422*(AK422-AB422)-Inputs!$B$9-T422*AD422*Inputs!$B$13*(A422-AC422),0)</f>
        <v>0</v>
      </c>
      <c r="X422" s="10" t="n">
        <f aca="false">P422-IF(Q422,Inputs!$B$9,0)+W422</f>
        <v>1016.3844066801</v>
      </c>
      <c r="Y422" s="11" t="n">
        <f aca="false">IF(V422,0,T422)</f>
        <v>0</v>
      </c>
      <c r="Z422" s="9" t="b">
        <f aca="false">AND(Y422&gt;0,K422)</f>
        <v>0</v>
      </c>
      <c r="AA422" s="9" t="b">
        <f aca="false">AND(Y422=0,J422,ISNUMBER(L422))</f>
        <v>0</v>
      </c>
      <c r="AB422" s="8" t="n">
        <f aca="false">IF(Q422,R422,AB421)</f>
        <v>0.95824964655134</v>
      </c>
      <c r="AC422" s="12" t="n">
        <f aca="false">IF(Q422,A422,AC421)</f>
        <v>45034</v>
      </c>
      <c r="AD422" s="8" t="n">
        <f aca="false">IF(Q422,B422,AD421)</f>
        <v>0.958058034944351</v>
      </c>
      <c r="AE422" s="8" t="str">
        <f aca="false">IF(AA422,L422,"")</f>
        <v/>
      </c>
      <c r="AF422" s="8" t="n">
        <f aca="false">U422</f>
        <v>0.938328062071903</v>
      </c>
      <c r="AG422" s="2" t="n">
        <f aca="false">AG421+IF(Q422,1,0)</f>
        <v>2</v>
      </c>
      <c r="AH422" s="2" t="n">
        <f aca="false">AG421</f>
        <v>2</v>
      </c>
      <c r="AI422" s="10" t="n">
        <f aca="false">X422+Y422*(E422-AB422)-Y422*AD422*Inputs!$B$13*(A422-AC422)</f>
        <v>1016.3844066801</v>
      </c>
      <c r="AJ422" s="10" t="n">
        <v>0</v>
      </c>
      <c r="AK422" s="8" t="n">
        <f aca="false">IF(AND(B422&lt;=U422,NOT(Q422)),B422,U422)*(1-Inputs!$B$12)</f>
        <v>0.770492248989673</v>
      </c>
    </row>
    <row r="423" customFormat="false" ht="15" hidden="false" customHeight="false" outlineLevel="0" collapsed="false">
      <c r="A423" s="6" t="n">
        <v>45207</v>
      </c>
      <c r="B423" s="7" t="n">
        <v>0.779959214208181</v>
      </c>
      <c r="C423" s="7" t="n">
        <v>0.78209086909306</v>
      </c>
      <c r="D423" s="7" t="n">
        <v>0.771641930368002</v>
      </c>
      <c r="E423" s="7" t="n">
        <v>0.77449089515322</v>
      </c>
      <c r="F423" s="8" t="n">
        <f aca="true">IF(ROW()-2&gt;=Inputs!$B$4,AVERAGE(OFFSET(E423,1-Inputs!$B$4,0,Inputs!$B$4,1)),"")</f>
        <v>0.773755220122415</v>
      </c>
      <c r="G423" s="8" t="n">
        <f aca="true">IF(ROW()-2&gt;=Inputs!$B$5,AVERAGE(OFFSET(E423,1-Inputs!$B$5,0,Inputs!$B$5,1)),"")</f>
        <v>0.79071553619241</v>
      </c>
      <c r="H423" s="8" t="n">
        <f aca="false">MAX(C423-D423,ABS(C423-E422),ABS(D423-E422))</f>
        <v>0.0104489387250583</v>
      </c>
      <c r="I423" s="8" t="n">
        <f aca="true">IF(ROW()-2&lt;14,"",IF(ROW()-2=14,AVERAGE(OFFSET(H423,-13,0,14,1)),(I422*13+H423)/14))</f>
        <v>0.00792819639886084</v>
      </c>
      <c r="J423" s="9" t="b">
        <f aca="false">IF(AND(ISNUMBER(F423),ISNUMBER(G423),ISNUMBER(F422),ISNUMBER(G422)),AND(F423&gt;G423,F422&lt;=G422),FALSE())</f>
        <v>0</v>
      </c>
      <c r="K423" s="9" t="b">
        <f aca="false">IF(AND(ISNUMBER(F423),ISNUMBER(G423),ISNUMBER(F422),ISNUMBER(G422)),AND(F423&lt;G423,F422&gt;=G422),FALSE())</f>
        <v>0</v>
      </c>
      <c r="L423" s="8" t="n">
        <f aca="false">IF(ISNUMBER(I423),E423-Inputs!$B$6*I423,"")</f>
        <v>0.758634502355499</v>
      </c>
      <c r="M423" s="9" t="b">
        <f aca="false">AND(Y422&gt;0,Z422)</f>
        <v>0</v>
      </c>
      <c r="N423" s="8" t="n">
        <f aca="false">B423*(1-Inputs!$B$12)</f>
        <v>0.779803222365339</v>
      </c>
      <c r="O423" s="10" t="n">
        <f aca="false">IF(M423,Y422*(N423-AB422)-Inputs!$B$9-Y422*AD422*Inputs!$B$13*(A423-AC422),0)</f>
        <v>0</v>
      </c>
      <c r="P423" s="10" t="n">
        <f aca="false">X422+O423</f>
        <v>1016.3844066801</v>
      </c>
      <c r="Q423" s="9" t="b">
        <f aca="false">AND(IF(M423,0,Y422)=0,AA422,IF(ISNUMBER(AE422),B423&gt;AE422,FALSE()))</f>
        <v>0</v>
      </c>
      <c r="R423" s="8" t="n">
        <f aca="false">B423*(1+Inputs!$B$12)</f>
        <v>0.780115206051022</v>
      </c>
      <c r="S423" s="11" t="n">
        <f aca="false">IF(Q423,MIN(P423*Inputs!$B$3/(R423-AE422),P423*Inputs!$B$11/R423),0)</f>
        <v>0</v>
      </c>
      <c r="T423" s="11" t="n">
        <f aca="false">IF(Q423,S423,IF(M423,0,Y422))</f>
        <v>0</v>
      </c>
      <c r="U423" s="8" t="n">
        <f aca="false">IF(Q423,AE422,AF422)</f>
        <v>0.938328062071903</v>
      </c>
      <c r="V423" s="9" t="b">
        <f aca="false">AND(T423&gt;0,D423&lt;=U423)</f>
        <v>0</v>
      </c>
      <c r="W423" s="10" t="n">
        <f aca="false">IF(V423,T423*(AK423-AB423)-Inputs!$B$9-T423*AD423*Inputs!$B$13*(A423-AC423),0)</f>
        <v>0</v>
      </c>
      <c r="X423" s="10" t="n">
        <f aca="false">P423-IF(Q423,Inputs!$B$9,0)+W423</f>
        <v>1016.3844066801</v>
      </c>
      <c r="Y423" s="11" t="n">
        <f aca="false">IF(V423,0,T423)</f>
        <v>0</v>
      </c>
      <c r="Z423" s="9" t="b">
        <f aca="false">AND(Y423&gt;0,K423)</f>
        <v>0</v>
      </c>
      <c r="AA423" s="9" t="b">
        <f aca="false">AND(Y423=0,J423,ISNUMBER(L423))</f>
        <v>0</v>
      </c>
      <c r="AB423" s="8" t="n">
        <f aca="false">IF(Q423,R423,AB422)</f>
        <v>0.95824964655134</v>
      </c>
      <c r="AC423" s="12" t="n">
        <f aca="false">IF(Q423,A423,AC422)</f>
        <v>45034</v>
      </c>
      <c r="AD423" s="8" t="n">
        <f aca="false">IF(Q423,B423,AD422)</f>
        <v>0.958058034944351</v>
      </c>
      <c r="AE423" s="8" t="str">
        <f aca="false">IF(AA423,L423,"")</f>
        <v/>
      </c>
      <c r="AF423" s="8" t="n">
        <f aca="false">U423</f>
        <v>0.938328062071903</v>
      </c>
      <c r="AG423" s="2" t="n">
        <f aca="false">AG422+IF(Q423,1,0)</f>
        <v>2</v>
      </c>
      <c r="AH423" s="2" t="n">
        <f aca="false">AG422</f>
        <v>2</v>
      </c>
      <c r="AI423" s="10" t="n">
        <f aca="false">X423+Y423*(E423-AB423)-Y423*AD423*Inputs!$B$13*(A423-AC423)</f>
        <v>1016.3844066801</v>
      </c>
      <c r="AJ423" s="10" t="n">
        <v>0</v>
      </c>
      <c r="AK423" s="8" t="n">
        <f aca="false">IF(AND(B423&lt;=U423,NOT(Q423)),B423,U423)*(1-Inputs!$B$12)</f>
        <v>0.779803222365339</v>
      </c>
    </row>
    <row r="424" customFormat="false" ht="15" hidden="false" customHeight="false" outlineLevel="0" collapsed="false">
      <c r="A424" s="6" t="n">
        <v>45208</v>
      </c>
      <c r="B424" s="7" t="n">
        <v>0.77449089515322</v>
      </c>
      <c r="C424" s="7" t="n">
        <v>0.78443417921659</v>
      </c>
      <c r="D424" s="7" t="n">
        <v>0.772918443433894</v>
      </c>
      <c r="E424" s="7" t="n">
        <v>0.781191281638296</v>
      </c>
      <c r="F424" s="8" t="n">
        <f aca="true">IF(ROW()-2&gt;=Inputs!$B$4,AVERAGE(OFFSET(E424,1-Inputs!$B$4,0,Inputs!$B$4,1)),"")</f>
        <v>0.774252698927708</v>
      </c>
      <c r="G424" s="8" t="n">
        <f aca="true">IF(ROW()-2&gt;=Inputs!$B$5,AVERAGE(OFFSET(E424,1-Inputs!$B$5,0,Inputs!$B$5,1)),"")</f>
        <v>0.78945911434164</v>
      </c>
      <c r="H424" s="8" t="n">
        <f aca="false">MAX(C424-D424,ABS(C424-E423),ABS(D424-E423))</f>
        <v>0.0115157357826959</v>
      </c>
      <c r="I424" s="8" t="n">
        <f aca="true">IF(ROW()-2&lt;14,"",IF(ROW()-2=14,AVERAGE(OFFSET(H424,-13,0,14,1)),(I423*13+H424)/14))</f>
        <v>0.00818444921199192</v>
      </c>
      <c r="J424" s="9" t="b">
        <f aca="false">IF(AND(ISNUMBER(F424),ISNUMBER(G424),ISNUMBER(F423),ISNUMBER(G423)),AND(F424&gt;G424,F423&lt;=G423),FALSE())</f>
        <v>0</v>
      </c>
      <c r="K424" s="9" t="b">
        <f aca="false">IF(AND(ISNUMBER(F424),ISNUMBER(G424),ISNUMBER(F423),ISNUMBER(G423)),AND(F424&lt;G424,F423&gt;=G423),FALSE())</f>
        <v>0</v>
      </c>
      <c r="L424" s="8" t="n">
        <f aca="false">IF(ISNUMBER(I424),E424-Inputs!$B$6*I424,"")</f>
        <v>0.764822383214312</v>
      </c>
      <c r="M424" s="9" t="b">
        <f aca="false">AND(Y423&gt;0,Z423)</f>
        <v>0</v>
      </c>
      <c r="N424" s="8" t="n">
        <f aca="false">B424*(1-Inputs!$B$12)</f>
        <v>0.77433599697419</v>
      </c>
      <c r="O424" s="10" t="n">
        <f aca="false">IF(M424,Y423*(N424-AB423)-Inputs!$B$9-Y423*AD423*Inputs!$B$13*(A424-AC423),0)</f>
        <v>0</v>
      </c>
      <c r="P424" s="10" t="n">
        <f aca="false">X423+O424</f>
        <v>1016.3844066801</v>
      </c>
      <c r="Q424" s="9" t="b">
        <f aca="false">AND(IF(M424,0,Y423)=0,AA423,IF(ISNUMBER(AE423),B424&gt;AE423,FALSE()))</f>
        <v>0</v>
      </c>
      <c r="R424" s="8" t="n">
        <f aca="false">B424*(1+Inputs!$B$12)</f>
        <v>0.774645793332251</v>
      </c>
      <c r="S424" s="11" t="n">
        <f aca="false">IF(Q424,MIN(P424*Inputs!$B$3/(R424-AE423),P424*Inputs!$B$11/R424),0)</f>
        <v>0</v>
      </c>
      <c r="T424" s="11" t="n">
        <f aca="false">IF(Q424,S424,IF(M424,0,Y423))</f>
        <v>0</v>
      </c>
      <c r="U424" s="8" t="n">
        <f aca="false">IF(Q424,AE423,AF423)</f>
        <v>0.938328062071903</v>
      </c>
      <c r="V424" s="9" t="b">
        <f aca="false">AND(T424&gt;0,D424&lt;=U424)</f>
        <v>0</v>
      </c>
      <c r="W424" s="10" t="n">
        <f aca="false">IF(V424,T424*(AK424-AB424)-Inputs!$B$9-T424*AD424*Inputs!$B$13*(A424-AC424),0)</f>
        <v>0</v>
      </c>
      <c r="X424" s="10" t="n">
        <f aca="false">P424-IF(Q424,Inputs!$B$9,0)+W424</f>
        <v>1016.3844066801</v>
      </c>
      <c r="Y424" s="11" t="n">
        <f aca="false">IF(V424,0,T424)</f>
        <v>0</v>
      </c>
      <c r="Z424" s="9" t="b">
        <f aca="false">AND(Y424&gt;0,K424)</f>
        <v>0</v>
      </c>
      <c r="AA424" s="9" t="b">
        <f aca="false">AND(Y424=0,J424,ISNUMBER(L424))</f>
        <v>0</v>
      </c>
      <c r="AB424" s="8" t="n">
        <f aca="false">IF(Q424,R424,AB423)</f>
        <v>0.95824964655134</v>
      </c>
      <c r="AC424" s="12" t="n">
        <f aca="false">IF(Q424,A424,AC423)</f>
        <v>45034</v>
      </c>
      <c r="AD424" s="8" t="n">
        <f aca="false">IF(Q424,B424,AD423)</f>
        <v>0.958058034944351</v>
      </c>
      <c r="AE424" s="8" t="str">
        <f aca="false">IF(AA424,L424,"")</f>
        <v/>
      </c>
      <c r="AF424" s="8" t="n">
        <f aca="false">U424</f>
        <v>0.938328062071903</v>
      </c>
      <c r="AG424" s="2" t="n">
        <f aca="false">AG423+IF(Q424,1,0)</f>
        <v>2</v>
      </c>
      <c r="AH424" s="2" t="n">
        <f aca="false">AG423</f>
        <v>2</v>
      </c>
      <c r="AI424" s="10" t="n">
        <f aca="false">X424+Y424*(E424-AB424)-Y424*AD424*Inputs!$B$13*(A424-AC424)</f>
        <v>1016.3844066801</v>
      </c>
      <c r="AJ424" s="10" t="n">
        <v>0</v>
      </c>
      <c r="AK424" s="8" t="n">
        <f aca="false">IF(AND(B424&lt;=U424,NOT(Q424)),B424,U424)*(1-Inputs!$B$12)</f>
        <v>0.77433599697419</v>
      </c>
    </row>
    <row r="425" customFormat="false" ht="15" hidden="false" customHeight="false" outlineLevel="0" collapsed="false">
      <c r="A425" s="6" t="n">
        <v>45209</v>
      </c>
      <c r="B425" s="7" t="n">
        <v>0.781191281638296</v>
      </c>
      <c r="C425" s="7" t="n">
        <v>0.785039383653843</v>
      </c>
      <c r="D425" s="7" t="n">
        <v>0.779138932037958</v>
      </c>
      <c r="E425" s="7" t="n">
        <v>0.779262068767851</v>
      </c>
      <c r="F425" s="8" t="n">
        <f aca="true">IF(ROW()-2&gt;=Inputs!$B$4,AVERAGE(OFFSET(E425,1-Inputs!$B$4,0,Inputs!$B$4,1)),"")</f>
        <v>0.774959164477082</v>
      </c>
      <c r="G425" s="8" t="n">
        <f aca="true">IF(ROW()-2&gt;=Inputs!$B$5,AVERAGE(OFFSET(E425,1-Inputs!$B$5,0,Inputs!$B$5,1)),"")</f>
        <v>0.788361351911022</v>
      </c>
      <c r="H425" s="8" t="n">
        <f aca="false">MAX(C425-D425,ABS(C425-E424),ABS(D425-E424))</f>
        <v>0.00590045161588471</v>
      </c>
      <c r="I425" s="8" t="n">
        <f aca="true">IF(ROW()-2&lt;14,"",IF(ROW()-2=14,AVERAGE(OFFSET(H425,-13,0,14,1)),(I424*13+H425)/14))</f>
        <v>0.00802130652655569</v>
      </c>
      <c r="J425" s="9" t="b">
        <f aca="false">IF(AND(ISNUMBER(F425),ISNUMBER(G425),ISNUMBER(F424),ISNUMBER(G424)),AND(F425&gt;G425,F424&lt;=G424),FALSE())</f>
        <v>0</v>
      </c>
      <c r="K425" s="9" t="b">
        <f aca="false">IF(AND(ISNUMBER(F425),ISNUMBER(G425),ISNUMBER(F424),ISNUMBER(G424)),AND(F425&lt;G425,F424&gt;=G424),FALSE())</f>
        <v>0</v>
      </c>
      <c r="L425" s="8" t="n">
        <f aca="false">IF(ISNUMBER(I425),E425-Inputs!$B$6*I425,"")</f>
        <v>0.763219455714739</v>
      </c>
      <c r="M425" s="9" t="b">
        <f aca="false">AND(Y424&gt;0,Z424)</f>
        <v>0</v>
      </c>
      <c r="N425" s="8" t="n">
        <f aca="false">B425*(1-Inputs!$B$12)</f>
        <v>0.781035043381968</v>
      </c>
      <c r="O425" s="10" t="n">
        <f aca="false">IF(M425,Y424*(N425-AB424)-Inputs!$B$9-Y424*AD424*Inputs!$B$13*(A425-AC424),0)</f>
        <v>0</v>
      </c>
      <c r="P425" s="10" t="n">
        <f aca="false">X424+O425</f>
        <v>1016.3844066801</v>
      </c>
      <c r="Q425" s="9" t="b">
        <f aca="false">AND(IF(M425,0,Y424)=0,AA424,IF(ISNUMBER(AE424),B425&gt;AE424,FALSE()))</f>
        <v>0</v>
      </c>
      <c r="R425" s="8" t="n">
        <f aca="false">B425*(1+Inputs!$B$12)</f>
        <v>0.781347519894623</v>
      </c>
      <c r="S425" s="11" t="n">
        <f aca="false">IF(Q425,MIN(P425*Inputs!$B$3/(R425-AE424),P425*Inputs!$B$11/R425),0)</f>
        <v>0</v>
      </c>
      <c r="T425" s="11" t="n">
        <f aca="false">IF(Q425,S425,IF(M425,0,Y424))</f>
        <v>0</v>
      </c>
      <c r="U425" s="8" t="n">
        <f aca="false">IF(Q425,AE424,AF424)</f>
        <v>0.938328062071903</v>
      </c>
      <c r="V425" s="9" t="b">
        <f aca="false">AND(T425&gt;0,D425&lt;=U425)</f>
        <v>0</v>
      </c>
      <c r="W425" s="10" t="n">
        <f aca="false">IF(V425,T425*(AK425-AB425)-Inputs!$B$9-T425*AD425*Inputs!$B$13*(A425-AC425),0)</f>
        <v>0</v>
      </c>
      <c r="X425" s="10" t="n">
        <f aca="false">P425-IF(Q425,Inputs!$B$9,0)+W425</f>
        <v>1016.3844066801</v>
      </c>
      <c r="Y425" s="11" t="n">
        <f aca="false">IF(V425,0,T425)</f>
        <v>0</v>
      </c>
      <c r="Z425" s="9" t="b">
        <f aca="false">AND(Y425&gt;0,K425)</f>
        <v>0</v>
      </c>
      <c r="AA425" s="9" t="b">
        <f aca="false">AND(Y425=0,J425,ISNUMBER(L425))</f>
        <v>0</v>
      </c>
      <c r="AB425" s="8" t="n">
        <f aca="false">IF(Q425,R425,AB424)</f>
        <v>0.95824964655134</v>
      </c>
      <c r="AC425" s="12" t="n">
        <f aca="false">IF(Q425,A425,AC424)</f>
        <v>45034</v>
      </c>
      <c r="AD425" s="8" t="n">
        <f aca="false">IF(Q425,B425,AD424)</f>
        <v>0.958058034944351</v>
      </c>
      <c r="AE425" s="8" t="str">
        <f aca="false">IF(AA425,L425,"")</f>
        <v/>
      </c>
      <c r="AF425" s="8" t="n">
        <f aca="false">U425</f>
        <v>0.938328062071903</v>
      </c>
      <c r="AG425" s="2" t="n">
        <f aca="false">AG424+IF(Q425,1,0)</f>
        <v>2</v>
      </c>
      <c r="AH425" s="2" t="n">
        <f aca="false">AG424</f>
        <v>2</v>
      </c>
      <c r="AI425" s="10" t="n">
        <f aca="false">X425+Y425*(E425-AB425)-Y425*AD425*Inputs!$B$13*(A425-AC425)</f>
        <v>1016.3844066801</v>
      </c>
      <c r="AJ425" s="10" t="n">
        <v>0</v>
      </c>
      <c r="AK425" s="8" t="n">
        <f aca="false">IF(AND(B425&lt;=U425,NOT(Q425)),B425,U425)*(1-Inputs!$B$12)</f>
        <v>0.781035043381968</v>
      </c>
    </row>
    <row r="426" customFormat="false" ht="15" hidden="false" customHeight="false" outlineLevel="0" collapsed="false">
      <c r="A426" s="6" t="n">
        <v>45210</v>
      </c>
      <c r="B426" s="7" t="n">
        <v>0.779262068767851</v>
      </c>
      <c r="C426" s="7" t="n">
        <v>0.782020245455176</v>
      </c>
      <c r="D426" s="7" t="n">
        <v>0.777494566698563</v>
      </c>
      <c r="E426" s="7" t="n">
        <v>0.78036734628535</v>
      </c>
      <c r="F426" s="8" t="n">
        <f aca="true">IF(ROW()-2&gt;=Inputs!$B$4,AVERAGE(OFFSET(E426,1-Inputs!$B$4,0,Inputs!$B$4,1)),"")</f>
        <v>0.775500066659123</v>
      </c>
      <c r="G426" s="8" t="n">
        <f aca="true">IF(ROW()-2&gt;=Inputs!$B$5,AVERAGE(OFFSET(E426,1-Inputs!$B$5,0,Inputs!$B$5,1)),"")</f>
        <v>0.787381016112585</v>
      </c>
      <c r="H426" s="8" t="n">
        <f aca="false">MAX(C426-D426,ABS(C426-E425),ABS(D426-E425))</f>
        <v>0.00452567875661214</v>
      </c>
      <c r="I426" s="8" t="n">
        <f aca="true">IF(ROW()-2&lt;14,"",IF(ROW()-2=14,AVERAGE(OFFSET(H426,-13,0,14,1)),(I425*13+H426)/14))</f>
        <v>0.00777161882870257</v>
      </c>
      <c r="J426" s="9" t="b">
        <f aca="false">IF(AND(ISNUMBER(F426),ISNUMBER(G426),ISNUMBER(F425),ISNUMBER(G425)),AND(F426&gt;G426,F425&lt;=G425),FALSE())</f>
        <v>0</v>
      </c>
      <c r="K426" s="9" t="b">
        <f aca="false">IF(AND(ISNUMBER(F426),ISNUMBER(G426),ISNUMBER(F425),ISNUMBER(G425)),AND(F426&lt;G426,F425&gt;=G425),FALSE())</f>
        <v>0</v>
      </c>
      <c r="L426" s="8" t="n">
        <f aca="false">IF(ISNUMBER(I426),E426-Inputs!$B$6*I426,"")</f>
        <v>0.764824108627945</v>
      </c>
      <c r="M426" s="9" t="b">
        <f aca="false">AND(Y425&gt;0,Z425)</f>
        <v>0</v>
      </c>
      <c r="N426" s="8" t="n">
        <f aca="false">B426*(1-Inputs!$B$12)</f>
        <v>0.779106216354097</v>
      </c>
      <c r="O426" s="10" t="n">
        <f aca="false">IF(M426,Y425*(N426-AB425)-Inputs!$B$9-Y425*AD425*Inputs!$B$13*(A426-AC425),0)</f>
        <v>0</v>
      </c>
      <c r="P426" s="10" t="n">
        <f aca="false">X425+O426</f>
        <v>1016.3844066801</v>
      </c>
      <c r="Q426" s="9" t="b">
        <f aca="false">AND(IF(M426,0,Y425)=0,AA425,IF(ISNUMBER(AE425),B426&gt;AE425,FALSE()))</f>
        <v>0</v>
      </c>
      <c r="R426" s="8" t="n">
        <f aca="false">B426*(1+Inputs!$B$12)</f>
        <v>0.779417921181604</v>
      </c>
      <c r="S426" s="11" t="n">
        <f aca="false">IF(Q426,MIN(P426*Inputs!$B$3/(R426-AE425),P426*Inputs!$B$11/R426),0)</f>
        <v>0</v>
      </c>
      <c r="T426" s="11" t="n">
        <f aca="false">IF(Q426,S426,IF(M426,0,Y425))</f>
        <v>0</v>
      </c>
      <c r="U426" s="8" t="n">
        <f aca="false">IF(Q426,AE425,AF425)</f>
        <v>0.938328062071903</v>
      </c>
      <c r="V426" s="9" t="b">
        <f aca="false">AND(T426&gt;0,D426&lt;=U426)</f>
        <v>0</v>
      </c>
      <c r="W426" s="10" t="n">
        <f aca="false">IF(V426,T426*(AK426-AB426)-Inputs!$B$9-T426*AD426*Inputs!$B$13*(A426-AC426),0)</f>
        <v>0</v>
      </c>
      <c r="X426" s="10" t="n">
        <f aca="false">P426-IF(Q426,Inputs!$B$9,0)+W426</f>
        <v>1016.3844066801</v>
      </c>
      <c r="Y426" s="11" t="n">
        <f aca="false">IF(V426,0,T426)</f>
        <v>0</v>
      </c>
      <c r="Z426" s="9" t="b">
        <f aca="false">AND(Y426&gt;0,K426)</f>
        <v>0</v>
      </c>
      <c r="AA426" s="9" t="b">
        <f aca="false">AND(Y426=0,J426,ISNUMBER(L426))</f>
        <v>0</v>
      </c>
      <c r="AB426" s="8" t="n">
        <f aca="false">IF(Q426,R426,AB425)</f>
        <v>0.95824964655134</v>
      </c>
      <c r="AC426" s="12" t="n">
        <f aca="false">IF(Q426,A426,AC425)</f>
        <v>45034</v>
      </c>
      <c r="AD426" s="8" t="n">
        <f aca="false">IF(Q426,B426,AD425)</f>
        <v>0.958058034944351</v>
      </c>
      <c r="AE426" s="8" t="str">
        <f aca="false">IF(AA426,L426,"")</f>
        <v/>
      </c>
      <c r="AF426" s="8" t="n">
        <f aca="false">U426</f>
        <v>0.938328062071903</v>
      </c>
      <c r="AG426" s="2" t="n">
        <f aca="false">AG425+IF(Q426,1,0)</f>
        <v>2</v>
      </c>
      <c r="AH426" s="2" t="n">
        <f aca="false">AG425</f>
        <v>2</v>
      </c>
      <c r="AI426" s="10" t="n">
        <f aca="false">X426+Y426*(E426-AB426)-Y426*AD426*Inputs!$B$13*(A426-AC426)</f>
        <v>1016.3844066801</v>
      </c>
      <c r="AJ426" s="10" t="n">
        <v>0</v>
      </c>
      <c r="AK426" s="8" t="n">
        <f aca="false">IF(AND(B426&lt;=U426,NOT(Q426)),B426,U426)*(1-Inputs!$B$12)</f>
        <v>0.779106216354097</v>
      </c>
    </row>
    <row r="427" customFormat="false" ht="15" hidden="false" customHeight="false" outlineLevel="0" collapsed="false">
      <c r="A427" s="6" t="n">
        <v>45211</v>
      </c>
      <c r="B427" s="7" t="n">
        <v>0.78036734628535</v>
      </c>
      <c r="C427" s="7" t="n">
        <v>0.781777491482517</v>
      </c>
      <c r="D427" s="7" t="n">
        <v>0.769154069816794</v>
      </c>
      <c r="E427" s="7" t="n">
        <v>0.77031630378496</v>
      </c>
      <c r="F427" s="8" t="n">
        <f aca="true">IF(ROW()-2&gt;=Inputs!$B$4,AVERAGE(OFFSET(E427,1-Inputs!$B$4,0,Inputs!$B$4,1)),"")</f>
        <v>0.775248605260471</v>
      </c>
      <c r="G427" s="8" t="n">
        <f aca="true">IF(ROW()-2&gt;=Inputs!$B$5,AVERAGE(OFFSET(E427,1-Inputs!$B$5,0,Inputs!$B$5,1)),"")</f>
        <v>0.786298473161226</v>
      </c>
      <c r="H427" s="8" t="n">
        <f aca="false">MAX(C427-D427,ABS(C427-E426),ABS(D427-E426))</f>
        <v>0.0126234216657234</v>
      </c>
      <c r="I427" s="8" t="n">
        <f aca="true">IF(ROW()-2&lt;14,"",IF(ROW()-2=14,AVERAGE(OFFSET(H427,-13,0,14,1)),(I426*13+H427)/14))</f>
        <v>0.00811817617420406</v>
      </c>
      <c r="J427" s="9" t="b">
        <f aca="false">IF(AND(ISNUMBER(F427),ISNUMBER(G427),ISNUMBER(F426),ISNUMBER(G426)),AND(F427&gt;G427,F426&lt;=G426),FALSE())</f>
        <v>0</v>
      </c>
      <c r="K427" s="9" t="b">
        <f aca="false">IF(AND(ISNUMBER(F427),ISNUMBER(G427),ISNUMBER(F426),ISNUMBER(G426)),AND(F427&lt;G427,F426&gt;=G426),FALSE())</f>
        <v>0</v>
      </c>
      <c r="L427" s="8" t="n">
        <f aca="false">IF(ISNUMBER(I427),E427-Inputs!$B$6*I427,"")</f>
        <v>0.754079951436552</v>
      </c>
      <c r="M427" s="9" t="b">
        <f aca="false">AND(Y426&gt;0,Z426)</f>
        <v>0</v>
      </c>
      <c r="N427" s="8" t="n">
        <f aca="false">B427*(1-Inputs!$B$12)</f>
        <v>0.780211272816093</v>
      </c>
      <c r="O427" s="10" t="n">
        <f aca="false">IF(M427,Y426*(N427-AB426)-Inputs!$B$9-Y426*AD426*Inputs!$B$13*(A427-AC426),0)</f>
        <v>0</v>
      </c>
      <c r="P427" s="10" t="n">
        <f aca="false">X426+O427</f>
        <v>1016.3844066801</v>
      </c>
      <c r="Q427" s="9" t="b">
        <f aca="false">AND(IF(M427,0,Y426)=0,AA426,IF(ISNUMBER(AE426),B427&gt;AE426,FALSE()))</f>
        <v>0</v>
      </c>
      <c r="R427" s="8" t="n">
        <f aca="false">B427*(1+Inputs!$B$12)</f>
        <v>0.780523419754607</v>
      </c>
      <c r="S427" s="11" t="n">
        <f aca="false">IF(Q427,MIN(P427*Inputs!$B$3/(R427-AE426),P427*Inputs!$B$11/R427),0)</f>
        <v>0</v>
      </c>
      <c r="T427" s="11" t="n">
        <f aca="false">IF(Q427,S427,IF(M427,0,Y426))</f>
        <v>0</v>
      </c>
      <c r="U427" s="8" t="n">
        <f aca="false">IF(Q427,AE426,AF426)</f>
        <v>0.938328062071903</v>
      </c>
      <c r="V427" s="9" t="b">
        <f aca="false">AND(T427&gt;0,D427&lt;=U427)</f>
        <v>0</v>
      </c>
      <c r="W427" s="10" t="n">
        <f aca="false">IF(V427,T427*(AK427-AB427)-Inputs!$B$9-T427*AD427*Inputs!$B$13*(A427-AC427),0)</f>
        <v>0</v>
      </c>
      <c r="X427" s="10" t="n">
        <f aca="false">P427-IF(Q427,Inputs!$B$9,0)+W427</f>
        <v>1016.3844066801</v>
      </c>
      <c r="Y427" s="11" t="n">
        <f aca="false">IF(V427,0,T427)</f>
        <v>0</v>
      </c>
      <c r="Z427" s="9" t="b">
        <f aca="false">AND(Y427&gt;0,K427)</f>
        <v>0</v>
      </c>
      <c r="AA427" s="9" t="b">
        <f aca="false">AND(Y427=0,J427,ISNUMBER(L427))</f>
        <v>0</v>
      </c>
      <c r="AB427" s="8" t="n">
        <f aca="false">IF(Q427,R427,AB426)</f>
        <v>0.95824964655134</v>
      </c>
      <c r="AC427" s="12" t="n">
        <f aca="false">IF(Q427,A427,AC426)</f>
        <v>45034</v>
      </c>
      <c r="AD427" s="8" t="n">
        <f aca="false">IF(Q427,B427,AD426)</f>
        <v>0.958058034944351</v>
      </c>
      <c r="AE427" s="8" t="str">
        <f aca="false">IF(AA427,L427,"")</f>
        <v/>
      </c>
      <c r="AF427" s="8" t="n">
        <f aca="false">U427</f>
        <v>0.938328062071903</v>
      </c>
      <c r="AG427" s="2" t="n">
        <f aca="false">AG426+IF(Q427,1,0)</f>
        <v>2</v>
      </c>
      <c r="AH427" s="2" t="n">
        <f aca="false">AG426</f>
        <v>2</v>
      </c>
      <c r="AI427" s="10" t="n">
        <f aca="false">X427+Y427*(E427-AB427)-Y427*AD427*Inputs!$B$13*(A427-AC427)</f>
        <v>1016.3844066801</v>
      </c>
      <c r="AJ427" s="10" t="n">
        <v>0</v>
      </c>
      <c r="AK427" s="8" t="n">
        <f aca="false">IF(AND(B427&lt;=U427,NOT(Q427)),B427,U427)*(1-Inputs!$B$12)</f>
        <v>0.780211272816093</v>
      </c>
    </row>
    <row r="428" customFormat="false" ht="15" hidden="false" customHeight="false" outlineLevel="0" collapsed="false">
      <c r="A428" s="6" t="n">
        <v>45212</v>
      </c>
      <c r="B428" s="7" t="n">
        <v>0.77031630378496</v>
      </c>
      <c r="C428" s="7" t="n">
        <v>0.777111717490791</v>
      </c>
      <c r="D428" s="7" t="n">
        <v>0.766068729749255</v>
      </c>
      <c r="E428" s="7" t="n">
        <v>0.766443756382904</v>
      </c>
      <c r="F428" s="8" t="n">
        <f aca="true">IF(ROW()-2&gt;=Inputs!$B$4,AVERAGE(OFFSET(E428,1-Inputs!$B$4,0,Inputs!$B$4,1)),"")</f>
        <v>0.774665004641241</v>
      </c>
      <c r="G428" s="8" t="n">
        <f aca="true">IF(ROW()-2&gt;=Inputs!$B$5,AVERAGE(OFFSET(E428,1-Inputs!$B$5,0,Inputs!$B$5,1)),"")</f>
        <v>0.785137831691574</v>
      </c>
      <c r="H428" s="8" t="n">
        <f aca="false">MAX(C428-D428,ABS(C428-E427),ABS(D428-E427))</f>
        <v>0.0110429877415364</v>
      </c>
      <c r="I428" s="8" t="n">
        <f aca="true">IF(ROW()-2&lt;14,"",IF(ROW()-2=14,AVERAGE(OFFSET(H428,-13,0,14,1)),(I427*13+H428)/14))</f>
        <v>0.00832709128615638</v>
      </c>
      <c r="J428" s="9" t="b">
        <f aca="false">IF(AND(ISNUMBER(F428),ISNUMBER(G428),ISNUMBER(F427),ISNUMBER(G427)),AND(F428&gt;G428,F427&lt;=G427),FALSE())</f>
        <v>0</v>
      </c>
      <c r="K428" s="9" t="b">
        <f aca="false">IF(AND(ISNUMBER(F428),ISNUMBER(G428),ISNUMBER(F427),ISNUMBER(G427)),AND(F428&lt;G428,F427&gt;=G427),FALSE())</f>
        <v>0</v>
      </c>
      <c r="L428" s="8" t="n">
        <f aca="false">IF(ISNUMBER(I428),E428-Inputs!$B$6*I428,"")</f>
        <v>0.749789573810591</v>
      </c>
      <c r="M428" s="9" t="b">
        <f aca="false">AND(Y427&gt;0,Z427)</f>
        <v>0</v>
      </c>
      <c r="N428" s="8" t="n">
        <f aca="false">B428*(1-Inputs!$B$12)</f>
        <v>0.770162240524203</v>
      </c>
      <c r="O428" s="10" t="n">
        <f aca="false">IF(M428,Y427*(N428-AB427)-Inputs!$B$9-Y427*AD427*Inputs!$B$13*(A428-AC427),0)</f>
        <v>0</v>
      </c>
      <c r="P428" s="10" t="n">
        <f aca="false">X427+O428</f>
        <v>1016.3844066801</v>
      </c>
      <c r="Q428" s="9" t="b">
        <f aca="false">AND(IF(M428,0,Y427)=0,AA427,IF(ISNUMBER(AE427),B428&gt;AE427,FALSE()))</f>
        <v>0</v>
      </c>
      <c r="R428" s="8" t="n">
        <f aca="false">B428*(1+Inputs!$B$12)</f>
        <v>0.770470367045717</v>
      </c>
      <c r="S428" s="11" t="n">
        <f aca="false">IF(Q428,MIN(P428*Inputs!$B$3/(R428-AE427),P428*Inputs!$B$11/R428),0)</f>
        <v>0</v>
      </c>
      <c r="T428" s="11" t="n">
        <f aca="false">IF(Q428,S428,IF(M428,0,Y427))</f>
        <v>0</v>
      </c>
      <c r="U428" s="8" t="n">
        <f aca="false">IF(Q428,AE427,AF427)</f>
        <v>0.938328062071903</v>
      </c>
      <c r="V428" s="9" t="b">
        <f aca="false">AND(T428&gt;0,D428&lt;=U428)</f>
        <v>0</v>
      </c>
      <c r="W428" s="10" t="n">
        <f aca="false">IF(V428,T428*(AK428-AB428)-Inputs!$B$9-T428*AD428*Inputs!$B$13*(A428-AC428),0)</f>
        <v>0</v>
      </c>
      <c r="X428" s="10" t="n">
        <f aca="false">P428-IF(Q428,Inputs!$B$9,0)+W428</f>
        <v>1016.3844066801</v>
      </c>
      <c r="Y428" s="11" t="n">
        <f aca="false">IF(V428,0,T428)</f>
        <v>0</v>
      </c>
      <c r="Z428" s="9" t="b">
        <f aca="false">AND(Y428&gt;0,K428)</f>
        <v>0</v>
      </c>
      <c r="AA428" s="9" t="b">
        <f aca="false">AND(Y428=0,J428,ISNUMBER(L428))</f>
        <v>0</v>
      </c>
      <c r="AB428" s="8" t="n">
        <f aca="false">IF(Q428,R428,AB427)</f>
        <v>0.95824964655134</v>
      </c>
      <c r="AC428" s="12" t="n">
        <f aca="false">IF(Q428,A428,AC427)</f>
        <v>45034</v>
      </c>
      <c r="AD428" s="8" t="n">
        <f aca="false">IF(Q428,B428,AD427)</f>
        <v>0.958058034944351</v>
      </c>
      <c r="AE428" s="8" t="str">
        <f aca="false">IF(AA428,L428,"")</f>
        <v/>
      </c>
      <c r="AF428" s="8" t="n">
        <f aca="false">U428</f>
        <v>0.938328062071903</v>
      </c>
      <c r="AG428" s="2" t="n">
        <f aca="false">AG427+IF(Q428,1,0)</f>
        <v>2</v>
      </c>
      <c r="AH428" s="2" t="n">
        <f aca="false">AG427</f>
        <v>2</v>
      </c>
      <c r="AI428" s="10" t="n">
        <f aca="false">X428+Y428*(E428-AB428)-Y428*AD428*Inputs!$B$13*(A428-AC428)</f>
        <v>1016.3844066801</v>
      </c>
      <c r="AJ428" s="10" t="n">
        <v>0</v>
      </c>
      <c r="AK428" s="8" t="n">
        <f aca="false">IF(AND(B428&lt;=U428,NOT(Q428)),B428,U428)*(1-Inputs!$B$12)</f>
        <v>0.770162240524203</v>
      </c>
    </row>
    <row r="429" customFormat="false" ht="15" hidden="false" customHeight="false" outlineLevel="0" collapsed="false">
      <c r="A429" s="6" t="n">
        <v>45213</v>
      </c>
      <c r="B429" s="7" t="n">
        <v>0.766443756382904</v>
      </c>
      <c r="C429" s="7" t="n">
        <v>0.770214224562254</v>
      </c>
      <c r="D429" s="7" t="n">
        <v>0.764922589431633</v>
      </c>
      <c r="E429" s="7" t="n">
        <v>0.770105595702433</v>
      </c>
      <c r="F429" s="8" t="n">
        <f aca="true">IF(ROW()-2&gt;=Inputs!$B$4,AVERAGE(OFFSET(E429,1-Inputs!$B$4,0,Inputs!$B$4,1)),"")</f>
        <v>0.774413064935446</v>
      </c>
      <c r="G429" s="8" t="n">
        <f aca="true">IF(ROW()-2&gt;=Inputs!$B$5,AVERAGE(OFFSET(E429,1-Inputs!$B$5,0,Inputs!$B$5,1)),"")</f>
        <v>0.783904932909061</v>
      </c>
      <c r="H429" s="8" t="n">
        <f aca="false">MAX(C429-D429,ABS(C429-E428),ABS(D429-E428))</f>
        <v>0.00529163513062081</v>
      </c>
      <c r="I429" s="8" t="n">
        <f aca="true">IF(ROW()-2&lt;14,"",IF(ROW()-2=14,AVERAGE(OFFSET(H429,-13,0,14,1)),(I428*13+H429)/14))</f>
        <v>0.00811027298933241</v>
      </c>
      <c r="J429" s="9" t="b">
        <f aca="false">IF(AND(ISNUMBER(F429),ISNUMBER(G429),ISNUMBER(F428),ISNUMBER(G428)),AND(F429&gt;G429,F428&lt;=G428),FALSE())</f>
        <v>0</v>
      </c>
      <c r="K429" s="9" t="b">
        <f aca="false">IF(AND(ISNUMBER(F429),ISNUMBER(G429),ISNUMBER(F428),ISNUMBER(G428)),AND(F429&lt;G429,F428&gt;=G428),FALSE())</f>
        <v>0</v>
      </c>
      <c r="L429" s="8" t="n">
        <f aca="false">IF(ISNUMBER(I429),E429-Inputs!$B$6*I429,"")</f>
        <v>0.753885049723768</v>
      </c>
      <c r="M429" s="9" t="b">
        <f aca="false">AND(Y428&gt;0,Z428)</f>
        <v>0</v>
      </c>
      <c r="N429" s="8" t="n">
        <f aca="false">B429*(1-Inputs!$B$12)</f>
        <v>0.766290467631627</v>
      </c>
      <c r="O429" s="10" t="n">
        <f aca="false">IF(M429,Y428*(N429-AB428)-Inputs!$B$9-Y428*AD428*Inputs!$B$13*(A429-AC428),0)</f>
        <v>0</v>
      </c>
      <c r="P429" s="10" t="n">
        <f aca="false">X428+O429</f>
        <v>1016.3844066801</v>
      </c>
      <c r="Q429" s="9" t="b">
        <f aca="false">AND(IF(M429,0,Y428)=0,AA428,IF(ISNUMBER(AE428),B429&gt;AE428,FALSE()))</f>
        <v>0</v>
      </c>
      <c r="R429" s="8" t="n">
        <f aca="false">B429*(1+Inputs!$B$12)</f>
        <v>0.76659704513418</v>
      </c>
      <c r="S429" s="11" t="n">
        <f aca="false">IF(Q429,MIN(P429*Inputs!$B$3/(R429-AE428),P429*Inputs!$B$11/R429),0)</f>
        <v>0</v>
      </c>
      <c r="T429" s="11" t="n">
        <f aca="false">IF(Q429,S429,IF(M429,0,Y428))</f>
        <v>0</v>
      </c>
      <c r="U429" s="8" t="n">
        <f aca="false">IF(Q429,AE428,AF428)</f>
        <v>0.938328062071903</v>
      </c>
      <c r="V429" s="9" t="b">
        <f aca="false">AND(T429&gt;0,D429&lt;=U429)</f>
        <v>0</v>
      </c>
      <c r="W429" s="10" t="n">
        <f aca="false">IF(V429,T429*(AK429-AB429)-Inputs!$B$9-T429*AD429*Inputs!$B$13*(A429-AC429),0)</f>
        <v>0</v>
      </c>
      <c r="X429" s="10" t="n">
        <f aca="false">P429-IF(Q429,Inputs!$B$9,0)+W429</f>
        <v>1016.3844066801</v>
      </c>
      <c r="Y429" s="11" t="n">
        <f aca="false">IF(V429,0,T429)</f>
        <v>0</v>
      </c>
      <c r="Z429" s="9" t="b">
        <f aca="false">AND(Y429&gt;0,K429)</f>
        <v>0</v>
      </c>
      <c r="AA429" s="9" t="b">
        <f aca="false">AND(Y429=0,J429,ISNUMBER(L429))</f>
        <v>0</v>
      </c>
      <c r="AB429" s="8" t="n">
        <f aca="false">IF(Q429,R429,AB428)</f>
        <v>0.95824964655134</v>
      </c>
      <c r="AC429" s="12" t="n">
        <f aca="false">IF(Q429,A429,AC428)</f>
        <v>45034</v>
      </c>
      <c r="AD429" s="8" t="n">
        <f aca="false">IF(Q429,B429,AD428)</f>
        <v>0.958058034944351</v>
      </c>
      <c r="AE429" s="8" t="str">
        <f aca="false">IF(AA429,L429,"")</f>
        <v/>
      </c>
      <c r="AF429" s="8" t="n">
        <f aca="false">U429</f>
        <v>0.938328062071903</v>
      </c>
      <c r="AG429" s="2" t="n">
        <f aca="false">AG428+IF(Q429,1,0)</f>
        <v>2</v>
      </c>
      <c r="AH429" s="2" t="n">
        <f aca="false">AG428</f>
        <v>2</v>
      </c>
      <c r="AI429" s="10" t="n">
        <f aca="false">X429+Y429*(E429-AB429)-Y429*AD429*Inputs!$B$13*(A429-AC429)</f>
        <v>1016.3844066801</v>
      </c>
      <c r="AJ429" s="10" t="n">
        <v>0</v>
      </c>
      <c r="AK429" s="8" t="n">
        <f aca="false">IF(AND(B429&lt;=U429,NOT(Q429)),B429,U429)*(1-Inputs!$B$12)</f>
        <v>0.766290467631627</v>
      </c>
    </row>
    <row r="430" customFormat="false" ht="15" hidden="false" customHeight="false" outlineLevel="0" collapsed="false">
      <c r="A430" s="6" t="n">
        <v>45214</v>
      </c>
      <c r="B430" s="7" t="n">
        <v>0.770105595702433</v>
      </c>
      <c r="C430" s="7" t="n">
        <v>0.772943555953536</v>
      </c>
      <c r="D430" s="7" t="n">
        <v>0.768472266427435</v>
      </c>
      <c r="E430" s="7" t="n">
        <v>0.771128699457216</v>
      </c>
      <c r="F430" s="8" t="n">
        <f aca="true">IF(ROW()-2&gt;=Inputs!$B$4,AVERAGE(OFFSET(E430,1-Inputs!$B$4,0,Inputs!$B$4,1)),"")</f>
        <v>0.774187583872797</v>
      </c>
      <c r="G430" s="8" t="n">
        <f aca="true">IF(ROW()-2&gt;=Inputs!$B$5,AVERAGE(OFFSET(E430,1-Inputs!$B$5,0,Inputs!$B$5,1)),"")</f>
        <v>0.782653602358537</v>
      </c>
      <c r="H430" s="8" t="n">
        <f aca="false">MAX(C430-D430,ABS(C430-E429),ABS(D430-E429))</f>
        <v>0.00447128952610132</v>
      </c>
      <c r="I430" s="8" t="n">
        <f aca="true">IF(ROW()-2&lt;14,"",IF(ROW()-2=14,AVERAGE(OFFSET(H430,-13,0,14,1)),(I429*13+H430)/14))</f>
        <v>0.00785034559910161</v>
      </c>
      <c r="J430" s="9" t="b">
        <f aca="false">IF(AND(ISNUMBER(F430),ISNUMBER(G430),ISNUMBER(F429),ISNUMBER(G429)),AND(F430&gt;G430,F429&lt;=G429),FALSE())</f>
        <v>0</v>
      </c>
      <c r="K430" s="9" t="b">
        <f aca="false">IF(AND(ISNUMBER(F430),ISNUMBER(G430),ISNUMBER(F429),ISNUMBER(G429)),AND(F430&lt;G430,F429&gt;=G429),FALSE())</f>
        <v>0</v>
      </c>
      <c r="L430" s="8" t="n">
        <f aca="false">IF(ISNUMBER(I430),E430-Inputs!$B$6*I430,"")</f>
        <v>0.755428008259013</v>
      </c>
      <c r="M430" s="9" t="b">
        <f aca="false">AND(Y429&gt;0,Z429)</f>
        <v>0</v>
      </c>
      <c r="N430" s="8" t="n">
        <f aca="false">B430*(1-Inputs!$B$12)</f>
        <v>0.769951574583292</v>
      </c>
      <c r="O430" s="10" t="n">
        <f aca="false">IF(M430,Y429*(N430-AB429)-Inputs!$B$9-Y429*AD429*Inputs!$B$13*(A430-AC429),0)</f>
        <v>0</v>
      </c>
      <c r="P430" s="10" t="n">
        <f aca="false">X429+O430</f>
        <v>1016.3844066801</v>
      </c>
      <c r="Q430" s="9" t="b">
        <f aca="false">AND(IF(M430,0,Y429)=0,AA429,IF(ISNUMBER(AE429),B430&gt;AE429,FALSE()))</f>
        <v>0</v>
      </c>
      <c r="R430" s="8" t="n">
        <f aca="false">B430*(1+Inputs!$B$12)</f>
        <v>0.770259616821573</v>
      </c>
      <c r="S430" s="11" t="n">
        <f aca="false">IF(Q430,MIN(P430*Inputs!$B$3/(R430-AE429),P430*Inputs!$B$11/R430),0)</f>
        <v>0</v>
      </c>
      <c r="T430" s="11" t="n">
        <f aca="false">IF(Q430,S430,IF(M430,0,Y429))</f>
        <v>0</v>
      </c>
      <c r="U430" s="8" t="n">
        <f aca="false">IF(Q430,AE429,AF429)</f>
        <v>0.938328062071903</v>
      </c>
      <c r="V430" s="9" t="b">
        <f aca="false">AND(T430&gt;0,D430&lt;=U430)</f>
        <v>0</v>
      </c>
      <c r="W430" s="10" t="n">
        <f aca="false">IF(V430,T430*(AK430-AB430)-Inputs!$B$9-T430*AD430*Inputs!$B$13*(A430-AC430),0)</f>
        <v>0</v>
      </c>
      <c r="X430" s="10" t="n">
        <f aca="false">P430-IF(Q430,Inputs!$B$9,0)+W430</f>
        <v>1016.3844066801</v>
      </c>
      <c r="Y430" s="11" t="n">
        <f aca="false">IF(V430,0,T430)</f>
        <v>0</v>
      </c>
      <c r="Z430" s="9" t="b">
        <f aca="false">AND(Y430&gt;0,K430)</f>
        <v>0</v>
      </c>
      <c r="AA430" s="9" t="b">
        <f aca="false">AND(Y430=0,J430,ISNUMBER(L430))</f>
        <v>0</v>
      </c>
      <c r="AB430" s="8" t="n">
        <f aca="false">IF(Q430,R430,AB429)</f>
        <v>0.95824964655134</v>
      </c>
      <c r="AC430" s="12" t="n">
        <f aca="false">IF(Q430,A430,AC429)</f>
        <v>45034</v>
      </c>
      <c r="AD430" s="8" t="n">
        <f aca="false">IF(Q430,B430,AD429)</f>
        <v>0.958058034944351</v>
      </c>
      <c r="AE430" s="8" t="str">
        <f aca="false">IF(AA430,L430,"")</f>
        <v/>
      </c>
      <c r="AF430" s="8" t="n">
        <f aca="false">U430</f>
        <v>0.938328062071903</v>
      </c>
      <c r="AG430" s="2" t="n">
        <f aca="false">AG429+IF(Q430,1,0)</f>
        <v>2</v>
      </c>
      <c r="AH430" s="2" t="n">
        <f aca="false">AG429</f>
        <v>2</v>
      </c>
      <c r="AI430" s="10" t="n">
        <f aca="false">X430+Y430*(E430-AB430)-Y430*AD430*Inputs!$B$13*(A430-AC430)</f>
        <v>1016.3844066801</v>
      </c>
      <c r="AJ430" s="10" t="n">
        <v>0</v>
      </c>
      <c r="AK430" s="8" t="n">
        <f aca="false">IF(AND(B430&lt;=U430,NOT(Q430)),B430,U430)*(1-Inputs!$B$12)</f>
        <v>0.769951574583292</v>
      </c>
    </row>
    <row r="431" customFormat="false" ht="15" hidden="false" customHeight="false" outlineLevel="0" collapsed="false">
      <c r="A431" s="6" t="n">
        <v>45215</v>
      </c>
      <c r="B431" s="7" t="n">
        <v>0.771128699457216</v>
      </c>
      <c r="C431" s="7" t="n">
        <v>0.772165667495994</v>
      </c>
      <c r="D431" s="7" t="n">
        <v>0.769778055103975</v>
      </c>
      <c r="E431" s="7" t="n">
        <v>0.77207058392318</v>
      </c>
      <c r="F431" s="8" t="n">
        <f aca="true">IF(ROW()-2&gt;=Inputs!$B$4,AVERAGE(OFFSET(E431,1-Inputs!$B$4,0,Inputs!$B$4,1)),"")</f>
        <v>0.774252520709604</v>
      </c>
      <c r="G431" s="8" t="n">
        <f aca="true">IF(ROW()-2&gt;=Inputs!$B$5,AVERAGE(OFFSET(E431,1-Inputs!$B$5,0,Inputs!$B$5,1)),"")</f>
        <v>0.78174068952546</v>
      </c>
      <c r="H431" s="8" t="n">
        <f aca="false">MAX(C431-D431,ABS(C431-E430),ABS(D431-E430))</f>
        <v>0.00238761239201835</v>
      </c>
      <c r="I431" s="8" t="n">
        <f aca="true">IF(ROW()-2&lt;14,"",IF(ROW()-2=14,AVERAGE(OFFSET(H431,-13,0,14,1)),(I430*13+H431)/14))</f>
        <v>0.00746015037002424</v>
      </c>
      <c r="J431" s="9" t="b">
        <f aca="false">IF(AND(ISNUMBER(F431),ISNUMBER(G431),ISNUMBER(F430),ISNUMBER(G430)),AND(F431&gt;G431,F430&lt;=G430),FALSE())</f>
        <v>0</v>
      </c>
      <c r="K431" s="9" t="b">
        <f aca="false">IF(AND(ISNUMBER(F431),ISNUMBER(G431),ISNUMBER(F430),ISNUMBER(G430)),AND(F431&lt;G431,F430&gt;=G430),FALSE())</f>
        <v>0</v>
      </c>
      <c r="L431" s="8" t="n">
        <f aca="false">IF(ISNUMBER(I431),E431-Inputs!$B$6*I431,"")</f>
        <v>0.757150283183132</v>
      </c>
      <c r="M431" s="9" t="b">
        <f aca="false">AND(Y430&gt;0,Z430)</f>
        <v>0</v>
      </c>
      <c r="N431" s="8" t="n">
        <f aca="false">B431*(1-Inputs!$B$12)</f>
        <v>0.770974473717325</v>
      </c>
      <c r="O431" s="10" t="n">
        <f aca="false">IF(M431,Y430*(N431-AB430)-Inputs!$B$9-Y430*AD430*Inputs!$B$13*(A431-AC430),0)</f>
        <v>0</v>
      </c>
      <c r="P431" s="10" t="n">
        <f aca="false">X430+O431</f>
        <v>1016.3844066801</v>
      </c>
      <c r="Q431" s="9" t="b">
        <f aca="false">AND(IF(M431,0,Y430)=0,AA430,IF(ISNUMBER(AE430),B431&gt;AE430,FALSE()))</f>
        <v>0</v>
      </c>
      <c r="R431" s="8" t="n">
        <f aca="false">B431*(1+Inputs!$B$12)</f>
        <v>0.771282925197108</v>
      </c>
      <c r="S431" s="11" t="n">
        <f aca="false">IF(Q431,MIN(P431*Inputs!$B$3/(R431-AE430),P431*Inputs!$B$11/R431),0)</f>
        <v>0</v>
      </c>
      <c r="T431" s="11" t="n">
        <f aca="false">IF(Q431,S431,IF(M431,0,Y430))</f>
        <v>0</v>
      </c>
      <c r="U431" s="8" t="n">
        <f aca="false">IF(Q431,AE430,AF430)</f>
        <v>0.938328062071903</v>
      </c>
      <c r="V431" s="9" t="b">
        <f aca="false">AND(T431&gt;0,D431&lt;=U431)</f>
        <v>0</v>
      </c>
      <c r="W431" s="10" t="n">
        <f aca="false">IF(V431,T431*(AK431-AB431)-Inputs!$B$9-T431*AD431*Inputs!$B$13*(A431-AC431),0)</f>
        <v>0</v>
      </c>
      <c r="X431" s="10" t="n">
        <f aca="false">P431-IF(Q431,Inputs!$B$9,0)+W431</f>
        <v>1016.3844066801</v>
      </c>
      <c r="Y431" s="11" t="n">
        <f aca="false">IF(V431,0,T431)</f>
        <v>0</v>
      </c>
      <c r="Z431" s="9" t="b">
        <f aca="false">AND(Y431&gt;0,K431)</f>
        <v>0</v>
      </c>
      <c r="AA431" s="9" t="b">
        <f aca="false">AND(Y431=0,J431,ISNUMBER(L431))</f>
        <v>0</v>
      </c>
      <c r="AB431" s="8" t="n">
        <f aca="false">IF(Q431,R431,AB430)</f>
        <v>0.95824964655134</v>
      </c>
      <c r="AC431" s="12" t="n">
        <f aca="false">IF(Q431,A431,AC430)</f>
        <v>45034</v>
      </c>
      <c r="AD431" s="8" t="n">
        <f aca="false">IF(Q431,B431,AD430)</f>
        <v>0.958058034944351</v>
      </c>
      <c r="AE431" s="8" t="str">
        <f aca="false">IF(AA431,L431,"")</f>
        <v/>
      </c>
      <c r="AF431" s="8" t="n">
        <f aca="false">U431</f>
        <v>0.938328062071903</v>
      </c>
      <c r="AG431" s="2" t="n">
        <f aca="false">AG430+IF(Q431,1,0)</f>
        <v>2</v>
      </c>
      <c r="AH431" s="2" t="n">
        <f aca="false">AG430</f>
        <v>2</v>
      </c>
      <c r="AI431" s="10" t="n">
        <f aca="false">X431+Y431*(E431-AB431)-Y431*AD431*Inputs!$B$13*(A431-AC431)</f>
        <v>1016.3844066801</v>
      </c>
      <c r="AJ431" s="10" t="n">
        <v>0</v>
      </c>
      <c r="AK431" s="8" t="n">
        <f aca="false">IF(AND(B431&lt;=U431,NOT(Q431)),B431,U431)*(1-Inputs!$B$12)</f>
        <v>0.770974473717325</v>
      </c>
    </row>
    <row r="432" customFormat="false" ht="15" hidden="false" customHeight="false" outlineLevel="0" collapsed="false">
      <c r="A432" s="6" t="n">
        <v>45216</v>
      </c>
      <c r="B432" s="7" t="n">
        <v>0.77207058392318</v>
      </c>
      <c r="C432" s="7" t="n">
        <v>0.772895902774575</v>
      </c>
      <c r="D432" s="7" t="n">
        <v>0.769499050483412</v>
      </c>
      <c r="E432" s="7" t="n">
        <v>0.770545229654106</v>
      </c>
      <c r="F432" s="8" t="n">
        <f aca="true">IF(ROW()-2&gt;=Inputs!$B$4,AVERAGE(OFFSET(E432,1-Inputs!$B$4,0,Inputs!$B$4,1)),"")</f>
        <v>0.774173298256512</v>
      </c>
      <c r="G432" s="8" t="n">
        <f aca="true">IF(ROW()-2&gt;=Inputs!$B$5,AVERAGE(OFFSET(E432,1-Inputs!$B$5,0,Inputs!$B$5,1)),"")</f>
        <v>0.780888152476928</v>
      </c>
      <c r="H432" s="8" t="n">
        <f aca="false">MAX(C432-D432,ABS(C432-E431),ABS(D432-E431))</f>
        <v>0.0033968522911636</v>
      </c>
      <c r="I432" s="8" t="n">
        <f aca="true">IF(ROW()-2&lt;14,"",IF(ROW()-2=14,AVERAGE(OFFSET(H432,-13,0,14,1)),(I431*13+H432)/14))</f>
        <v>0.00716991479296276</v>
      </c>
      <c r="J432" s="9" t="b">
        <f aca="false">IF(AND(ISNUMBER(F432),ISNUMBER(G432),ISNUMBER(F431),ISNUMBER(G431)),AND(F432&gt;G432,F431&lt;=G431),FALSE())</f>
        <v>0</v>
      </c>
      <c r="K432" s="9" t="b">
        <f aca="false">IF(AND(ISNUMBER(F432),ISNUMBER(G432),ISNUMBER(F431),ISNUMBER(G431)),AND(F432&lt;G432,F431&gt;=G431),FALSE())</f>
        <v>0</v>
      </c>
      <c r="L432" s="8" t="n">
        <f aca="false">IF(ISNUMBER(I432),E432-Inputs!$B$6*I432,"")</f>
        <v>0.75620540006818</v>
      </c>
      <c r="M432" s="9" t="b">
        <f aca="false">AND(Y431&gt;0,Z431)</f>
        <v>0</v>
      </c>
      <c r="N432" s="8" t="n">
        <f aca="false">B432*(1-Inputs!$B$12)</f>
        <v>0.771916169806396</v>
      </c>
      <c r="O432" s="10" t="n">
        <f aca="false">IF(M432,Y431*(N432-AB431)-Inputs!$B$9-Y431*AD431*Inputs!$B$13*(A432-AC431),0)</f>
        <v>0</v>
      </c>
      <c r="P432" s="10" t="n">
        <f aca="false">X431+O432</f>
        <v>1016.3844066801</v>
      </c>
      <c r="Q432" s="9" t="b">
        <f aca="false">AND(IF(M432,0,Y431)=0,AA431,IF(ISNUMBER(AE431),B432&gt;AE431,FALSE()))</f>
        <v>0</v>
      </c>
      <c r="R432" s="8" t="n">
        <f aca="false">B432*(1+Inputs!$B$12)</f>
        <v>0.772224998039965</v>
      </c>
      <c r="S432" s="11" t="n">
        <f aca="false">IF(Q432,MIN(P432*Inputs!$B$3/(R432-AE431),P432*Inputs!$B$11/R432),0)</f>
        <v>0</v>
      </c>
      <c r="T432" s="11" t="n">
        <f aca="false">IF(Q432,S432,IF(M432,0,Y431))</f>
        <v>0</v>
      </c>
      <c r="U432" s="8" t="n">
        <f aca="false">IF(Q432,AE431,AF431)</f>
        <v>0.938328062071903</v>
      </c>
      <c r="V432" s="9" t="b">
        <f aca="false">AND(T432&gt;0,D432&lt;=U432)</f>
        <v>0</v>
      </c>
      <c r="W432" s="10" t="n">
        <f aca="false">IF(V432,T432*(AK432-AB432)-Inputs!$B$9-T432*AD432*Inputs!$B$13*(A432-AC432),0)</f>
        <v>0</v>
      </c>
      <c r="X432" s="10" t="n">
        <f aca="false">P432-IF(Q432,Inputs!$B$9,0)+W432</f>
        <v>1016.3844066801</v>
      </c>
      <c r="Y432" s="11" t="n">
        <f aca="false">IF(V432,0,T432)</f>
        <v>0</v>
      </c>
      <c r="Z432" s="9" t="b">
        <f aca="false">AND(Y432&gt;0,K432)</f>
        <v>0</v>
      </c>
      <c r="AA432" s="9" t="b">
        <f aca="false">AND(Y432=0,J432,ISNUMBER(L432))</f>
        <v>0</v>
      </c>
      <c r="AB432" s="8" t="n">
        <f aca="false">IF(Q432,R432,AB431)</f>
        <v>0.95824964655134</v>
      </c>
      <c r="AC432" s="12" t="n">
        <f aca="false">IF(Q432,A432,AC431)</f>
        <v>45034</v>
      </c>
      <c r="AD432" s="8" t="n">
        <f aca="false">IF(Q432,B432,AD431)</f>
        <v>0.958058034944351</v>
      </c>
      <c r="AE432" s="8" t="str">
        <f aca="false">IF(AA432,L432,"")</f>
        <v/>
      </c>
      <c r="AF432" s="8" t="n">
        <f aca="false">U432</f>
        <v>0.938328062071903</v>
      </c>
      <c r="AG432" s="2" t="n">
        <f aca="false">AG431+IF(Q432,1,0)</f>
        <v>2</v>
      </c>
      <c r="AH432" s="2" t="n">
        <f aca="false">AG431</f>
        <v>2</v>
      </c>
      <c r="AI432" s="10" t="n">
        <f aca="false">X432+Y432*(E432-AB432)-Y432*AD432*Inputs!$B$13*(A432-AC432)</f>
        <v>1016.3844066801</v>
      </c>
      <c r="AJ432" s="10" t="n">
        <v>0</v>
      </c>
      <c r="AK432" s="8" t="n">
        <f aca="false">IF(AND(B432&lt;=U432,NOT(Q432)),B432,U432)*(1-Inputs!$B$12)</f>
        <v>0.771916169806396</v>
      </c>
    </row>
    <row r="433" customFormat="false" ht="15" hidden="false" customHeight="false" outlineLevel="0" collapsed="false">
      <c r="A433" s="6" t="n">
        <v>45217</v>
      </c>
      <c r="B433" s="7" t="n">
        <v>0.770545229654106</v>
      </c>
      <c r="C433" s="7" t="n">
        <v>0.773854092739343</v>
      </c>
      <c r="D433" s="7" t="n">
        <v>0.767582185870076</v>
      </c>
      <c r="E433" s="7" t="n">
        <v>0.768706819304791</v>
      </c>
      <c r="F433" s="8" t="n">
        <f aca="true">IF(ROW()-2&gt;=Inputs!$B$4,AVERAGE(OFFSET(E433,1-Inputs!$B$4,0,Inputs!$B$4,1)),"")</f>
        <v>0.773832456051507</v>
      </c>
      <c r="G433" s="8" t="n">
        <f aca="true">IF(ROW()-2&gt;=Inputs!$B$5,AVERAGE(OFFSET(E433,1-Inputs!$B$5,0,Inputs!$B$5,1)),"")</f>
        <v>0.779947067185711</v>
      </c>
      <c r="H433" s="8" t="n">
        <f aca="false">MAX(C433-D433,ABS(C433-E432),ABS(D433-E432))</f>
        <v>0.00627190686926626</v>
      </c>
      <c r="I433" s="8" t="n">
        <f aca="true">IF(ROW()-2&lt;14,"",IF(ROW()-2=14,AVERAGE(OFFSET(H433,-13,0,14,1)),(I432*13+H433)/14))</f>
        <v>0.00710577136984159</v>
      </c>
      <c r="J433" s="9" t="b">
        <f aca="false">IF(AND(ISNUMBER(F433),ISNUMBER(G433),ISNUMBER(F432),ISNUMBER(G432)),AND(F433&gt;G433,F432&lt;=G432),FALSE())</f>
        <v>0</v>
      </c>
      <c r="K433" s="9" t="b">
        <f aca="false">IF(AND(ISNUMBER(F433),ISNUMBER(G433),ISNUMBER(F432),ISNUMBER(G432)),AND(F433&lt;G433,F432&gt;=G432),FALSE())</f>
        <v>0</v>
      </c>
      <c r="L433" s="8" t="n">
        <f aca="false">IF(ISNUMBER(I433),E433-Inputs!$B$6*I433,"")</f>
        <v>0.754495276565108</v>
      </c>
      <c r="M433" s="9" t="b">
        <f aca="false">AND(Y432&gt;0,Z432)</f>
        <v>0</v>
      </c>
      <c r="N433" s="8" t="n">
        <f aca="false">B433*(1-Inputs!$B$12)</f>
        <v>0.770391120608175</v>
      </c>
      <c r="O433" s="10" t="n">
        <f aca="false">IF(M433,Y432*(N433-AB432)-Inputs!$B$9-Y432*AD432*Inputs!$B$13*(A433-AC432),0)</f>
        <v>0</v>
      </c>
      <c r="P433" s="10" t="n">
        <f aca="false">X432+O433</f>
        <v>1016.3844066801</v>
      </c>
      <c r="Q433" s="9" t="b">
        <f aca="false">AND(IF(M433,0,Y432)=0,AA432,IF(ISNUMBER(AE432),B433&gt;AE432,FALSE()))</f>
        <v>0</v>
      </c>
      <c r="R433" s="8" t="n">
        <f aca="false">B433*(1+Inputs!$B$12)</f>
        <v>0.770699338700037</v>
      </c>
      <c r="S433" s="11" t="n">
        <f aca="false">IF(Q433,MIN(P433*Inputs!$B$3/(R433-AE432),P433*Inputs!$B$11/R433),0)</f>
        <v>0</v>
      </c>
      <c r="T433" s="11" t="n">
        <f aca="false">IF(Q433,S433,IF(M433,0,Y432))</f>
        <v>0</v>
      </c>
      <c r="U433" s="8" t="n">
        <f aca="false">IF(Q433,AE432,AF432)</f>
        <v>0.938328062071903</v>
      </c>
      <c r="V433" s="9" t="b">
        <f aca="false">AND(T433&gt;0,D433&lt;=U433)</f>
        <v>0</v>
      </c>
      <c r="W433" s="10" t="n">
        <f aca="false">IF(V433,T433*(AK433-AB433)-Inputs!$B$9-T433*AD433*Inputs!$B$13*(A433-AC433),0)</f>
        <v>0</v>
      </c>
      <c r="X433" s="10" t="n">
        <f aca="false">P433-IF(Q433,Inputs!$B$9,0)+W433</f>
        <v>1016.3844066801</v>
      </c>
      <c r="Y433" s="11" t="n">
        <f aca="false">IF(V433,0,T433)</f>
        <v>0</v>
      </c>
      <c r="Z433" s="9" t="b">
        <f aca="false">AND(Y433&gt;0,K433)</f>
        <v>0</v>
      </c>
      <c r="AA433" s="9" t="b">
        <f aca="false">AND(Y433=0,J433,ISNUMBER(L433))</f>
        <v>0</v>
      </c>
      <c r="AB433" s="8" t="n">
        <f aca="false">IF(Q433,R433,AB432)</f>
        <v>0.95824964655134</v>
      </c>
      <c r="AC433" s="12" t="n">
        <f aca="false">IF(Q433,A433,AC432)</f>
        <v>45034</v>
      </c>
      <c r="AD433" s="8" t="n">
        <f aca="false">IF(Q433,B433,AD432)</f>
        <v>0.958058034944351</v>
      </c>
      <c r="AE433" s="8" t="str">
        <f aca="false">IF(AA433,L433,"")</f>
        <v/>
      </c>
      <c r="AF433" s="8" t="n">
        <f aca="false">U433</f>
        <v>0.938328062071903</v>
      </c>
      <c r="AG433" s="2" t="n">
        <f aca="false">AG432+IF(Q433,1,0)</f>
        <v>2</v>
      </c>
      <c r="AH433" s="2" t="n">
        <f aca="false">AG432</f>
        <v>2</v>
      </c>
      <c r="AI433" s="10" t="n">
        <f aca="false">X433+Y433*(E433-AB433)-Y433*AD433*Inputs!$B$13*(A433-AC433)</f>
        <v>1016.3844066801</v>
      </c>
      <c r="AJ433" s="10" t="n">
        <v>0</v>
      </c>
      <c r="AK433" s="8" t="n">
        <f aca="false">IF(AND(B433&lt;=U433,NOT(Q433)),B433,U433)*(1-Inputs!$B$12)</f>
        <v>0.770391120608175</v>
      </c>
    </row>
    <row r="434" customFormat="false" ht="15" hidden="false" customHeight="false" outlineLevel="0" collapsed="false">
      <c r="A434" s="6" t="n">
        <v>45218</v>
      </c>
      <c r="B434" s="7" t="n">
        <v>0.768706819304791</v>
      </c>
      <c r="C434" s="7" t="n">
        <v>0.772520502253626</v>
      </c>
      <c r="D434" s="7" t="n">
        <v>0.767812029445344</v>
      </c>
      <c r="E434" s="7" t="n">
        <v>0.769614452303443</v>
      </c>
      <c r="F434" s="8" t="n">
        <f aca="true">IF(ROW()-2&gt;=Inputs!$B$4,AVERAGE(OFFSET(E434,1-Inputs!$B$4,0,Inputs!$B$4,1)),"")</f>
        <v>0.773298556521519</v>
      </c>
      <c r="G434" s="8" t="n">
        <f aca="true">IF(ROW()-2&gt;=Inputs!$B$5,AVERAGE(OFFSET(E434,1-Inputs!$B$5,0,Inputs!$B$5,1)),"")</f>
        <v>0.778992979144983</v>
      </c>
      <c r="H434" s="8" t="n">
        <f aca="false">MAX(C434-D434,ABS(C434-E433),ABS(D434-E433))</f>
        <v>0.00470847280828191</v>
      </c>
      <c r="I434" s="8" t="n">
        <f aca="true">IF(ROW()-2&lt;14,"",IF(ROW()-2=14,AVERAGE(OFFSET(H434,-13,0,14,1)),(I433*13+H434)/14))</f>
        <v>0.00693453575830161</v>
      </c>
      <c r="J434" s="9" t="b">
        <f aca="false">IF(AND(ISNUMBER(F434),ISNUMBER(G434),ISNUMBER(F433),ISNUMBER(G433)),AND(F434&gt;G434,F433&lt;=G433),FALSE())</f>
        <v>0</v>
      </c>
      <c r="K434" s="9" t="b">
        <f aca="false">IF(AND(ISNUMBER(F434),ISNUMBER(G434),ISNUMBER(F433),ISNUMBER(G433)),AND(F434&lt;G434,F433&gt;=G433),FALSE())</f>
        <v>0</v>
      </c>
      <c r="L434" s="8" t="n">
        <f aca="false">IF(ISNUMBER(I434),E434-Inputs!$B$6*I434,"")</f>
        <v>0.75574538078684</v>
      </c>
      <c r="M434" s="9" t="b">
        <f aca="false">AND(Y433&gt;0,Z433)</f>
        <v>0</v>
      </c>
      <c r="N434" s="8" t="n">
        <f aca="false">B434*(1-Inputs!$B$12)</f>
        <v>0.76855307794093</v>
      </c>
      <c r="O434" s="10" t="n">
        <f aca="false">IF(M434,Y433*(N434-AB433)-Inputs!$B$9-Y433*AD433*Inputs!$B$13*(A434-AC433),0)</f>
        <v>0</v>
      </c>
      <c r="P434" s="10" t="n">
        <f aca="false">X433+O434</f>
        <v>1016.3844066801</v>
      </c>
      <c r="Q434" s="9" t="b">
        <f aca="false">AND(IF(M434,0,Y433)=0,AA433,IF(ISNUMBER(AE433),B434&gt;AE433,FALSE()))</f>
        <v>0</v>
      </c>
      <c r="R434" s="8" t="n">
        <f aca="false">B434*(1+Inputs!$B$12)</f>
        <v>0.768860560668652</v>
      </c>
      <c r="S434" s="11" t="n">
        <f aca="false">IF(Q434,MIN(P434*Inputs!$B$3/(R434-AE433),P434*Inputs!$B$11/R434),0)</f>
        <v>0</v>
      </c>
      <c r="T434" s="11" t="n">
        <f aca="false">IF(Q434,S434,IF(M434,0,Y433))</f>
        <v>0</v>
      </c>
      <c r="U434" s="8" t="n">
        <f aca="false">IF(Q434,AE433,AF433)</f>
        <v>0.938328062071903</v>
      </c>
      <c r="V434" s="9" t="b">
        <f aca="false">AND(T434&gt;0,D434&lt;=U434)</f>
        <v>0</v>
      </c>
      <c r="W434" s="10" t="n">
        <f aca="false">IF(V434,T434*(AK434-AB434)-Inputs!$B$9-T434*AD434*Inputs!$B$13*(A434-AC434),0)</f>
        <v>0</v>
      </c>
      <c r="X434" s="10" t="n">
        <f aca="false">P434-IF(Q434,Inputs!$B$9,0)+W434</f>
        <v>1016.3844066801</v>
      </c>
      <c r="Y434" s="11" t="n">
        <f aca="false">IF(V434,0,T434)</f>
        <v>0</v>
      </c>
      <c r="Z434" s="9" t="b">
        <f aca="false">AND(Y434&gt;0,K434)</f>
        <v>0</v>
      </c>
      <c r="AA434" s="9" t="b">
        <f aca="false">AND(Y434=0,J434,ISNUMBER(L434))</f>
        <v>0</v>
      </c>
      <c r="AB434" s="8" t="n">
        <f aca="false">IF(Q434,R434,AB433)</f>
        <v>0.95824964655134</v>
      </c>
      <c r="AC434" s="12" t="n">
        <f aca="false">IF(Q434,A434,AC433)</f>
        <v>45034</v>
      </c>
      <c r="AD434" s="8" t="n">
        <f aca="false">IF(Q434,B434,AD433)</f>
        <v>0.958058034944351</v>
      </c>
      <c r="AE434" s="8" t="str">
        <f aca="false">IF(AA434,L434,"")</f>
        <v/>
      </c>
      <c r="AF434" s="8" t="n">
        <f aca="false">U434</f>
        <v>0.938328062071903</v>
      </c>
      <c r="AG434" s="2" t="n">
        <f aca="false">AG433+IF(Q434,1,0)</f>
        <v>2</v>
      </c>
      <c r="AH434" s="2" t="n">
        <f aca="false">AG433</f>
        <v>2</v>
      </c>
      <c r="AI434" s="10" t="n">
        <f aca="false">X434+Y434*(E434-AB434)-Y434*AD434*Inputs!$B$13*(A434-AC434)</f>
        <v>1016.3844066801</v>
      </c>
      <c r="AJ434" s="10" t="n">
        <v>0</v>
      </c>
      <c r="AK434" s="8" t="n">
        <f aca="false">IF(AND(B434&lt;=U434,NOT(Q434)),B434,U434)*(1-Inputs!$B$12)</f>
        <v>0.76855307794093</v>
      </c>
    </row>
    <row r="435" customFormat="false" ht="15" hidden="false" customHeight="false" outlineLevel="0" collapsed="false">
      <c r="A435" s="6" t="n">
        <v>45219</v>
      </c>
      <c r="B435" s="7" t="n">
        <v>0.769614452303443</v>
      </c>
      <c r="C435" s="7" t="n">
        <v>0.775836164997872</v>
      </c>
      <c r="D435" s="7" t="n">
        <v>0.766418658046758</v>
      </c>
      <c r="E435" s="7" t="n">
        <v>0.771036863796298</v>
      </c>
      <c r="F435" s="8" t="n">
        <f aca="true">IF(ROW()-2&gt;=Inputs!$B$4,AVERAGE(OFFSET(E435,1-Inputs!$B$4,0,Inputs!$B$4,1)),"")</f>
        <v>0.772686255739526</v>
      </c>
      <c r="G435" s="8" t="n">
        <f aca="true">IF(ROW()-2&gt;=Inputs!$B$5,AVERAGE(OFFSET(E435,1-Inputs!$B$5,0,Inputs!$B$5,1)),"")</f>
        <v>0.778042135496101</v>
      </c>
      <c r="H435" s="8" t="n">
        <f aca="false">MAX(C435-D435,ABS(C435-E434),ABS(D435-E434))</f>
        <v>0.00941750695111365</v>
      </c>
      <c r="I435" s="8" t="n">
        <f aca="true">IF(ROW()-2&lt;14,"",IF(ROW()-2=14,AVERAGE(OFFSET(H435,-13,0,14,1)),(I434*13+H435)/14))</f>
        <v>0.00711189084350247</v>
      </c>
      <c r="J435" s="9" t="b">
        <f aca="false">IF(AND(ISNUMBER(F435),ISNUMBER(G435),ISNUMBER(F434),ISNUMBER(G434)),AND(F435&gt;G435,F434&lt;=G434),FALSE())</f>
        <v>0</v>
      </c>
      <c r="K435" s="9" t="b">
        <f aca="false">IF(AND(ISNUMBER(F435),ISNUMBER(G435),ISNUMBER(F434),ISNUMBER(G434)),AND(F435&lt;G435,F434&gt;=G434),FALSE())</f>
        <v>0</v>
      </c>
      <c r="L435" s="8" t="n">
        <f aca="false">IF(ISNUMBER(I435),E435-Inputs!$B$6*I435,"")</f>
        <v>0.756813082109293</v>
      </c>
      <c r="M435" s="9" t="b">
        <f aca="false">AND(Y434&gt;0,Z434)</f>
        <v>0</v>
      </c>
      <c r="N435" s="8" t="n">
        <f aca="false">B435*(1-Inputs!$B$12)</f>
        <v>0.769460529412982</v>
      </c>
      <c r="O435" s="10" t="n">
        <f aca="false">IF(M435,Y434*(N435-AB434)-Inputs!$B$9-Y434*AD434*Inputs!$B$13*(A435-AC434),0)</f>
        <v>0</v>
      </c>
      <c r="P435" s="10" t="n">
        <f aca="false">X434+O435</f>
        <v>1016.3844066801</v>
      </c>
      <c r="Q435" s="9" t="b">
        <f aca="false">AND(IF(M435,0,Y434)=0,AA434,IF(ISNUMBER(AE434),B435&gt;AE434,FALSE()))</f>
        <v>0</v>
      </c>
      <c r="R435" s="8" t="n">
        <f aca="false">B435*(1+Inputs!$B$12)</f>
        <v>0.769768375193903</v>
      </c>
      <c r="S435" s="11" t="n">
        <f aca="false">IF(Q435,MIN(P435*Inputs!$B$3/(R435-AE434),P435*Inputs!$B$11/R435),0)</f>
        <v>0</v>
      </c>
      <c r="T435" s="11" t="n">
        <f aca="false">IF(Q435,S435,IF(M435,0,Y434))</f>
        <v>0</v>
      </c>
      <c r="U435" s="8" t="n">
        <f aca="false">IF(Q435,AE434,AF434)</f>
        <v>0.938328062071903</v>
      </c>
      <c r="V435" s="9" t="b">
        <f aca="false">AND(T435&gt;0,D435&lt;=U435)</f>
        <v>0</v>
      </c>
      <c r="W435" s="10" t="n">
        <f aca="false">IF(V435,T435*(AK435-AB435)-Inputs!$B$9-T435*AD435*Inputs!$B$13*(A435-AC435),0)</f>
        <v>0</v>
      </c>
      <c r="X435" s="10" t="n">
        <f aca="false">P435-IF(Q435,Inputs!$B$9,0)+W435</f>
        <v>1016.3844066801</v>
      </c>
      <c r="Y435" s="11" t="n">
        <f aca="false">IF(V435,0,T435)</f>
        <v>0</v>
      </c>
      <c r="Z435" s="9" t="b">
        <f aca="false">AND(Y435&gt;0,K435)</f>
        <v>0</v>
      </c>
      <c r="AA435" s="9" t="b">
        <f aca="false">AND(Y435=0,J435,ISNUMBER(L435))</f>
        <v>0</v>
      </c>
      <c r="AB435" s="8" t="n">
        <f aca="false">IF(Q435,R435,AB434)</f>
        <v>0.95824964655134</v>
      </c>
      <c r="AC435" s="12" t="n">
        <f aca="false">IF(Q435,A435,AC434)</f>
        <v>45034</v>
      </c>
      <c r="AD435" s="8" t="n">
        <f aca="false">IF(Q435,B435,AD434)</f>
        <v>0.958058034944351</v>
      </c>
      <c r="AE435" s="8" t="str">
        <f aca="false">IF(AA435,L435,"")</f>
        <v/>
      </c>
      <c r="AF435" s="8" t="n">
        <f aca="false">U435</f>
        <v>0.938328062071903</v>
      </c>
      <c r="AG435" s="2" t="n">
        <f aca="false">AG434+IF(Q435,1,0)</f>
        <v>2</v>
      </c>
      <c r="AH435" s="2" t="n">
        <f aca="false">AG434</f>
        <v>2</v>
      </c>
      <c r="AI435" s="10" t="n">
        <f aca="false">X435+Y435*(E435-AB435)-Y435*AD435*Inputs!$B$13*(A435-AC435)</f>
        <v>1016.3844066801</v>
      </c>
      <c r="AJ435" s="10" t="n">
        <v>0</v>
      </c>
      <c r="AK435" s="8" t="n">
        <f aca="false">IF(AND(B435&lt;=U435,NOT(Q435)),B435,U435)*(1-Inputs!$B$12)</f>
        <v>0.769460529412982</v>
      </c>
    </row>
    <row r="436" customFormat="false" ht="15" hidden="false" customHeight="false" outlineLevel="0" collapsed="false">
      <c r="A436" s="6" t="n">
        <v>45220</v>
      </c>
      <c r="B436" s="7" t="n">
        <v>0.771036863796298</v>
      </c>
      <c r="C436" s="7" t="n">
        <v>0.778722620519975</v>
      </c>
      <c r="D436" s="7" t="n">
        <v>0.76876786755103</v>
      </c>
      <c r="E436" s="7" t="n">
        <v>0.777723639179311</v>
      </c>
      <c r="F436" s="8" t="n">
        <f aca="true">IF(ROW()-2&gt;=Inputs!$B$4,AVERAGE(OFFSET(E436,1-Inputs!$B$4,0,Inputs!$B$4,1)),"")</f>
        <v>0.772884283884698</v>
      </c>
      <c r="G436" s="8" t="n">
        <f aca="true">IF(ROW()-2&gt;=Inputs!$B$5,AVERAGE(OFFSET(E436,1-Inputs!$B$5,0,Inputs!$B$5,1)),"")</f>
        <v>0.777408072817524</v>
      </c>
      <c r="H436" s="8" t="n">
        <f aca="false">MAX(C436-D436,ABS(C436-E435),ABS(D436-E435))</f>
        <v>0.0099547529689441</v>
      </c>
      <c r="I436" s="8" t="n">
        <f aca="true">IF(ROW()-2&lt;14,"",IF(ROW()-2=14,AVERAGE(OFFSET(H436,-13,0,14,1)),(I435*13+H436)/14))</f>
        <v>0.00731495242389116</v>
      </c>
      <c r="J436" s="9" t="b">
        <f aca="false">IF(AND(ISNUMBER(F436),ISNUMBER(G436),ISNUMBER(F435),ISNUMBER(G435)),AND(F436&gt;G436,F435&lt;=G435),FALSE())</f>
        <v>0</v>
      </c>
      <c r="K436" s="9" t="b">
        <f aca="false">IF(AND(ISNUMBER(F436),ISNUMBER(G436),ISNUMBER(F435),ISNUMBER(G435)),AND(F436&lt;G436,F435&gt;=G435),FALSE())</f>
        <v>0</v>
      </c>
      <c r="L436" s="8" t="n">
        <f aca="false">IF(ISNUMBER(I436),E436-Inputs!$B$6*I436,"")</f>
        <v>0.763093734331529</v>
      </c>
      <c r="M436" s="9" t="b">
        <f aca="false">AND(Y435&gt;0,Z435)</f>
        <v>0</v>
      </c>
      <c r="N436" s="8" t="n">
        <f aca="false">B436*(1-Inputs!$B$12)</f>
        <v>0.770882656423538</v>
      </c>
      <c r="O436" s="10" t="n">
        <f aca="false">IF(M436,Y435*(N436-AB435)-Inputs!$B$9-Y435*AD435*Inputs!$B$13*(A436-AC435),0)</f>
        <v>0</v>
      </c>
      <c r="P436" s="10" t="n">
        <f aca="false">X435+O436</f>
        <v>1016.3844066801</v>
      </c>
      <c r="Q436" s="9" t="b">
        <f aca="false">AND(IF(M436,0,Y435)=0,AA435,IF(ISNUMBER(AE435),B436&gt;AE435,FALSE()))</f>
        <v>0</v>
      </c>
      <c r="R436" s="8" t="n">
        <f aca="false">B436*(1+Inputs!$B$12)</f>
        <v>0.771191071169057</v>
      </c>
      <c r="S436" s="11" t="n">
        <f aca="false">IF(Q436,MIN(P436*Inputs!$B$3/(R436-AE435),P436*Inputs!$B$11/R436),0)</f>
        <v>0</v>
      </c>
      <c r="T436" s="11" t="n">
        <f aca="false">IF(Q436,S436,IF(M436,0,Y435))</f>
        <v>0</v>
      </c>
      <c r="U436" s="8" t="n">
        <f aca="false">IF(Q436,AE435,AF435)</f>
        <v>0.938328062071903</v>
      </c>
      <c r="V436" s="9" t="b">
        <f aca="false">AND(T436&gt;0,D436&lt;=U436)</f>
        <v>0</v>
      </c>
      <c r="W436" s="10" t="n">
        <f aca="false">IF(V436,T436*(AK436-AB436)-Inputs!$B$9-T436*AD436*Inputs!$B$13*(A436-AC436),0)</f>
        <v>0</v>
      </c>
      <c r="X436" s="10" t="n">
        <f aca="false">P436-IF(Q436,Inputs!$B$9,0)+W436</f>
        <v>1016.3844066801</v>
      </c>
      <c r="Y436" s="11" t="n">
        <f aca="false">IF(V436,0,T436)</f>
        <v>0</v>
      </c>
      <c r="Z436" s="9" t="b">
        <f aca="false">AND(Y436&gt;0,K436)</f>
        <v>0</v>
      </c>
      <c r="AA436" s="9" t="b">
        <f aca="false">AND(Y436=0,J436,ISNUMBER(L436))</f>
        <v>0</v>
      </c>
      <c r="AB436" s="8" t="n">
        <f aca="false">IF(Q436,R436,AB435)</f>
        <v>0.95824964655134</v>
      </c>
      <c r="AC436" s="12" t="n">
        <f aca="false">IF(Q436,A436,AC435)</f>
        <v>45034</v>
      </c>
      <c r="AD436" s="8" t="n">
        <f aca="false">IF(Q436,B436,AD435)</f>
        <v>0.958058034944351</v>
      </c>
      <c r="AE436" s="8" t="str">
        <f aca="false">IF(AA436,L436,"")</f>
        <v/>
      </c>
      <c r="AF436" s="8" t="n">
        <f aca="false">U436</f>
        <v>0.938328062071903</v>
      </c>
      <c r="AG436" s="2" t="n">
        <f aca="false">AG435+IF(Q436,1,0)</f>
        <v>2</v>
      </c>
      <c r="AH436" s="2" t="n">
        <f aca="false">AG435</f>
        <v>2</v>
      </c>
      <c r="AI436" s="10" t="n">
        <f aca="false">X436+Y436*(E436-AB436)-Y436*AD436*Inputs!$B$13*(A436-AC436)</f>
        <v>1016.3844066801</v>
      </c>
      <c r="AJ436" s="10" t="n">
        <v>0</v>
      </c>
      <c r="AK436" s="8" t="n">
        <f aca="false">IF(AND(B436&lt;=U436,NOT(Q436)),B436,U436)*(1-Inputs!$B$12)</f>
        <v>0.770882656423538</v>
      </c>
    </row>
    <row r="437" customFormat="false" ht="15" hidden="false" customHeight="false" outlineLevel="0" collapsed="false">
      <c r="A437" s="6" t="n">
        <v>45221</v>
      </c>
      <c r="B437" s="7" t="n">
        <v>0.777723639179311</v>
      </c>
      <c r="C437" s="7" t="n">
        <v>0.785553556642797</v>
      </c>
      <c r="D437" s="7" t="n">
        <v>0.777526087094363</v>
      </c>
      <c r="E437" s="7" t="n">
        <v>0.782401583573779</v>
      </c>
      <c r="F437" s="8" t="n">
        <f aca="true">IF(ROW()-2&gt;=Inputs!$B$4,AVERAGE(OFFSET(E437,1-Inputs!$B$4,0,Inputs!$B$4,1)),"")</f>
        <v>0.773320071289274</v>
      </c>
      <c r="G437" s="8" t="n">
        <f aca="true">IF(ROW()-2&gt;=Inputs!$B$5,AVERAGE(OFFSET(E437,1-Inputs!$B$5,0,Inputs!$B$5,1)),"")</f>
        <v>0.776819183066722</v>
      </c>
      <c r="H437" s="8" t="n">
        <f aca="false">MAX(C437-D437,ABS(C437-E436),ABS(D437-E436))</f>
        <v>0.00802746954843403</v>
      </c>
      <c r="I437" s="8" t="n">
        <f aca="true">IF(ROW()-2&lt;14,"",IF(ROW()-2=14,AVERAGE(OFFSET(H437,-13,0,14,1)),(I436*13+H437)/14))</f>
        <v>0.00736584650421565</v>
      </c>
      <c r="J437" s="9" t="b">
        <f aca="false">IF(AND(ISNUMBER(F437),ISNUMBER(G437),ISNUMBER(F436),ISNUMBER(G436)),AND(F437&gt;G437,F436&lt;=G436),FALSE())</f>
        <v>0</v>
      </c>
      <c r="K437" s="9" t="b">
        <f aca="false">IF(AND(ISNUMBER(F437),ISNUMBER(G437),ISNUMBER(F436),ISNUMBER(G436)),AND(F437&lt;G437,F436&gt;=G436),FALSE())</f>
        <v>0</v>
      </c>
      <c r="L437" s="8" t="n">
        <f aca="false">IF(ISNUMBER(I437),E437-Inputs!$B$6*I437,"")</f>
        <v>0.767669890565347</v>
      </c>
      <c r="M437" s="9" t="b">
        <f aca="false">AND(Y436&gt;0,Z436)</f>
        <v>0</v>
      </c>
      <c r="N437" s="8" t="n">
        <f aca="false">B437*(1-Inputs!$B$12)</f>
        <v>0.777568094451475</v>
      </c>
      <c r="O437" s="10" t="n">
        <f aca="false">IF(M437,Y436*(N437-AB436)-Inputs!$B$9-Y436*AD436*Inputs!$B$13*(A437-AC436),0)</f>
        <v>0</v>
      </c>
      <c r="P437" s="10" t="n">
        <f aca="false">X436+O437</f>
        <v>1016.3844066801</v>
      </c>
      <c r="Q437" s="9" t="b">
        <f aca="false">AND(IF(M437,0,Y436)=0,AA436,IF(ISNUMBER(AE436),B437&gt;AE436,FALSE()))</f>
        <v>0</v>
      </c>
      <c r="R437" s="8" t="n">
        <f aca="false">B437*(1+Inputs!$B$12)</f>
        <v>0.777879183907147</v>
      </c>
      <c r="S437" s="11" t="n">
        <f aca="false">IF(Q437,MIN(P437*Inputs!$B$3/(R437-AE436),P437*Inputs!$B$11/R437),0)</f>
        <v>0</v>
      </c>
      <c r="T437" s="11" t="n">
        <f aca="false">IF(Q437,S437,IF(M437,0,Y436))</f>
        <v>0</v>
      </c>
      <c r="U437" s="8" t="n">
        <f aca="false">IF(Q437,AE436,AF436)</f>
        <v>0.938328062071903</v>
      </c>
      <c r="V437" s="9" t="b">
        <f aca="false">AND(T437&gt;0,D437&lt;=U437)</f>
        <v>0</v>
      </c>
      <c r="W437" s="10" t="n">
        <f aca="false">IF(V437,T437*(AK437-AB437)-Inputs!$B$9-T437*AD437*Inputs!$B$13*(A437-AC437),0)</f>
        <v>0</v>
      </c>
      <c r="X437" s="10" t="n">
        <f aca="false">P437-IF(Q437,Inputs!$B$9,0)+W437</f>
        <v>1016.3844066801</v>
      </c>
      <c r="Y437" s="11" t="n">
        <f aca="false">IF(V437,0,T437)</f>
        <v>0</v>
      </c>
      <c r="Z437" s="9" t="b">
        <f aca="false">AND(Y437&gt;0,K437)</f>
        <v>0</v>
      </c>
      <c r="AA437" s="9" t="b">
        <f aca="false">AND(Y437=0,J437,ISNUMBER(L437))</f>
        <v>0</v>
      </c>
      <c r="AB437" s="8" t="n">
        <f aca="false">IF(Q437,R437,AB436)</f>
        <v>0.95824964655134</v>
      </c>
      <c r="AC437" s="12" t="n">
        <f aca="false">IF(Q437,A437,AC436)</f>
        <v>45034</v>
      </c>
      <c r="AD437" s="8" t="n">
        <f aca="false">IF(Q437,B437,AD436)</f>
        <v>0.958058034944351</v>
      </c>
      <c r="AE437" s="8" t="str">
        <f aca="false">IF(AA437,L437,"")</f>
        <v/>
      </c>
      <c r="AF437" s="8" t="n">
        <f aca="false">U437</f>
        <v>0.938328062071903</v>
      </c>
      <c r="AG437" s="2" t="n">
        <f aca="false">AG436+IF(Q437,1,0)</f>
        <v>2</v>
      </c>
      <c r="AH437" s="2" t="n">
        <f aca="false">AG436</f>
        <v>2</v>
      </c>
      <c r="AI437" s="10" t="n">
        <f aca="false">X437+Y437*(E437-AB437)-Y437*AD437*Inputs!$B$13*(A437-AC437)</f>
        <v>1016.3844066801</v>
      </c>
      <c r="AJ437" s="10" t="n">
        <v>0</v>
      </c>
      <c r="AK437" s="8" t="n">
        <f aca="false">IF(AND(B437&lt;=U437,NOT(Q437)),B437,U437)*(1-Inputs!$B$12)</f>
        <v>0.777568094451475</v>
      </c>
    </row>
    <row r="438" customFormat="false" ht="15" hidden="false" customHeight="false" outlineLevel="0" collapsed="false">
      <c r="A438" s="6" t="n">
        <v>45222</v>
      </c>
      <c r="B438" s="7" t="n">
        <v>0.782401583573779</v>
      </c>
      <c r="C438" s="7" t="n">
        <v>0.791384399974903</v>
      </c>
      <c r="D438" s="7" t="n">
        <v>0.781786996570424</v>
      </c>
      <c r="E438" s="7" t="n">
        <v>0.786375659615156</v>
      </c>
      <c r="F438" s="8" t="n">
        <f aca="true">IF(ROW()-2&gt;=Inputs!$B$4,AVERAGE(OFFSET(E438,1-Inputs!$B$4,0,Inputs!$B$4,1)),"")</f>
        <v>0.77396397474502</v>
      </c>
      <c r="G438" s="8" t="n">
        <f aca="true">IF(ROW()-2&gt;=Inputs!$B$5,AVERAGE(OFFSET(E438,1-Inputs!$B$5,0,Inputs!$B$5,1)),"")</f>
        <v>0.77640511953802</v>
      </c>
      <c r="H438" s="8" t="n">
        <f aca="false">MAX(C438-D438,ABS(C438-E437),ABS(D438-E437))</f>
        <v>0.0095974034044789</v>
      </c>
      <c r="I438" s="8" t="n">
        <f aca="true">IF(ROW()-2&lt;14,"",IF(ROW()-2=14,AVERAGE(OFFSET(H438,-13,0,14,1)),(I437*13+H438)/14))</f>
        <v>0.00752524342566302</v>
      </c>
      <c r="J438" s="9" t="b">
        <f aca="false">IF(AND(ISNUMBER(F438),ISNUMBER(G438),ISNUMBER(F437),ISNUMBER(G437)),AND(F438&gt;G438,F437&lt;=G437),FALSE())</f>
        <v>0</v>
      </c>
      <c r="K438" s="9" t="b">
        <f aca="false">IF(AND(ISNUMBER(F438),ISNUMBER(G438),ISNUMBER(F437),ISNUMBER(G437)),AND(F438&lt;G438,F437&gt;=G437),FALSE())</f>
        <v>0</v>
      </c>
      <c r="L438" s="8" t="n">
        <f aca="false">IF(ISNUMBER(I438),E438-Inputs!$B$6*I438,"")</f>
        <v>0.77132517276383</v>
      </c>
      <c r="M438" s="9" t="b">
        <f aca="false">AND(Y437&gt;0,Z437)</f>
        <v>0</v>
      </c>
      <c r="N438" s="8" t="n">
        <f aca="false">B438*(1-Inputs!$B$12)</f>
        <v>0.782245103257064</v>
      </c>
      <c r="O438" s="10" t="n">
        <f aca="false">IF(M438,Y437*(N438-AB437)-Inputs!$B$9-Y437*AD437*Inputs!$B$13*(A438-AC437),0)</f>
        <v>0</v>
      </c>
      <c r="P438" s="10" t="n">
        <f aca="false">X437+O438</f>
        <v>1016.3844066801</v>
      </c>
      <c r="Q438" s="9" t="b">
        <f aca="false">AND(IF(M438,0,Y437)=0,AA437,IF(ISNUMBER(AE437),B438&gt;AE437,FALSE()))</f>
        <v>0</v>
      </c>
      <c r="R438" s="8" t="n">
        <f aca="false">B438*(1+Inputs!$B$12)</f>
        <v>0.782558063890493</v>
      </c>
      <c r="S438" s="11" t="n">
        <f aca="false">IF(Q438,MIN(P438*Inputs!$B$3/(R438-AE437),P438*Inputs!$B$11/R438),0)</f>
        <v>0</v>
      </c>
      <c r="T438" s="11" t="n">
        <f aca="false">IF(Q438,S438,IF(M438,0,Y437))</f>
        <v>0</v>
      </c>
      <c r="U438" s="8" t="n">
        <f aca="false">IF(Q438,AE437,AF437)</f>
        <v>0.938328062071903</v>
      </c>
      <c r="V438" s="9" t="b">
        <f aca="false">AND(T438&gt;0,D438&lt;=U438)</f>
        <v>0</v>
      </c>
      <c r="W438" s="10" t="n">
        <f aca="false">IF(V438,T438*(AK438-AB438)-Inputs!$B$9-T438*AD438*Inputs!$B$13*(A438-AC438),0)</f>
        <v>0</v>
      </c>
      <c r="X438" s="10" t="n">
        <f aca="false">P438-IF(Q438,Inputs!$B$9,0)+W438</f>
        <v>1016.3844066801</v>
      </c>
      <c r="Y438" s="11" t="n">
        <f aca="false">IF(V438,0,T438)</f>
        <v>0</v>
      </c>
      <c r="Z438" s="9" t="b">
        <f aca="false">AND(Y438&gt;0,K438)</f>
        <v>0</v>
      </c>
      <c r="AA438" s="9" t="b">
        <f aca="false">AND(Y438=0,J438,ISNUMBER(L438))</f>
        <v>0</v>
      </c>
      <c r="AB438" s="8" t="n">
        <f aca="false">IF(Q438,R438,AB437)</f>
        <v>0.95824964655134</v>
      </c>
      <c r="AC438" s="12" t="n">
        <f aca="false">IF(Q438,A438,AC437)</f>
        <v>45034</v>
      </c>
      <c r="AD438" s="8" t="n">
        <f aca="false">IF(Q438,B438,AD437)</f>
        <v>0.958058034944351</v>
      </c>
      <c r="AE438" s="8" t="str">
        <f aca="false">IF(AA438,L438,"")</f>
        <v/>
      </c>
      <c r="AF438" s="8" t="n">
        <f aca="false">U438</f>
        <v>0.938328062071903</v>
      </c>
      <c r="AG438" s="2" t="n">
        <f aca="false">AG437+IF(Q438,1,0)</f>
        <v>2</v>
      </c>
      <c r="AH438" s="2" t="n">
        <f aca="false">AG437</f>
        <v>2</v>
      </c>
      <c r="AI438" s="10" t="n">
        <f aca="false">X438+Y438*(E438-AB438)-Y438*AD438*Inputs!$B$13*(A438-AC438)</f>
        <v>1016.3844066801</v>
      </c>
      <c r="AJ438" s="10" t="n">
        <v>0</v>
      </c>
      <c r="AK438" s="8" t="n">
        <f aca="false">IF(AND(B438&lt;=U438,NOT(Q438)),B438,U438)*(1-Inputs!$B$12)</f>
        <v>0.782245103257064</v>
      </c>
    </row>
    <row r="439" customFormat="false" ht="15" hidden="false" customHeight="false" outlineLevel="0" collapsed="false">
      <c r="A439" s="6" t="n">
        <v>45223</v>
      </c>
      <c r="B439" s="7" t="n">
        <v>0.786375659615156</v>
      </c>
      <c r="C439" s="7" t="n">
        <v>0.789719106189501</v>
      </c>
      <c r="D439" s="7" t="n">
        <v>0.783825453321871</v>
      </c>
      <c r="E439" s="7" t="n">
        <v>0.785185690285715</v>
      </c>
      <c r="F439" s="8" t="n">
        <f aca="true">IF(ROW()-2&gt;=Inputs!$B$4,AVERAGE(OFFSET(E439,1-Inputs!$B$4,0,Inputs!$B$4,1)),"")</f>
        <v>0.774708195765355</v>
      </c>
      <c r="G439" s="8" t="n">
        <f aca="true">IF(ROW()-2&gt;=Inputs!$B$5,AVERAGE(OFFSET(E439,1-Inputs!$B$5,0,Inputs!$B$5,1)),"")</f>
        <v>0.775939358251541</v>
      </c>
      <c r="H439" s="8" t="n">
        <f aca="false">MAX(C439-D439,ABS(C439-E438),ABS(D439-E438))</f>
        <v>0.00589365286763022</v>
      </c>
      <c r="I439" s="8" t="n">
        <f aca="true">IF(ROW()-2&lt;14,"",IF(ROW()-2=14,AVERAGE(OFFSET(H439,-13,0,14,1)),(I438*13+H439)/14))</f>
        <v>0.00740870124294639</v>
      </c>
      <c r="J439" s="9" t="b">
        <f aca="false">IF(AND(ISNUMBER(F439),ISNUMBER(G439),ISNUMBER(F438),ISNUMBER(G438)),AND(F439&gt;G439,F438&lt;=G438),FALSE())</f>
        <v>0</v>
      </c>
      <c r="K439" s="9" t="b">
        <f aca="false">IF(AND(ISNUMBER(F439),ISNUMBER(G439),ISNUMBER(F438),ISNUMBER(G438)),AND(F439&lt;G439,F438&gt;=G438),FALSE())</f>
        <v>0</v>
      </c>
      <c r="L439" s="8" t="n">
        <f aca="false">IF(ISNUMBER(I439),E439-Inputs!$B$6*I439,"")</f>
        <v>0.770368287799823</v>
      </c>
      <c r="M439" s="9" t="b">
        <f aca="false">AND(Y438&gt;0,Z438)</f>
        <v>0</v>
      </c>
      <c r="N439" s="8" t="n">
        <f aca="false">B439*(1-Inputs!$B$12)</f>
        <v>0.786218384483233</v>
      </c>
      <c r="O439" s="10" t="n">
        <f aca="false">IF(M439,Y438*(N439-AB438)-Inputs!$B$9-Y438*AD438*Inputs!$B$13*(A439-AC438),0)</f>
        <v>0</v>
      </c>
      <c r="P439" s="10" t="n">
        <f aca="false">X438+O439</f>
        <v>1016.3844066801</v>
      </c>
      <c r="Q439" s="9" t="b">
        <f aca="false">AND(IF(M439,0,Y438)=0,AA438,IF(ISNUMBER(AE438),B439&gt;AE438,FALSE()))</f>
        <v>0</v>
      </c>
      <c r="R439" s="8" t="n">
        <f aca="false">B439*(1+Inputs!$B$12)</f>
        <v>0.786532934747079</v>
      </c>
      <c r="S439" s="11" t="n">
        <f aca="false">IF(Q439,MIN(P439*Inputs!$B$3/(R439-AE438),P439*Inputs!$B$11/R439),0)</f>
        <v>0</v>
      </c>
      <c r="T439" s="11" t="n">
        <f aca="false">IF(Q439,S439,IF(M439,0,Y438))</f>
        <v>0</v>
      </c>
      <c r="U439" s="8" t="n">
        <f aca="false">IF(Q439,AE438,AF438)</f>
        <v>0.938328062071903</v>
      </c>
      <c r="V439" s="9" t="b">
        <f aca="false">AND(T439&gt;0,D439&lt;=U439)</f>
        <v>0</v>
      </c>
      <c r="W439" s="10" t="n">
        <f aca="false">IF(V439,T439*(AK439-AB439)-Inputs!$B$9-T439*AD439*Inputs!$B$13*(A439-AC439),0)</f>
        <v>0</v>
      </c>
      <c r="X439" s="10" t="n">
        <f aca="false">P439-IF(Q439,Inputs!$B$9,0)+W439</f>
        <v>1016.3844066801</v>
      </c>
      <c r="Y439" s="11" t="n">
        <f aca="false">IF(V439,0,T439)</f>
        <v>0</v>
      </c>
      <c r="Z439" s="9" t="b">
        <f aca="false">AND(Y439&gt;0,K439)</f>
        <v>0</v>
      </c>
      <c r="AA439" s="9" t="b">
        <f aca="false">AND(Y439=0,J439,ISNUMBER(L439))</f>
        <v>0</v>
      </c>
      <c r="AB439" s="8" t="n">
        <f aca="false">IF(Q439,R439,AB438)</f>
        <v>0.95824964655134</v>
      </c>
      <c r="AC439" s="12" t="n">
        <f aca="false">IF(Q439,A439,AC438)</f>
        <v>45034</v>
      </c>
      <c r="AD439" s="8" t="n">
        <f aca="false">IF(Q439,B439,AD438)</f>
        <v>0.958058034944351</v>
      </c>
      <c r="AE439" s="8" t="str">
        <f aca="false">IF(AA439,L439,"")</f>
        <v/>
      </c>
      <c r="AF439" s="8" t="n">
        <f aca="false">U439</f>
        <v>0.938328062071903</v>
      </c>
      <c r="AG439" s="2" t="n">
        <f aca="false">AG438+IF(Q439,1,0)</f>
        <v>2</v>
      </c>
      <c r="AH439" s="2" t="n">
        <f aca="false">AG438</f>
        <v>2</v>
      </c>
      <c r="AI439" s="10" t="n">
        <f aca="false">X439+Y439*(E439-AB439)-Y439*AD439*Inputs!$B$13*(A439-AC439)</f>
        <v>1016.3844066801</v>
      </c>
      <c r="AJ439" s="10" t="n">
        <v>0</v>
      </c>
      <c r="AK439" s="8" t="n">
        <f aca="false">IF(AND(B439&lt;=U439,NOT(Q439)),B439,U439)*(1-Inputs!$B$12)</f>
        <v>0.786218384483233</v>
      </c>
    </row>
    <row r="440" customFormat="false" ht="15" hidden="false" customHeight="false" outlineLevel="0" collapsed="false">
      <c r="A440" s="6" t="n">
        <v>45224</v>
      </c>
      <c r="B440" s="7" t="n">
        <v>0.785185690285715</v>
      </c>
      <c r="C440" s="7" t="n">
        <v>0.785453792224126</v>
      </c>
      <c r="D440" s="7" t="n">
        <v>0.779878422278059</v>
      </c>
      <c r="E440" s="7" t="n">
        <v>0.780483938002438</v>
      </c>
      <c r="F440" s="8" t="n">
        <f aca="true">IF(ROW()-2&gt;=Inputs!$B$4,AVERAGE(OFFSET(E440,1-Inputs!$B$4,0,Inputs!$B$4,1)),"")</f>
        <v>0.775402799964198</v>
      </c>
      <c r="G440" s="8" t="n">
        <f aca="true">IF(ROW()-2&gt;=Inputs!$B$5,AVERAGE(OFFSET(E440,1-Inputs!$B$5,0,Inputs!$B$5,1)),"")</f>
        <v>0.775528333413362</v>
      </c>
      <c r="H440" s="8" t="n">
        <f aca="false">MAX(C440-D440,ABS(C440-E439),ABS(D440-E439))</f>
        <v>0.00557536994606722</v>
      </c>
      <c r="I440" s="8" t="n">
        <f aca="true">IF(ROW()-2&lt;14,"",IF(ROW()-2=14,AVERAGE(OFFSET(H440,-13,0,14,1)),(I439*13+H440)/14))</f>
        <v>0.00727774900745502</v>
      </c>
      <c r="J440" s="9" t="b">
        <f aca="false">IF(AND(ISNUMBER(F440),ISNUMBER(G440),ISNUMBER(F439),ISNUMBER(G439)),AND(F440&gt;G440,F439&lt;=G439),FALSE())</f>
        <v>0</v>
      </c>
      <c r="K440" s="9" t="b">
        <f aca="false">IF(AND(ISNUMBER(F440),ISNUMBER(G440),ISNUMBER(F439),ISNUMBER(G439)),AND(F440&lt;G440,F439&gt;=G439),FALSE())</f>
        <v>0</v>
      </c>
      <c r="L440" s="8" t="n">
        <f aca="false">IF(ISNUMBER(I440),E440-Inputs!$B$6*I440,"")</f>
        <v>0.765928439987528</v>
      </c>
      <c r="M440" s="9" t="b">
        <f aca="false">AND(Y439&gt;0,Z439)</f>
        <v>0</v>
      </c>
      <c r="N440" s="8" t="n">
        <f aca="false">B440*(1-Inputs!$B$12)</f>
        <v>0.785028653147658</v>
      </c>
      <c r="O440" s="10" t="n">
        <f aca="false">IF(M440,Y439*(N440-AB439)-Inputs!$B$9-Y439*AD439*Inputs!$B$13*(A440-AC439),0)</f>
        <v>0</v>
      </c>
      <c r="P440" s="10" t="n">
        <f aca="false">X439+O440</f>
        <v>1016.3844066801</v>
      </c>
      <c r="Q440" s="9" t="b">
        <f aca="false">AND(IF(M440,0,Y439)=0,AA439,IF(ISNUMBER(AE439),B440&gt;AE439,FALSE()))</f>
        <v>0</v>
      </c>
      <c r="R440" s="8" t="n">
        <f aca="false">B440*(1+Inputs!$B$12)</f>
        <v>0.785342727423773</v>
      </c>
      <c r="S440" s="11" t="n">
        <f aca="false">IF(Q440,MIN(P440*Inputs!$B$3/(R440-AE439),P440*Inputs!$B$11/R440),0)</f>
        <v>0</v>
      </c>
      <c r="T440" s="11" t="n">
        <f aca="false">IF(Q440,S440,IF(M440,0,Y439))</f>
        <v>0</v>
      </c>
      <c r="U440" s="8" t="n">
        <f aca="false">IF(Q440,AE439,AF439)</f>
        <v>0.938328062071903</v>
      </c>
      <c r="V440" s="9" t="b">
        <f aca="false">AND(T440&gt;0,D440&lt;=U440)</f>
        <v>0</v>
      </c>
      <c r="W440" s="10" t="n">
        <f aca="false">IF(V440,T440*(AK440-AB440)-Inputs!$B$9-T440*AD440*Inputs!$B$13*(A440-AC440),0)</f>
        <v>0</v>
      </c>
      <c r="X440" s="10" t="n">
        <f aca="false">P440-IF(Q440,Inputs!$B$9,0)+W440</f>
        <v>1016.3844066801</v>
      </c>
      <c r="Y440" s="11" t="n">
        <f aca="false">IF(V440,0,T440)</f>
        <v>0</v>
      </c>
      <c r="Z440" s="9" t="b">
        <f aca="false">AND(Y440&gt;0,K440)</f>
        <v>0</v>
      </c>
      <c r="AA440" s="9" t="b">
        <f aca="false">AND(Y440=0,J440,ISNUMBER(L440))</f>
        <v>0</v>
      </c>
      <c r="AB440" s="8" t="n">
        <f aca="false">IF(Q440,R440,AB439)</f>
        <v>0.95824964655134</v>
      </c>
      <c r="AC440" s="12" t="n">
        <f aca="false">IF(Q440,A440,AC439)</f>
        <v>45034</v>
      </c>
      <c r="AD440" s="8" t="n">
        <f aca="false">IF(Q440,B440,AD439)</f>
        <v>0.958058034944351</v>
      </c>
      <c r="AE440" s="8" t="str">
        <f aca="false">IF(AA440,L440,"")</f>
        <v/>
      </c>
      <c r="AF440" s="8" t="n">
        <f aca="false">U440</f>
        <v>0.938328062071903</v>
      </c>
      <c r="AG440" s="2" t="n">
        <f aca="false">AG439+IF(Q440,1,0)</f>
        <v>2</v>
      </c>
      <c r="AH440" s="2" t="n">
        <f aca="false">AG439</f>
        <v>2</v>
      </c>
      <c r="AI440" s="10" t="n">
        <f aca="false">X440+Y440*(E440-AB440)-Y440*AD440*Inputs!$B$13*(A440-AC440)</f>
        <v>1016.3844066801</v>
      </c>
      <c r="AJ440" s="10" t="n">
        <v>0</v>
      </c>
      <c r="AK440" s="8" t="n">
        <f aca="false">IF(AND(B440&lt;=U440,NOT(Q440)),B440,U440)*(1-Inputs!$B$12)</f>
        <v>0.785028653147658</v>
      </c>
    </row>
    <row r="441" customFormat="false" ht="15" hidden="false" customHeight="false" outlineLevel="0" collapsed="false">
      <c r="A441" s="6" t="n">
        <v>45225</v>
      </c>
      <c r="B441" s="7" t="n">
        <v>0.780483938002438</v>
      </c>
      <c r="C441" s="7" t="n">
        <v>0.790307979615259</v>
      </c>
      <c r="D441" s="7" t="n">
        <v>0.778890933803358</v>
      </c>
      <c r="E441" s="7" t="n">
        <v>0.787129059024367</v>
      </c>
      <c r="F441" s="8" t="n">
        <f aca="true">IF(ROW()-2&gt;=Inputs!$B$4,AVERAGE(OFFSET(E441,1-Inputs!$B$4,0,Inputs!$B$4,1)),"")</f>
        <v>0.77622693400215</v>
      </c>
      <c r="G441" s="8" t="n">
        <f aca="true">IF(ROW()-2&gt;=Inputs!$B$5,AVERAGE(OFFSET(E441,1-Inputs!$B$5,0,Inputs!$B$5,1)),"")</f>
        <v>0.775265578710625</v>
      </c>
      <c r="H441" s="8" t="n">
        <f aca="false">MAX(C441-D441,ABS(C441-E440),ABS(D441-E440))</f>
        <v>0.0114170458119007</v>
      </c>
      <c r="I441" s="8" t="n">
        <f aca="true">IF(ROW()-2&lt;14,"",IF(ROW()-2=14,AVERAGE(OFFSET(H441,-13,0,14,1)),(I440*13+H441)/14))</f>
        <v>0.00757341306491543</v>
      </c>
      <c r="J441" s="9" t="b">
        <f aca="false">IF(AND(ISNUMBER(F441),ISNUMBER(G441),ISNUMBER(F440),ISNUMBER(G440)),AND(F441&gt;G441,F440&lt;=G440),FALSE())</f>
        <v>1</v>
      </c>
      <c r="K441" s="9" t="b">
        <f aca="false">IF(AND(ISNUMBER(F441),ISNUMBER(G441),ISNUMBER(F440),ISNUMBER(G440)),AND(F441&lt;G441,F440&gt;=G440),FALSE())</f>
        <v>0</v>
      </c>
      <c r="L441" s="8" t="n">
        <f aca="false">IF(ISNUMBER(I441),E441-Inputs!$B$6*I441,"")</f>
        <v>0.771982232894536</v>
      </c>
      <c r="M441" s="9" t="b">
        <f aca="false">AND(Y440&gt;0,Z440)</f>
        <v>0</v>
      </c>
      <c r="N441" s="8" t="n">
        <f aca="false">B441*(1-Inputs!$B$12)</f>
        <v>0.780327841214838</v>
      </c>
      <c r="O441" s="10" t="n">
        <f aca="false">IF(M441,Y440*(N441-AB440)-Inputs!$B$9-Y440*AD440*Inputs!$B$13*(A441-AC440),0)</f>
        <v>0</v>
      </c>
      <c r="P441" s="10" t="n">
        <f aca="false">X440+O441</f>
        <v>1016.3844066801</v>
      </c>
      <c r="Q441" s="9" t="b">
        <f aca="false">AND(IF(M441,0,Y440)=0,AA440,IF(ISNUMBER(AE440),B441&gt;AE440,FALSE()))</f>
        <v>0</v>
      </c>
      <c r="R441" s="8" t="n">
        <f aca="false">B441*(1+Inputs!$B$12)</f>
        <v>0.780640034790039</v>
      </c>
      <c r="S441" s="11" t="n">
        <f aca="false">IF(Q441,MIN(P441*Inputs!$B$3/(R441-AE440),P441*Inputs!$B$11/R441),0)</f>
        <v>0</v>
      </c>
      <c r="T441" s="11" t="n">
        <f aca="false">IF(Q441,S441,IF(M441,0,Y440))</f>
        <v>0</v>
      </c>
      <c r="U441" s="8" t="n">
        <f aca="false">IF(Q441,AE440,AF440)</f>
        <v>0.938328062071903</v>
      </c>
      <c r="V441" s="9" t="b">
        <f aca="false">AND(T441&gt;0,D441&lt;=U441)</f>
        <v>0</v>
      </c>
      <c r="W441" s="10" t="n">
        <f aca="false">IF(V441,T441*(AK441-AB441)-Inputs!$B$9-T441*AD441*Inputs!$B$13*(A441-AC441),0)</f>
        <v>0</v>
      </c>
      <c r="X441" s="10" t="n">
        <f aca="false">P441-IF(Q441,Inputs!$B$9,0)+W441</f>
        <v>1016.3844066801</v>
      </c>
      <c r="Y441" s="11" t="n">
        <f aca="false">IF(V441,0,T441)</f>
        <v>0</v>
      </c>
      <c r="Z441" s="9" t="b">
        <f aca="false">AND(Y441&gt;0,K441)</f>
        <v>0</v>
      </c>
      <c r="AA441" s="9" t="b">
        <f aca="false">AND(Y441=0,J441,ISNUMBER(L441))</f>
        <v>1</v>
      </c>
      <c r="AB441" s="8" t="n">
        <f aca="false">IF(Q441,R441,AB440)</f>
        <v>0.95824964655134</v>
      </c>
      <c r="AC441" s="12" t="n">
        <f aca="false">IF(Q441,A441,AC440)</f>
        <v>45034</v>
      </c>
      <c r="AD441" s="8" t="n">
        <f aca="false">IF(Q441,B441,AD440)</f>
        <v>0.958058034944351</v>
      </c>
      <c r="AE441" s="8" t="n">
        <f aca="false">IF(AA441,L441,"")</f>
        <v>0.771982232894536</v>
      </c>
      <c r="AF441" s="8" t="n">
        <f aca="false">U441</f>
        <v>0.938328062071903</v>
      </c>
      <c r="AG441" s="2" t="n">
        <f aca="false">AG440+IF(Q441,1,0)</f>
        <v>2</v>
      </c>
      <c r="AH441" s="2" t="n">
        <f aca="false">AG440</f>
        <v>2</v>
      </c>
      <c r="AI441" s="10" t="n">
        <f aca="false">X441+Y441*(E441-AB441)-Y441*AD441*Inputs!$B$13*(A441-AC441)</f>
        <v>1016.3844066801</v>
      </c>
      <c r="AJ441" s="10" t="n">
        <v>0</v>
      </c>
      <c r="AK441" s="8" t="n">
        <f aca="false">IF(AND(B441&lt;=U441,NOT(Q441)),B441,U441)*(1-Inputs!$B$12)</f>
        <v>0.780327841214838</v>
      </c>
    </row>
    <row r="442" customFormat="false" ht="15" hidden="false" customHeight="false" outlineLevel="0" collapsed="false">
      <c r="A442" s="6" t="n">
        <v>45226</v>
      </c>
      <c r="B442" s="7" t="n">
        <v>0.787129059024367</v>
      </c>
      <c r="C442" s="7" t="n">
        <v>0.791566499080389</v>
      </c>
      <c r="D442" s="7" t="n">
        <v>0.782823001054707</v>
      </c>
      <c r="E442" s="7" t="n">
        <v>0.788536164079008</v>
      </c>
      <c r="F442" s="8" t="n">
        <f aca="true">IF(ROW()-2&gt;=Inputs!$B$4,AVERAGE(OFFSET(E442,1-Inputs!$B$4,0,Inputs!$B$4,1)),"")</f>
        <v>0.776655781495691</v>
      </c>
      <c r="G442" s="8" t="n">
        <f aca="true">IF(ROW()-2&gt;=Inputs!$B$5,AVERAGE(OFFSET(E442,1-Inputs!$B$5,0,Inputs!$B$5,1)),"")</f>
        <v>0.775086699560285</v>
      </c>
      <c r="H442" s="8" t="n">
        <f aca="false">MAX(C442-D442,ABS(C442-E441),ABS(D442-E441))</f>
        <v>0.00874349802568175</v>
      </c>
      <c r="I442" s="8" t="n">
        <f aca="true">IF(ROW()-2&lt;14,"",IF(ROW()-2=14,AVERAGE(OFFSET(H442,-13,0,14,1)),(I441*13+H442)/14))</f>
        <v>0.00765699056211303</v>
      </c>
      <c r="J442" s="9" t="b">
        <f aca="false">IF(AND(ISNUMBER(F442),ISNUMBER(G442),ISNUMBER(F441),ISNUMBER(G441)),AND(F442&gt;G442,F441&lt;=G441),FALSE())</f>
        <v>0</v>
      </c>
      <c r="K442" s="9" t="b">
        <f aca="false">IF(AND(ISNUMBER(F442),ISNUMBER(G442),ISNUMBER(F441),ISNUMBER(G441)),AND(F442&lt;G442,F441&gt;=G441),FALSE())</f>
        <v>0</v>
      </c>
      <c r="L442" s="8" t="n">
        <f aca="false">IF(ISNUMBER(I442),E442-Inputs!$B$6*I442,"")</f>
        <v>0.773222182954782</v>
      </c>
      <c r="M442" s="9" t="b">
        <f aca="false">AND(Y441&gt;0,Z441)</f>
        <v>0</v>
      </c>
      <c r="N442" s="8" t="n">
        <f aca="false">B442*(1-Inputs!$B$12)</f>
        <v>0.786971633212562</v>
      </c>
      <c r="O442" s="10" t="n">
        <f aca="false">IF(M442,Y441*(N442-AB441)-Inputs!$B$9-Y441*AD441*Inputs!$B$13*(A442-AC441),0)</f>
        <v>0</v>
      </c>
      <c r="P442" s="10" t="n">
        <f aca="false">X441+O442</f>
        <v>1016.3844066801</v>
      </c>
      <c r="Q442" s="9" t="b">
        <f aca="false">AND(IF(M442,0,Y441)=0,AA441,IF(ISNUMBER(AE441),B442&gt;AE441,FALSE()))</f>
        <v>1</v>
      </c>
      <c r="R442" s="8" t="n">
        <f aca="false">B442*(1+Inputs!$B$12)</f>
        <v>0.787286484836172</v>
      </c>
      <c r="S442" s="11" t="n">
        <f aca="false">IF(Q442,MIN(P442*Inputs!$B$3/(R442-AE441),P442*Inputs!$B$11/R442),0)</f>
        <v>664.118972006065</v>
      </c>
      <c r="T442" s="11" t="n">
        <f aca="false">IF(Q442,S442,IF(M442,0,Y441))</f>
        <v>664.118972006065</v>
      </c>
      <c r="U442" s="8" t="n">
        <f aca="false">IF(Q442,AE441,AF441)</f>
        <v>0.771982232894536</v>
      </c>
      <c r="V442" s="9" t="b">
        <f aca="false">AND(T442&gt;0,D442&lt;=U442)</f>
        <v>0</v>
      </c>
      <c r="W442" s="10" t="n">
        <f aca="false">IF(V442,T442*(AK442-AB442)-Inputs!$B$9-T442*AD442*Inputs!$B$13*(A442-AC442),0)</f>
        <v>0</v>
      </c>
      <c r="X442" s="10" t="n">
        <f aca="false">P442-IF(Q442,Inputs!$B$9,0)+W442</f>
        <v>1015.3844066801</v>
      </c>
      <c r="Y442" s="11" t="n">
        <f aca="false">IF(V442,0,T442)</f>
        <v>664.118972006065</v>
      </c>
      <c r="Z442" s="9" t="b">
        <f aca="false">AND(Y442&gt;0,K442)</f>
        <v>0</v>
      </c>
      <c r="AA442" s="9" t="b">
        <f aca="false">AND(Y442=0,J442,ISNUMBER(L442))</f>
        <v>0</v>
      </c>
      <c r="AB442" s="8" t="n">
        <f aca="false">IF(Q442,R442,AB441)</f>
        <v>0.787286484836172</v>
      </c>
      <c r="AC442" s="12" t="n">
        <f aca="false">IF(Q442,A442,AC441)</f>
        <v>45226</v>
      </c>
      <c r="AD442" s="8" t="n">
        <f aca="false">IF(Q442,B442,AD441)</f>
        <v>0.787129059024367</v>
      </c>
      <c r="AE442" s="8" t="str">
        <f aca="false">IF(AA442,L442,"")</f>
        <v/>
      </c>
      <c r="AF442" s="8" t="n">
        <f aca="false">U442</f>
        <v>0.771982232894536</v>
      </c>
      <c r="AG442" s="2" t="n">
        <f aca="false">AG441+IF(Q442,1,0)</f>
        <v>3</v>
      </c>
      <c r="AH442" s="2" t="n">
        <f aca="false">AG441</f>
        <v>2</v>
      </c>
      <c r="AI442" s="10" t="n">
        <f aca="false">X442+Y442*(E442-AB442)-Y442*AD442*Inputs!$B$13*(A442-AC442)</f>
        <v>1016.21434237419</v>
      </c>
      <c r="AJ442" s="10" t="n">
        <v>0</v>
      </c>
      <c r="AK442" s="8" t="n">
        <f aca="false">IF(AND(B442&lt;=U442,NOT(Q442)),B442,U442)*(1-Inputs!$B$12)</f>
        <v>0.771827836447957</v>
      </c>
    </row>
    <row r="443" customFormat="false" ht="15" hidden="false" customHeight="false" outlineLevel="0" collapsed="false">
      <c r="A443" s="6" t="n">
        <v>45227</v>
      </c>
      <c r="B443" s="7" t="n">
        <v>0.788536164079008</v>
      </c>
      <c r="C443" s="7" t="n">
        <v>0.788843134344909</v>
      </c>
      <c r="D443" s="7" t="n">
        <v>0.781937701308176</v>
      </c>
      <c r="E443" s="7" t="n">
        <v>0.782453094695809</v>
      </c>
      <c r="F443" s="8" t="n">
        <f aca="true">IF(ROW()-2&gt;=Inputs!$B$4,AVERAGE(OFFSET(E443,1-Inputs!$B$4,0,Inputs!$B$4,1)),"")</f>
        <v>0.77705389147282</v>
      </c>
      <c r="G443" s="8" t="n">
        <f aca="true">IF(ROW()-2&gt;=Inputs!$B$5,AVERAGE(OFFSET(E443,1-Inputs!$B$5,0,Inputs!$B$5,1)),"")</f>
        <v>0.774790133361303</v>
      </c>
      <c r="H443" s="8" t="n">
        <f aca="false">MAX(C443-D443,ABS(C443-E442),ABS(D443-E442))</f>
        <v>0.00690543303673219</v>
      </c>
      <c r="I443" s="8" t="n">
        <f aca="true">IF(ROW()-2&lt;14,"",IF(ROW()-2=14,AVERAGE(OFFSET(H443,-13,0,14,1)),(I442*13+H443)/14))</f>
        <v>0.00760330788172868</v>
      </c>
      <c r="J443" s="9" t="b">
        <f aca="false">IF(AND(ISNUMBER(F443),ISNUMBER(G443),ISNUMBER(F442),ISNUMBER(G442)),AND(F443&gt;G443,F442&lt;=G442),FALSE())</f>
        <v>0</v>
      </c>
      <c r="K443" s="9" t="b">
        <f aca="false">IF(AND(ISNUMBER(F443),ISNUMBER(G443),ISNUMBER(F442),ISNUMBER(G442)),AND(F443&lt;G443,F442&gt;=G442),FALSE())</f>
        <v>0</v>
      </c>
      <c r="L443" s="8" t="n">
        <f aca="false">IF(ISNUMBER(I443),E443-Inputs!$B$6*I443,"")</f>
        <v>0.767246478932351</v>
      </c>
      <c r="M443" s="9" t="b">
        <f aca="false">AND(Y442&gt;0,Z442)</f>
        <v>0</v>
      </c>
      <c r="N443" s="8" t="n">
        <f aca="false">B443*(1-Inputs!$B$12)</f>
        <v>0.788378456846192</v>
      </c>
      <c r="O443" s="10" t="n">
        <f aca="false">IF(M443,Y442*(N443-AB442)-Inputs!$B$9-Y442*AD442*Inputs!$B$13*(A443-AC442),0)</f>
        <v>0</v>
      </c>
      <c r="P443" s="10" t="n">
        <f aca="false">X442+O443</f>
        <v>1015.3844066801</v>
      </c>
      <c r="Q443" s="9" t="b">
        <f aca="false">AND(IF(M443,0,Y442)=0,AA442,IF(ISNUMBER(AE442),B443&gt;AE442,FALSE()))</f>
        <v>0</v>
      </c>
      <c r="R443" s="8" t="n">
        <f aca="false">B443*(1+Inputs!$B$12)</f>
        <v>0.788693871311824</v>
      </c>
      <c r="S443" s="11" t="n">
        <f aca="false">IF(Q443,MIN(P443*Inputs!$B$3/(R443-AE442),P443*Inputs!$B$11/R443),0)</f>
        <v>0</v>
      </c>
      <c r="T443" s="11" t="n">
        <f aca="false">IF(Q443,S443,IF(M443,0,Y442))</f>
        <v>664.118972006065</v>
      </c>
      <c r="U443" s="8" t="n">
        <f aca="false">IF(Q443,AE442,AF442)</f>
        <v>0.771982232894536</v>
      </c>
      <c r="V443" s="9" t="b">
        <f aca="false">AND(T443&gt;0,D443&lt;=U443)</f>
        <v>0</v>
      </c>
      <c r="W443" s="10" t="n">
        <f aca="false">IF(V443,T443*(AK443-AB443)-Inputs!$B$9-T443*AD443*Inputs!$B$13*(A443-AC443),0)</f>
        <v>0</v>
      </c>
      <c r="X443" s="10" t="n">
        <f aca="false">P443-IF(Q443,Inputs!$B$9,0)+W443</f>
        <v>1015.3844066801</v>
      </c>
      <c r="Y443" s="11" t="n">
        <f aca="false">IF(V443,0,T443)</f>
        <v>664.118972006065</v>
      </c>
      <c r="Z443" s="9" t="b">
        <f aca="false">AND(Y443&gt;0,K443)</f>
        <v>0</v>
      </c>
      <c r="AA443" s="9" t="b">
        <f aca="false">AND(Y443=0,J443,ISNUMBER(L443))</f>
        <v>0</v>
      </c>
      <c r="AB443" s="8" t="n">
        <f aca="false">IF(Q443,R443,AB442)</f>
        <v>0.787286484836172</v>
      </c>
      <c r="AC443" s="12" t="n">
        <f aca="false">IF(Q443,A443,AC442)</f>
        <v>45226</v>
      </c>
      <c r="AD443" s="8" t="n">
        <f aca="false">IF(Q443,B443,AD442)</f>
        <v>0.787129059024367</v>
      </c>
      <c r="AE443" s="8" t="str">
        <f aca="false">IF(AA443,L443,"")</f>
        <v/>
      </c>
      <c r="AF443" s="8" t="n">
        <f aca="false">U443</f>
        <v>0.771982232894536</v>
      </c>
      <c r="AG443" s="2" t="n">
        <f aca="false">AG442+IF(Q443,1,0)</f>
        <v>3</v>
      </c>
      <c r="AH443" s="2" t="n">
        <f aca="false">AG442</f>
        <v>3</v>
      </c>
      <c r="AI443" s="10" t="n">
        <f aca="false">X443+Y443*(E443-AB443)-Y443*AD443*Inputs!$B$13*(A443-AC443)</f>
        <v>1012.08136859645</v>
      </c>
      <c r="AJ443" s="10" t="n">
        <v>0</v>
      </c>
      <c r="AK443" s="8" t="n">
        <f aca="false">IF(AND(B443&lt;=U443,NOT(Q443)),B443,U443)*(1-Inputs!$B$12)</f>
        <v>0.771827836447957</v>
      </c>
    </row>
    <row r="444" customFormat="false" ht="15" hidden="false" customHeight="false" outlineLevel="0" collapsed="false">
      <c r="A444" s="6" t="n">
        <v>45228</v>
      </c>
      <c r="B444" s="7" t="n">
        <v>0.782453094695809</v>
      </c>
      <c r="C444" s="7" t="n">
        <v>0.791888629646831</v>
      </c>
      <c r="D444" s="7" t="n">
        <v>0.781424356538843</v>
      </c>
      <c r="E444" s="7" t="n">
        <v>0.786951159705712</v>
      </c>
      <c r="F444" s="8" t="n">
        <f aca="true">IF(ROW()-2&gt;=Inputs!$B$4,AVERAGE(OFFSET(E444,1-Inputs!$B$4,0,Inputs!$B$4,1)),"")</f>
        <v>0.777341885376191</v>
      </c>
      <c r="G444" s="8" t="n">
        <f aca="true">IF(ROW()-2&gt;=Inputs!$B$5,AVERAGE(OFFSET(E444,1-Inputs!$B$5,0,Inputs!$B$5,1)),"")</f>
        <v>0.774831969603046</v>
      </c>
      <c r="H444" s="8" t="n">
        <f aca="false">MAX(C444-D444,ABS(C444-E443),ABS(D444-E443))</f>
        <v>0.010464273107988</v>
      </c>
      <c r="I444" s="8" t="n">
        <f aca="true">IF(ROW()-2&lt;14,"",IF(ROW()-2=14,AVERAGE(OFFSET(H444,-13,0,14,1)),(I443*13+H444)/14))</f>
        <v>0.00780766254074721</v>
      </c>
      <c r="J444" s="9" t="b">
        <f aca="false">IF(AND(ISNUMBER(F444),ISNUMBER(G444),ISNUMBER(F443),ISNUMBER(G443)),AND(F444&gt;G444,F443&lt;=G443),FALSE())</f>
        <v>0</v>
      </c>
      <c r="K444" s="9" t="b">
        <f aca="false">IF(AND(ISNUMBER(F444),ISNUMBER(G444),ISNUMBER(F443),ISNUMBER(G443)),AND(F444&lt;G444,F443&gt;=G443),FALSE())</f>
        <v>0</v>
      </c>
      <c r="L444" s="8" t="n">
        <f aca="false">IF(ISNUMBER(I444),E444-Inputs!$B$6*I444,"")</f>
        <v>0.771335834624218</v>
      </c>
      <c r="M444" s="9" t="b">
        <f aca="false">AND(Y443&gt;0,Z443)</f>
        <v>0</v>
      </c>
      <c r="N444" s="8" t="n">
        <f aca="false">B444*(1-Inputs!$B$12)</f>
        <v>0.782296604076869</v>
      </c>
      <c r="O444" s="10" t="n">
        <f aca="false">IF(M444,Y443*(N444-AB443)-Inputs!$B$9-Y443*AD443*Inputs!$B$13*(A444-AC443),0)</f>
        <v>0</v>
      </c>
      <c r="P444" s="10" t="n">
        <f aca="false">X443+O444</f>
        <v>1015.3844066801</v>
      </c>
      <c r="Q444" s="9" t="b">
        <f aca="false">AND(IF(M444,0,Y443)=0,AA443,IF(ISNUMBER(AE443),B444&gt;AE443,FALSE()))</f>
        <v>0</v>
      </c>
      <c r="R444" s="8" t="n">
        <f aca="false">B444*(1+Inputs!$B$12)</f>
        <v>0.782609585314748</v>
      </c>
      <c r="S444" s="11" t="n">
        <f aca="false">IF(Q444,MIN(P444*Inputs!$B$3/(R444-AE443),P444*Inputs!$B$11/R444),0)</f>
        <v>0</v>
      </c>
      <c r="T444" s="11" t="n">
        <f aca="false">IF(Q444,S444,IF(M444,0,Y443))</f>
        <v>664.118972006065</v>
      </c>
      <c r="U444" s="8" t="n">
        <f aca="false">IF(Q444,AE443,AF443)</f>
        <v>0.771982232894536</v>
      </c>
      <c r="V444" s="9" t="b">
        <f aca="false">AND(T444&gt;0,D444&lt;=U444)</f>
        <v>0</v>
      </c>
      <c r="W444" s="10" t="n">
        <f aca="false">IF(V444,T444*(AK444-AB444)-Inputs!$B$9-T444*AD444*Inputs!$B$13*(A444-AC444),0)</f>
        <v>0</v>
      </c>
      <c r="X444" s="10" t="n">
        <f aca="false">P444-IF(Q444,Inputs!$B$9,0)+W444</f>
        <v>1015.3844066801</v>
      </c>
      <c r="Y444" s="11" t="n">
        <f aca="false">IF(V444,0,T444)</f>
        <v>664.118972006065</v>
      </c>
      <c r="Z444" s="9" t="b">
        <f aca="false">AND(Y444&gt;0,K444)</f>
        <v>0</v>
      </c>
      <c r="AA444" s="9" t="b">
        <f aca="false">AND(Y444=0,J444,ISNUMBER(L444))</f>
        <v>0</v>
      </c>
      <c r="AB444" s="8" t="n">
        <f aca="false">IF(Q444,R444,AB443)</f>
        <v>0.787286484836172</v>
      </c>
      <c r="AC444" s="12" t="n">
        <f aca="false">IF(Q444,A444,AC443)</f>
        <v>45226</v>
      </c>
      <c r="AD444" s="8" t="n">
        <f aca="false">IF(Q444,B444,AD443)</f>
        <v>0.787129059024367</v>
      </c>
      <c r="AE444" s="8" t="str">
        <f aca="false">IF(AA444,L444,"")</f>
        <v/>
      </c>
      <c r="AF444" s="8" t="n">
        <f aca="false">U444</f>
        <v>0.771982232894536</v>
      </c>
      <c r="AG444" s="2" t="n">
        <f aca="false">AG443+IF(Q444,1,0)</f>
        <v>3</v>
      </c>
      <c r="AH444" s="2" t="n">
        <f aca="false">AG443</f>
        <v>3</v>
      </c>
      <c r="AI444" s="10" t="n">
        <f aca="false">X444+Y444*(E444-AB444)-Y444*AD444*Inputs!$B$13*(A444-AC444)</f>
        <v>1014.97552691452</v>
      </c>
      <c r="AJ444" s="10" t="n">
        <v>0</v>
      </c>
      <c r="AK444" s="8" t="n">
        <f aca="false">IF(AND(B444&lt;=U444,NOT(Q444)),B444,U444)*(1-Inputs!$B$12)</f>
        <v>0.771827836447957</v>
      </c>
    </row>
    <row r="445" customFormat="false" ht="15" hidden="false" customHeight="false" outlineLevel="0" collapsed="false">
      <c r="A445" s="6" t="n">
        <v>45229</v>
      </c>
      <c r="B445" s="7" t="n">
        <v>0.786951159705712</v>
      </c>
      <c r="C445" s="7" t="n">
        <v>0.793905613310565</v>
      </c>
      <c r="D445" s="7" t="n">
        <v>0.784063118149876</v>
      </c>
      <c r="E445" s="7" t="n">
        <v>0.791441399132782</v>
      </c>
      <c r="F445" s="8" t="n">
        <f aca="true">IF(ROW()-2&gt;=Inputs!$B$4,AVERAGE(OFFSET(E445,1-Inputs!$B$4,0,Inputs!$B$4,1)),"")</f>
        <v>0.777950851894438</v>
      </c>
      <c r="G445" s="8" t="n">
        <f aca="true">IF(ROW()-2&gt;=Inputs!$B$5,AVERAGE(OFFSET(E445,1-Inputs!$B$5,0,Inputs!$B$5,1)),"")</f>
        <v>0.775027303761765</v>
      </c>
      <c r="H445" s="8" t="n">
        <f aca="false">MAX(C445-D445,ABS(C445-E444),ABS(D445-E444))</f>
        <v>0.00984249516068947</v>
      </c>
      <c r="I445" s="8" t="n">
        <f aca="true">IF(ROW()-2&lt;14,"",IF(ROW()-2=14,AVERAGE(OFFSET(H445,-13,0,14,1)),(I444*13+H445)/14))</f>
        <v>0.00795300772788594</v>
      </c>
      <c r="J445" s="9" t="b">
        <f aca="false">IF(AND(ISNUMBER(F445),ISNUMBER(G445),ISNUMBER(F444),ISNUMBER(G444)),AND(F445&gt;G445,F444&lt;=G444),FALSE())</f>
        <v>0</v>
      </c>
      <c r="K445" s="9" t="b">
        <f aca="false">IF(AND(ISNUMBER(F445),ISNUMBER(G445),ISNUMBER(F444),ISNUMBER(G444)),AND(F445&lt;G445,F444&gt;=G444),FALSE())</f>
        <v>0</v>
      </c>
      <c r="L445" s="8" t="n">
        <f aca="false">IF(ISNUMBER(I445),E445-Inputs!$B$6*I445,"")</f>
        <v>0.77553538367701</v>
      </c>
      <c r="M445" s="9" t="b">
        <f aca="false">AND(Y444&gt;0,Z444)</f>
        <v>0</v>
      </c>
      <c r="N445" s="8" t="n">
        <f aca="false">B445*(1-Inputs!$B$12)</f>
        <v>0.786793769473771</v>
      </c>
      <c r="O445" s="10" t="n">
        <f aca="false">IF(M445,Y444*(N445-AB444)-Inputs!$B$9-Y444*AD444*Inputs!$B$13*(A445-AC444),0)</f>
        <v>0</v>
      </c>
      <c r="P445" s="10" t="n">
        <f aca="false">X444+O445</f>
        <v>1015.3844066801</v>
      </c>
      <c r="Q445" s="9" t="b">
        <f aca="false">AND(IF(M445,0,Y444)=0,AA444,IF(ISNUMBER(AE444),B445&gt;AE444,FALSE()))</f>
        <v>0</v>
      </c>
      <c r="R445" s="8" t="n">
        <f aca="false">B445*(1+Inputs!$B$12)</f>
        <v>0.787108549937653</v>
      </c>
      <c r="S445" s="11" t="n">
        <f aca="false">IF(Q445,MIN(P445*Inputs!$B$3/(R445-AE444),P445*Inputs!$B$11/R445),0)</f>
        <v>0</v>
      </c>
      <c r="T445" s="11" t="n">
        <f aca="false">IF(Q445,S445,IF(M445,0,Y444))</f>
        <v>664.118972006065</v>
      </c>
      <c r="U445" s="8" t="n">
        <f aca="false">IF(Q445,AE444,AF444)</f>
        <v>0.771982232894536</v>
      </c>
      <c r="V445" s="9" t="b">
        <f aca="false">AND(T445&gt;0,D445&lt;=U445)</f>
        <v>0</v>
      </c>
      <c r="W445" s="10" t="n">
        <f aca="false">IF(V445,T445*(AK445-AB445)-Inputs!$B$9-T445*AD445*Inputs!$B$13*(A445-AC445),0)</f>
        <v>0</v>
      </c>
      <c r="X445" s="10" t="n">
        <f aca="false">P445-IF(Q445,Inputs!$B$9,0)+W445</f>
        <v>1015.3844066801</v>
      </c>
      <c r="Y445" s="11" t="n">
        <f aca="false">IF(V445,0,T445)</f>
        <v>664.118972006065</v>
      </c>
      <c r="Z445" s="9" t="b">
        <f aca="false">AND(Y445&gt;0,K445)</f>
        <v>0</v>
      </c>
      <c r="AA445" s="9" t="b">
        <f aca="false">AND(Y445=0,J445,ISNUMBER(L445))</f>
        <v>0</v>
      </c>
      <c r="AB445" s="8" t="n">
        <f aca="false">IF(Q445,R445,AB444)</f>
        <v>0.787286484836172</v>
      </c>
      <c r="AC445" s="12" t="n">
        <f aca="false">IF(Q445,A445,AC444)</f>
        <v>45226</v>
      </c>
      <c r="AD445" s="8" t="n">
        <f aca="false">IF(Q445,B445,AD444)</f>
        <v>0.787129059024367</v>
      </c>
      <c r="AE445" s="8" t="str">
        <f aca="false">IF(AA445,L445,"")</f>
        <v/>
      </c>
      <c r="AF445" s="8" t="n">
        <f aca="false">U445</f>
        <v>0.771982232894536</v>
      </c>
      <c r="AG445" s="2" t="n">
        <f aca="false">AG444+IF(Q445,1,0)</f>
        <v>3</v>
      </c>
      <c r="AH445" s="2" t="n">
        <f aca="false">AG444</f>
        <v>3</v>
      </c>
      <c r="AI445" s="10" t="n">
        <f aca="false">X445+Y445*(E445-AB445)-Y445*AD445*Inputs!$B$13*(A445-AC445)</f>
        <v>1017.86448811456</v>
      </c>
      <c r="AJ445" s="10" t="n">
        <v>0</v>
      </c>
      <c r="AK445" s="8" t="n">
        <f aca="false">IF(AND(B445&lt;=U445,NOT(Q445)),B445,U445)*(1-Inputs!$B$12)</f>
        <v>0.771827836447957</v>
      </c>
    </row>
    <row r="446" customFormat="false" ht="15" hidden="false" customHeight="false" outlineLevel="0" collapsed="false">
      <c r="A446" s="6" t="n">
        <v>45230</v>
      </c>
      <c r="B446" s="7" t="n">
        <v>0.791441399132782</v>
      </c>
      <c r="C446" s="7" t="n">
        <v>0.795289411788186</v>
      </c>
      <c r="D446" s="7" t="n">
        <v>0.786629651168891</v>
      </c>
      <c r="E446" s="7" t="n">
        <v>0.787395878522593</v>
      </c>
      <c r="F446" s="8" t="n">
        <f aca="true">IF(ROW()-2&gt;=Inputs!$B$4,AVERAGE(OFFSET(E446,1-Inputs!$B$4,0,Inputs!$B$4,1)),"")</f>
        <v>0.7783022785063</v>
      </c>
      <c r="G446" s="8" t="n">
        <f aca="true">IF(ROW()-2&gt;=Inputs!$B$5,AVERAGE(OFFSET(E446,1-Inputs!$B$5,0,Inputs!$B$5,1)),"")</f>
        <v>0.775222948883189</v>
      </c>
      <c r="H446" s="8" t="n">
        <f aca="false">MAX(C446-D446,ABS(C446-E445),ABS(D446-E445))</f>
        <v>0.00865976061929563</v>
      </c>
      <c r="I446" s="8" t="n">
        <f aca="true">IF(ROW()-2&lt;14,"",IF(ROW()-2=14,AVERAGE(OFFSET(H446,-13,0,14,1)),(I445*13+H446)/14))</f>
        <v>0.00800349007727235</v>
      </c>
      <c r="J446" s="9" t="b">
        <f aca="false">IF(AND(ISNUMBER(F446),ISNUMBER(G446),ISNUMBER(F445),ISNUMBER(G445)),AND(F446&gt;G446,F445&lt;=G445),FALSE())</f>
        <v>0</v>
      </c>
      <c r="K446" s="9" t="b">
        <f aca="false">IF(AND(ISNUMBER(F446),ISNUMBER(G446),ISNUMBER(F445),ISNUMBER(G445)),AND(F446&lt;G446,F445&gt;=G445),FALSE())</f>
        <v>0</v>
      </c>
      <c r="L446" s="8" t="n">
        <f aca="false">IF(ISNUMBER(I446),E446-Inputs!$B$6*I446,"")</f>
        <v>0.771388898368049</v>
      </c>
      <c r="M446" s="9" t="b">
        <f aca="false">AND(Y445&gt;0,Z445)</f>
        <v>0</v>
      </c>
      <c r="N446" s="8" t="n">
        <f aca="false">B446*(1-Inputs!$B$12)</f>
        <v>0.791283110852955</v>
      </c>
      <c r="O446" s="10" t="n">
        <f aca="false">IF(M446,Y445*(N446-AB445)-Inputs!$B$9-Y445*AD445*Inputs!$B$13*(A446-AC445),0)</f>
        <v>0</v>
      </c>
      <c r="P446" s="10" t="n">
        <f aca="false">X445+O446</f>
        <v>1015.3844066801</v>
      </c>
      <c r="Q446" s="9" t="b">
        <f aca="false">AND(IF(M446,0,Y445)=0,AA445,IF(ISNUMBER(AE445),B446&gt;AE445,FALSE()))</f>
        <v>0</v>
      </c>
      <c r="R446" s="8" t="n">
        <f aca="false">B446*(1+Inputs!$B$12)</f>
        <v>0.791599687412608</v>
      </c>
      <c r="S446" s="11" t="n">
        <f aca="false">IF(Q446,MIN(P446*Inputs!$B$3/(R446-AE445),P446*Inputs!$B$11/R446),0)</f>
        <v>0</v>
      </c>
      <c r="T446" s="11" t="n">
        <f aca="false">IF(Q446,S446,IF(M446,0,Y445))</f>
        <v>664.118972006065</v>
      </c>
      <c r="U446" s="8" t="n">
        <f aca="false">IF(Q446,AE445,AF445)</f>
        <v>0.771982232894536</v>
      </c>
      <c r="V446" s="9" t="b">
        <f aca="false">AND(T446&gt;0,D446&lt;=U446)</f>
        <v>0</v>
      </c>
      <c r="W446" s="10" t="n">
        <f aca="false">IF(V446,T446*(AK446-AB446)-Inputs!$B$9-T446*AD446*Inputs!$B$13*(A446-AC446),0)</f>
        <v>0</v>
      </c>
      <c r="X446" s="10" t="n">
        <f aca="false">P446-IF(Q446,Inputs!$B$9,0)+W446</f>
        <v>1015.3844066801</v>
      </c>
      <c r="Y446" s="11" t="n">
        <f aca="false">IF(V446,0,T446)</f>
        <v>664.118972006065</v>
      </c>
      <c r="Z446" s="9" t="b">
        <f aca="false">AND(Y446&gt;0,K446)</f>
        <v>0</v>
      </c>
      <c r="AA446" s="9" t="b">
        <f aca="false">AND(Y446=0,J446,ISNUMBER(L446))</f>
        <v>0</v>
      </c>
      <c r="AB446" s="8" t="n">
        <f aca="false">IF(Q446,R446,AB445)</f>
        <v>0.787286484836172</v>
      </c>
      <c r="AC446" s="12" t="n">
        <f aca="false">IF(Q446,A446,AC445)</f>
        <v>45226</v>
      </c>
      <c r="AD446" s="8" t="n">
        <f aca="false">IF(Q446,B446,AD445)</f>
        <v>0.787129059024367</v>
      </c>
      <c r="AE446" s="8" t="str">
        <f aca="false">IF(AA446,L446,"")</f>
        <v/>
      </c>
      <c r="AF446" s="8" t="n">
        <f aca="false">U446</f>
        <v>0.771982232894536</v>
      </c>
      <c r="AG446" s="2" t="n">
        <f aca="false">AG445+IF(Q446,1,0)</f>
        <v>3</v>
      </c>
      <c r="AH446" s="2" t="n">
        <f aca="false">AG445</f>
        <v>3</v>
      </c>
      <c r="AI446" s="10" t="n">
        <f aca="false">X446+Y446*(E446-AB446)-Y446*AD446*Inputs!$B$13*(A446-AC446)</f>
        <v>1015.08468913337</v>
      </c>
      <c r="AJ446" s="10" t="n">
        <v>0</v>
      </c>
      <c r="AK446" s="8" t="n">
        <f aca="false">IF(AND(B446&lt;=U446,NOT(Q446)),B446,U446)*(1-Inputs!$B$12)</f>
        <v>0.771827836447957</v>
      </c>
    </row>
    <row r="447" customFormat="false" ht="15" hidden="false" customHeight="false" outlineLevel="0" collapsed="false">
      <c r="A447" s="6" t="n">
        <v>45231</v>
      </c>
      <c r="B447" s="7" t="n">
        <v>0.787395878522593</v>
      </c>
      <c r="C447" s="7" t="n">
        <v>0.793098393069497</v>
      </c>
      <c r="D447" s="7" t="n">
        <v>0.7871951549518</v>
      </c>
      <c r="E447" s="7" t="n">
        <v>0.788672928939563</v>
      </c>
      <c r="F447" s="8" t="n">
        <f aca="true">IF(ROW()-2&gt;=Inputs!$B$4,AVERAGE(OFFSET(E447,1-Inputs!$B$4,0,Inputs!$B$4,1)),"")</f>
        <v>0.77922010976403</v>
      </c>
      <c r="G447" s="8" t="n">
        <f aca="true">IF(ROW()-2&gt;=Inputs!$B$5,AVERAGE(OFFSET(E447,1-Inputs!$B$5,0,Inputs!$B$5,1)),"")</f>
        <v>0.775660554930032</v>
      </c>
      <c r="H447" s="8" t="n">
        <f aca="false">MAX(C447-D447,ABS(C447-E446),ABS(D447-E446))</f>
        <v>0.005903238117697</v>
      </c>
      <c r="I447" s="8" t="n">
        <f aca="true">IF(ROW()-2&lt;14,"",IF(ROW()-2=14,AVERAGE(OFFSET(H447,-13,0,14,1)),(I446*13+H447)/14))</f>
        <v>0.00785347208015982</v>
      </c>
      <c r="J447" s="9" t="b">
        <f aca="false">IF(AND(ISNUMBER(F447),ISNUMBER(G447),ISNUMBER(F446),ISNUMBER(G446)),AND(F447&gt;G447,F446&lt;=G446),FALSE())</f>
        <v>0</v>
      </c>
      <c r="K447" s="9" t="b">
        <f aca="false">IF(AND(ISNUMBER(F447),ISNUMBER(G447),ISNUMBER(F446),ISNUMBER(G446)),AND(F447&lt;G447,F446&gt;=G446),FALSE())</f>
        <v>0</v>
      </c>
      <c r="L447" s="8" t="n">
        <f aca="false">IF(ISNUMBER(I447),E447-Inputs!$B$6*I447,"")</f>
        <v>0.772965984779243</v>
      </c>
      <c r="M447" s="9" t="b">
        <f aca="false">AND(Y446&gt;0,Z446)</f>
        <v>0</v>
      </c>
      <c r="N447" s="8" t="n">
        <f aca="false">B447*(1-Inputs!$B$12)</f>
        <v>0.787238399346889</v>
      </c>
      <c r="O447" s="10" t="n">
        <f aca="false">IF(M447,Y446*(N447-AB446)-Inputs!$B$9-Y446*AD446*Inputs!$B$13*(A447-AC446),0)</f>
        <v>0</v>
      </c>
      <c r="P447" s="10" t="n">
        <f aca="false">X446+O447</f>
        <v>1015.3844066801</v>
      </c>
      <c r="Q447" s="9" t="b">
        <f aca="false">AND(IF(M447,0,Y446)=0,AA446,IF(ISNUMBER(AE446),B447&gt;AE446,FALSE()))</f>
        <v>0</v>
      </c>
      <c r="R447" s="8" t="n">
        <f aca="false">B447*(1+Inputs!$B$12)</f>
        <v>0.787553357698298</v>
      </c>
      <c r="S447" s="11" t="n">
        <f aca="false">IF(Q447,MIN(P447*Inputs!$B$3/(R447-AE446),P447*Inputs!$B$11/R447),0)</f>
        <v>0</v>
      </c>
      <c r="T447" s="11" t="n">
        <f aca="false">IF(Q447,S447,IF(M447,0,Y446))</f>
        <v>664.118972006065</v>
      </c>
      <c r="U447" s="8" t="n">
        <f aca="false">IF(Q447,AE446,AF446)</f>
        <v>0.771982232894536</v>
      </c>
      <c r="V447" s="9" t="b">
        <f aca="false">AND(T447&gt;0,D447&lt;=U447)</f>
        <v>0</v>
      </c>
      <c r="W447" s="10" t="n">
        <f aca="false">IF(V447,T447*(AK447-AB447)-Inputs!$B$9-T447*AD447*Inputs!$B$13*(A447-AC447),0)</f>
        <v>0</v>
      </c>
      <c r="X447" s="10" t="n">
        <f aca="false">P447-IF(Q447,Inputs!$B$9,0)+W447</f>
        <v>1015.3844066801</v>
      </c>
      <c r="Y447" s="11" t="n">
        <f aca="false">IF(V447,0,T447)</f>
        <v>664.118972006065</v>
      </c>
      <c r="Z447" s="9" t="b">
        <f aca="false">AND(Y447&gt;0,K447)</f>
        <v>0</v>
      </c>
      <c r="AA447" s="9" t="b">
        <f aca="false">AND(Y447=0,J447,ISNUMBER(L447))</f>
        <v>0</v>
      </c>
      <c r="AB447" s="8" t="n">
        <f aca="false">IF(Q447,R447,AB446)</f>
        <v>0.787286484836172</v>
      </c>
      <c r="AC447" s="12" t="n">
        <f aca="false">IF(Q447,A447,AC446)</f>
        <v>45226</v>
      </c>
      <c r="AD447" s="8" t="n">
        <f aca="false">IF(Q447,B447,AD446)</f>
        <v>0.787129059024367</v>
      </c>
      <c r="AE447" s="8" t="str">
        <f aca="false">IF(AA447,L447,"")</f>
        <v/>
      </c>
      <c r="AF447" s="8" t="n">
        <f aca="false">U447</f>
        <v>0.771982232894536</v>
      </c>
      <c r="AG447" s="2" t="n">
        <f aca="false">AG446+IF(Q447,1,0)</f>
        <v>3</v>
      </c>
      <c r="AH447" s="2" t="n">
        <f aca="false">AG446</f>
        <v>3</v>
      </c>
      <c r="AI447" s="10" t="n">
        <f aca="false">X447+Y447*(E447-AB447)-Y447*AD447*Inputs!$B$13*(A447-AC447)</f>
        <v>1015.83971055116</v>
      </c>
      <c r="AJ447" s="10" t="n">
        <v>0</v>
      </c>
      <c r="AK447" s="8" t="n">
        <f aca="false">IF(AND(B447&lt;=U447,NOT(Q447)),B447,U447)*(1-Inputs!$B$12)</f>
        <v>0.771827836447957</v>
      </c>
    </row>
    <row r="448" customFormat="false" ht="15" hidden="false" customHeight="false" outlineLevel="0" collapsed="false">
      <c r="A448" s="6" t="n">
        <v>45232</v>
      </c>
      <c r="B448" s="7" t="n">
        <v>0.788672928939563</v>
      </c>
      <c r="C448" s="7" t="n">
        <v>0.795340164055691</v>
      </c>
      <c r="D448" s="7" t="n">
        <v>0.784644424535202</v>
      </c>
      <c r="E448" s="7" t="n">
        <v>0.786750709264259</v>
      </c>
      <c r="F448" s="8" t="n">
        <f aca="true">IF(ROW()-2&gt;=Inputs!$B$4,AVERAGE(OFFSET(E448,1-Inputs!$B$4,0,Inputs!$B$4,1)),"")</f>
        <v>0.780235457408098</v>
      </c>
      <c r="G448" s="8" t="n">
        <f aca="true">IF(ROW()-2&gt;=Inputs!$B$5,AVERAGE(OFFSET(E448,1-Inputs!$B$5,0,Inputs!$B$5,1)),"")</f>
        <v>0.776086125469882</v>
      </c>
      <c r="H448" s="8" t="n">
        <f aca="false">MAX(C448-D448,ABS(C448-E447),ABS(D448-E447))</f>
        <v>0.0106957395204892</v>
      </c>
      <c r="I448" s="8" t="n">
        <f aca="true">IF(ROW()-2&lt;14,"",IF(ROW()-2=14,AVERAGE(OFFSET(H448,-13,0,14,1)),(I447*13+H448)/14))</f>
        <v>0.00805649118304049</v>
      </c>
      <c r="J448" s="9" t="b">
        <f aca="false">IF(AND(ISNUMBER(F448),ISNUMBER(G448),ISNUMBER(F447),ISNUMBER(G447)),AND(F448&gt;G448,F447&lt;=G447),FALSE())</f>
        <v>0</v>
      </c>
      <c r="K448" s="9" t="b">
        <f aca="false">IF(AND(ISNUMBER(F448),ISNUMBER(G448),ISNUMBER(F447),ISNUMBER(G447)),AND(F448&lt;G448,F447&gt;=G447),FALSE())</f>
        <v>0</v>
      </c>
      <c r="L448" s="8" t="n">
        <f aca="false">IF(ISNUMBER(I448),E448-Inputs!$B$6*I448,"")</f>
        <v>0.770637726898178</v>
      </c>
      <c r="M448" s="9" t="b">
        <f aca="false">AND(Y447&gt;0,Z447)</f>
        <v>0</v>
      </c>
      <c r="N448" s="8" t="n">
        <f aca="false">B448*(1-Inputs!$B$12)</f>
        <v>0.788515194353775</v>
      </c>
      <c r="O448" s="10" t="n">
        <f aca="false">IF(M448,Y447*(N448-AB447)-Inputs!$B$9-Y447*AD447*Inputs!$B$13*(A448-AC447),0)</f>
        <v>0</v>
      </c>
      <c r="P448" s="10" t="n">
        <f aca="false">X447+O448</f>
        <v>1015.3844066801</v>
      </c>
      <c r="Q448" s="9" t="b">
        <f aca="false">AND(IF(M448,0,Y447)=0,AA447,IF(ISNUMBER(AE447),B448&gt;AE447,FALSE()))</f>
        <v>0</v>
      </c>
      <c r="R448" s="8" t="n">
        <f aca="false">B448*(1+Inputs!$B$12)</f>
        <v>0.788830663525351</v>
      </c>
      <c r="S448" s="11" t="n">
        <f aca="false">IF(Q448,MIN(P448*Inputs!$B$3/(R448-AE447),P448*Inputs!$B$11/R448),0)</f>
        <v>0</v>
      </c>
      <c r="T448" s="11" t="n">
        <f aca="false">IF(Q448,S448,IF(M448,0,Y447))</f>
        <v>664.118972006065</v>
      </c>
      <c r="U448" s="8" t="n">
        <f aca="false">IF(Q448,AE447,AF447)</f>
        <v>0.771982232894536</v>
      </c>
      <c r="V448" s="9" t="b">
        <f aca="false">AND(T448&gt;0,D448&lt;=U448)</f>
        <v>0</v>
      </c>
      <c r="W448" s="10" t="n">
        <f aca="false">IF(V448,T448*(AK448-AB448)-Inputs!$B$9-T448*AD448*Inputs!$B$13*(A448-AC448),0)</f>
        <v>0</v>
      </c>
      <c r="X448" s="10" t="n">
        <f aca="false">P448-IF(Q448,Inputs!$B$9,0)+W448</f>
        <v>1015.3844066801</v>
      </c>
      <c r="Y448" s="11" t="n">
        <f aca="false">IF(V448,0,T448)</f>
        <v>664.118972006065</v>
      </c>
      <c r="Z448" s="9" t="b">
        <f aca="false">AND(Y448&gt;0,K448)</f>
        <v>0</v>
      </c>
      <c r="AA448" s="9" t="b">
        <f aca="false">AND(Y448=0,J448,ISNUMBER(L448))</f>
        <v>0</v>
      </c>
      <c r="AB448" s="8" t="n">
        <f aca="false">IF(Q448,R448,AB447)</f>
        <v>0.787286484836172</v>
      </c>
      <c r="AC448" s="12" t="n">
        <f aca="false">IF(Q448,A448,AC447)</f>
        <v>45226</v>
      </c>
      <c r="AD448" s="8" t="n">
        <f aca="false">IF(Q448,B448,AD447)</f>
        <v>0.787129059024367</v>
      </c>
      <c r="AE448" s="8" t="str">
        <f aca="false">IF(AA448,L448,"")</f>
        <v/>
      </c>
      <c r="AF448" s="8" t="n">
        <f aca="false">U448</f>
        <v>0.771982232894536</v>
      </c>
      <c r="AG448" s="2" t="n">
        <f aca="false">AG447+IF(Q448,1,0)</f>
        <v>3</v>
      </c>
      <c r="AH448" s="2" t="n">
        <f aca="false">AG447</f>
        <v>3</v>
      </c>
      <c r="AI448" s="10" t="n">
        <f aca="false">X448+Y448*(E448-AB448)-Y448*AD448*Inputs!$B$13*(A448-AC448)</f>
        <v>1014.4700360041</v>
      </c>
      <c r="AJ448" s="10" t="n">
        <v>0</v>
      </c>
      <c r="AK448" s="8" t="n">
        <f aca="false">IF(AND(B448&lt;=U448,NOT(Q448)),B448,U448)*(1-Inputs!$B$12)</f>
        <v>0.771827836447957</v>
      </c>
    </row>
    <row r="449" customFormat="false" ht="15" hidden="false" customHeight="false" outlineLevel="0" collapsed="false">
      <c r="A449" s="6" t="n">
        <v>45233</v>
      </c>
      <c r="B449" s="7" t="n">
        <v>0.786750709264259</v>
      </c>
      <c r="C449" s="7" t="n">
        <v>0.788497949792171</v>
      </c>
      <c r="D449" s="7" t="n">
        <v>0.785094851626761</v>
      </c>
      <c r="E449" s="7" t="n">
        <v>0.788351061556333</v>
      </c>
      <c r="F449" s="8" t="n">
        <f aca="true">IF(ROW()-2&gt;=Inputs!$B$4,AVERAGE(OFFSET(E449,1-Inputs!$B$4,0,Inputs!$B$4,1)),"")</f>
        <v>0.781147730700793</v>
      </c>
      <c r="G449" s="8" t="n">
        <f aca="true">IF(ROW()-2&gt;=Inputs!$B$5,AVERAGE(OFFSET(E449,1-Inputs!$B$5,0,Inputs!$B$5,1)),"")</f>
        <v>0.776545609515439</v>
      </c>
      <c r="H449" s="8" t="n">
        <f aca="false">MAX(C449-D449,ABS(C449-E448),ABS(D449-E448))</f>
        <v>0.00340309816540985</v>
      </c>
      <c r="I449" s="8" t="n">
        <f aca="true">IF(ROW()-2&lt;14,"",IF(ROW()-2=14,AVERAGE(OFFSET(H449,-13,0,14,1)),(I448*13+H449)/14))</f>
        <v>0.00772410596749544</v>
      </c>
      <c r="J449" s="9" t="b">
        <f aca="false">IF(AND(ISNUMBER(F449),ISNUMBER(G449),ISNUMBER(F448),ISNUMBER(G448)),AND(F449&gt;G449,F448&lt;=G448),FALSE())</f>
        <v>0</v>
      </c>
      <c r="K449" s="9" t="b">
        <f aca="false">IF(AND(ISNUMBER(F449),ISNUMBER(G449),ISNUMBER(F448),ISNUMBER(G448)),AND(F449&lt;G449,F448&gt;=G448),FALSE())</f>
        <v>0</v>
      </c>
      <c r="L449" s="8" t="n">
        <f aca="false">IF(ISNUMBER(I449),E449-Inputs!$B$6*I449,"")</f>
        <v>0.772902849621342</v>
      </c>
      <c r="M449" s="9" t="b">
        <f aca="false">AND(Y448&gt;0,Z448)</f>
        <v>0</v>
      </c>
      <c r="N449" s="8" t="n">
        <f aca="false">B449*(1-Inputs!$B$12)</f>
        <v>0.786593359122406</v>
      </c>
      <c r="O449" s="10" t="n">
        <f aca="false">IF(M449,Y448*(N449-AB448)-Inputs!$B$9-Y448*AD448*Inputs!$B$13*(A449-AC448),0)</f>
        <v>0</v>
      </c>
      <c r="P449" s="10" t="n">
        <f aca="false">X448+O449</f>
        <v>1015.3844066801</v>
      </c>
      <c r="Q449" s="9" t="b">
        <f aca="false">AND(IF(M449,0,Y448)=0,AA448,IF(ISNUMBER(AE448),B449&gt;AE448,FALSE()))</f>
        <v>0</v>
      </c>
      <c r="R449" s="8" t="n">
        <f aca="false">B449*(1+Inputs!$B$12)</f>
        <v>0.786908059406111</v>
      </c>
      <c r="S449" s="11" t="n">
        <f aca="false">IF(Q449,MIN(P449*Inputs!$B$3/(R449-AE448),P449*Inputs!$B$11/R449),0)</f>
        <v>0</v>
      </c>
      <c r="T449" s="11" t="n">
        <f aca="false">IF(Q449,S449,IF(M449,0,Y448))</f>
        <v>664.118972006065</v>
      </c>
      <c r="U449" s="8" t="n">
        <f aca="false">IF(Q449,AE448,AF448)</f>
        <v>0.771982232894536</v>
      </c>
      <c r="V449" s="9" t="b">
        <f aca="false">AND(T449&gt;0,D449&lt;=U449)</f>
        <v>0</v>
      </c>
      <c r="W449" s="10" t="n">
        <f aca="false">IF(V449,T449*(AK449-AB449)-Inputs!$B$9-T449*AD449*Inputs!$B$13*(A449-AC449),0)</f>
        <v>0</v>
      </c>
      <c r="X449" s="10" t="n">
        <f aca="false">P449-IF(Q449,Inputs!$B$9,0)+W449</f>
        <v>1015.3844066801</v>
      </c>
      <c r="Y449" s="11" t="n">
        <f aca="false">IF(V449,0,T449)</f>
        <v>664.118972006065</v>
      </c>
      <c r="Z449" s="9" t="b">
        <f aca="false">AND(Y449&gt;0,K449)</f>
        <v>0</v>
      </c>
      <c r="AA449" s="9" t="b">
        <f aca="false">AND(Y449=0,J449,ISNUMBER(L449))</f>
        <v>0</v>
      </c>
      <c r="AB449" s="8" t="n">
        <f aca="false">IF(Q449,R449,AB448)</f>
        <v>0.787286484836172</v>
      </c>
      <c r="AC449" s="12" t="n">
        <f aca="false">IF(Q449,A449,AC448)</f>
        <v>45226</v>
      </c>
      <c r="AD449" s="8" t="n">
        <f aca="false">IF(Q449,B449,AD448)</f>
        <v>0.787129059024367</v>
      </c>
      <c r="AE449" s="8" t="str">
        <f aca="false">IF(AA449,L449,"")</f>
        <v/>
      </c>
      <c r="AF449" s="8" t="n">
        <f aca="false">U449</f>
        <v>0.771982232894536</v>
      </c>
      <c r="AG449" s="2" t="n">
        <f aca="false">AG448+IF(Q449,1,0)</f>
        <v>3</v>
      </c>
      <c r="AH449" s="2" t="n">
        <f aca="false">AG448</f>
        <v>3</v>
      </c>
      <c r="AI449" s="10" t="n">
        <f aca="false">X449+Y449*(E449-AB449)-Y449*AD449*Inputs!$B$13*(A449-AC449)</f>
        <v>1015.43976833084</v>
      </c>
      <c r="AJ449" s="10" t="n">
        <v>0</v>
      </c>
      <c r="AK449" s="8" t="n">
        <f aca="false">IF(AND(B449&lt;=U449,NOT(Q449)),B449,U449)*(1-Inputs!$B$12)</f>
        <v>0.771827836447957</v>
      </c>
    </row>
    <row r="450" customFormat="false" ht="15" hidden="false" customHeight="false" outlineLevel="0" collapsed="false">
      <c r="A450" s="6" t="n">
        <v>45234</v>
      </c>
      <c r="B450" s="7" t="n">
        <v>0.788351061556333</v>
      </c>
      <c r="C450" s="7" t="n">
        <v>0.792221954363379</v>
      </c>
      <c r="D450" s="7" t="n">
        <v>0.787280584438642</v>
      </c>
      <c r="E450" s="7" t="n">
        <v>0.788027570988844</v>
      </c>
      <c r="F450" s="8" t="n">
        <f aca="true">IF(ROW()-2&gt;=Inputs!$B$4,AVERAGE(OFFSET(E450,1-Inputs!$B$4,0,Inputs!$B$4,1)),"")</f>
        <v>0.781992674277374</v>
      </c>
      <c r="G450" s="8" t="n">
        <f aca="true">IF(ROW()-2&gt;=Inputs!$B$5,AVERAGE(OFFSET(E450,1-Inputs!$B$5,0,Inputs!$B$5,1)),"")</f>
        <v>0.776908380037001</v>
      </c>
      <c r="H450" s="8" t="n">
        <f aca="false">MAX(C450-D450,ABS(C450-E449),ABS(D450-E449))</f>
        <v>0.00494136992473726</v>
      </c>
      <c r="I450" s="8" t="n">
        <f aca="true">IF(ROW()-2&lt;14,"",IF(ROW()-2=14,AVERAGE(OFFSET(H450,-13,0,14,1)),(I449*13+H450)/14))</f>
        <v>0.00752533910729843</v>
      </c>
      <c r="J450" s="9" t="b">
        <f aca="false">IF(AND(ISNUMBER(F450),ISNUMBER(G450),ISNUMBER(F449),ISNUMBER(G449)),AND(F450&gt;G450,F449&lt;=G449),FALSE())</f>
        <v>0</v>
      </c>
      <c r="K450" s="9" t="b">
        <f aca="false">IF(AND(ISNUMBER(F450),ISNUMBER(G450),ISNUMBER(F449),ISNUMBER(G449)),AND(F450&lt;G450,F449&gt;=G449),FALSE())</f>
        <v>0</v>
      </c>
      <c r="L450" s="8" t="n">
        <f aca="false">IF(ISNUMBER(I450),E450-Inputs!$B$6*I450,"")</f>
        <v>0.772976892774247</v>
      </c>
      <c r="M450" s="9" t="b">
        <f aca="false">AND(Y449&gt;0,Z449)</f>
        <v>0</v>
      </c>
      <c r="N450" s="8" t="n">
        <f aca="false">B450*(1-Inputs!$B$12)</f>
        <v>0.788193391344022</v>
      </c>
      <c r="O450" s="10" t="n">
        <f aca="false">IF(M450,Y449*(N450-AB449)-Inputs!$B$9-Y449*AD449*Inputs!$B$13*(A450-AC449),0)</f>
        <v>0</v>
      </c>
      <c r="P450" s="10" t="n">
        <f aca="false">X449+O450</f>
        <v>1015.3844066801</v>
      </c>
      <c r="Q450" s="9" t="b">
        <f aca="false">AND(IF(M450,0,Y449)=0,AA449,IF(ISNUMBER(AE449),B450&gt;AE449,FALSE()))</f>
        <v>0</v>
      </c>
      <c r="R450" s="8" t="n">
        <f aca="false">B450*(1+Inputs!$B$12)</f>
        <v>0.788508731768644</v>
      </c>
      <c r="S450" s="11" t="n">
        <f aca="false">IF(Q450,MIN(P450*Inputs!$B$3/(R450-AE449),P450*Inputs!$B$11/R450),0)</f>
        <v>0</v>
      </c>
      <c r="T450" s="11" t="n">
        <f aca="false">IF(Q450,S450,IF(M450,0,Y449))</f>
        <v>664.118972006065</v>
      </c>
      <c r="U450" s="8" t="n">
        <f aca="false">IF(Q450,AE449,AF449)</f>
        <v>0.771982232894536</v>
      </c>
      <c r="V450" s="9" t="b">
        <f aca="false">AND(T450&gt;0,D450&lt;=U450)</f>
        <v>0</v>
      </c>
      <c r="W450" s="10" t="n">
        <f aca="false">IF(V450,T450*(AK450-AB450)-Inputs!$B$9-T450*AD450*Inputs!$B$13*(A450-AC450),0)</f>
        <v>0</v>
      </c>
      <c r="X450" s="10" t="n">
        <f aca="false">P450-IF(Q450,Inputs!$B$9,0)+W450</f>
        <v>1015.3844066801</v>
      </c>
      <c r="Y450" s="11" t="n">
        <f aca="false">IF(V450,0,T450)</f>
        <v>664.118972006065</v>
      </c>
      <c r="Z450" s="9" t="b">
        <f aca="false">AND(Y450&gt;0,K450)</f>
        <v>0</v>
      </c>
      <c r="AA450" s="9" t="b">
        <f aca="false">AND(Y450=0,J450,ISNUMBER(L450))</f>
        <v>0</v>
      </c>
      <c r="AB450" s="8" t="n">
        <f aca="false">IF(Q450,R450,AB449)</f>
        <v>0.787286484836172</v>
      </c>
      <c r="AC450" s="12" t="n">
        <f aca="false">IF(Q450,A450,AC449)</f>
        <v>45226</v>
      </c>
      <c r="AD450" s="8" t="n">
        <f aca="false">IF(Q450,B450,AD449)</f>
        <v>0.787129059024367</v>
      </c>
      <c r="AE450" s="8" t="str">
        <f aca="false">IF(AA450,L450,"")</f>
        <v/>
      </c>
      <c r="AF450" s="8" t="n">
        <f aca="false">U450</f>
        <v>0.771982232894536</v>
      </c>
      <c r="AG450" s="2" t="n">
        <f aca="false">AG449+IF(Q450,1,0)</f>
        <v>3</v>
      </c>
      <c r="AH450" s="2" t="n">
        <f aca="false">AG449</f>
        <v>3</v>
      </c>
      <c r="AI450" s="10" t="n">
        <f aca="false">X450+Y450*(E450-AB450)-Y450*AD450*Inputs!$B$13*(A450-AC450)</f>
        <v>1015.13184011538</v>
      </c>
      <c r="AJ450" s="10" t="n">
        <v>0</v>
      </c>
      <c r="AK450" s="8" t="n">
        <f aca="false">IF(AND(B450&lt;=U450,NOT(Q450)),B450,U450)*(1-Inputs!$B$12)</f>
        <v>0.771827836447957</v>
      </c>
    </row>
    <row r="451" customFormat="false" ht="15" hidden="false" customHeight="false" outlineLevel="0" collapsed="false">
      <c r="A451" s="6" t="n">
        <v>45235</v>
      </c>
      <c r="B451" s="7" t="n">
        <v>0.788027570988844</v>
      </c>
      <c r="C451" s="7" t="n">
        <v>0.788568928534691</v>
      </c>
      <c r="D451" s="7" t="n">
        <v>0.784284422492293</v>
      </c>
      <c r="E451" s="7" t="n">
        <v>0.788277762114552</v>
      </c>
      <c r="F451" s="8" t="n">
        <f aca="true">IF(ROW()-2&gt;=Inputs!$B$4,AVERAGE(OFFSET(E451,1-Inputs!$B$4,0,Inputs!$B$4,1)),"")</f>
        <v>0.782803033186943</v>
      </c>
      <c r="G451" s="8" t="n">
        <f aca="true">IF(ROW()-2&gt;=Inputs!$B$5,AVERAGE(OFFSET(E451,1-Inputs!$B$5,0,Inputs!$B$5,1)),"")</f>
        <v>0.777230915590449</v>
      </c>
      <c r="H451" s="8" t="n">
        <f aca="false">MAX(C451-D451,ABS(C451-E450),ABS(D451-E450))</f>
        <v>0.00428450604239838</v>
      </c>
      <c r="I451" s="8" t="n">
        <f aca="true">IF(ROW()-2&lt;14,"",IF(ROW()-2=14,AVERAGE(OFFSET(H451,-13,0,14,1)),(I450*13+H451)/14))</f>
        <v>0.00729385103123414</v>
      </c>
      <c r="J451" s="9" t="b">
        <f aca="false">IF(AND(ISNUMBER(F451),ISNUMBER(G451),ISNUMBER(F450),ISNUMBER(G450)),AND(F451&gt;G451,F450&lt;=G450),FALSE())</f>
        <v>0</v>
      </c>
      <c r="K451" s="9" t="b">
        <f aca="false">IF(AND(ISNUMBER(F451),ISNUMBER(G451),ISNUMBER(F450),ISNUMBER(G450)),AND(F451&lt;G451,F450&gt;=G450),FALSE())</f>
        <v>0</v>
      </c>
      <c r="L451" s="8" t="n">
        <f aca="false">IF(ISNUMBER(I451),E451-Inputs!$B$6*I451,"")</f>
        <v>0.773690060052084</v>
      </c>
      <c r="M451" s="9" t="b">
        <f aca="false">AND(Y450&gt;0,Z450)</f>
        <v>0</v>
      </c>
      <c r="N451" s="8" t="n">
        <f aca="false">B451*(1-Inputs!$B$12)</f>
        <v>0.787869965474646</v>
      </c>
      <c r="O451" s="10" t="n">
        <f aca="false">IF(M451,Y450*(N451-AB450)-Inputs!$B$9-Y450*AD450*Inputs!$B$13*(A451-AC450),0)</f>
        <v>0</v>
      </c>
      <c r="P451" s="10" t="n">
        <f aca="false">X450+O451</f>
        <v>1015.3844066801</v>
      </c>
      <c r="Q451" s="9" t="b">
        <f aca="false">AND(IF(M451,0,Y450)=0,AA450,IF(ISNUMBER(AE450),B451&gt;AE450,FALSE()))</f>
        <v>0</v>
      </c>
      <c r="R451" s="8" t="n">
        <f aca="false">B451*(1+Inputs!$B$12)</f>
        <v>0.788185176503042</v>
      </c>
      <c r="S451" s="11" t="n">
        <f aca="false">IF(Q451,MIN(P451*Inputs!$B$3/(R451-AE450),P451*Inputs!$B$11/R451),0)</f>
        <v>0</v>
      </c>
      <c r="T451" s="11" t="n">
        <f aca="false">IF(Q451,S451,IF(M451,0,Y450))</f>
        <v>664.118972006065</v>
      </c>
      <c r="U451" s="8" t="n">
        <f aca="false">IF(Q451,AE450,AF450)</f>
        <v>0.771982232894536</v>
      </c>
      <c r="V451" s="9" t="b">
        <f aca="false">AND(T451&gt;0,D451&lt;=U451)</f>
        <v>0</v>
      </c>
      <c r="W451" s="10" t="n">
        <f aca="false">IF(V451,T451*(AK451-AB451)-Inputs!$B$9-T451*AD451*Inputs!$B$13*(A451-AC451),0)</f>
        <v>0</v>
      </c>
      <c r="X451" s="10" t="n">
        <f aca="false">P451-IF(Q451,Inputs!$B$9,0)+W451</f>
        <v>1015.3844066801</v>
      </c>
      <c r="Y451" s="11" t="n">
        <f aca="false">IF(V451,0,T451)</f>
        <v>664.118972006065</v>
      </c>
      <c r="Z451" s="9" t="b">
        <f aca="false">AND(Y451&gt;0,K451)</f>
        <v>0</v>
      </c>
      <c r="AA451" s="9" t="b">
        <f aca="false">AND(Y451=0,J451,ISNUMBER(L451))</f>
        <v>0</v>
      </c>
      <c r="AB451" s="8" t="n">
        <f aca="false">IF(Q451,R451,AB450)</f>
        <v>0.787286484836172</v>
      </c>
      <c r="AC451" s="12" t="n">
        <f aca="false">IF(Q451,A451,AC450)</f>
        <v>45226</v>
      </c>
      <c r="AD451" s="8" t="n">
        <f aca="false">IF(Q451,B451,AD450)</f>
        <v>0.787129059024367</v>
      </c>
      <c r="AE451" s="8" t="str">
        <f aca="false">IF(AA451,L451,"")</f>
        <v/>
      </c>
      <c r="AF451" s="8" t="n">
        <f aca="false">U451</f>
        <v>0.771982232894536</v>
      </c>
      <c r="AG451" s="2" t="n">
        <f aca="false">AG450+IF(Q451,1,0)</f>
        <v>3</v>
      </c>
      <c r="AH451" s="2" t="n">
        <f aca="false">AG450</f>
        <v>3</v>
      </c>
      <c r="AI451" s="10" t="n">
        <f aca="false">X451+Y451*(E451-AB451)-Y451*AD451*Inputs!$B$13*(A451-AC451)</f>
        <v>1015.20490479627</v>
      </c>
      <c r="AJ451" s="10" t="n">
        <v>0</v>
      </c>
      <c r="AK451" s="8" t="n">
        <f aca="false">IF(AND(B451&lt;=U451,NOT(Q451)),B451,U451)*(1-Inputs!$B$12)</f>
        <v>0.771827836447957</v>
      </c>
    </row>
    <row r="452" customFormat="false" ht="15" hidden="false" customHeight="false" outlineLevel="0" collapsed="false">
      <c r="A452" s="6" t="n">
        <v>45236</v>
      </c>
      <c r="B452" s="7" t="n">
        <v>0.788277762114552</v>
      </c>
      <c r="C452" s="7" t="n">
        <v>0.789760558662256</v>
      </c>
      <c r="D452" s="7" t="n">
        <v>0.782270044679183</v>
      </c>
      <c r="E452" s="7" t="n">
        <v>0.78260471740484</v>
      </c>
      <c r="F452" s="8" t="n">
        <f aca="true">IF(ROW()-2&gt;=Inputs!$B$4,AVERAGE(OFFSET(E452,1-Inputs!$B$4,0,Inputs!$B$4,1)),"")</f>
        <v>0.78340600757448</v>
      </c>
      <c r="G452" s="8" t="n">
        <f aca="true">IF(ROW()-2&gt;=Inputs!$B$5,AVERAGE(OFFSET(E452,1-Inputs!$B$5,0,Inputs!$B$5,1)),"")</f>
        <v>0.77753591345014</v>
      </c>
      <c r="H452" s="8" t="n">
        <f aca="false">MAX(C452-D452,ABS(C452-E451),ABS(D452-E451))</f>
        <v>0.00749051398307232</v>
      </c>
      <c r="I452" s="8" t="n">
        <f aca="true">IF(ROW()-2&lt;14,"",IF(ROW()-2=14,AVERAGE(OFFSET(H452,-13,0,14,1)),(I451*13+H452)/14))</f>
        <v>0.00730789838493687</v>
      </c>
      <c r="J452" s="9" t="b">
        <f aca="false">IF(AND(ISNUMBER(F452),ISNUMBER(G452),ISNUMBER(F451),ISNUMBER(G451)),AND(F452&gt;G452,F451&lt;=G451),FALSE())</f>
        <v>0</v>
      </c>
      <c r="K452" s="9" t="b">
        <f aca="false">IF(AND(ISNUMBER(F452),ISNUMBER(G452),ISNUMBER(F451),ISNUMBER(G451)),AND(F452&lt;G452,F451&gt;=G451),FALSE())</f>
        <v>0</v>
      </c>
      <c r="L452" s="8" t="n">
        <f aca="false">IF(ISNUMBER(I452),E452-Inputs!$B$6*I452,"")</f>
        <v>0.767988920634966</v>
      </c>
      <c r="M452" s="9" t="b">
        <f aca="false">AND(Y451&gt;0,Z451)</f>
        <v>0</v>
      </c>
      <c r="N452" s="8" t="n">
        <f aca="false">B452*(1-Inputs!$B$12)</f>
        <v>0.78812010656213</v>
      </c>
      <c r="O452" s="10" t="n">
        <f aca="false">IF(M452,Y451*(N452-AB451)-Inputs!$B$9-Y451*AD451*Inputs!$B$13*(A452-AC451),0)</f>
        <v>0</v>
      </c>
      <c r="P452" s="10" t="n">
        <f aca="false">X451+O452</f>
        <v>1015.3844066801</v>
      </c>
      <c r="Q452" s="9" t="b">
        <f aca="false">AND(IF(M452,0,Y451)=0,AA451,IF(ISNUMBER(AE451),B452&gt;AE451,FALSE()))</f>
        <v>0</v>
      </c>
      <c r="R452" s="8" t="n">
        <f aca="false">B452*(1+Inputs!$B$12)</f>
        <v>0.788435417666975</v>
      </c>
      <c r="S452" s="11" t="n">
        <f aca="false">IF(Q452,MIN(P452*Inputs!$B$3/(R452-AE451),P452*Inputs!$B$11/R452),0)</f>
        <v>0</v>
      </c>
      <c r="T452" s="11" t="n">
        <f aca="false">IF(Q452,S452,IF(M452,0,Y451))</f>
        <v>664.118972006065</v>
      </c>
      <c r="U452" s="8" t="n">
        <f aca="false">IF(Q452,AE451,AF451)</f>
        <v>0.771982232894536</v>
      </c>
      <c r="V452" s="9" t="b">
        <f aca="false">AND(T452&gt;0,D452&lt;=U452)</f>
        <v>0</v>
      </c>
      <c r="W452" s="10" t="n">
        <f aca="false">IF(V452,T452*(AK452-AB452)-Inputs!$B$9-T452*AD452*Inputs!$B$13*(A452-AC452),0)</f>
        <v>0</v>
      </c>
      <c r="X452" s="10" t="n">
        <f aca="false">P452-IF(Q452,Inputs!$B$9,0)+W452</f>
        <v>1015.3844066801</v>
      </c>
      <c r="Y452" s="11" t="n">
        <f aca="false">IF(V452,0,T452)</f>
        <v>664.118972006065</v>
      </c>
      <c r="Z452" s="9" t="b">
        <f aca="false">AND(Y452&gt;0,K452)</f>
        <v>0</v>
      </c>
      <c r="AA452" s="9" t="b">
        <f aca="false">AND(Y452=0,J452,ISNUMBER(L452))</f>
        <v>0</v>
      </c>
      <c r="AB452" s="8" t="n">
        <f aca="false">IF(Q452,R452,AB451)</f>
        <v>0.787286484836172</v>
      </c>
      <c r="AC452" s="12" t="n">
        <f aca="false">IF(Q452,A452,AC451)</f>
        <v>45226</v>
      </c>
      <c r="AD452" s="8" t="n">
        <f aca="false">IF(Q452,B452,AD451)</f>
        <v>0.787129059024367</v>
      </c>
      <c r="AE452" s="8" t="str">
        <f aca="false">IF(AA452,L452,"")</f>
        <v/>
      </c>
      <c r="AF452" s="8" t="n">
        <f aca="false">U452</f>
        <v>0.771982232894536</v>
      </c>
      <c r="AG452" s="2" t="n">
        <f aca="false">AG451+IF(Q452,1,0)</f>
        <v>3</v>
      </c>
      <c r="AH452" s="2" t="n">
        <f aca="false">AG451</f>
        <v>3</v>
      </c>
      <c r="AI452" s="10" t="n">
        <f aca="false">X452+Y452*(E452-AB452)-Y452*AD452*Inputs!$B$13*(A452-AC452)</f>
        <v>1011.34423618318</v>
      </c>
      <c r="AJ452" s="10" t="n">
        <v>0</v>
      </c>
      <c r="AK452" s="8" t="n">
        <f aca="false">IF(AND(B452&lt;=U452,NOT(Q452)),B452,U452)*(1-Inputs!$B$12)</f>
        <v>0.771827836447957</v>
      </c>
    </row>
    <row r="453" customFormat="false" ht="15" hidden="false" customHeight="false" outlineLevel="0" collapsed="false">
      <c r="A453" s="6" t="n">
        <v>45237</v>
      </c>
      <c r="B453" s="7" t="n">
        <v>0.78260471740484</v>
      </c>
      <c r="C453" s="7" t="n">
        <v>0.792092683359022</v>
      </c>
      <c r="D453" s="7" t="n">
        <v>0.780819717843915</v>
      </c>
      <c r="E453" s="7" t="n">
        <v>0.785755271682282</v>
      </c>
      <c r="F453" s="8" t="n">
        <f aca="true">IF(ROW()-2&gt;=Inputs!$B$4,AVERAGE(OFFSET(E453,1-Inputs!$B$4,0,Inputs!$B$4,1)),"")</f>
        <v>0.784258430193354</v>
      </c>
      <c r="G453" s="8" t="n">
        <f aca="true">IF(ROW()-2&gt;=Inputs!$B$5,AVERAGE(OFFSET(E453,1-Inputs!$B$5,0,Inputs!$B$5,1)),"")</f>
        <v>0.777808213824329</v>
      </c>
      <c r="H453" s="8" t="n">
        <f aca="false">MAX(C453-D453,ABS(C453-E452),ABS(D453-E452))</f>
        <v>0.0112729655151074</v>
      </c>
      <c r="I453" s="8" t="n">
        <f aca="true">IF(ROW()-2&lt;14,"",IF(ROW()-2=14,AVERAGE(OFFSET(H453,-13,0,14,1)),(I452*13+H453)/14))</f>
        <v>0.00759111746566333</v>
      </c>
      <c r="J453" s="9" t="b">
        <f aca="false">IF(AND(ISNUMBER(F453),ISNUMBER(G453),ISNUMBER(F452),ISNUMBER(G452)),AND(F453&gt;G453,F452&lt;=G452),FALSE())</f>
        <v>0</v>
      </c>
      <c r="K453" s="9" t="b">
        <f aca="false">IF(AND(ISNUMBER(F453),ISNUMBER(G453),ISNUMBER(F452),ISNUMBER(G452)),AND(F453&lt;G453,F452&gt;=G452),FALSE())</f>
        <v>0</v>
      </c>
      <c r="L453" s="8" t="n">
        <f aca="false">IF(ISNUMBER(I453),E453-Inputs!$B$6*I453,"")</f>
        <v>0.770573036750956</v>
      </c>
      <c r="M453" s="9" t="b">
        <f aca="false">AND(Y452&gt;0,Z452)</f>
        <v>0</v>
      </c>
      <c r="N453" s="8" t="n">
        <f aca="false">B453*(1-Inputs!$B$12)</f>
        <v>0.782448196461359</v>
      </c>
      <c r="O453" s="10" t="n">
        <f aca="false">IF(M453,Y452*(N453-AB452)-Inputs!$B$9-Y452*AD452*Inputs!$B$13*(A453-AC452),0)</f>
        <v>0</v>
      </c>
      <c r="P453" s="10" t="n">
        <f aca="false">X452+O453</f>
        <v>1015.3844066801</v>
      </c>
      <c r="Q453" s="9" t="b">
        <f aca="false">AND(IF(M453,0,Y452)=0,AA452,IF(ISNUMBER(AE452),B453&gt;AE452,FALSE()))</f>
        <v>0</v>
      </c>
      <c r="R453" s="8" t="n">
        <f aca="false">B453*(1+Inputs!$B$12)</f>
        <v>0.782761238348321</v>
      </c>
      <c r="S453" s="11" t="n">
        <f aca="false">IF(Q453,MIN(P453*Inputs!$B$3/(R453-AE452),P453*Inputs!$B$11/R453),0)</f>
        <v>0</v>
      </c>
      <c r="T453" s="11" t="n">
        <f aca="false">IF(Q453,S453,IF(M453,0,Y452))</f>
        <v>664.118972006065</v>
      </c>
      <c r="U453" s="8" t="n">
        <f aca="false">IF(Q453,AE452,AF452)</f>
        <v>0.771982232894536</v>
      </c>
      <c r="V453" s="9" t="b">
        <f aca="false">AND(T453&gt;0,D453&lt;=U453)</f>
        <v>0</v>
      </c>
      <c r="W453" s="10" t="n">
        <f aca="false">IF(V453,T453*(AK453-AB453)-Inputs!$B$9-T453*AD453*Inputs!$B$13*(A453-AC453),0)</f>
        <v>0</v>
      </c>
      <c r="X453" s="10" t="n">
        <f aca="false">P453-IF(Q453,Inputs!$B$9,0)+W453</f>
        <v>1015.3844066801</v>
      </c>
      <c r="Y453" s="11" t="n">
        <f aca="false">IF(V453,0,T453)</f>
        <v>664.118972006065</v>
      </c>
      <c r="Z453" s="9" t="b">
        <f aca="false">AND(Y453&gt;0,K453)</f>
        <v>0</v>
      </c>
      <c r="AA453" s="9" t="b">
        <f aca="false">AND(Y453=0,J453,ISNUMBER(L453))</f>
        <v>0</v>
      </c>
      <c r="AB453" s="8" t="n">
        <f aca="false">IF(Q453,R453,AB452)</f>
        <v>0.787286484836172</v>
      </c>
      <c r="AC453" s="12" t="n">
        <f aca="false">IF(Q453,A453,AC452)</f>
        <v>45226</v>
      </c>
      <c r="AD453" s="8" t="n">
        <f aca="false">IF(Q453,B453,AD452)</f>
        <v>0.787129059024367</v>
      </c>
      <c r="AE453" s="8" t="str">
        <f aca="false">IF(AA453,L453,"")</f>
        <v/>
      </c>
      <c r="AF453" s="8" t="n">
        <f aca="false">U453</f>
        <v>0.771982232894536</v>
      </c>
      <c r="AG453" s="2" t="n">
        <f aca="false">AG452+IF(Q453,1,0)</f>
        <v>3</v>
      </c>
      <c r="AH453" s="2" t="n">
        <f aca="false">AG452</f>
        <v>3</v>
      </c>
      <c r="AI453" s="10" t="n">
        <f aca="false">X453+Y453*(E453-AB453)-Y453*AD453*Inputs!$B$13*(A453-AC453)</f>
        <v>1013.34348705884</v>
      </c>
      <c r="AJ453" s="10" t="n">
        <v>0</v>
      </c>
      <c r="AK453" s="8" t="n">
        <f aca="false">IF(AND(B453&lt;=U453,NOT(Q453)),B453,U453)*(1-Inputs!$B$12)</f>
        <v>0.771827836447957</v>
      </c>
    </row>
    <row r="454" customFormat="false" ht="15" hidden="false" customHeight="false" outlineLevel="0" collapsed="false">
      <c r="A454" s="6" t="n">
        <v>45238</v>
      </c>
      <c r="B454" s="7" t="n">
        <v>0.785755271682282</v>
      </c>
      <c r="C454" s="7" t="n">
        <v>0.786808029998041</v>
      </c>
      <c r="D454" s="7" t="n">
        <v>0.784654086893</v>
      </c>
      <c r="E454" s="7" t="n">
        <v>0.784939449266283</v>
      </c>
      <c r="F454" s="8" t="n">
        <f aca="true">IF(ROW()-2&gt;=Inputs!$B$4,AVERAGE(OFFSET(E454,1-Inputs!$B$4,0,Inputs!$B$4,1)),"")</f>
        <v>0.785024680041496</v>
      </c>
      <c r="G454" s="8" t="n">
        <f aca="true">IF(ROW()-2&gt;=Inputs!$B$5,AVERAGE(OFFSET(E454,1-Inputs!$B$5,0,Inputs!$B$5,1)),"")</f>
        <v>0.778082168699007</v>
      </c>
      <c r="H454" s="8" t="n">
        <f aca="false">MAX(C454-D454,ABS(C454-E453),ABS(D454-E453))</f>
        <v>0.00215394310504047</v>
      </c>
      <c r="I454" s="8" t="n">
        <f aca="true">IF(ROW()-2&lt;14,"",IF(ROW()-2=14,AVERAGE(OFFSET(H454,-13,0,14,1)),(I453*13+H454)/14))</f>
        <v>0.00720274786847599</v>
      </c>
      <c r="J454" s="9" t="b">
        <f aca="false">IF(AND(ISNUMBER(F454),ISNUMBER(G454),ISNUMBER(F453),ISNUMBER(G453)),AND(F454&gt;G454,F453&lt;=G453),FALSE())</f>
        <v>0</v>
      </c>
      <c r="K454" s="9" t="b">
        <f aca="false">IF(AND(ISNUMBER(F454),ISNUMBER(G454),ISNUMBER(F453),ISNUMBER(G453)),AND(F454&lt;G454,F453&gt;=G453),FALSE())</f>
        <v>0</v>
      </c>
      <c r="L454" s="8" t="n">
        <f aca="false">IF(ISNUMBER(I454),E454-Inputs!$B$6*I454,"")</f>
        <v>0.770533953529331</v>
      </c>
      <c r="M454" s="9" t="b">
        <f aca="false">AND(Y453&gt;0,Z453)</f>
        <v>0</v>
      </c>
      <c r="N454" s="8" t="n">
        <f aca="false">B454*(1-Inputs!$B$12)</f>
        <v>0.785598120627946</v>
      </c>
      <c r="O454" s="10" t="n">
        <f aca="false">IF(M454,Y453*(N454-AB453)-Inputs!$B$9-Y453*AD453*Inputs!$B$13*(A454-AC453),0)</f>
        <v>0</v>
      </c>
      <c r="P454" s="10" t="n">
        <f aca="false">X453+O454</f>
        <v>1015.3844066801</v>
      </c>
      <c r="Q454" s="9" t="b">
        <f aca="false">AND(IF(M454,0,Y453)=0,AA453,IF(ISNUMBER(AE453),B454&gt;AE453,FALSE()))</f>
        <v>0</v>
      </c>
      <c r="R454" s="8" t="n">
        <f aca="false">B454*(1+Inputs!$B$12)</f>
        <v>0.785912422736619</v>
      </c>
      <c r="S454" s="11" t="n">
        <f aca="false">IF(Q454,MIN(P454*Inputs!$B$3/(R454-AE453),P454*Inputs!$B$11/R454),0)</f>
        <v>0</v>
      </c>
      <c r="T454" s="11" t="n">
        <f aca="false">IF(Q454,S454,IF(M454,0,Y453))</f>
        <v>664.118972006065</v>
      </c>
      <c r="U454" s="8" t="n">
        <f aca="false">IF(Q454,AE453,AF453)</f>
        <v>0.771982232894536</v>
      </c>
      <c r="V454" s="9" t="b">
        <f aca="false">AND(T454&gt;0,D454&lt;=U454)</f>
        <v>0</v>
      </c>
      <c r="W454" s="10" t="n">
        <f aca="false">IF(V454,T454*(AK454-AB454)-Inputs!$B$9-T454*AD454*Inputs!$B$13*(A454-AC454),0)</f>
        <v>0</v>
      </c>
      <c r="X454" s="10" t="n">
        <f aca="false">P454-IF(Q454,Inputs!$B$9,0)+W454</f>
        <v>1015.3844066801</v>
      </c>
      <c r="Y454" s="11" t="n">
        <f aca="false">IF(V454,0,T454)</f>
        <v>664.118972006065</v>
      </c>
      <c r="Z454" s="9" t="b">
        <f aca="false">AND(Y454&gt;0,K454)</f>
        <v>0</v>
      </c>
      <c r="AA454" s="9" t="b">
        <f aca="false">AND(Y454=0,J454,ISNUMBER(L454))</f>
        <v>0</v>
      </c>
      <c r="AB454" s="8" t="n">
        <f aca="false">IF(Q454,R454,AB453)</f>
        <v>0.787286484836172</v>
      </c>
      <c r="AC454" s="12" t="n">
        <f aca="false">IF(Q454,A454,AC453)</f>
        <v>45226</v>
      </c>
      <c r="AD454" s="8" t="n">
        <f aca="false">IF(Q454,B454,AD453)</f>
        <v>0.787129059024367</v>
      </c>
      <c r="AE454" s="8" t="str">
        <f aca="false">IF(AA454,L454,"")</f>
        <v/>
      </c>
      <c r="AF454" s="8" t="n">
        <f aca="false">U454</f>
        <v>0.771982232894536</v>
      </c>
      <c r="AG454" s="2" t="n">
        <f aca="false">AG453+IF(Q454,1,0)</f>
        <v>3</v>
      </c>
      <c r="AH454" s="2" t="n">
        <f aca="false">AG453</f>
        <v>3</v>
      </c>
      <c r="AI454" s="10" t="n">
        <f aca="false">X454+Y454*(E454-AB454)-Y454*AD454*Inputs!$B$13*(A454-AC454)</f>
        <v>1012.70859192226</v>
      </c>
      <c r="AJ454" s="10" t="n">
        <v>0</v>
      </c>
      <c r="AK454" s="8" t="n">
        <f aca="false">IF(AND(B454&lt;=U454,NOT(Q454)),B454,U454)*(1-Inputs!$B$12)</f>
        <v>0.771827836447957</v>
      </c>
    </row>
    <row r="455" customFormat="false" ht="15" hidden="false" customHeight="false" outlineLevel="0" collapsed="false">
      <c r="A455" s="6" t="n">
        <v>45239</v>
      </c>
      <c r="B455" s="7" t="n">
        <v>0.784939449266283</v>
      </c>
      <c r="C455" s="7" t="n">
        <v>0.791302377307543</v>
      </c>
      <c r="D455" s="7" t="n">
        <v>0.784344276928984</v>
      </c>
      <c r="E455" s="7" t="n">
        <v>0.789037001305711</v>
      </c>
      <c r="F455" s="8" t="n">
        <f aca="true">IF(ROW()-2&gt;=Inputs!$B$4,AVERAGE(OFFSET(E455,1-Inputs!$B$4,0,Inputs!$B$4,1)),"")</f>
        <v>0.785924686916967</v>
      </c>
      <c r="G455" s="8" t="n">
        <f aca="true">IF(ROW()-2&gt;=Inputs!$B$5,AVERAGE(OFFSET(E455,1-Inputs!$B$5,0,Inputs!$B$5,1)),"")</f>
        <v>0.778560253569513</v>
      </c>
      <c r="H455" s="8" t="n">
        <f aca="false">MAX(C455-D455,ABS(C455-E454),ABS(D455-E454))</f>
        <v>0.00695810037855882</v>
      </c>
      <c r="I455" s="8" t="n">
        <f aca="true">IF(ROW()-2&lt;14,"",IF(ROW()-2=14,AVERAGE(OFFSET(H455,-13,0,14,1)),(I454*13+H455)/14))</f>
        <v>0.00718527304776762</v>
      </c>
      <c r="J455" s="9" t="b">
        <f aca="false">IF(AND(ISNUMBER(F455),ISNUMBER(G455),ISNUMBER(F454),ISNUMBER(G454)),AND(F455&gt;G455,F454&lt;=G454),FALSE())</f>
        <v>0</v>
      </c>
      <c r="K455" s="9" t="b">
        <f aca="false">IF(AND(ISNUMBER(F455),ISNUMBER(G455),ISNUMBER(F454),ISNUMBER(G454)),AND(F455&lt;G455,F454&gt;=G454),FALSE())</f>
        <v>0</v>
      </c>
      <c r="L455" s="8" t="n">
        <f aca="false">IF(ISNUMBER(I455),E455-Inputs!$B$6*I455,"")</f>
        <v>0.774666455210176</v>
      </c>
      <c r="M455" s="9" t="b">
        <f aca="false">AND(Y454&gt;0,Z454)</f>
        <v>0</v>
      </c>
      <c r="N455" s="8" t="n">
        <f aca="false">B455*(1-Inputs!$B$12)</f>
        <v>0.78478246137643</v>
      </c>
      <c r="O455" s="10" t="n">
        <f aca="false">IF(M455,Y454*(N455-AB454)-Inputs!$B$9-Y454*AD454*Inputs!$B$13*(A455-AC454),0)</f>
        <v>0</v>
      </c>
      <c r="P455" s="10" t="n">
        <f aca="false">X454+O455</f>
        <v>1015.3844066801</v>
      </c>
      <c r="Q455" s="9" t="b">
        <f aca="false">AND(IF(M455,0,Y454)=0,AA454,IF(ISNUMBER(AE454),B455&gt;AE454,FALSE()))</f>
        <v>0</v>
      </c>
      <c r="R455" s="8" t="n">
        <f aca="false">B455*(1+Inputs!$B$12)</f>
        <v>0.785096437156137</v>
      </c>
      <c r="S455" s="11" t="n">
        <f aca="false">IF(Q455,MIN(P455*Inputs!$B$3/(R455-AE454),P455*Inputs!$B$11/R455),0)</f>
        <v>0</v>
      </c>
      <c r="T455" s="11" t="n">
        <f aca="false">IF(Q455,S455,IF(M455,0,Y454))</f>
        <v>664.118972006065</v>
      </c>
      <c r="U455" s="8" t="n">
        <f aca="false">IF(Q455,AE454,AF454)</f>
        <v>0.771982232894536</v>
      </c>
      <c r="V455" s="9" t="b">
        <f aca="false">AND(T455&gt;0,D455&lt;=U455)</f>
        <v>0</v>
      </c>
      <c r="W455" s="10" t="n">
        <f aca="false">IF(V455,T455*(AK455-AB455)-Inputs!$B$9-T455*AD455*Inputs!$B$13*(A455-AC455),0)</f>
        <v>0</v>
      </c>
      <c r="X455" s="10" t="n">
        <f aca="false">P455-IF(Q455,Inputs!$B$9,0)+W455</f>
        <v>1015.3844066801</v>
      </c>
      <c r="Y455" s="11" t="n">
        <f aca="false">IF(V455,0,T455)</f>
        <v>664.118972006065</v>
      </c>
      <c r="Z455" s="9" t="b">
        <f aca="false">AND(Y455&gt;0,K455)</f>
        <v>0</v>
      </c>
      <c r="AA455" s="9" t="b">
        <f aca="false">AND(Y455=0,J455,ISNUMBER(L455))</f>
        <v>0</v>
      </c>
      <c r="AB455" s="8" t="n">
        <f aca="false">IF(Q455,R455,AB454)</f>
        <v>0.787286484836172</v>
      </c>
      <c r="AC455" s="12" t="n">
        <f aca="false">IF(Q455,A455,AC454)</f>
        <v>45226</v>
      </c>
      <c r="AD455" s="8" t="n">
        <f aca="false">IF(Q455,B455,AD454)</f>
        <v>0.787129059024367</v>
      </c>
      <c r="AE455" s="8" t="str">
        <f aca="false">IF(AA455,L455,"")</f>
        <v/>
      </c>
      <c r="AF455" s="8" t="n">
        <f aca="false">U455</f>
        <v>0.771982232894536</v>
      </c>
      <c r="AG455" s="2" t="n">
        <f aca="false">AG454+IF(Q455,1,0)</f>
        <v>3</v>
      </c>
      <c r="AH455" s="2" t="n">
        <f aca="false">AG454</f>
        <v>3</v>
      </c>
      <c r="AI455" s="10" t="n">
        <f aca="false">X455+Y455*(E455-AB455)-Y455*AD455*Inputs!$B$13*(A455-AC455)</f>
        <v>1015.33676197811</v>
      </c>
      <c r="AJ455" s="10" t="n">
        <v>0</v>
      </c>
      <c r="AK455" s="8" t="n">
        <f aca="false">IF(AND(B455&lt;=U455,NOT(Q455)),B455,U455)*(1-Inputs!$B$12)</f>
        <v>0.771827836447957</v>
      </c>
    </row>
    <row r="456" customFormat="false" ht="15" hidden="false" customHeight="false" outlineLevel="0" collapsed="false">
      <c r="A456" s="6" t="n">
        <v>45240</v>
      </c>
      <c r="B456" s="7" t="n">
        <v>0.789037001305711</v>
      </c>
      <c r="C456" s="7" t="n">
        <v>0.791494381645024</v>
      </c>
      <c r="D456" s="7" t="n">
        <v>0.784169460770233</v>
      </c>
      <c r="E456" s="7" t="n">
        <v>0.785489077181491</v>
      </c>
      <c r="F456" s="8" t="n">
        <f aca="true">IF(ROW()-2&gt;=Inputs!$B$4,AVERAGE(OFFSET(E456,1-Inputs!$B$4,0,Inputs!$B$4,1)),"")</f>
        <v>0.786312958817076</v>
      </c>
      <c r="G456" s="8" t="n">
        <f aca="true">IF(ROW()-2&gt;=Inputs!$B$5,AVERAGE(OFFSET(E456,1-Inputs!$B$5,0,Inputs!$B$5,1)),"")</f>
        <v>0.778879049060252</v>
      </c>
      <c r="H456" s="8" t="n">
        <f aca="false">MAX(C456-D456,ABS(C456-E455),ABS(D456-E455))</f>
        <v>0.00732492087479086</v>
      </c>
      <c r="I456" s="8" t="n">
        <f aca="true">IF(ROW()-2&lt;14,"",IF(ROW()-2=14,AVERAGE(OFFSET(H456,-13,0,14,1)),(I455*13+H456)/14))</f>
        <v>0.00719524789255499</v>
      </c>
      <c r="J456" s="9" t="b">
        <f aca="false">IF(AND(ISNUMBER(F456),ISNUMBER(G456),ISNUMBER(F455),ISNUMBER(G455)),AND(F456&gt;G456,F455&lt;=G455),FALSE())</f>
        <v>0</v>
      </c>
      <c r="K456" s="9" t="b">
        <f aca="false">IF(AND(ISNUMBER(F456),ISNUMBER(G456),ISNUMBER(F455),ISNUMBER(G455)),AND(F456&lt;G456,F455&gt;=G455),FALSE())</f>
        <v>0</v>
      </c>
      <c r="L456" s="8" t="n">
        <f aca="false">IF(ISNUMBER(I456),E456-Inputs!$B$6*I456,"")</f>
        <v>0.771098581396381</v>
      </c>
      <c r="M456" s="9" t="b">
        <f aca="false">AND(Y455&gt;0,Z455)</f>
        <v>0</v>
      </c>
      <c r="N456" s="8" t="n">
        <f aca="false">B456*(1-Inputs!$B$12)</f>
        <v>0.78887919390545</v>
      </c>
      <c r="O456" s="10" t="n">
        <f aca="false">IF(M456,Y455*(N456-AB455)-Inputs!$B$9-Y455*AD455*Inputs!$B$13*(A456-AC455),0)</f>
        <v>0</v>
      </c>
      <c r="P456" s="10" t="n">
        <f aca="false">X455+O456</f>
        <v>1015.3844066801</v>
      </c>
      <c r="Q456" s="9" t="b">
        <f aca="false">AND(IF(M456,0,Y455)=0,AA455,IF(ISNUMBER(AE455),B456&gt;AE455,FALSE()))</f>
        <v>0</v>
      </c>
      <c r="R456" s="8" t="n">
        <f aca="false">B456*(1+Inputs!$B$12)</f>
        <v>0.789194808705972</v>
      </c>
      <c r="S456" s="11" t="n">
        <f aca="false">IF(Q456,MIN(P456*Inputs!$B$3/(R456-AE455),P456*Inputs!$B$11/R456),0)</f>
        <v>0</v>
      </c>
      <c r="T456" s="11" t="n">
        <f aca="false">IF(Q456,S456,IF(M456,0,Y455))</f>
        <v>664.118972006065</v>
      </c>
      <c r="U456" s="8" t="n">
        <f aca="false">IF(Q456,AE455,AF455)</f>
        <v>0.771982232894536</v>
      </c>
      <c r="V456" s="9" t="b">
        <f aca="false">AND(T456&gt;0,D456&lt;=U456)</f>
        <v>0</v>
      </c>
      <c r="W456" s="10" t="n">
        <f aca="false">IF(V456,T456*(AK456-AB456)-Inputs!$B$9-T456*AD456*Inputs!$B$13*(A456-AC456),0)</f>
        <v>0</v>
      </c>
      <c r="X456" s="10" t="n">
        <f aca="false">P456-IF(Q456,Inputs!$B$9,0)+W456</f>
        <v>1015.3844066801</v>
      </c>
      <c r="Y456" s="11" t="n">
        <f aca="false">IF(V456,0,T456)</f>
        <v>664.118972006065</v>
      </c>
      <c r="Z456" s="9" t="b">
        <f aca="false">AND(Y456&gt;0,K456)</f>
        <v>0</v>
      </c>
      <c r="AA456" s="9" t="b">
        <f aca="false">AND(Y456=0,J456,ISNUMBER(L456))</f>
        <v>0</v>
      </c>
      <c r="AB456" s="8" t="n">
        <f aca="false">IF(Q456,R456,AB455)</f>
        <v>0.787286484836172</v>
      </c>
      <c r="AC456" s="12" t="n">
        <f aca="false">IF(Q456,A456,AC455)</f>
        <v>45226</v>
      </c>
      <c r="AD456" s="8" t="n">
        <f aca="false">IF(Q456,B456,AD455)</f>
        <v>0.787129059024367</v>
      </c>
      <c r="AE456" s="8" t="str">
        <f aca="false">IF(AA456,L456,"")</f>
        <v/>
      </c>
      <c r="AF456" s="8" t="n">
        <f aca="false">U456</f>
        <v>0.771982232894536</v>
      </c>
      <c r="AG456" s="2" t="n">
        <f aca="false">AG455+IF(Q456,1,0)</f>
        <v>3</v>
      </c>
      <c r="AH456" s="2" t="n">
        <f aca="false">AG455</f>
        <v>3</v>
      </c>
      <c r="AI456" s="10" t="n">
        <f aca="false">X456+Y456*(E456-AB456)-Y456*AD456*Inputs!$B$13*(A456-AC456)</f>
        <v>1012.88742626365</v>
      </c>
      <c r="AJ456" s="10" t="n">
        <v>0</v>
      </c>
      <c r="AK456" s="8" t="n">
        <f aca="false">IF(AND(B456&lt;=U456,NOT(Q456)),B456,U456)*(1-Inputs!$B$12)</f>
        <v>0.771827836447957</v>
      </c>
    </row>
    <row r="457" customFormat="false" ht="15" hidden="false" customHeight="false" outlineLevel="0" collapsed="false">
      <c r="A457" s="6" t="n">
        <v>45241</v>
      </c>
      <c r="B457" s="7" t="n">
        <v>0.785489077181491</v>
      </c>
      <c r="C457" s="7" t="n">
        <v>0.793235303261404</v>
      </c>
      <c r="D457" s="7" t="n">
        <v>0.784152506240308</v>
      </c>
      <c r="E457" s="7" t="n">
        <v>0.791549679082149</v>
      </c>
      <c r="F457" s="8" t="n">
        <f aca="true">IF(ROW()-2&gt;=Inputs!$B$4,AVERAGE(OFFSET(E457,1-Inputs!$B$4,0,Inputs!$B$4,1)),"")</f>
        <v>0.786770363592494</v>
      </c>
      <c r="G457" s="8" t="n">
        <f aca="true">IF(ROW()-2&gt;=Inputs!$B$5,AVERAGE(OFFSET(E457,1-Inputs!$B$5,0,Inputs!$B$5,1)),"")</f>
        <v>0.779203132006735</v>
      </c>
      <c r="H457" s="8" t="n">
        <f aca="false">MAX(C457-D457,ABS(C457-E456),ABS(D457-E456))</f>
        <v>0.00908279702109527</v>
      </c>
      <c r="I457" s="8" t="n">
        <f aca="true">IF(ROW()-2&lt;14,"",IF(ROW()-2=14,AVERAGE(OFFSET(H457,-13,0,14,1)),(I456*13+H457)/14))</f>
        <v>0.00733007283030787</v>
      </c>
      <c r="J457" s="9" t="b">
        <f aca="false">IF(AND(ISNUMBER(F457),ISNUMBER(G457),ISNUMBER(F456),ISNUMBER(G456)),AND(F457&gt;G457,F456&lt;=G456),FALSE())</f>
        <v>0</v>
      </c>
      <c r="K457" s="9" t="b">
        <f aca="false">IF(AND(ISNUMBER(F457),ISNUMBER(G457),ISNUMBER(F456),ISNUMBER(G456)),AND(F457&lt;G457,F456&gt;=G456),FALSE())</f>
        <v>0</v>
      </c>
      <c r="L457" s="8" t="n">
        <f aca="false">IF(ISNUMBER(I457),E457-Inputs!$B$6*I457,"")</f>
        <v>0.776889533421533</v>
      </c>
      <c r="M457" s="9" t="b">
        <f aca="false">AND(Y456&gt;0,Z456)</f>
        <v>0</v>
      </c>
      <c r="N457" s="8" t="n">
        <f aca="false">B457*(1-Inputs!$B$12)</f>
        <v>0.785331979366055</v>
      </c>
      <c r="O457" s="10" t="n">
        <f aca="false">IF(M457,Y456*(N457-AB456)-Inputs!$B$9-Y456*AD456*Inputs!$B$13*(A457-AC456),0)</f>
        <v>0</v>
      </c>
      <c r="P457" s="10" t="n">
        <f aca="false">X456+O457</f>
        <v>1015.3844066801</v>
      </c>
      <c r="Q457" s="9" t="b">
        <f aca="false">AND(IF(M457,0,Y456)=0,AA456,IF(ISNUMBER(AE456),B457&gt;AE456,FALSE()))</f>
        <v>0</v>
      </c>
      <c r="R457" s="8" t="n">
        <f aca="false">B457*(1+Inputs!$B$12)</f>
        <v>0.785646174996928</v>
      </c>
      <c r="S457" s="11" t="n">
        <f aca="false">IF(Q457,MIN(P457*Inputs!$B$3/(R457-AE456),P457*Inputs!$B$11/R457),0)</f>
        <v>0</v>
      </c>
      <c r="T457" s="11" t="n">
        <f aca="false">IF(Q457,S457,IF(M457,0,Y456))</f>
        <v>664.118972006065</v>
      </c>
      <c r="U457" s="8" t="n">
        <f aca="false">IF(Q457,AE456,AF456)</f>
        <v>0.771982232894536</v>
      </c>
      <c r="V457" s="9" t="b">
        <f aca="false">AND(T457&gt;0,D457&lt;=U457)</f>
        <v>0</v>
      </c>
      <c r="W457" s="10" t="n">
        <f aca="false">IF(V457,T457*(AK457-AB457)-Inputs!$B$9-T457*AD457*Inputs!$B$13*(A457-AC457),0)</f>
        <v>0</v>
      </c>
      <c r="X457" s="10" t="n">
        <f aca="false">P457-IF(Q457,Inputs!$B$9,0)+W457</f>
        <v>1015.3844066801</v>
      </c>
      <c r="Y457" s="11" t="n">
        <f aca="false">IF(V457,0,T457)</f>
        <v>664.118972006065</v>
      </c>
      <c r="Z457" s="9" t="b">
        <f aca="false">AND(Y457&gt;0,K457)</f>
        <v>0</v>
      </c>
      <c r="AA457" s="9" t="b">
        <f aca="false">AND(Y457=0,J457,ISNUMBER(L457))</f>
        <v>0</v>
      </c>
      <c r="AB457" s="8" t="n">
        <f aca="false">IF(Q457,R457,AB456)</f>
        <v>0.787286484836172</v>
      </c>
      <c r="AC457" s="12" t="n">
        <f aca="false">IF(Q457,A457,AC456)</f>
        <v>45226</v>
      </c>
      <c r="AD457" s="8" t="n">
        <f aca="false">IF(Q457,B457,AD456)</f>
        <v>0.787129059024367</v>
      </c>
      <c r="AE457" s="8" t="str">
        <f aca="false">IF(AA457,L457,"")</f>
        <v/>
      </c>
      <c r="AF457" s="8" t="n">
        <f aca="false">U457</f>
        <v>0.771982232894536</v>
      </c>
      <c r="AG457" s="2" t="n">
        <f aca="false">AG456+IF(Q457,1,0)</f>
        <v>3</v>
      </c>
      <c r="AH457" s="2" t="n">
        <f aca="false">AG456</f>
        <v>3</v>
      </c>
      <c r="AI457" s="10" t="n">
        <f aca="false">X457+Y457*(E457-AB457)-Y457*AD457*Inputs!$B$13*(A457-AC457)</f>
        <v>1016.81929497533</v>
      </c>
      <c r="AJ457" s="10" t="n">
        <v>0</v>
      </c>
      <c r="AK457" s="8" t="n">
        <f aca="false">IF(AND(B457&lt;=U457,NOT(Q457)),B457,U457)*(1-Inputs!$B$12)</f>
        <v>0.771827836447957</v>
      </c>
    </row>
    <row r="458" customFormat="false" ht="15" hidden="false" customHeight="false" outlineLevel="0" collapsed="false">
      <c r="A458" s="6" t="n">
        <v>45242</v>
      </c>
      <c r="B458" s="7" t="n">
        <v>0.791549679082149</v>
      </c>
      <c r="C458" s="7" t="n">
        <v>0.798393545972385</v>
      </c>
      <c r="D458" s="7" t="n">
        <v>0.790706163556694</v>
      </c>
      <c r="E458" s="7" t="n">
        <v>0.797850994577446</v>
      </c>
      <c r="F458" s="8" t="n">
        <f aca="true">IF(ROW()-2&gt;=Inputs!$B$4,AVERAGE(OFFSET(E458,1-Inputs!$B$4,0,Inputs!$B$4,1)),"")</f>
        <v>0.787344130340609</v>
      </c>
      <c r="G458" s="8" t="n">
        <f aca="true">IF(ROW()-2&gt;=Inputs!$B$5,AVERAGE(OFFSET(E458,1-Inputs!$B$5,0,Inputs!$B$5,1)),"")</f>
        <v>0.779597836522934</v>
      </c>
      <c r="H458" s="8" t="n">
        <f aca="false">MAX(C458-D458,ABS(C458-E457),ABS(D458-E457))</f>
        <v>0.00768738241569089</v>
      </c>
      <c r="I458" s="8" t="n">
        <f aca="true">IF(ROW()-2&lt;14,"",IF(ROW()-2=14,AVERAGE(OFFSET(H458,-13,0,14,1)),(I457*13+H458)/14))</f>
        <v>0.00735559494354951</v>
      </c>
      <c r="J458" s="9" t="b">
        <f aca="false">IF(AND(ISNUMBER(F458),ISNUMBER(G458),ISNUMBER(F457),ISNUMBER(G457)),AND(F458&gt;G458,F457&lt;=G457),FALSE())</f>
        <v>0</v>
      </c>
      <c r="K458" s="9" t="b">
        <f aca="false">IF(AND(ISNUMBER(F458),ISNUMBER(G458),ISNUMBER(F457),ISNUMBER(G457)),AND(F458&lt;G458,F457&gt;=G457),FALSE())</f>
        <v>0</v>
      </c>
      <c r="L458" s="8" t="n">
        <f aca="false">IF(ISNUMBER(I458),E458-Inputs!$B$6*I458,"")</f>
        <v>0.783139804690346</v>
      </c>
      <c r="M458" s="9" t="b">
        <f aca="false">AND(Y457&gt;0,Z457)</f>
        <v>0</v>
      </c>
      <c r="N458" s="8" t="n">
        <f aca="false">B458*(1-Inputs!$B$12)</f>
        <v>0.791391369146332</v>
      </c>
      <c r="O458" s="10" t="n">
        <f aca="false">IF(M458,Y457*(N458-AB457)-Inputs!$B$9-Y457*AD457*Inputs!$B$13*(A458-AC457),0)</f>
        <v>0</v>
      </c>
      <c r="P458" s="10" t="n">
        <f aca="false">X457+O458</f>
        <v>1015.3844066801</v>
      </c>
      <c r="Q458" s="9" t="b">
        <f aca="false">AND(IF(M458,0,Y457)=0,AA457,IF(ISNUMBER(AE457),B458&gt;AE457,FALSE()))</f>
        <v>0</v>
      </c>
      <c r="R458" s="8" t="n">
        <f aca="false">B458*(1+Inputs!$B$12)</f>
        <v>0.791707989017965</v>
      </c>
      <c r="S458" s="11" t="n">
        <f aca="false">IF(Q458,MIN(P458*Inputs!$B$3/(R458-AE457),P458*Inputs!$B$11/R458),0)</f>
        <v>0</v>
      </c>
      <c r="T458" s="11" t="n">
        <f aca="false">IF(Q458,S458,IF(M458,0,Y457))</f>
        <v>664.118972006065</v>
      </c>
      <c r="U458" s="8" t="n">
        <f aca="false">IF(Q458,AE457,AF457)</f>
        <v>0.771982232894536</v>
      </c>
      <c r="V458" s="9" t="b">
        <f aca="false">AND(T458&gt;0,D458&lt;=U458)</f>
        <v>0</v>
      </c>
      <c r="W458" s="10" t="n">
        <f aca="false">IF(V458,T458*(AK458-AB458)-Inputs!$B$9-T458*AD458*Inputs!$B$13*(A458-AC458),0)</f>
        <v>0</v>
      </c>
      <c r="X458" s="10" t="n">
        <f aca="false">P458-IF(Q458,Inputs!$B$9,0)+W458</f>
        <v>1015.3844066801</v>
      </c>
      <c r="Y458" s="11" t="n">
        <f aca="false">IF(V458,0,T458)</f>
        <v>664.118972006065</v>
      </c>
      <c r="Z458" s="9" t="b">
        <f aca="false">AND(Y458&gt;0,K458)</f>
        <v>0</v>
      </c>
      <c r="AA458" s="9" t="b">
        <f aca="false">AND(Y458=0,J458,ISNUMBER(L458))</f>
        <v>0</v>
      </c>
      <c r="AB458" s="8" t="n">
        <f aca="false">IF(Q458,R458,AB457)</f>
        <v>0.787286484836172</v>
      </c>
      <c r="AC458" s="12" t="n">
        <f aca="false">IF(Q458,A458,AC457)</f>
        <v>45226</v>
      </c>
      <c r="AD458" s="8" t="n">
        <f aca="false">IF(Q458,B458,AD457)</f>
        <v>0.787129059024367</v>
      </c>
      <c r="AE458" s="8" t="str">
        <f aca="false">IF(AA458,L458,"")</f>
        <v/>
      </c>
      <c r="AF458" s="8" t="n">
        <f aca="false">U458</f>
        <v>0.771982232894536</v>
      </c>
      <c r="AG458" s="2" t="n">
        <f aca="false">AG457+IF(Q458,1,0)</f>
        <v>3</v>
      </c>
      <c r="AH458" s="2" t="n">
        <f aca="false">AG457</f>
        <v>3</v>
      </c>
      <c r="AI458" s="10" t="n">
        <f aca="false">X458+Y458*(E458-AB458)-Y458*AD458*Inputs!$B$13*(A458-AC458)</f>
        <v>1020.91102615202</v>
      </c>
      <c r="AJ458" s="10" t="n">
        <v>0</v>
      </c>
      <c r="AK458" s="8" t="n">
        <f aca="false">IF(AND(B458&lt;=U458,NOT(Q458)),B458,U458)*(1-Inputs!$B$12)</f>
        <v>0.771827836447957</v>
      </c>
    </row>
    <row r="459" customFormat="false" ht="15" hidden="false" customHeight="false" outlineLevel="0" collapsed="false">
      <c r="A459" s="6" t="n">
        <v>45243</v>
      </c>
      <c r="B459" s="7" t="n">
        <v>0.797850994577446</v>
      </c>
      <c r="C459" s="7" t="n">
        <v>0.797977323661029</v>
      </c>
      <c r="D459" s="7" t="n">
        <v>0.788287297674139</v>
      </c>
      <c r="E459" s="7" t="n">
        <v>0.792876870865214</v>
      </c>
      <c r="F459" s="8" t="n">
        <f aca="true">IF(ROW()-2&gt;=Inputs!$B$4,AVERAGE(OFFSET(E459,1-Inputs!$B$4,0,Inputs!$B$4,1)),"")</f>
        <v>0.787728689369584</v>
      </c>
      <c r="G459" s="8" t="n">
        <f aca="true">IF(ROW()-2&gt;=Inputs!$B$5,AVERAGE(OFFSET(E459,1-Inputs!$B$5,0,Inputs!$B$5,1)),"")</f>
        <v>0.779952486143872</v>
      </c>
      <c r="H459" s="8" t="n">
        <f aca="false">MAX(C459-D459,ABS(C459-E458),ABS(D459-E458))</f>
        <v>0.00969002598689028</v>
      </c>
      <c r="I459" s="8" t="n">
        <f aca="true">IF(ROW()-2&lt;14,"",IF(ROW()-2=14,AVERAGE(OFFSET(H459,-13,0,14,1)),(I458*13+H459)/14))</f>
        <v>0.00752234001807386</v>
      </c>
      <c r="J459" s="9" t="b">
        <f aca="false">IF(AND(ISNUMBER(F459),ISNUMBER(G459),ISNUMBER(F458),ISNUMBER(G458)),AND(F459&gt;G459,F458&lt;=G458),FALSE())</f>
        <v>0</v>
      </c>
      <c r="K459" s="9" t="b">
        <f aca="false">IF(AND(ISNUMBER(F459),ISNUMBER(G459),ISNUMBER(F458),ISNUMBER(G458)),AND(F459&lt;G459,F458&gt;=G458),FALSE())</f>
        <v>0</v>
      </c>
      <c r="L459" s="8" t="n">
        <f aca="false">IF(ISNUMBER(I459),E459-Inputs!$B$6*I459,"")</f>
        <v>0.777832190829066</v>
      </c>
      <c r="M459" s="9" t="b">
        <f aca="false">AND(Y458&gt;0,Z458)</f>
        <v>0</v>
      </c>
      <c r="N459" s="8" t="n">
        <f aca="false">B459*(1-Inputs!$B$12)</f>
        <v>0.79769142437853</v>
      </c>
      <c r="O459" s="10" t="n">
        <f aca="false">IF(M459,Y458*(N459-AB458)-Inputs!$B$9-Y458*AD458*Inputs!$B$13*(A459-AC458),0)</f>
        <v>0</v>
      </c>
      <c r="P459" s="10" t="n">
        <f aca="false">X458+O459</f>
        <v>1015.3844066801</v>
      </c>
      <c r="Q459" s="9" t="b">
        <f aca="false">AND(IF(M459,0,Y458)=0,AA458,IF(ISNUMBER(AE458),B459&gt;AE458,FALSE()))</f>
        <v>0</v>
      </c>
      <c r="R459" s="8" t="n">
        <f aca="false">B459*(1+Inputs!$B$12)</f>
        <v>0.798010564776361</v>
      </c>
      <c r="S459" s="11" t="n">
        <f aca="false">IF(Q459,MIN(P459*Inputs!$B$3/(R459-AE458),P459*Inputs!$B$11/R459),0)</f>
        <v>0</v>
      </c>
      <c r="T459" s="11" t="n">
        <f aca="false">IF(Q459,S459,IF(M459,0,Y458))</f>
        <v>664.118972006065</v>
      </c>
      <c r="U459" s="8" t="n">
        <f aca="false">IF(Q459,AE458,AF458)</f>
        <v>0.771982232894536</v>
      </c>
      <c r="V459" s="9" t="b">
        <f aca="false">AND(T459&gt;0,D459&lt;=U459)</f>
        <v>0</v>
      </c>
      <c r="W459" s="10" t="n">
        <f aca="false">IF(V459,T459*(AK459-AB459)-Inputs!$B$9-T459*AD459*Inputs!$B$13*(A459-AC459),0)</f>
        <v>0</v>
      </c>
      <c r="X459" s="10" t="n">
        <f aca="false">P459-IF(Q459,Inputs!$B$9,0)+W459</f>
        <v>1015.3844066801</v>
      </c>
      <c r="Y459" s="11" t="n">
        <f aca="false">IF(V459,0,T459)</f>
        <v>664.118972006065</v>
      </c>
      <c r="Z459" s="9" t="b">
        <f aca="false">AND(Y459&gt;0,K459)</f>
        <v>0</v>
      </c>
      <c r="AA459" s="9" t="b">
        <f aca="false">AND(Y459=0,J459,ISNUMBER(L459))</f>
        <v>0</v>
      </c>
      <c r="AB459" s="8" t="n">
        <f aca="false">IF(Q459,R459,AB458)</f>
        <v>0.787286484836172</v>
      </c>
      <c r="AC459" s="12" t="n">
        <f aca="false">IF(Q459,A459,AC458)</f>
        <v>45226</v>
      </c>
      <c r="AD459" s="8" t="n">
        <f aca="false">IF(Q459,B459,AD458)</f>
        <v>0.787129059024367</v>
      </c>
      <c r="AE459" s="8" t="str">
        <f aca="false">IF(AA459,L459,"")</f>
        <v/>
      </c>
      <c r="AF459" s="8" t="n">
        <f aca="false">U459</f>
        <v>0.771982232894536</v>
      </c>
      <c r="AG459" s="2" t="n">
        <f aca="false">AG458+IF(Q459,1,0)</f>
        <v>3</v>
      </c>
      <c r="AH459" s="2" t="n">
        <f aca="false">AG458</f>
        <v>3</v>
      </c>
      <c r="AI459" s="10" t="n">
        <f aca="false">X459+Y459*(E459-AB459)-Y459*AD459*Inputs!$B$13*(A459-AC459)</f>
        <v>1017.5145242333</v>
      </c>
      <c r="AJ459" s="10" t="n">
        <v>0</v>
      </c>
      <c r="AK459" s="8" t="n">
        <f aca="false">IF(AND(B459&lt;=U459,NOT(Q459)),B459,U459)*(1-Inputs!$B$12)</f>
        <v>0.771827836447957</v>
      </c>
    </row>
    <row r="460" customFormat="false" ht="15" hidden="false" customHeight="false" outlineLevel="0" collapsed="false">
      <c r="A460" s="6" t="n">
        <v>45244</v>
      </c>
      <c r="B460" s="7" t="n">
        <v>0.792876870865214</v>
      </c>
      <c r="C460" s="7" t="n">
        <v>0.793418356009992</v>
      </c>
      <c r="D460" s="7" t="n">
        <v>0.785835666453036</v>
      </c>
      <c r="E460" s="7" t="n">
        <v>0.789344139959271</v>
      </c>
      <c r="F460" s="8" t="n">
        <f aca="true">IF(ROW()-2&gt;=Inputs!$B$4,AVERAGE(OFFSET(E460,1-Inputs!$B$4,0,Inputs!$B$4,1)),"")</f>
        <v>0.788171699467425</v>
      </c>
      <c r="G460" s="8" t="n">
        <f aca="true">IF(ROW()-2&gt;=Inputs!$B$5,AVERAGE(OFFSET(E460,1-Inputs!$B$5,0,Inputs!$B$5,1)),"")</f>
        <v>0.780226602528854</v>
      </c>
      <c r="H460" s="8" t="n">
        <f aca="false">MAX(C460-D460,ABS(C460-E459),ABS(D460-E459))</f>
        <v>0.00758268955695607</v>
      </c>
      <c r="I460" s="8" t="n">
        <f aca="true">IF(ROW()-2&lt;14,"",IF(ROW()-2=14,AVERAGE(OFFSET(H460,-13,0,14,1)),(I459*13+H460)/14))</f>
        <v>0.00752665069942258</v>
      </c>
      <c r="J460" s="9" t="b">
        <f aca="false">IF(AND(ISNUMBER(F460),ISNUMBER(G460),ISNUMBER(F459),ISNUMBER(G459)),AND(F460&gt;G460,F459&lt;=G459),FALSE())</f>
        <v>0</v>
      </c>
      <c r="K460" s="9" t="b">
        <f aca="false">IF(AND(ISNUMBER(F460),ISNUMBER(G460),ISNUMBER(F459),ISNUMBER(G459)),AND(F460&lt;G460,F459&gt;=G459),FALSE())</f>
        <v>0</v>
      </c>
      <c r="L460" s="8" t="n">
        <f aca="false">IF(ISNUMBER(I460),E460-Inputs!$B$6*I460,"")</f>
        <v>0.774290838560426</v>
      </c>
      <c r="M460" s="9" t="b">
        <f aca="false">AND(Y459&gt;0,Z459)</f>
        <v>0</v>
      </c>
      <c r="N460" s="8" t="n">
        <f aca="false">B460*(1-Inputs!$B$12)</f>
        <v>0.792718295491041</v>
      </c>
      <c r="O460" s="10" t="n">
        <f aca="false">IF(M460,Y459*(N460-AB459)-Inputs!$B$9-Y459*AD459*Inputs!$B$13*(A460-AC459),0)</f>
        <v>0</v>
      </c>
      <c r="P460" s="10" t="n">
        <f aca="false">X459+O460</f>
        <v>1015.3844066801</v>
      </c>
      <c r="Q460" s="9" t="b">
        <f aca="false">AND(IF(M460,0,Y459)=0,AA459,IF(ISNUMBER(AE459),B460&gt;AE459,FALSE()))</f>
        <v>0</v>
      </c>
      <c r="R460" s="8" t="n">
        <f aca="false">B460*(1+Inputs!$B$12)</f>
        <v>0.793035446239387</v>
      </c>
      <c r="S460" s="11" t="n">
        <f aca="false">IF(Q460,MIN(P460*Inputs!$B$3/(R460-AE459),P460*Inputs!$B$11/R460),0)</f>
        <v>0</v>
      </c>
      <c r="T460" s="11" t="n">
        <f aca="false">IF(Q460,S460,IF(M460,0,Y459))</f>
        <v>664.118972006065</v>
      </c>
      <c r="U460" s="8" t="n">
        <f aca="false">IF(Q460,AE459,AF459)</f>
        <v>0.771982232894536</v>
      </c>
      <c r="V460" s="9" t="b">
        <f aca="false">AND(T460&gt;0,D460&lt;=U460)</f>
        <v>0</v>
      </c>
      <c r="W460" s="10" t="n">
        <f aca="false">IF(V460,T460*(AK460-AB460)-Inputs!$B$9-T460*AD460*Inputs!$B$13*(A460-AC460),0)</f>
        <v>0</v>
      </c>
      <c r="X460" s="10" t="n">
        <f aca="false">P460-IF(Q460,Inputs!$B$9,0)+W460</f>
        <v>1015.3844066801</v>
      </c>
      <c r="Y460" s="11" t="n">
        <f aca="false">IF(V460,0,T460)</f>
        <v>664.118972006065</v>
      </c>
      <c r="Z460" s="9" t="b">
        <f aca="false">AND(Y460&gt;0,K460)</f>
        <v>0</v>
      </c>
      <c r="AA460" s="9" t="b">
        <f aca="false">AND(Y460=0,J460,ISNUMBER(L460))</f>
        <v>0</v>
      </c>
      <c r="AB460" s="8" t="n">
        <f aca="false">IF(Q460,R460,AB459)</f>
        <v>0.787286484836172</v>
      </c>
      <c r="AC460" s="12" t="n">
        <f aca="false">IF(Q460,A460,AC459)</f>
        <v>45226</v>
      </c>
      <c r="AD460" s="8" t="n">
        <f aca="false">IF(Q460,B460,AD459)</f>
        <v>0.787129059024367</v>
      </c>
      <c r="AE460" s="8" t="str">
        <f aca="false">IF(AA460,L460,"")</f>
        <v/>
      </c>
      <c r="AF460" s="8" t="n">
        <f aca="false">U460</f>
        <v>0.771982232894536</v>
      </c>
      <c r="AG460" s="2" t="n">
        <f aca="false">AG459+IF(Q460,1,0)</f>
        <v>3</v>
      </c>
      <c r="AH460" s="2" t="n">
        <f aca="false">AG459</f>
        <v>3</v>
      </c>
      <c r="AI460" s="10" t="n">
        <f aca="false">X460+Y460*(E460-AB460)-Y460*AD460*Inputs!$B$13*(A460-AC460)</f>
        <v>1015.07527862335</v>
      </c>
      <c r="AJ460" s="10" t="n">
        <v>0</v>
      </c>
      <c r="AK460" s="8" t="n">
        <f aca="false">IF(AND(B460&lt;=U460,NOT(Q460)),B460,U460)*(1-Inputs!$B$12)</f>
        <v>0.771827836447957</v>
      </c>
    </row>
    <row r="461" customFormat="false" ht="15" hidden="false" customHeight="false" outlineLevel="0" collapsed="false">
      <c r="A461" s="6" t="n">
        <v>45245</v>
      </c>
      <c r="B461" s="7" t="n">
        <v>0.789344139959271</v>
      </c>
      <c r="C461" s="7" t="n">
        <v>0.797185377270076</v>
      </c>
      <c r="D461" s="7" t="n">
        <v>0.783352097629832</v>
      </c>
      <c r="E461" s="7" t="n">
        <v>0.790487896632525</v>
      </c>
      <c r="F461" s="8" t="n">
        <f aca="true">IF(ROW()-2&gt;=Inputs!$B$4,AVERAGE(OFFSET(E461,1-Inputs!$B$4,0,Inputs!$B$4,1)),"")</f>
        <v>0.788339641347833</v>
      </c>
      <c r="G461" s="8" t="n">
        <f aca="true">IF(ROW()-2&gt;=Inputs!$B$5,AVERAGE(OFFSET(E461,1-Inputs!$B$5,0,Inputs!$B$5,1)),"")</f>
        <v>0.780620923517763</v>
      </c>
      <c r="H461" s="8" t="n">
        <f aca="false">MAX(C461-D461,ABS(C461-E460),ABS(D461-E460))</f>
        <v>0.0138332796402439</v>
      </c>
      <c r="I461" s="8" t="n">
        <f aca="true">IF(ROW()-2&lt;14,"",IF(ROW()-2=14,AVERAGE(OFFSET(H461,-13,0,14,1)),(I460*13+H461)/14))</f>
        <v>0.00797712419519554</v>
      </c>
      <c r="J461" s="9" t="b">
        <f aca="false">IF(AND(ISNUMBER(F461),ISNUMBER(G461),ISNUMBER(F460),ISNUMBER(G460)),AND(F461&gt;G461,F460&lt;=G460),FALSE())</f>
        <v>0</v>
      </c>
      <c r="K461" s="9" t="b">
        <f aca="false">IF(AND(ISNUMBER(F461),ISNUMBER(G461),ISNUMBER(F460),ISNUMBER(G460)),AND(F461&lt;G461,F460&gt;=G460),FALSE())</f>
        <v>0</v>
      </c>
      <c r="L461" s="8" t="n">
        <f aca="false">IF(ISNUMBER(I461),E461-Inputs!$B$6*I461,"")</f>
        <v>0.774533648242134</v>
      </c>
      <c r="M461" s="9" t="b">
        <f aca="false">AND(Y460&gt;0,Z460)</f>
        <v>0</v>
      </c>
      <c r="N461" s="8" t="n">
        <f aca="false">B461*(1-Inputs!$B$12)</f>
        <v>0.789186271131279</v>
      </c>
      <c r="O461" s="10" t="n">
        <f aca="false">IF(M461,Y460*(N461-AB460)-Inputs!$B$9-Y460*AD460*Inputs!$B$13*(A461-AC460),0)</f>
        <v>0</v>
      </c>
      <c r="P461" s="10" t="n">
        <f aca="false">X460+O461</f>
        <v>1015.3844066801</v>
      </c>
      <c r="Q461" s="9" t="b">
        <f aca="false">AND(IF(M461,0,Y460)=0,AA460,IF(ISNUMBER(AE460),B461&gt;AE460,FALSE()))</f>
        <v>0</v>
      </c>
      <c r="R461" s="8" t="n">
        <f aca="false">B461*(1+Inputs!$B$12)</f>
        <v>0.789502008787263</v>
      </c>
      <c r="S461" s="11" t="n">
        <f aca="false">IF(Q461,MIN(P461*Inputs!$B$3/(R461-AE460),P461*Inputs!$B$11/R461),0)</f>
        <v>0</v>
      </c>
      <c r="T461" s="11" t="n">
        <f aca="false">IF(Q461,S461,IF(M461,0,Y460))</f>
        <v>664.118972006065</v>
      </c>
      <c r="U461" s="8" t="n">
        <f aca="false">IF(Q461,AE460,AF460)</f>
        <v>0.771982232894536</v>
      </c>
      <c r="V461" s="9" t="b">
        <f aca="false">AND(T461&gt;0,D461&lt;=U461)</f>
        <v>0</v>
      </c>
      <c r="W461" s="10" t="n">
        <f aca="false">IF(V461,T461*(AK461-AB461)-Inputs!$B$9-T461*AD461*Inputs!$B$13*(A461-AC461),0)</f>
        <v>0</v>
      </c>
      <c r="X461" s="10" t="n">
        <f aca="false">P461-IF(Q461,Inputs!$B$9,0)+W461</f>
        <v>1015.3844066801</v>
      </c>
      <c r="Y461" s="11" t="n">
        <f aca="false">IF(V461,0,T461)</f>
        <v>664.118972006065</v>
      </c>
      <c r="Z461" s="9" t="b">
        <f aca="false">AND(Y461&gt;0,K461)</f>
        <v>0</v>
      </c>
      <c r="AA461" s="9" t="b">
        <f aca="false">AND(Y461=0,J461,ISNUMBER(L461))</f>
        <v>0</v>
      </c>
      <c r="AB461" s="8" t="n">
        <f aca="false">IF(Q461,R461,AB460)</f>
        <v>0.787286484836172</v>
      </c>
      <c r="AC461" s="12" t="n">
        <f aca="false">IF(Q461,A461,AC460)</f>
        <v>45226</v>
      </c>
      <c r="AD461" s="8" t="n">
        <f aca="false">IF(Q461,B461,AD460)</f>
        <v>0.787129059024367</v>
      </c>
      <c r="AE461" s="8" t="str">
        <f aca="false">IF(AA461,L461,"")</f>
        <v/>
      </c>
      <c r="AF461" s="8" t="n">
        <f aca="false">U461</f>
        <v>0.771982232894536</v>
      </c>
      <c r="AG461" s="2" t="n">
        <f aca="false">AG460+IF(Q461,1,0)</f>
        <v>3</v>
      </c>
      <c r="AH461" s="2" t="n">
        <f aca="false">AG460</f>
        <v>3</v>
      </c>
      <c r="AI461" s="10" t="n">
        <f aca="false">X461+Y461*(E461-AB461)-Y461*AD461*Inputs!$B$13*(A461-AC461)</f>
        <v>1015.74177713709</v>
      </c>
      <c r="AJ461" s="10" t="n">
        <v>0</v>
      </c>
      <c r="AK461" s="8" t="n">
        <f aca="false">IF(AND(B461&lt;=U461,NOT(Q461)),B461,U461)*(1-Inputs!$B$12)</f>
        <v>0.771827836447957</v>
      </c>
    </row>
    <row r="462" customFormat="false" ht="15" hidden="false" customHeight="false" outlineLevel="0" collapsed="false">
      <c r="A462" s="6" t="n">
        <v>45246</v>
      </c>
      <c r="B462" s="7" t="n">
        <v>0.790487896632525</v>
      </c>
      <c r="C462" s="7" t="n">
        <v>0.794317555782576</v>
      </c>
      <c r="D462" s="7" t="n">
        <v>0.788073103473954</v>
      </c>
      <c r="E462" s="7" t="n">
        <v>0.792346470226259</v>
      </c>
      <c r="F462" s="8" t="n">
        <f aca="true">IF(ROW()-2&gt;=Inputs!$B$4,AVERAGE(OFFSET(E462,1-Inputs!$B$4,0,Inputs!$B$4,1)),"")</f>
        <v>0.788530156655196</v>
      </c>
      <c r="G462" s="8" t="n">
        <f aca="true">IF(ROW()-2&gt;=Inputs!$B$5,AVERAGE(OFFSET(E462,1-Inputs!$B$5,0,Inputs!$B$5,1)),"")</f>
        <v>0.781025259347969</v>
      </c>
      <c r="H462" s="8" t="n">
        <f aca="false">MAX(C462-D462,ABS(C462-E461),ABS(D462-E461))</f>
        <v>0.00624445230862158</v>
      </c>
      <c r="I462" s="8" t="n">
        <f aca="true">IF(ROW()-2&lt;14,"",IF(ROW()-2=14,AVERAGE(OFFSET(H462,-13,0,14,1)),(I461*13+H462)/14))</f>
        <v>0.00785336191758311</v>
      </c>
      <c r="J462" s="9" t="b">
        <f aca="false">IF(AND(ISNUMBER(F462),ISNUMBER(G462),ISNUMBER(F461),ISNUMBER(G461)),AND(F462&gt;G462,F461&lt;=G461),FALSE())</f>
        <v>0</v>
      </c>
      <c r="K462" s="9" t="b">
        <f aca="false">IF(AND(ISNUMBER(F462),ISNUMBER(G462),ISNUMBER(F461),ISNUMBER(G461)),AND(F462&lt;G462,F461&gt;=G461),FALSE())</f>
        <v>0</v>
      </c>
      <c r="L462" s="8" t="n">
        <f aca="false">IF(ISNUMBER(I462),E462-Inputs!$B$6*I462,"")</f>
        <v>0.776639746391093</v>
      </c>
      <c r="M462" s="9" t="b">
        <f aca="false">AND(Y461&gt;0,Z461)</f>
        <v>0</v>
      </c>
      <c r="N462" s="8" t="n">
        <f aca="false">B462*(1-Inputs!$B$12)</f>
        <v>0.790329799053198</v>
      </c>
      <c r="O462" s="10" t="n">
        <f aca="false">IF(M462,Y461*(N462-AB461)-Inputs!$B$9-Y461*AD461*Inputs!$B$13*(A462-AC461),0)</f>
        <v>0</v>
      </c>
      <c r="P462" s="10" t="n">
        <f aca="false">X461+O462</f>
        <v>1015.3844066801</v>
      </c>
      <c r="Q462" s="9" t="b">
        <f aca="false">AND(IF(M462,0,Y461)=0,AA461,IF(ISNUMBER(AE461),B462&gt;AE461,FALSE()))</f>
        <v>0</v>
      </c>
      <c r="R462" s="8" t="n">
        <f aca="false">B462*(1+Inputs!$B$12)</f>
        <v>0.790645994211851</v>
      </c>
      <c r="S462" s="11" t="n">
        <f aca="false">IF(Q462,MIN(P462*Inputs!$B$3/(R462-AE461),P462*Inputs!$B$11/R462),0)</f>
        <v>0</v>
      </c>
      <c r="T462" s="11" t="n">
        <f aca="false">IF(Q462,S462,IF(M462,0,Y461))</f>
        <v>664.118972006065</v>
      </c>
      <c r="U462" s="8" t="n">
        <f aca="false">IF(Q462,AE461,AF461)</f>
        <v>0.771982232894536</v>
      </c>
      <c r="V462" s="9" t="b">
        <f aca="false">AND(T462&gt;0,D462&lt;=U462)</f>
        <v>0</v>
      </c>
      <c r="W462" s="10" t="n">
        <f aca="false">IF(V462,T462*(AK462-AB462)-Inputs!$B$9-T462*AD462*Inputs!$B$13*(A462-AC462),0)</f>
        <v>0</v>
      </c>
      <c r="X462" s="10" t="n">
        <f aca="false">P462-IF(Q462,Inputs!$B$9,0)+W462</f>
        <v>1015.3844066801</v>
      </c>
      <c r="Y462" s="11" t="n">
        <f aca="false">IF(V462,0,T462)</f>
        <v>664.118972006065</v>
      </c>
      <c r="Z462" s="9" t="b">
        <f aca="false">AND(Y462&gt;0,K462)</f>
        <v>0</v>
      </c>
      <c r="AA462" s="9" t="b">
        <f aca="false">AND(Y462=0,J462,ISNUMBER(L462))</f>
        <v>0</v>
      </c>
      <c r="AB462" s="8" t="n">
        <f aca="false">IF(Q462,R462,AB461)</f>
        <v>0.787286484836172</v>
      </c>
      <c r="AC462" s="12" t="n">
        <f aca="false">IF(Q462,A462,AC461)</f>
        <v>45226</v>
      </c>
      <c r="AD462" s="8" t="n">
        <f aca="false">IF(Q462,B462,AD461)</f>
        <v>0.787129059024367</v>
      </c>
      <c r="AE462" s="8" t="str">
        <f aca="false">IF(AA462,L462,"")</f>
        <v/>
      </c>
      <c r="AF462" s="8" t="n">
        <f aca="false">U462</f>
        <v>0.771982232894536</v>
      </c>
      <c r="AG462" s="2" t="n">
        <f aca="false">AG461+IF(Q462,1,0)</f>
        <v>3</v>
      </c>
      <c r="AH462" s="2" t="n">
        <f aca="false">AG461</f>
        <v>3</v>
      </c>
      <c r="AI462" s="10" t="n">
        <f aca="false">X462+Y462*(E462-AB462)-Y462*AD462*Inputs!$B$13*(A462-AC462)</f>
        <v>1016.88299912923</v>
      </c>
      <c r="AJ462" s="10" t="n">
        <v>0</v>
      </c>
      <c r="AK462" s="8" t="n">
        <f aca="false">IF(AND(B462&lt;=U462,NOT(Q462)),B462,U462)*(1-Inputs!$B$12)</f>
        <v>0.771827836447957</v>
      </c>
    </row>
    <row r="463" customFormat="false" ht="15" hidden="false" customHeight="false" outlineLevel="0" collapsed="false">
      <c r="A463" s="6" t="n">
        <v>45247</v>
      </c>
      <c r="B463" s="7" t="n">
        <v>0.792346470226259</v>
      </c>
      <c r="C463" s="7" t="n">
        <v>0.794543487971597</v>
      </c>
      <c r="D463" s="7" t="n">
        <v>0.787291234499436</v>
      </c>
      <c r="E463" s="7" t="n">
        <v>0.791268573924968</v>
      </c>
      <c r="F463" s="8" t="n">
        <f aca="true">IF(ROW()-2&gt;=Inputs!$B$4,AVERAGE(OFFSET(E463,1-Inputs!$B$4,0,Inputs!$B$4,1)),"")</f>
        <v>0.788970930616654</v>
      </c>
      <c r="G463" s="8" t="n">
        <f aca="true">IF(ROW()-2&gt;=Inputs!$B$5,AVERAGE(OFFSET(E463,1-Inputs!$B$5,0,Inputs!$B$5,1)),"")</f>
        <v>0.781340157558371</v>
      </c>
      <c r="H463" s="8" t="n">
        <f aca="false">MAX(C463-D463,ABS(C463-E462),ABS(D463-E462))</f>
        <v>0.00725225347216119</v>
      </c>
      <c r="I463" s="8" t="n">
        <f aca="true">IF(ROW()-2&lt;14,"",IF(ROW()-2=14,AVERAGE(OFFSET(H463,-13,0,14,1)),(I462*13+H463)/14))</f>
        <v>0.00781042560005298</v>
      </c>
      <c r="J463" s="9" t="b">
        <f aca="false">IF(AND(ISNUMBER(F463),ISNUMBER(G463),ISNUMBER(F462),ISNUMBER(G462)),AND(F463&gt;G463,F462&lt;=G462),FALSE())</f>
        <v>0</v>
      </c>
      <c r="K463" s="9" t="b">
        <f aca="false">IF(AND(ISNUMBER(F463),ISNUMBER(G463),ISNUMBER(F462),ISNUMBER(G462)),AND(F463&lt;G463,F462&gt;=G462),FALSE())</f>
        <v>0</v>
      </c>
      <c r="L463" s="8" t="n">
        <f aca="false">IF(ISNUMBER(I463),E463-Inputs!$B$6*I463,"")</f>
        <v>0.775647722724862</v>
      </c>
      <c r="M463" s="9" t="b">
        <f aca="false">AND(Y462&gt;0,Z462)</f>
        <v>0</v>
      </c>
      <c r="N463" s="8" t="n">
        <f aca="false">B463*(1-Inputs!$B$12)</f>
        <v>0.792188000932214</v>
      </c>
      <c r="O463" s="10" t="n">
        <f aca="false">IF(M463,Y462*(N463-AB462)-Inputs!$B$9-Y462*AD462*Inputs!$B$13*(A463-AC462),0)</f>
        <v>0</v>
      </c>
      <c r="P463" s="10" t="n">
        <f aca="false">X462+O463</f>
        <v>1015.3844066801</v>
      </c>
      <c r="Q463" s="9" t="b">
        <f aca="false">AND(IF(M463,0,Y462)=0,AA462,IF(ISNUMBER(AE462),B463&gt;AE462,FALSE()))</f>
        <v>0</v>
      </c>
      <c r="R463" s="8" t="n">
        <f aca="false">B463*(1+Inputs!$B$12)</f>
        <v>0.792504939520304</v>
      </c>
      <c r="S463" s="11" t="n">
        <f aca="false">IF(Q463,MIN(P463*Inputs!$B$3/(R463-AE462),P463*Inputs!$B$11/R463),0)</f>
        <v>0</v>
      </c>
      <c r="T463" s="11" t="n">
        <f aca="false">IF(Q463,S463,IF(M463,0,Y462))</f>
        <v>664.118972006065</v>
      </c>
      <c r="U463" s="8" t="n">
        <f aca="false">IF(Q463,AE462,AF462)</f>
        <v>0.771982232894536</v>
      </c>
      <c r="V463" s="9" t="b">
        <f aca="false">AND(T463&gt;0,D463&lt;=U463)</f>
        <v>0</v>
      </c>
      <c r="W463" s="10" t="n">
        <f aca="false">IF(V463,T463*(AK463-AB463)-Inputs!$B$9-T463*AD463*Inputs!$B$13*(A463-AC463),0)</f>
        <v>0</v>
      </c>
      <c r="X463" s="10" t="n">
        <f aca="false">P463-IF(Q463,Inputs!$B$9,0)+W463</f>
        <v>1015.3844066801</v>
      </c>
      <c r="Y463" s="11" t="n">
        <f aca="false">IF(V463,0,T463)</f>
        <v>664.118972006065</v>
      </c>
      <c r="Z463" s="9" t="b">
        <f aca="false">AND(Y463&gt;0,K463)</f>
        <v>0</v>
      </c>
      <c r="AA463" s="9" t="b">
        <f aca="false">AND(Y463=0,J463,ISNUMBER(L463))</f>
        <v>0</v>
      </c>
      <c r="AB463" s="8" t="n">
        <f aca="false">IF(Q463,R463,AB462)</f>
        <v>0.787286484836172</v>
      </c>
      <c r="AC463" s="12" t="n">
        <f aca="false">IF(Q463,A463,AC462)</f>
        <v>45226</v>
      </c>
      <c r="AD463" s="8" t="n">
        <f aca="false">IF(Q463,B463,AD462)</f>
        <v>0.787129059024367</v>
      </c>
      <c r="AE463" s="8" t="str">
        <f aca="false">IF(AA463,L463,"")</f>
        <v/>
      </c>
      <c r="AF463" s="8" t="n">
        <f aca="false">U463</f>
        <v>0.771982232894536</v>
      </c>
      <c r="AG463" s="2" t="n">
        <f aca="false">AG462+IF(Q463,1,0)</f>
        <v>3</v>
      </c>
      <c r="AH463" s="2" t="n">
        <f aca="false">AG462</f>
        <v>3</v>
      </c>
      <c r="AI463" s="10" t="n">
        <f aca="false">X463+Y463*(E463-AB463)-Y463*AD463*Inputs!$B$13*(A463-AC463)</f>
        <v>1016.07405575337</v>
      </c>
      <c r="AJ463" s="10" t="n">
        <v>0</v>
      </c>
      <c r="AK463" s="8" t="n">
        <f aca="false">IF(AND(B463&lt;=U463,NOT(Q463)),B463,U463)*(1-Inputs!$B$12)</f>
        <v>0.771827836447957</v>
      </c>
    </row>
    <row r="464" customFormat="false" ht="15" hidden="false" customHeight="false" outlineLevel="0" collapsed="false">
      <c r="A464" s="6" t="n">
        <v>45248</v>
      </c>
      <c r="B464" s="7" t="n">
        <v>0.791268573924968</v>
      </c>
      <c r="C464" s="7" t="n">
        <v>0.79856420664025</v>
      </c>
      <c r="D464" s="7" t="n">
        <v>0.790004119015137</v>
      </c>
      <c r="E464" s="7" t="n">
        <v>0.79690805570433</v>
      </c>
      <c r="F464" s="8" t="n">
        <f aca="true">IF(ROW()-2&gt;=Inputs!$B$4,AVERAGE(OFFSET(E464,1-Inputs!$B$4,0,Inputs!$B$4,1)),"")</f>
        <v>0.789468775416585</v>
      </c>
      <c r="G464" s="8" t="n">
        <f aca="true">IF(ROW()-2&gt;=Inputs!$B$5,AVERAGE(OFFSET(E464,1-Inputs!$B$5,0,Inputs!$B$5,1)),"")</f>
        <v>0.781672469814394</v>
      </c>
      <c r="H464" s="8" t="n">
        <f aca="false">MAX(C464-D464,ABS(C464-E463),ABS(D464-E463))</f>
        <v>0.0085600876251124</v>
      </c>
      <c r="I464" s="8" t="n">
        <f aca="true">IF(ROW()-2&lt;14,"",IF(ROW()-2=14,AVERAGE(OFFSET(H464,-13,0,14,1)),(I463*13+H464)/14))</f>
        <v>0.00786397288755722</v>
      </c>
      <c r="J464" s="9" t="b">
        <f aca="false">IF(AND(ISNUMBER(F464),ISNUMBER(G464),ISNUMBER(F463),ISNUMBER(G463)),AND(F464&gt;G464,F463&lt;=G463),FALSE())</f>
        <v>0</v>
      </c>
      <c r="K464" s="9" t="b">
        <f aca="false">IF(AND(ISNUMBER(F464),ISNUMBER(G464),ISNUMBER(F463),ISNUMBER(G463)),AND(F464&lt;G464,F463&gt;=G463),FALSE())</f>
        <v>0</v>
      </c>
      <c r="L464" s="8" t="n">
        <f aca="false">IF(ISNUMBER(I464),E464-Inputs!$B$6*I464,"")</f>
        <v>0.781180109929216</v>
      </c>
      <c r="M464" s="9" t="b">
        <f aca="false">AND(Y463&gt;0,Z463)</f>
        <v>0</v>
      </c>
      <c r="N464" s="8" t="n">
        <f aca="false">B464*(1-Inputs!$B$12)</f>
        <v>0.791110320210183</v>
      </c>
      <c r="O464" s="10" t="n">
        <f aca="false">IF(M464,Y463*(N464-AB463)-Inputs!$B$9-Y463*AD463*Inputs!$B$13*(A464-AC463),0)</f>
        <v>0</v>
      </c>
      <c r="P464" s="10" t="n">
        <f aca="false">X463+O464</f>
        <v>1015.3844066801</v>
      </c>
      <c r="Q464" s="9" t="b">
        <f aca="false">AND(IF(M464,0,Y463)=0,AA463,IF(ISNUMBER(AE463),B464&gt;AE463,FALSE()))</f>
        <v>0</v>
      </c>
      <c r="R464" s="8" t="n">
        <f aca="false">B464*(1+Inputs!$B$12)</f>
        <v>0.791426827639753</v>
      </c>
      <c r="S464" s="11" t="n">
        <f aca="false">IF(Q464,MIN(P464*Inputs!$B$3/(R464-AE463),P464*Inputs!$B$11/R464),0)</f>
        <v>0</v>
      </c>
      <c r="T464" s="11" t="n">
        <f aca="false">IF(Q464,S464,IF(M464,0,Y463))</f>
        <v>664.118972006065</v>
      </c>
      <c r="U464" s="8" t="n">
        <f aca="false">IF(Q464,AE463,AF463)</f>
        <v>0.771982232894536</v>
      </c>
      <c r="V464" s="9" t="b">
        <f aca="false">AND(T464&gt;0,D464&lt;=U464)</f>
        <v>0</v>
      </c>
      <c r="W464" s="10" t="n">
        <f aca="false">IF(V464,T464*(AK464-AB464)-Inputs!$B$9-T464*AD464*Inputs!$B$13*(A464-AC464),0)</f>
        <v>0</v>
      </c>
      <c r="X464" s="10" t="n">
        <f aca="false">P464-IF(Q464,Inputs!$B$9,0)+W464</f>
        <v>1015.3844066801</v>
      </c>
      <c r="Y464" s="11" t="n">
        <f aca="false">IF(V464,0,T464)</f>
        <v>664.118972006065</v>
      </c>
      <c r="Z464" s="9" t="b">
        <f aca="false">AND(Y464&gt;0,K464)</f>
        <v>0</v>
      </c>
      <c r="AA464" s="9" t="b">
        <f aca="false">AND(Y464=0,J464,ISNUMBER(L464))</f>
        <v>0</v>
      </c>
      <c r="AB464" s="8" t="n">
        <f aca="false">IF(Q464,R464,AB463)</f>
        <v>0.787286484836172</v>
      </c>
      <c r="AC464" s="12" t="n">
        <f aca="false">IF(Q464,A464,AC463)</f>
        <v>45226</v>
      </c>
      <c r="AD464" s="8" t="n">
        <f aca="false">IF(Q464,B464,AD463)</f>
        <v>0.787129059024367</v>
      </c>
      <c r="AE464" s="8" t="str">
        <f aca="false">IF(AA464,L464,"")</f>
        <v/>
      </c>
      <c r="AF464" s="8" t="n">
        <f aca="false">U464</f>
        <v>0.771982232894536</v>
      </c>
      <c r="AG464" s="2" t="n">
        <f aca="false">AG463+IF(Q464,1,0)</f>
        <v>3</v>
      </c>
      <c r="AH464" s="2" t="n">
        <f aca="false">AG463</f>
        <v>3</v>
      </c>
      <c r="AI464" s="10" t="n">
        <f aca="false">X464+Y464*(E464-AB464)-Y464*AD464*Inputs!$B$13*(A464-AC464)</f>
        <v>1019.726250603</v>
      </c>
      <c r="AJ464" s="10" t="n">
        <v>0</v>
      </c>
      <c r="AK464" s="8" t="n">
        <f aca="false">IF(AND(B464&lt;=U464,NOT(Q464)),B464,U464)*(1-Inputs!$B$12)</f>
        <v>0.771827836447957</v>
      </c>
    </row>
    <row r="465" customFormat="false" ht="15" hidden="false" customHeight="false" outlineLevel="0" collapsed="false">
      <c r="A465" s="6" t="n">
        <v>45249</v>
      </c>
      <c r="B465" s="7" t="n">
        <v>0.79690805570433</v>
      </c>
      <c r="C465" s="7" t="n">
        <v>0.797829882916795</v>
      </c>
      <c r="D465" s="7" t="n">
        <v>0.791184256619724</v>
      </c>
      <c r="E465" s="7" t="n">
        <v>0.795895019443972</v>
      </c>
      <c r="F465" s="8" t="n">
        <f aca="true">IF(ROW()-2&gt;=Inputs!$B$4,AVERAGE(OFFSET(E465,1-Inputs!$B$4,0,Inputs!$B$4,1)),"")</f>
        <v>0.789691456432144</v>
      </c>
      <c r="G465" s="8" t="n">
        <f aca="true">IF(ROW()-2&gt;=Inputs!$B$5,AVERAGE(OFFSET(E465,1-Inputs!$B$5,0,Inputs!$B$5,1)),"")</f>
        <v>0.78192471261455</v>
      </c>
      <c r="H465" s="8" t="n">
        <f aca="false">MAX(C465-D465,ABS(C465-E464),ABS(D465-E464))</f>
        <v>0.00664562629707122</v>
      </c>
      <c r="I465" s="8" t="n">
        <f aca="true">IF(ROW()-2&lt;14,"",IF(ROW()-2=14,AVERAGE(OFFSET(H465,-13,0,14,1)),(I464*13+H465)/14))</f>
        <v>0.00777694813109394</v>
      </c>
      <c r="J465" s="9" t="b">
        <f aca="false">IF(AND(ISNUMBER(F465),ISNUMBER(G465),ISNUMBER(F464),ISNUMBER(G464)),AND(F465&gt;G465,F464&lt;=G464),FALSE())</f>
        <v>0</v>
      </c>
      <c r="K465" s="9" t="b">
        <f aca="false">IF(AND(ISNUMBER(F465),ISNUMBER(G465),ISNUMBER(F464),ISNUMBER(G464)),AND(F465&lt;G465,F464&gt;=G464),FALSE())</f>
        <v>0</v>
      </c>
      <c r="L465" s="8" t="n">
        <f aca="false">IF(ISNUMBER(I465),E465-Inputs!$B$6*I465,"")</f>
        <v>0.780341123181784</v>
      </c>
      <c r="M465" s="9" t="b">
        <f aca="false">AND(Y464&gt;0,Z464)</f>
        <v>0</v>
      </c>
      <c r="N465" s="8" t="n">
        <f aca="false">B465*(1-Inputs!$B$12)</f>
        <v>0.796748674093189</v>
      </c>
      <c r="O465" s="10" t="n">
        <f aca="false">IF(M465,Y464*(N465-AB464)-Inputs!$B$9-Y464*AD464*Inputs!$B$13*(A465-AC464),0)</f>
        <v>0</v>
      </c>
      <c r="P465" s="10" t="n">
        <f aca="false">X464+O465</f>
        <v>1015.3844066801</v>
      </c>
      <c r="Q465" s="9" t="b">
        <f aca="false">AND(IF(M465,0,Y464)=0,AA464,IF(ISNUMBER(AE464),B465&gt;AE464,FALSE()))</f>
        <v>0</v>
      </c>
      <c r="R465" s="8" t="n">
        <f aca="false">B465*(1+Inputs!$B$12)</f>
        <v>0.797067437315471</v>
      </c>
      <c r="S465" s="11" t="n">
        <f aca="false">IF(Q465,MIN(P465*Inputs!$B$3/(R465-AE464),P465*Inputs!$B$11/R465),0)</f>
        <v>0</v>
      </c>
      <c r="T465" s="11" t="n">
        <f aca="false">IF(Q465,S465,IF(M465,0,Y464))</f>
        <v>664.118972006065</v>
      </c>
      <c r="U465" s="8" t="n">
        <f aca="false">IF(Q465,AE464,AF464)</f>
        <v>0.771982232894536</v>
      </c>
      <c r="V465" s="9" t="b">
        <f aca="false">AND(T465&gt;0,D465&lt;=U465)</f>
        <v>0</v>
      </c>
      <c r="W465" s="10" t="n">
        <f aca="false">IF(V465,T465*(AK465-AB465)-Inputs!$B$9-T465*AD465*Inputs!$B$13*(A465-AC465),0)</f>
        <v>0</v>
      </c>
      <c r="X465" s="10" t="n">
        <f aca="false">P465-IF(Q465,Inputs!$B$9,0)+W465</f>
        <v>1015.3844066801</v>
      </c>
      <c r="Y465" s="11" t="n">
        <f aca="false">IF(V465,0,T465)</f>
        <v>664.118972006065</v>
      </c>
      <c r="Z465" s="9" t="b">
        <f aca="false">AND(Y465&gt;0,K465)</f>
        <v>0</v>
      </c>
      <c r="AA465" s="9" t="b">
        <f aca="false">AND(Y465=0,J465,ISNUMBER(L465))</f>
        <v>0</v>
      </c>
      <c r="AB465" s="8" t="n">
        <f aca="false">IF(Q465,R465,AB464)</f>
        <v>0.787286484836172</v>
      </c>
      <c r="AC465" s="12" t="n">
        <f aca="false">IF(Q465,A465,AC464)</f>
        <v>45226</v>
      </c>
      <c r="AD465" s="8" t="n">
        <f aca="false">IF(Q465,B465,AD464)</f>
        <v>0.787129059024367</v>
      </c>
      <c r="AE465" s="8" t="str">
        <f aca="false">IF(AA465,L465,"")</f>
        <v/>
      </c>
      <c r="AF465" s="8" t="n">
        <f aca="false">U465</f>
        <v>0.771982232894536</v>
      </c>
      <c r="AG465" s="2" t="n">
        <f aca="false">AG464+IF(Q465,1,0)</f>
        <v>3</v>
      </c>
      <c r="AH465" s="2" t="n">
        <f aca="false">AG464</f>
        <v>3</v>
      </c>
      <c r="AI465" s="10" t="n">
        <f aca="false">X465+Y465*(E465-AB465)-Y465*AD465*Inputs!$B$13*(A465-AC465)</f>
        <v>1018.96038201084</v>
      </c>
      <c r="AJ465" s="10" t="n">
        <v>0</v>
      </c>
      <c r="AK465" s="8" t="n">
        <f aca="false">IF(AND(B465&lt;=U465,NOT(Q465)),B465,U465)*(1-Inputs!$B$12)</f>
        <v>0.771827836447957</v>
      </c>
    </row>
    <row r="466" customFormat="false" ht="15" hidden="false" customHeight="false" outlineLevel="0" collapsed="false">
      <c r="A466" s="6" t="n">
        <v>45250</v>
      </c>
      <c r="B466" s="7" t="n">
        <v>0.795895019443972</v>
      </c>
      <c r="C466" s="7" t="n">
        <v>0.800121772456051</v>
      </c>
      <c r="D466" s="7" t="n">
        <v>0.793822870607583</v>
      </c>
      <c r="E466" s="7" t="n">
        <v>0.800094033784519</v>
      </c>
      <c r="F466" s="8" t="n">
        <f aca="true">IF(ROW()-2&gt;=Inputs!$B$4,AVERAGE(OFFSET(E466,1-Inputs!$B$4,0,Inputs!$B$4,1)),"")</f>
        <v>0.790326364195241</v>
      </c>
      <c r="G466" s="8" t="n">
        <f aca="true">IF(ROW()-2&gt;=Inputs!$B$5,AVERAGE(OFFSET(E466,1-Inputs!$B$5,0,Inputs!$B$5,1)),"")</f>
        <v>0.782451331764723</v>
      </c>
      <c r="H466" s="8" t="n">
        <f aca="false">MAX(C466-D466,ABS(C466-E465),ABS(D466-E465))</f>
        <v>0.00629890184846715</v>
      </c>
      <c r="I466" s="8" t="n">
        <f aca="true">IF(ROW()-2&lt;14,"",IF(ROW()-2=14,AVERAGE(OFFSET(H466,-13,0,14,1)),(I465*13+H466)/14))</f>
        <v>0.00767137339662059</v>
      </c>
      <c r="J466" s="9" t="b">
        <f aca="false">IF(AND(ISNUMBER(F466),ISNUMBER(G466),ISNUMBER(F465),ISNUMBER(G465)),AND(F466&gt;G466,F465&lt;=G465),FALSE())</f>
        <v>0</v>
      </c>
      <c r="K466" s="9" t="b">
        <f aca="false">IF(AND(ISNUMBER(F466),ISNUMBER(G466),ISNUMBER(F465),ISNUMBER(G465)),AND(F466&lt;G466,F465&gt;=G465),FALSE())</f>
        <v>0</v>
      </c>
      <c r="L466" s="8" t="n">
        <f aca="false">IF(ISNUMBER(I466),E466-Inputs!$B$6*I466,"")</f>
        <v>0.784751286991278</v>
      </c>
      <c r="M466" s="9" t="b">
        <f aca="false">AND(Y465&gt;0,Z465)</f>
        <v>0</v>
      </c>
      <c r="N466" s="8" t="n">
        <f aca="false">B466*(1-Inputs!$B$12)</f>
        <v>0.795735840440083</v>
      </c>
      <c r="O466" s="10" t="n">
        <f aca="false">IF(M466,Y465*(N466-AB465)-Inputs!$B$9-Y465*AD465*Inputs!$B$13*(A466-AC465),0)</f>
        <v>0</v>
      </c>
      <c r="P466" s="10" t="n">
        <f aca="false">X465+O466</f>
        <v>1015.3844066801</v>
      </c>
      <c r="Q466" s="9" t="b">
        <f aca="false">AND(IF(M466,0,Y465)=0,AA465,IF(ISNUMBER(AE465),B466&gt;AE465,FALSE()))</f>
        <v>0</v>
      </c>
      <c r="R466" s="8" t="n">
        <f aca="false">B466*(1+Inputs!$B$12)</f>
        <v>0.79605419844786</v>
      </c>
      <c r="S466" s="11" t="n">
        <f aca="false">IF(Q466,MIN(P466*Inputs!$B$3/(R466-AE465),P466*Inputs!$B$11/R466),0)</f>
        <v>0</v>
      </c>
      <c r="T466" s="11" t="n">
        <f aca="false">IF(Q466,S466,IF(M466,0,Y465))</f>
        <v>664.118972006065</v>
      </c>
      <c r="U466" s="8" t="n">
        <f aca="false">IF(Q466,AE465,AF465)</f>
        <v>0.771982232894536</v>
      </c>
      <c r="V466" s="9" t="b">
        <f aca="false">AND(T466&gt;0,D466&lt;=U466)</f>
        <v>0</v>
      </c>
      <c r="W466" s="10" t="n">
        <f aca="false">IF(V466,T466*(AK466-AB466)-Inputs!$B$9-T466*AD466*Inputs!$B$13*(A466-AC466),0)</f>
        <v>0</v>
      </c>
      <c r="X466" s="10" t="n">
        <f aca="false">P466-IF(Q466,Inputs!$B$9,0)+W466</f>
        <v>1015.3844066801</v>
      </c>
      <c r="Y466" s="11" t="n">
        <f aca="false">IF(V466,0,T466)</f>
        <v>664.118972006065</v>
      </c>
      <c r="Z466" s="9" t="b">
        <f aca="false">AND(Y466&gt;0,K466)</f>
        <v>0</v>
      </c>
      <c r="AA466" s="9" t="b">
        <f aca="false">AND(Y466=0,J466,ISNUMBER(L466))</f>
        <v>0</v>
      </c>
      <c r="AB466" s="8" t="n">
        <f aca="false">IF(Q466,R466,AB465)</f>
        <v>0.787286484836172</v>
      </c>
      <c r="AC466" s="12" t="n">
        <f aca="false">IF(Q466,A466,AC465)</f>
        <v>45226</v>
      </c>
      <c r="AD466" s="8" t="n">
        <f aca="false">IF(Q466,B466,AD465)</f>
        <v>0.787129059024367</v>
      </c>
      <c r="AE466" s="8" t="str">
        <f aca="false">IF(AA466,L466,"")</f>
        <v/>
      </c>
      <c r="AF466" s="8" t="n">
        <f aca="false">U466</f>
        <v>0.771982232894536</v>
      </c>
      <c r="AG466" s="2" t="n">
        <f aca="false">AG465+IF(Q466,1,0)</f>
        <v>3</v>
      </c>
      <c r="AH466" s="2" t="n">
        <f aca="false">AG465</f>
        <v>3</v>
      </c>
      <c r="AI466" s="10" t="n">
        <f aca="false">X466+Y466*(E466-AB466)-Y466*AD466*Inputs!$B$13*(A466-AC466)</f>
        <v>1021.6559351058</v>
      </c>
      <c r="AJ466" s="10" t="n">
        <v>0</v>
      </c>
      <c r="AK466" s="8" t="n">
        <f aca="false">IF(AND(B466&lt;=U466,NOT(Q466)),B466,U466)*(1-Inputs!$B$12)</f>
        <v>0.771827836447957</v>
      </c>
    </row>
    <row r="467" customFormat="false" ht="15" hidden="false" customHeight="false" outlineLevel="0" collapsed="false">
      <c r="A467" s="6" t="n">
        <v>45251</v>
      </c>
      <c r="B467" s="7" t="n">
        <v>0.800094033784519</v>
      </c>
      <c r="C467" s="7" t="n">
        <v>0.808744834331173</v>
      </c>
      <c r="D467" s="7" t="n">
        <v>0.799022143364333</v>
      </c>
      <c r="E467" s="7" t="n">
        <v>0.806644412372038</v>
      </c>
      <c r="F467" s="8" t="n">
        <f aca="true">IF(ROW()-2&gt;=Inputs!$B$4,AVERAGE(OFFSET(E467,1-Inputs!$B$4,0,Inputs!$B$4,1)),"")</f>
        <v>0.791224938366864</v>
      </c>
      <c r="G467" s="8" t="n">
        <f aca="true">IF(ROW()-2&gt;=Inputs!$B$5,AVERAGE(OFFSET(E467,1-Inputs!$B$5,0,Inputs!$B$5,1)),"")</f>
        <v>0.783110503302518</v>
      </c>
      <c r="H467" s="8" t="n">
        <f aca="false">MAX(C467-D467,ABS(C467-E466),ABS(D467-E466))</f>
        <v>0.00972269096683909</v>
      </c>
      <c r="I467" s="8" t="n">
        <f aca="true">IF(ROW()-2&lt;14,"",IF(ROW()-2=14,AVERAGE(OFFSET(H467,-13,0,14,1)),(I466*13+H467)/14))</f>
        <v>0.00781789608020763</v>
      </c>
      <c r="J467" s="9" t="b">
        <f aca="false">IF(AND(ISNUMBER(F467),ISNUMBER(G467),ISNUMBER(F466),ISNUMBER(G466)),AND(F467&gt;G467,F466&lt;=G466),FALSE())</f>
        <v>0</v>
      </c>
      <c r="K467" s="9" t="b">
        <f aca="false">IF(AND(ISNUMBER(F467),ISNUMBER(G467),ISNUMBER(F466),ISNUMBER(G466)),AND(F467&lt;G467,F466&gt;=G466),FALSE())</f>
        <v>0</v>
      </c>
      <c r="L467" s="8" t="n">
        <f aca="false">IF(ISNUMBER(I467),E467-Inputs!$B$6*I467,"")</f>
        <v>0.791008620211623</v>
      </c>
      <c r="M467" s="9" t="b">
        <f aca="false">AND(Y466&gt;0,Z466)</f>
        <v>0</v>
      </c>
      <c r="N467" s="8" t="n">
        <f aca="false">B467*(1-Inputs!$B$12)</f>
        <v>0.799934014977762</v>
      </c>
      <c r="O467" s="10" t="n">
        <f aca="false">IF(M467,Y466*(N467-AB466)-Inputs!$B$9-Y466*AD466*Inputs!$B$13*(A467-AC466),0)</f>
        <v>0</v>
      </c>
      <c r="P467" s="10" t="n">
        <f aca="false">X466+O467</f>
        <v>1015.3844066801</v>
      </c>
      <c r="Q467" s="9" t="b">
        <f aca="false">AND(IF(M467,0,Y466)=0,AA466,IF(ISNUMBER(AE466),B467&gt;AE466,FALSE()))</f>
        <v>0</v>
      </c>
      <c r="R467" s="8" t="n">
        <f aca="false">B467*(1+Inputs!$B$12)</f>
        <v>0.800254052591276</v>
      </c>
      <c r="S467" s="11" t="n">
        <f aca="false">IF(Q467,MIN(P467*Inputs!$B$3/(R467-AE466),P467*Inputs!$B$11/R467),0)</f>
        <v>0</v>
      </c>
      <c r="T467" s="11" t="n">
        <f aca="false">IF(Q467,S467,IF(M467,0,Y466))</f>
        <v>664.118972006065</v>
      </c>
      <c r="U467" s="8" t="n">
        <f aca="false">IF(Q467,AE466,AF466)</f>
        <v>0.771982232894536</v>
      </c>
      <c r="V467" s="9" t="b">
        <f aca="false">AND(T467&gt;0,D467&lt;=U467)</f>
        <v>0</v>
      </c>
      <c r="W467" s="10" t="n">
        <f aca="false">IF(V467,T467*(AK467-AB467)-Inputs!$B$9-T467*AD467*Inputs!$B$13*(A467-AC467),0)</f>
        <v>0</v>
      </c>
      <c r="X467" s="10" t="n">
        <f aca="false">P467-IF(Q467,Inputs!$B$9,0)+W467</f>
        <v>1015.3844066801</v>
      </c>
      <c r="Y467" s="11" t="n">
        <f aca="false">IF(V467,0,T467)</f>
        <v>664.118972006065</v>
      </c>
      <c r="Z467" s="9" t="b">
        <f aca="false">AND(Y467&gt;0,K467)</f>
        <v>0</v>
      </c>
      <c r="AA467" s="9" t="b">
        <f aca="false">AND(Y467=0,J467,ISNUMBER(L467))</f>
        <v>0</v>
      </c>
      <c r="AB467" s="8" t="n">
        <f aca="false">IF(Q467,R467,AB466)</f>
        <v>0.787286484836172</v>
      </c>
      <c r="AC467" s="12" t="n">
        <f aca="false">IF(Q467,A467,AC466)</f>
        <v>45226</v>
      </c>
      <c r="AD467" s="8" t="n">
        <f aca="false">IF(Q467,B467,AD466)</f>
        <v>0.787129059024367</v>
      </c>
      <c r="AE467" s="8" t="str">
        <f aca="false">IF(AA467,L467,"")</f>
        <v/>
      </c>
      <c r="AF467" s="8" t="n">
        <f aca="false">U467</f>
        <v>0.771982232894536</v>
      </c>
      <c r="AG467" s="2" t="n">
        <f aca="false">AG466+IF(Q467,1,0)</f>
        <v>3</v>
      </c>
      <c r="AH467" s="2" t="n">
        <f aca="false">AG466</f>
        <v>3</v>
      </c>
      <c r="AI467" s="10" t="n">
        <f aca="false">X467+Y467*(E467-AB467)-Y467*AD467*Inputs!$B$13*(A467-AC467)</f>
        <v>1025.91307380727</v>
      </c>
      <c r="AJ467" s="10" t="n">
        <v>0</v>
      </c>
      <c r="AK467" s="8" t="n">
        <f aca="false">IF(AND(B467&lt;=U467,NOT(Q467)),B467,U467)*(1-Inputs!$B$12)</f>
        <v>0.771827836447957</v>
      </c>
    </row>
    <row r="468" customFormat="false" ht="15" hidden="false" customHeight="false" outlineLevel="0" collapsed="false">
      <c r="A468" s="6" t="n">
        <v>45252</v>
      </c>
      <c r="B468" s="7" t="n">
        <v>0.806644412372038</v>
      </c>
      <c r="C468" s="7" t="n">
        <v>0.816057286082374</v>
      </c>
      <c r="D468" s="7" t="n">
        <v>0.805401079453611</v>
      </c>
      <c r="E468" s="7" t="n">
        <v>0.81113091086552</v>
      </c>
      <c r="F468" s="8" t="n">
        <f aca="true">IF(ROW()-2&gt;=Inputs!$B$4,AVERAGE(OFFSET(E468,1-Inputs!$B$4,0,Inputs!$B$4,1)),"")</f>
        <v>0.792443948446927</v>
      </c>
      <c r="G468" s="8" t="n">
        <f aca="true">IF(ROW()-2&gt;=Inputs!$B$5,AVERAGE(OFFSET(E468,1-Inputs!$B$5,0,Inputs!$B$5,1)),"")</f>
        <v>0.783863169709824</v>
      </c>
      <c r="H468" s="8" t="n">
        <f aca="false">MAX(C468-D468,ABS(C468-E467),ABS(D468-E467))</f>
        <v>0.010656206628763</v>
      </c>
      <c r="I468" s="8" t="n">
        <f aca="true">IF(ROW()-2&lt;14,"",IF(ROW()-2=14,AVERAGE(OFFSET(H468,-13,0,14,1)),(I467*13+H468)/14))</f>
        <v>0.00802063254796158</v>
      </c>
      <c r="J468" s="9" t="b">
        <f aca="false">IF(AND(ISNUMBER(F468),ISNUMBER(G468),ISNUMBER(F467),ISNUMBER(G467)),AND(F468&gt;G468,F467&lt;=G467),FALSE())</f>
        <v>0</v>
      </c>
      <c r="K468" s="9" t="b">
        <f aca="false">IF(AND(ISNUMBER(F468),ISNUMBER(G468),ISNUMBER(F467),ISNUMBER(G467)),AND(F468&lt;G468,F467&gt;=G467),FALSE())</f>
        <v>0</v>
      </c>
      <c r="L468" s="8" t="n">
        <f aca="false">IF(ISNUMBER(I468),E468-Inputs!$B$6*I468,"")</f>
        <v>0.795089645769597</v>
      </c>
      <c r="M468" s="9" t="b">
        <f aca="false">AND(Y467&gt;0,Z467)</f>
        <v>0</v>
      </c>
      <c r="N468" s="8" t="n">
        <f aca="false">B468*(1-Inputs!$B$12)</f>
        <v>0.806483083489563</v>
      </c>
      <c r="O468" s="10" t="n">
        <f aca="false">IF(M468,Y467*(N468-AB467)-Inputs!$B$9-Y467*AD467*Inputs!$B$13*(A468-AC467),0)</f>
        <v>0</v>
      </c>
      <c r="P468" s="10" t="n">
        <f aca="false">X467+O468</f>
        <v>1015.3844066801</v>
      </c>
      <c r="Q468" s="9" t="b">
        <f aca="false">AND(IF(M468,0,Y467)=0,AA467,IF(ISNUMBER(AE467),B468&gt;AE467,FALSE()))</f>
        <v>0</v>
      </c>
      <c r="R468" s="8" t="n">
        <f aca="false">B468*(1+Inputs!$B$12)</f>
        <v>0.806805741254512</v>
      </c>
      <c r="S468" s="11" t="n">
        <f aca="false">IF(Q468,MIN(P468*Inputs!$B$3/(R468-AE467),P468*Inputs!$B$11/R468),0)</f>
        <v>0</v>
      </c>
      <c r="T468" s="11" t="n">
        <f aca="false">IF(Q468,S468,IF(M468,0,Y467))</f>
        <v>664.118972006065</v>
      </c>
      <c r="U468" s="8" t="n">
        <f aca="false">IF(Q468,AE467,AF467)</f>
        <v>0.771982232894536</v>
      </c>
      <c r="V468" s="9" t="b">
        <f aca="false">AND(T468&gt;0,D468&lt;=U468)</f>
        <v>0</v>
      </c>
      <c r="W468" s="10" t="n">
        <f aca="false">IF(V468,T468*(AK468-AB468)-Inputs!$B$9-T468*AD468*Inputs!$B$13*(A468-AC468),0)</f>
        <v>0</v>
      </c>
      <c r="X468" s="10" t="n">
        <f aca="false">P468-IF(Q468,Inputs!$B$9,0)+W468</f>
        <v>1015.3844066801</v>
      </c>
      <c r="Y468" s="11" t="n">
        <f aca="false">IF(V468,0,T468)</f>
        <v>664.118972006065</v>
      </c>
      <c r="Z468" s="9" t="b">
        <f aca="false">AND(Y468&gt;0,K468)</f>
        <v>0</v>
      </c>
      <c r="AA468" s="9" t="b">
        <f aca="false">AND(Y468=0,J468,ISNUMBER(L468))</f>
        <v>0</v>
      </c>
      <c r="AB468" s="8" t="n">
        <f aca="false">IF(Q468,R468,AB467)</f>
        <v>0.787286484836172</v>
      </c>
      <c r="AC468" s="12" t="n">
        <f aca="false">IF(Q468,A468,AC467)</f>
        <v>45226</v>
      </c>
      <c r="AD468" s="8" t="n">
        <f aca="false">IF(Q468,B468,AD467)</f>
        <v>0.787129059024367</v>
      </c>
      <c r="AE468" s="8" t="str">
        <f aca="false">IF(AA468,L468,"")</f>
        <v/>
      </c>
      <c r="AF468" s="8" t="n">
        <f aca="false">U468</f>
        <v>0.771982232894536</v>
      </c>
      <c r="AG468" s="2" t="n">
        <f aca="false">AG467+IF(Q468,1,0)</f>
        <v>3</v>
      </c>
      <c r="AH468" s="2" t="n">
        <f aca="false">AG467</f>
        <v>3</v>
      </c>
      <c r="AI468" s="10" t="n">
        <f aca="false">X468+Y468*(E468-AB468)-Y468*AD468*Inputs!$B$13*(A468-AC468)</f>
        <v>1028.79955058234</v>
      </c>
      <c r="AJ468" s="10" t="n">
        <v>0</v>
      </c>
      <c r="AK468" s="8" t="n">
        <f aca="false">IF(AND(B468&lt;=U468,NOT(Q468)),B468,U468)*(1-Inputs!$B$12)</f>
        <v>0.771827836447957</v>
      </c>
    </row>
    <row r="469" customFormat="false" ht="15" hidden="false" customHeight="false" outlineLevel="0" collapsed="false">
      <c r="A469" s="6" t="n">
        <v>45253</v>
      </c>
      <c r="B469" s="7" t="n">
        <v>0.81113091086552</v>
      </c>
      <c r="C469" s="7" t="n">
        <v>0.814909051567299</v>
      </c>
      <c r="D469" s="7" t="n">
        <v>0.810748072155774</v>
      </c>
      <c r="E469" s="7" t="n">
        <v>0.814663554556547</v>
      </c>
      <c r="F469" s="8" t="n">
        <f aca="true">IF(ROW()-2&gt;=Inputs!$B$4,AVERAGE(OFFSET(E469,1-Inputs!$B$4,0,Inputs!$B$4,1)),"")</f>
        <v>0.793759573096938</v>
      </c>
      <c r="G469" s="8" t="n">
        <f aca="true">IF(ROW()-2&gt;=Inputs!$B$5,AVERAGE(OFFSET(E469,1-Inputs!$B$5,0,Inputs!$B$5,1)),"")</f>
        <v>0.784750415403374</v>
      </c>
      <c r="H469" s="8" t="n">
        <f aca="false">MAX(C469-D469,ABS(C469-E468),ABS(D469-E468))</f>
        <v>0.00416097941152482</v>
      </c>
      <c r="I469" s="8" t="n">
        <f aca="true">IF(ROW()-2&lt;14,"",IF(ROW()-2=14,AVERAGE(OFFSET(H469,-13,0,14,1)),(I468*13+H469)/14))</f>
        <v>0.0077449430382161</v>
      </c>
      <c r="J469" s="9" t="b">
        <f aca="false">IF(AND(ISNUMBER(F469),ISNUMBER(G469),ISNUMBER(F468),ISNUMBER(G468)),AND(F469&gt;G469,F468&lt;=G468),FALSE())</f>
        <v>0</v>
      </c>
      <c r="K469" s="9" t="b">
        <f aca="false">IF(AND(ISNUMBER(F469),ISNUMBER(G469),ISNUMBER(F468),ISNUMBER(G468)),AND(F469&lt;G469,F468&gt;=G468),FALSE())</f>
        <v>0</v>
      </c>
      <c r="L469" s="8" t="n">
        <f aca="false">IF(ISNUMBER(I469),E469-Inputs!$B$6*I469,"")</f>
        <v>0.799173668480115</v>
      </c>
      <c r="M469" s="9" t="b">
        <f aca="false">AND(Y468&gt;0,Z468)</f>
        <v>0</v>
      </c>
      <c r="N469" s="8" t="n">
        <f aca="false">B469*(1-Inputs!$B$12)</f>
        <v>0.810968684683347</v>
      </c>
      <c r="O469" s="10" t="n">
        <f aca="false">IF(M469,Y468*(N469-AB468)-Inputs!$B$9-Y468*AD468*Inputs!$B$13*(A469-AC468),0)</f>
        <v>0</v>
      </c>
      <c r="P469" s="10" t="n">
        <f aca="false">X468+O469</f>
        <v>1015.3844066801</v>
      </c>
      <c r="Q469" s="9" t="b">
        <f aca="false">AND(IF(M469,0,Y468)=0,AA468,IF(ISNUMBER(AE468),B469&gt;AE468,FALSE()))</f>
        <v>0</v>
      </c>
      <c r="R469" s="8" t="n">
        <f aca="false">B469*(1+Inputs!$B$12)</f>
        <v>0.811293137047693</v>
      </c>
      <c r="S469" s="11" t="n">
        <f aca="false">IF(Q469,MIN(P469*Inputs!$B$3/(R469-AE468),P469*Inputs!$B$11/R469),0)</f>
        <v>0</v>
      </c>
      <c r="T469" s="11" t="n">
        <f aca="false">IF(Q469,S469,IF(M469,0,Y468))</f>
        <v>664.118972006065</v>
      </c>
      <c r="U469" s="8" t="n">
        <f aca="false">IF(Q469,AE468,AF468)</f>
        <v>0.771982232894536</v>
      </c>
      <c r="V469" s="9" t="b">
        <f aca="false">AND(T469&gt;0,D469&lt;=U469)</f>
        <v>0</v>
      </c>
      <c r="W469" s="10" t="n">
        <f aca="false">IF(V469,T469*(AK469-AB469)-Inputs!$B$9-T469*AD469*Inputs!$B$13*(A469-AC469),0)</f>
        <v>0</v>
      </c>
      <c r="X469" s="10" t="n">
        <f aca="false">P469-IF(Q469,Inputs!$B$9,0)+W469</f>
        <v>1015.3844066801</v>
      </c>
      <c r="Y469" s="11" t="n">
        <f aca="false">IF(V469,0,T469)</f>
        <v>664.118972006065</v>
      </c>
      <c r="Z469" s="9" t="b">
        <f aca="false">AND(Y469&gt;0,K469)</f>
        <v>0</v>
      </c>
      <c r="AA469" s="9" t="b">
        <f aca="false">AND(Y469=0,J469,ISNUMBER(L469))</f>
        <v>0</v>
      </c>
      <c r="AB469" s="8" t="n">
        <f aca="false">IF(Q469,R469,AB468)</f>
        <v>0.787286484836172</v>
      </c>
      <c r="AC469" s="12" t="n">
        <f aca="false">IF(Q469,A469,AC468)</f>
        <v>45226</v>
      </c>
      <c r="AD469" s="8" t="n">
        <f aca="false">IF(Q469,B469,AD468)</f>
        <v>0.787129059024367</v>
      </c>
      <c r="AE469" s="8" t="str">
        <f aca="false">IF(AA469,L469,"")</f>
        <v/>
      </c>
      <c r="AF469" s="8" t="n">
        <f aca="false">U469</f>
        <v>0.771982232894536</v>
      </c>
      <c r="AG469" s="2" t="n">
        <f aca="false">AG468+IF(Q469,1,0)</f>
        <v>3</v>
      </c>
      <c r="AH469" s="2" t="n">
        <f aca="false">AG468</f>
        <v>3</v>
      </c>
      <c r="AI469" s="10" t="n">
        <f aca="false">X469+Y469*(E469-AB469)-Y469*AD469*Inputs!$B$13*(A469-AC469)</f>
        <v>1031.05255428656</v>
      </c>
      <c r="AJ469" s="10" t="n">
        <v>0</v>
      </c>
      <c r="AK469" s="8" t="n">
        <f aca="false">IF(AND(B469&lt;=U469,NOT(Q469)),B469,U469)*(1-Inputs!$B$12)</f>
        <v>0.771827836447957</v>
      </c>
    </row>
    <row r="470" customFormat="false" ht="15" hidden="false" customHeight="false" outlineLevel="0" collapsed="false">
      <c r="A470" s="6" t="n">
        <v>45254</v>
      </c>
      <c r="B470" s="7" t="n">
        <v>0.814663554556547</v>
      </c>
      <c r="C470" s="7" t="n">
        <v>0.816787919962271</v>
      </c>
      <c r="D470" s="7" t="n">
        <v>0.809482708820656</v>
      </c>
      <c r="E470" s="7" t="n">
        <v>0.812824097821505</v>
      </c>
      <c r="F470" s="8" t="n">
        <f aca="true">IF(ROW()-2&gt;=Inputs!$B$4,AVERAGE(OFFSET(E470,1-Inputs!$B$4,0,Inputs!$B$4,1)),"")</f>
        <v>0.794999399438571</v>
      </c>
      <c r="G470" s="8" t="n">
        <f aca="true">IF(ROW()-2&gt;=Inputs!$B$5,AVERAGE(OFFSET(E470,1-Inputs!$B$5,0,Inputs!$B$5,1)),"")</f>
        <v>0.785675060279293</v>
      </c>
      <c r="H470" s="8" t="n">
        <f aca="false">MAX(C470-D470,ABS(C470-E469),ABS(D470-E469))</f>
        <v>0.00730521114161487</v>
      </c>
      <c r="I470" s="8" t="n">
        <f aca="true">IF(ROW()-2&lt;14,"",IF(ROW()-2=14,AVERAGE(OFFSET(H470,-13,0,14,1)),(I469*13+H470)/14))</f>
        <v>0.0077135336170303</v>
      </c>
      <c r="J470" s="9" t="b">
        <f aca="false">IF(AND(ISNUMBER(F470),ISNUMBER(G470),ISNUMBER(F469),ISNUMBER(G469)),AND(F470&gt;G470,F469&lt;=G469),FALSE())</f>
        <v>0</v>
      </c>
      <c r="K470" s="9" t="b">
        <f aca="false">IF(AND(ISNUMBER(F470),ISNUMBER(G470),ISNUMBER(F469),ISNUMBER(G469)),AND(F470&lt;G470,F469&gt;=G469),FALSE())</f>
        <v>0</v>
      </c>
      <c r="L470" s="8" t="n">
        <f aca="false">IF(ISNUMBER(I470),E470-Inputs!$B$6*I470,"")</f>
        <v>0.797397030587445</v>
      </c>
      <c r="M470" s="9" t="b">
        <f aca="false">AND(Y469&gt;0,Z469)</f>
        <v>0</v>
      </c>
      <c r="N470" s="8" t="n">
        <f aca="false">B470*(1-Inputs!$B$12)</f>
        <v>0.814500621845635</v>
      </c>
      <c r="O470" s="10" t="n">
        <f aca="false">IF(M470,Y469*(N470-AB469)-Inputs!$B$9-Y469*AD469*Inputs!$B$13*(A470-AC469),0)</f>
        <v>0</v>
      </c>
      <c r="P470" s="10" t="n">
        <f aca="false">X469+O470</f>
        <v>1015.3844066801</v>
      </c>
      <c r="Q470" s="9" t="b">
        <f aca="false">AND(IF(M470,0,Y469)=0,AA469,IF(ISNUMBER(AE469),B470&gt;AE469,FALSE()))</f>
        <v>0</v>
      </c>
      <c r="R470" s="8" t="n">
        <f aca="false">B470*(1+Inputs!$B$12)</f>
        <v>0.814826487267458</v>
      </c>
      <c r="S470" s="11" t="n">
        <f aca="false">IF(Q470,MIN(P470*Inputs!$B$3/(R470-AE469),P470*Inputs!$B$11/R470),0)</f>
        <v>0</v>
      </c>
      <c r="T470" s="11" t="n">
        <f aca="false">IF(Q470,S470,IF(M470,0,Y469))</f>
        <v>664.118972006065</v>
      </c>
      <c r="U470" s="8" t="n">
        <f aca="false">IF(Q470,AE469,AF469)</f>
        <v>0.771982232894536</v>
      </c>
      <c r="V470" s="9" t="b">
        <f aca="false">AND(T470&gt;0,D470&lt;=U470)</f>
        <v>0</v>
      </c>
      <c r="W470" s="10" t="n">
        <f aca="false">IF(V470,T470*(AK470-AB470)-Inputs!$B$9-T470*AD470*Inputs!$B$13*(A470-AC470),0)</f>
        <v>0</v>
      </c>
      <c r="X470" s="10" t="n">
        <f aca="false">P470-IF(Q470,Inputs!$B$9,0)+W470</f>
        <v>1015.3844066801</v>
      </c>
      <c r="Y470" s="11" t="n">
        <f aca="false">IF(V470,0,T470)</f>
        <v>664.118972006065</v>
      </c>
      <c r="Z470" s="9" t="b">
        <f aca="false">AND(Y470&gt;0,K470)</f>
        <v>0</v>
      </c>
      <c r="AA470" s="9" t="b">
        <f aca="false">AND(Y470=0,J470,ISNUMBER(L470))</f>
        <v>0</v>
      </c>
      <c r="AB470" s="8" t="n">
        <f aca="false">IF(Q470,R470,AB469)</f>
        <v>0.787286484836172</v>
      </c>
      <c r="AC470" s="12" t="n">
        <f aca="false">IF(Q470,A470,AC469)</f>
        <v>45226</v>
      </c>
      <c r="AD470" s="8" t="n">
        <f aca="false">IF(Q470,B470,AD469)</f>
        <v>0.787129059024367</v>
      </c>
      <c r="AE470" s="8" t="str">
        <f aca="false">IF(AA470,L470,"")</f>
        <v/>
      </c>
      <c r="AF470" s="8" t="n">
        <f aca="false">U470</f>
        <v>0.771982232894536</v>
      </c>
      <c r="AG470" s="2" t="n">
        <f aca="false">AG469+IF(Q470,1,0)</f>
        <v>3</v>
      </c>
      <c r="AH470" s="2" t="n">
        <f aca="false">AG469</f>
        <v>3</v>
      </c>
      <c r="AI470" s="10" t="n">
        <f aca="false">X470+Y470*(E470-AB470)-Y470*AD470*Inputs!$B$13*(A470-AC470)</f>
        <v>1029.73784417831</v>
      </c>
      <c r="AJ470" s="10" t="n">
        <v>0</v>
      </c>
      <c r="AK470" s="8" t="n">
        <f aca="false">IF(AND(B470&lt;=U470,NOT(Q470)),B470,U470)*(1-Inputs!$B$12)</f>
        <v>0.771827836447957</v>
      </c>
    </row>
    <row r="471" customFormat="false" ht="15" hidden="false" customHeight="false" outlineLevel="0" collapsed="false">
      <c r="A471" s="6" t="n">
        <v>45255</v>
      </c>
      <c r="B471" s="7" t="n">
        <v>0.812824097821505</v>
      </c>
      <c r="C471" s="7" t="n">
        <v>0.821329402995712</v>
      </c>
      <c r="D471" s="7" t="n">
        <v>0.810414459657245</v>
      </c>
      <c r="E471" s="7" t="n">
        <v>0.818504008309676</v>
      </c>
      <c r="F471" s="8" t="n">
        <f aca="true">IF(ROW()-2&gt;=Inputs!$B$4,AVERAGE(OFFSET(E471,1-Inputs!$B$4,0,Inputs!$B$4,1)),"")</f>
        <v>0.796510711748327</v>
      </c>
      <c r="G471" s="8" t="n">
        <f aca="true">IF(ROW()-2&gt;=Inputs!$B$5,AVERAGE(OFFSET(E471,1-Inputs!$B$5,0,Inputs!$B$5,1)),"")</f>
        <v>0.78663221288018</v>
      </c>
      <c r="H471" s="8" t="n">
        <f aca="false">MAX(C471-D471,ABS(C471-E470),ABS(D471-E470))</f>
        <v>0.0109149433384668</v>
      </c>
      <c r="I471" s="8" t="n">
        <f aca="true">IF(ROW()-2&lt;14,"",IF(ROW()-2=14,AVERAGE(OFFSET(H471,-13,0,14,1)),(I470*13+H471)/14))</f>
        <v>0.00794220573999004</v>
      </c>
      <c r="J471" s="9" t="b">
        <f aca="false">IF(AND(ISNUMBER(F471),ISNUMBER(G471),ISNUMBER(F470),ISNUMBER(G470)),AND(F471&gt;G471,F470&lt;=G470),FALSE())</f>
        <v>0</v>
      </c>
      <c r="K471" s="9" t="b">
        <f aca="false">IF(AND(ISNUMBER(F471),ISNUMBER(G471),ISNUMBER(F470),ISNUMBER(G470)),AND(F471&lt;G471,F470&gt;=G470),FALSE())</f>
        <v>0</v>
      </c>
      <c r="L471" s="8" t="n">
        <f aca="false">IF(ISNUMBER(I471),E471-Inputs!$B$6*I471,"")</f>
        <v>0.802619596829696</v>
      </c>
      <c r="M471" s="9" t="b">
        <f aca="false">AND(Y470&gt;0,Z470)</f>
        <v>0</v>
      </c>
      <c r="N471" s="8" t="n">
        <f aca="false">B471*(1-Inputs!$B$12)</f>
        <v>0.812661533001941</v>
      </c>
      <c r="O471" s="10" t="n">
        <f aca="false">IF(M471,Y470*(N471-AB470)-Inputs!$B$9-Y470*AD470*Inputs!$B$13*(A471-AC470),0)</f>
        <v>0</v>
      </c>
      <c r="P471" s="10" t="n">
        <f aca="false">X470+O471</f>
        <v>1015.3844066801</v>
      </c>
      <c r="Q471" s="9" t="b">
        <f aca="false">AND(IF(M471,0,Y470)=0,AA470,IF(ISNUMBER(AE470),B471&gt;AE470,FALSE()))</f>
        <v>0</v>
      </c>
      <c r="R471" s="8" t="n">
        <f aca="false">B471*(1+Inputs!$B$12)</f>
        <v>0.81298666264107</v>
      </c>
      <c r="S471" s="11" t="n">
        <f aca="false">IF(Q471,MIN(P471*Inputs!$B$3/(R471-AE470),P471*Inputs!$B$11/R471),0)</f>
        <v>0</v>
      </c>
      <c r="T471" s="11" t="n">
        <f aca="false">IF(Q471,S471,IF(M471,0,Y470))</f>
        <v>664.118972006065</v>
      </c>
      <c r="U471" s="8" t="n">
        <f aca="false">IF(Q471,AE470,AF470)</f>
        <v>0.771982232894536</v>
      </c>
      <c r="V471" s="9" t="b">
        <f aca="false">AND(T471&gt;0,D471&lt;=U471)</f>
        <v>0</v>
      </c>
      <c r="W471" s="10" t="n">
        <f aca="false">IF(V471,T471*(AK471-AB471)-Inputs!$B$9-T471*AD471*Inputs!$B$13*(A471-AC471),0)</f>
        <v>0</v>
      </c>
      <c r="X471" s="10" t="n">
        <f aca="false">P471-IF(Q471,Inputs!$B$9,0)+W471</f>
        <v>1015.3844066801</v>
      </c>
      <c r="Y471" s="11" t="n">
        <f aca="false">IF(V471,0,T471)</f>
        <v>664.118972006065</v>
      </c>
      <c r="Z471" s="9" t="b">
        <f aca="false">AND(Y471&gt;0,K471)</f>
        <v>0</v>
      </c>
      <c r="AA471" s="9" t="b">
        <f aca="false">AND(Y471=0,J471,ISNUMBER(L471))</f>
        <v>0</v>
      </c>
      <c r="AB471" s="8" t="n">
        <f aca="false">IF(Q471,R471,AB470)</f>
        <v>0.787286484836172</v>
      </c>
      <c r="AC471" s="12" t="n">
        <f aca="false">IF(Q471,A471,AC470)</f>
        <v>45226</v>
      </c>
      <c r="AD471" s="8" t="n">
        <f aca="false">IF(Q471,B471,AD470)</f>
        <v>0.787129059024367</v>
      </c>
      <c r="AE471" s="8" t="str">
        <f aca="false">IF(AA471,L471,"")</f>
        <v/>
      </c>
      <c r="AF471" s="8" t="n">
        <f aca="false">U471</f>
        <v>0.771982232894536</v>
      </c>
      <c r="AG471" s="2" t="n">
        <f aca="false">AG470+IF(Q471,1,0)</f>
        <v>3</v>
      </c>
      <c r="AH471" s="2" t="n">
        <f aca="false">AG470</f>
        <v>3</v>
      </c>
      <c r="AI471" s="10" t="n">
        <f aca="false">X471+Y471*(E471-AB471)-Y471*AD471*Inputs!$B$13*(A471-AC471)</f>
        <v>1033.41688850048</v>
      </c>
      <c r="AJ471" s="10" t="n">
        <v>0</v>
      </c>
      <c r="AK471" s="8" t="n">
        <f aca="false">IF(AND(B471&lt;=U471,NOT(Q471)),B471,U471)*(1-Inputs!$B$12)</f>
        <v>0.771827836447957</v>
      </c>
    </row>
    <row r="472" customFormat="false" ht="15" hidden="false" customHeight="false" outlineLevel="0" collapsed="false">
      <c r="A472" s="6" t="n">
        <v>45256</v>
      </c>
      <c r="B472" s="7" t="n">
        <v>0.818504008309676</v>
      </c>
      <c r="C472" s="7" t="n">
        <v>0.826994104460834</v>
      </c>
      <c r="D472" s="7" t="n">
        <v>0.813744402205313</v>
      </c>
      <c r="E472" s="7" t="n">
        <v>0.824352435802322</v>
      </c>
      <c r="F472" s="8" t="n">
        <f aca="true">IF(ROW()-2&gt;=Inputs!$B$4,AVERAGE(OFFSET(E472,1-Inputs!$B$4,0,Inputs!$B$4,1)),"")</f>
        <v>0.798598097668201</v>
      </c>
      <c r="G472" s="8" t="n">
        <f aca="true">IF(ROW()-2&gt;=Inputs!$B$5,AVERAGE(OFFSET(E472,1-Inputs!$B$5,0,Inputs!$B$5,1)),"")</f>
        <v>0.787520077312063</v>
      </c>
      <c r="H472" s="8" t="n">
        <f aca="false">MAX(C472-D472,ABS(C472-E471),ABS(D472-E471))</f>
        <v>0.0132497022555212</v>
      </c>
      <c r="I472" s="8" t="n">
        <f aca="true">IF(ROW()-2&lt;14,"",IF(ROW()-2=14,AVERAGE(OFFSET(H472,-13,0,14,1)),(I471*13+H472)/14))</f>
        <v>0.00832131263395656</v>
      </c>
      <c r="J472" s="9" t="b">
        <f aca="false">IF(AND(ISNUMBER(F472),ISNUMBER(G472),ISNUMBER(F471),ISNUMBER(G471)),AND(F472&gt;G472,F471&lt;=G471),FALSE())</f>
        <v>0</v>
      </c>
      <c r="K472" s="9" t="b">
        <f aca="false">IF(AND(ISNUMBER(F472),ISNUMBER(G472),ISNUMBER(F471),ISNUMBER(G471)),AND(F472&lt;G472,F471&gt;=G471),FALSE())</f>
        <v>0</v>
      </c>
      <c r="L472" s="8" t="n">
        <f aca="false">IF(ISNUMBER(I472),E472-Inputs!$B$6*I472,"")</f>
        <v>0.807709810534409</v>
      </c>
      <c r="M472" s="9" t="b">
        <f aca="false">AND(Y471&gt;0,Z471)</f>
        <v>0</v>
      </c>
      <c r="N472" s="8" t="n">
        <f aca="false">B472*(1-Inputs!$B$12)</f>
        <v>0.818340307508014</v>
      </c>
      <c r="O472" s="10" t="n">
        <f aca="false">IF(M472,Y471*(N472-AB471)-Inputs!$B$9-Y471*AD471*Inputs!$B$13*(A472-AC471),0)</f>
        <v>0</v>
      </c>
      <c r="P472" s="10" t="n">
        <f aca="false">X471+O472</f>
        <v>1015.3844066801</v>
      </c>
      <c r="Q472" s="9" t="b">
        <f aca="false">AND(IF(M472,0,Y471)=0,AA471,IF(ISNUMBER(AE471),B472&gt;AE471,FALSE()))</f>
        <v>0</v>
      </c>
      <c r="R472" s="8" t="n">
        <f aca="false">B472*(1+Inputs!$B$12)</f>
        <v>0.818667709111338</v>
      </c>
      <c r="S472" s="11" t="n">
        <f aca="false">IF(Q472,MIN(P472*Inputs!$B$3/(R472-AE471),P472*Inputs!$B$11/R472),0)</f>
        <v>0</v>
      </c>
      <c r="T472" s="11" t="n">
        <f aca="false">IF(Q472,S472,IF(M472,0,Y471))</f>
        <v>664.118972006065</v>
      </c>
      <c r="U472" s="8" t="n">
        <f aca="false">IF(Q472,AE471,AF471)</f>
        <v>0.771982232894536</v>
      </c>
      <c r="V472" s="9" t="b">
        <f aca="false">AND(T472&gt;0,D472&lt;=U472)</f>
        <v>0</v>
      </c>
      <c r="W472" s="10" t="n">
        <f aca="false">IF(V472,T472*(AK472-AB472)-Inputs!$B$9-T472*AD472*Inputs!$B$13*(A472-AC472),0)</f>
        <v>0</v>
      </c>
      <c r="X472" s="10" t="n">
        <f aca="false">P472-IF(Q472,Inputs!$B$9,0)+W472</f>
        <v>1015.3844066801</v>
      </c>
      <c r="Y472" s="11" t="n">
        <f aca="false">IF(V472,0,T472)</f>
        <v>664.118972006065</v>
      </c>
      <c r="Z472" s="9" t="b">
        <f aca="false">AND(Y472&gt;0,K472)</f>
        <v>0</v>
      </c>
      <c r="AA472" s="9" t="b">
        <f aca="false">AND(Y472=0,J472,ISNUMBER(L472))</f>
        <v>0</v>
      </c>
      <c r="AB472" s="8" t="n">
        <f aca="false">IF(Q472,R472,AB471)</f>
        <v>0.787286484836172</v>
      </c>
      <c r="AC472" s="12" t="n">
        <f aca="false">IF(Q472,A472,AC471)</f>
        <v>45226</v>
      </c>
      <c r="AD472" s="8" t="n">
        <f aca="false">IF(Q472,B472,AD471)</f>
        <v>0.787129059024367</v>
      </c>
      <c r="AE472" s="8" t="str">
        <f aca="false">IF(AA472,L472,"")</f>
        <v/>
      </c>
      <c r="AF472" s="8" t="n">
        <f aca="false">U472</f>
        <v>0.771982232894536</v>
      </c>
      <c r="AG472" s="2" t="n">
        <f aca="false">AG471+IF(Q472,1,0)</f>
        <v>3</v>
      </c>
      <c r="AH472" s="2" t="n">
        <f aca="false">AG471</f>
        <v>3</v>
      </c>
      <c r="AI472" s="10" t="n">
        <f aca="false">X472+Y472*(E472-AB472)-Y472*AD472*Inputs!$B$13*(A472-AC472)</f>
        <v>1037.20784816242</v>
      </c>
      <c r="AJ472" s="10" t="n">
        <v>0</v>
      </c>
      <c r="AK472" s="8" t="n">
        <f aca="false">IF(AND(B472&lt;=U472,NOT(Q472)),B472,U472)*(1-Inputs!$B$12)</f>
        <v>0.771827836447957</v>
      </c>
    </row>
    <row r="473" customFormat="false" ht="15" hidden="false" customHeight="false" outlineLevel="0" collapsed="false">
      <c r="A473" s="6" t="n">
        <v>45257</v>
      </c>
      <c r="B473" s="7" t="n">
        <v>0.824352435802322</v>
      </c>
      <c r="C473" s="7" t="n">
        <v>0.824573862046805</v>
      </c>
      <c r="D473" s="7" t="n">
        <v>0.820159378594663</v>
      </c>
      <c r="E473" s="7" t="n">
        <v>0.821080666627177</v>
      </c>
      <c r="F473" s="8" t="n">
        <f aca="true">IF(ROW()-2&gt;=Inputs!$B$4,AVERAGE(OFFSET(E473,1-Inputs!$B$4,0,Inputs!$B$4,1)),"")</f>
        <v>0.800364367415446</v>
      </c>
      <c r="G473" s="8" t="n">
        <f aca="true">IF(ROW()-2&gt;=Inputs!$B$5,AVERAGE(OFFSET(E473,1-Inputs!$B$5,0,Inputs!$B$5,1)),"")</f>
        <v>0.788451872741542</v>
      </c>
      <c r="H473" s="8" t="n">
        <f aca="false">MAX(C473-D473,ABS(C473-E472),ABS(D473-E472))</f>
        <v>0.0044144834521419</v>
      </c>
      <c r="I473" s="8" t="n">
        <f aca="true">IF(ROW()-2&lt;14,"",IF(ROW()-2=14,AVERAGE(OFFSET(H473,-13,0,14,1)),(I472*13+H473)/14))</f>
        <v>0.00804225340668408</v>
      </c>
      <c r="J473" s="9" t="b">
        <f aca="false">IF(AND(ISNUMBER(F473),ISNUMBER(G473),ISNUMBER(F472),ISNUMBER(G472)),AND(F473&gt;G473,F472&lt;=G472),FALSE())</f>
        <v>0</v>
      </c>
      <c r="K473" s="9" t="b">
        <f aca="false">IF(AND(ISNUMBER(F473),ISNUMBER(G473),ISNUMBER(F472),ISNUMBER(G472)),AND(F473&lt;G473,F472&gt;=G472),FALSE())</f>
        <v>0</v>
      </c>
      <c r="L473" s="8" t="n">
        <f aca="false">IF(ISNUMBER(I473),E473-Inputs!$B$6*I473,"")</f>
        <v>0.804996159813809</v>
      </c>
      <c r="M473" s="9" t="b">
        <f aca="false">AND(Y472&gt;0,Z472)</f>
        <v>0</v>
      </c>
      <c r="N473" s="8" t="n">
        <f aca="false">B473*(1-Inputs!$B$12)</f>
        <v>0.824187565315162</v>
      </c>
      <c r="O473" s="10" t="n">
        <f aca="false">IF(M473,Y472*(N473-AB472)-Inputs!$B$9-Y472*AD472*Inputs!$B$13*(A473-AC472),0)</f>
        <v>0</v>
      </c>
      <c r="P473" s="10" t="n">
        <f aca="false">X472+O473</f>
        <v>1015.3844066801</v>
      </c>
      <c r="Q473" s="9" t="b">
        <f aca="false">AND(IF(M473,0,Y472)=0,AA472,IF(ISNUMBER(AE472),B473&gt;AE472,FALSE()))</f>
        <v>0</v>
      </c>
      <c r="R473" s="8" t="n">
        <f aca="false">B473*(1+Inputs!$B$12)</f>
        <v>0.824517306289483</v>
      </c>
      <c r="S473" s="11" t="n">
        <f aca="false">IF(Q473,MIN(P473*Inputs!$B$3/(R473-AE472),P473*Inputs!$B$11/R473),0)</f>
        <v>0</v>
      </c>
      <c r="T473" s="11" t="n">
        <f aca="false">IF(Q473,S473,IF(M473,0,Y472))</f>
        <v>664.118972006065</v>
      </c>
      <c r="U473" s="8" t="n">
        <f aca="false">IF(Q473,AE472,AF472)</f>
        <v>0.771982232894536</v>
      </c>
      <c r="V473" s="9" t="b">
        <f aca="false">AND(T473&gt;0,D473&lt;=U473)</f>
        <v>0</v>
      </c>
      <c r="W473" s="10" t="n">
        <f aca="false">IF(V473,T473*(AK473-AB473)-Inputs!$B$9-T473*AD473*Inputs!$B$13*(A473-AC473),0)</f>
        <v>0</v>
      </c>
      <c r="X473" s="10" t="n">
        <f aca="false">P473-IF(Q473,Inputs!$B$9,0)+W473</f>
        <v>1015.3844066801</v>
      </c>
      <c r="Y473" s="11" t="n">
        <f aca="false">IF(V473,0,T473)</f>
        <v>664.118972006065</v>
      </c>
      <c r="Z473" s="9" t="b">
        <f aca="false">AND(Y473&gt;0,K473)</f>
        <v>0</v>
      </c>
      <c r="AA473" s="9" t="b">
        <f aca="false">AND(Y473=0,J473,ISNUMBER(L473))</f>
        <v>0</v>
      </c>
      <c r="AB473" s="8" t="n">
        <f aca="false">IF(Q473,R473,AB472)</f>
        <v>0.787286484836172</v>
      </c>
      <c r="AC473" s="12" t="n">
        <f aca="false">IF(Q473,A473,AC472)</f>
        <v>45226</v>
      </c>
      <c r="AD473" s="8" t="n">
        <f aca="false">IF(Q473,B473,AD472)</f>
        <v>0.787129059024367</v>
      </c>
      <c r="AE473" s="8" t="str">
        <f aca="false">IF(AA473,L473,"")</f>
        <v/>
      </c>
      <c r="AF473" s="8" t="n">
        <f aca="false">U473</f>
        <v>0.771982232894536</v>
      </c>
      <c r="AG473" s="2" t="n">
        <f aca="false">AG472+IF(Q473,1,0)</f>
        <v>3</v>
      </c>
      <c r="AH473" s="2" t="n">
        <f aca="false">AG472</f>
        <v>3</v>
      </c>
      <c r="AI473" s="10" t="n">
        <f aca="false">X473+Y473*(E473-AB473)-Y473*AD473*Inputs!$B$13*(A473-AC473)</f>
        <v>1034.94191218886</v>
      </c>
      <c r="AJ473" s="10" t="n">
        <v>0</v>
      </c>
      <c r="AK473" s="8" t="n">
        <f aca="false">IF(AND(B473&lt;=U473,NOT(Q473)),B473,U473)*(1-Inputs!$B$12)</f>
        <v>0.771827836447957</v>
      </c>
    </row>
    <row r="474" customFormat="false" ht="15" hidden="false" customHeight="false" outlineLevel="0" collapsed="false">
      <c r="A474" s="6" t="n">
        <v>45258</v>
      </c>
      <c r="B474" s="7" t="n">
        <v>0.821080666627177</v>
      </c>
      <c r="C474" s="7" t="n">
        <v>0.823193771219587</v>
      </c>
      <c r="D474" s="7" t="n">
        <v>0.817534760135067</v>
      </c>
      <c r="E474" s="7" t="n">
        <v>0.818311836849383</v>
      </c>
      <c r="F474" s="8" t="n">
        <f aca="true">IF(ROW()-2&gt;=Inputs!$B$4,AVERAGE(OFFSET(E474,1-Inputs!$B$4,0,Inputs!$B$4,1)),"")</f>
        <v>0.802032986794601</v>
      </c>
      <c r="G474" s="8" t="n">
        <f aca="true">IF(ROW()-2&gt;=Inputs!$B$5,AVERAGE(OFFSET(E474,1-Inputs!$B$5,0,Inputs!$B$5,1)),"")</f>
        <v>0.789194283845764</v>
      </c>
      <c r="H474" s="8" t="n">
        <f aca="false">MAX(C474-D474,ABS(C474-E473),ABS(D474-E473))</f>
        <v>0.0056590110845206</v>
      </c>
      <c r="I474" s="8" t="n">
        <f aca="true">IF(ROW()-2&lt;14,"",IF(ROW()-2=14,AVERAGE(OFFSET(H474,-13,0,14,1)),(I473*13+H474)/14))</f>
        <v>0.00787202181224384</v>
      </c>
      <c r="J474" s="9" t="b">
        <f aca="false">IF(AND(ISNUMBER(F474),ISNUMBER(G474),ISNUMBER(F473),ISNUMBER(G473)),AND(F474&gt;G474,F473&lt;=G473),FALSE())</f>
        <v>0</v>
      </c>
      <c r="K474" s="9" t="b">
        <f aca="false">IF(AND(ISNUMBER(F474),ISNUMBER(G474),ISNUMBER(F473),ISNUMBER(G473)),AND(F474&lt;G474,F473&gt;=G473),FALSE())</f>
        <v>0</v>
      </c>
      <c r="L474" s="8" t="n">
        <f aca="false">IF(ISNUMBER(I474),E474-Inputs!$B$6*I474,"")</f>
        <v>0.802567793224895</v>
      </c>
      <c r="M474" s="9" t="b">
        <f aca="false">AND(Y473&gt;0,Z473)</f>
        <v>0</v>
      </c>
      <c r="N474" s="8" t="n">
        <f aca="false">B474*(1-Inputs!$B$12)</f>
        <v>0.820916450493852</v>
      </c>
      <c r="O474" s="10" t="n">
        <f aca="false">IF(M474,Y473*(N474-AB473)-Inputs!$B$9-Y473*AD473*Inputs!$B$13*(A474-AC473),0)</f>
        <v>0</v>
      </c>
      <c r="P474" s="10" t="n">
        <f aca="false">X473+O474</f>
        <v>1015.3844066801</v>
      </c>
      <c r="Q474" s="9" t="b">
        <f aca="false">AND(IF(M474,0,Y473)=0,AA473,IF(ISNUMBER(AE473),B474&gt;AE473,FALSE()))</f>
        <v>0</v>
      </c>
      <c r="R474" s="8" t="n">
        <f aca="false">B474*(1+Inputs!$B$12)</f>
        <v>0.821244882760502</v>
      </c>
      <c r="S474" s="11" t="n">
        <f aca="false">IF(Q474,MIN(P474*Inputs!$B$3/(R474-AE473),P474*Inputs!$B$11/R474),0)</f>
        <v>0</v>
      </c>
      <c r="T474" s="11" t="n">
        <f aca="false">IF(Q474,S474,IF(M474,0,Y473))</f>
        <v>664.118972006065</v>
      </c>
      <c r="U474" s="8" t="n">
        <f aca="false">IF(Q474,AE473,AF473)</f>
        <v>0.771982232894536</v>
      </c>
      <c r="V474" s="9" t="b">
        <f aca="false">AND(T474&gt;0,D474&lt;=U474)</f>
        <v>0</v>
      </c>
      <c r="W474" s="10" t="n">
        <f aca="false">IF(V474,T474*(AK474-AB474)-Inputs!$B$9-T474*AD474*Inputs!$B$13*(A474-AC474),0)</f>
        <v>0</v>
      </c>
      <c r="X474" s="10" t="n">
        <f aca="false">P474-IF(Q474,Inputs!$B$9,0)+W474</f>
        <v>1015.3844066801</v>
      </c>
      <c r="Y474" s="11" t="n">
        <f aca="false">IF(V474,0,T474)</f>
        <v>664.118972006065</v>
      </c>
      <c r="Z474" s="9" t="b">
        <f aca="false">AND(Y474&gt;0,K474)</f>
        <v>0</v>
      </c>
      <c r="AA474" s="9" t="b">
        <f aca="false">AND(Y474=0,J474,ISNUMBER(L474))</f>
        <v>0</v>
      </c>
      <c r="AB474" s="8" t="n">
        <f aca="false">IF(Q474,R474,AB473)</f>
        <v>0.787286484836172</v>
      </c>
      <c r="AC474" s="12" t="n">
        <f aca="false">IF(Q474,A474,AC473)</f>
        <v>45226</v>
      </c>
      <c r="AD474" s="8" t="n">
        <f aca="false">IF(Q474,B474,AD473)</f>
        <v>0.787129059024367</v>
      </c>
      <c r="AE474" s="8" t="str">
        <f aca="false">IF(AA474,L474,"")</f>
        <v/>
      </c>
      <c r="AF474" s="8" t="n">
        <f aca="false">U474</f>
        <v>0.771982232894536</v>
      </c>
      <c r="AG474" s="2" t="n">
        <f aca="false">AG473+IF(Q474,1,0)</f>
        <v>3</v>
      </c>
      <c r="AH474" s="2" t="n">
        <f aca="false">AG473</f>
        <v>3</v>
      </c>
      <c r="AI474" s="10" t="n">
        <f aca="false">X474+Y474*(E474-AB474)-Y474*AD474*Inputs!$B$13*(A474-AC474)</f>
        <v>1033.00998781085</v>
      </c>
      <c r="AJ474" s="10" t="n">
        <v>0</v>
      </c>
      <c r="AK474" s="8" t="n">
        <f aca="false">IF(AND(B474&lt;=U474,NOT(Q474)),B474,U474)*(1-Inputs!$B$12)</f>
        <v>0.771827836447957</v>
      </c>
    </row>
    <row r="475" customFormat="false" ht="15" hidden="false" customHeight="false" outlineLevel="0" collapsed="false">
      <c r="A475" s="6" t="n">
        <v>45259</v>
      </c>
      <c r="B475" s="7" t="n">
        <v>0.818311836849383</v>
      </c>
      <c r="C475" s="7" t="n">
        <v>0.818676989203086</v>
      </c>
      <c r="D475" s="7" t="n">
        <v>0.809968736556266</v>
      </c>
      <c r="E475" s="7" t="n">
        <v>0.814798746048376</v>
      </c>
      <c r="F475" s="8" t="n">
        <f aca="true">IF(ROW()-2&gt;=Inputs!$B$4,AVERAGE(OFFSET(E475,1-Inputs!$B$4,0,Inputs!$B$4,1)),"")</f>
        <v>0.803321074031734</v>
      </c>
      <c r="G475" s="8" t="n">
        <f aca="true">IF(ROW()-2&gt;=Inputs!$B$5,AVERAGE(OFFSET(E475,1-Inputs!$B$5,0,Inputs!$B$5,1)),"")</f>
        <v>0.789905017391374</v>
      </c>
      <c r="H475" s="8" t="n">
        <f aca="false">MAX(C475-D475,ABS(C475-E474),ABS(D475-E474))</f>
        <v>0.00870825264682062</v>
      </c>
      <c r="I475" s="8" t="n">
        <f aca="true">IF(ROW()-2&lt;14,"",IF(ROW()-2=14,AVERAGE(OFFSET(H475,-13,0,14,1)),(I474*13+H475)/14))</f>
        <v>0.00793175258614218</v>
      </c>
      <c r="J475" s="9" t="b">
        <f aca="false">IF(AND(ISNUMBER(F475),ISNUMBER(G475),ISNUMBER(F474),ISNUMBER(G474)),AND(F475&gt;G475,F474&lt;=G474),FALSE())</f>
        <v>0</v>
      </c>
      <c r="K475" s="9" t="b">
        <f aca="false">IF(AND(ISNUMBER(F475),ISNUMBER(G475),ISNUMBER(F474),ISNUMBER(G474)),AND(F475&lt;G475,F474&gt;=G474),FALSE())</f>
        <v>0</v>
      </c>
      <c r="L475" s="8" t="n">
        <f aca="false">IF(ISNUMBER(I475),E475-Inputs!$B$6*I475,"")</f>
        <v>0.798935240876092</v>
      </c>
      <c r="M475" s="9" t="b">
        <f aca="false">AND(Y474&gt;0,Z474)</f>
        <v>0</v>
      </c>
      <c r="N475" s="8" t="n">
        <f aca="false">B475*(1-Inputs!$B$12)</f>
        <v>0.818148174482013</v>
      </c>
      <c r="O475" s="10" t="n">
        <f aca="false">IF(M475,Y474*(N475-AB474)-Inputs!$B$9-Y474*AD474*Inputs!$B$13*(A475-AC474),0)</f>
        <v>0</v>
      </c>
      <c r="P475" s="10" t="n">
        <f aca="false">X474+O475</f>
        <v>1015.3844066801</v>
      </c>
      <c r="Q475" s="9" t="b">
        <f aca="false">AND(IF(M475,0,Y474)=0,AA474,IF(ISNUMBER(AE474),B475&gt;AE474,FALSE()))</f>
        <v>0</v>
      </c>
      <c r="R475" s="8" t="n">
        <f aca="false">B475*(1+Inputs!$B$12)</f>
        <v>0.818475499216753</v>
      </c>
      <c r="S475" s="11" t="n">
        <f aca="false">IF(Q475,MIN(P475*Inputs!$B$3/(R475-AE474),P475*Inputs!$B$11/R475),0)</f>
        <v>0</v>
      </c>
      <c r="T475" s="11" t="n">
        <f aca="false">IF(Q475,S475,IF(M475,0,Y474))</f>
        <v>664.118972006065</v>
      </c>
      <c r="U475" s="8" t="n">
        <f aca="false">IF(Q475,AE474,AF474)</f>
        <v>0.771982232894536</v>
      </c>
      <c r="V475" s="9" t="b">
        <f aca="false">AND(T475&gt;0,D475&lt;=U475)</f>
        <v>0</v>
      </c>
      <c r="W475" s="10" t="n">
        <f aca="false">IF(V475,T475*(AK475-AB475)-Inputs!$B$9-T475*AD475*Inputs!$B$13*(A475-AC475),0)</f>
        <v>0</v>
      </c>
      <c r="X475" s="10" t="n">
        <f aca="false">P475-IF(Q475,Inputs!$B$9,0)+W475</f>
        <v>1015.3844066801</v>
      </c>
      <c r="Y475" s="11" t="n">
        <f aca="false">IF(V475,0,T475)</f>
        <v>664.118972006065</v>
      </c>
      <c r="Z475" s="9" t="b">
        <f aca="false">AND(Y475&gt;0,K475)</f>
        <v>0</v>
      </c>
      <c r="AA475" s="9" t="b">
        <f aca="false">AND(Y475=0,J475,ISNUMBER(L475))</f>
        <v>0</v>
      </c>
      <c r="AB475" s="8" t="n">
        <f aca="false">IF(Q475,R475,AB474)</f>
        <v>0.787286484836172</v>
      </c>
      <c r="AC475" s="12" t="n">
        <f aca="false">IF(Q475,A475,AC474)</f>
        <v>45226</v>
      </c>
      <c r="AD475" s="8" t="n">
        <f aca="false">IF(Q475,B475,AD474)</f>
        <v>0.787129059024367</v>
      </c>
      <c r="AE475" s="8" t="str">
        <f aca="false">IF(AA475,L475,"")</f>
        <v/>
      </c>
      <c r="AF475" s="8" t="n">
        <f aca="false">U475</f>
        <v>0.771982232894536</v>
      </c>
      <c r="AG475" s="2" t="n">
        <f aca="false">AG474+IF(Q475,1,0)</f>
        <v>3</v>
      </c>
      <c r="AH475" s="2" t="n">
        <f aca="false">AG474</f>
        <v>3</v>
      </c>
      <c r="AI475" s="10" t="n">
        <f aca="false">X475+Y475*(E475-AB475)-Y475*AD475*Inputs!$B$13*(A475-AC475)</f>
        <v>1030.58378556719</v>
      </c>
      <c r="AJ475" s="10" t="n">
        <v>0</v>
      </c>
      <c r="AK475" s="8" t="n">
        <f aca="false">IF(AND(B475&lt;=U475,NOT(Q475)),B475,U475)*(1-Inputs!$B$12)</f>
        <v>0.771827836447957</v>
      </c>
    </row>
    <row r="476" customFormat="false" ht="15" hidden="false" customHeight="false" outlineLevel="0" collapsed="false">
      <c r="A476" s="6" t="n">
        <v>45260</v>
      </c>
      <c r="B476" s="7" t="n">
        <v>0.814798746048376</v>
      </c>
      <c r="C476" s="7" t="n">
        <v>0.820330968912642</v>
      </c>
      <c r="D476" s="7" t="n">
        <v>0.805811096712222</v>
      </c>
      <c r="E476" s="7" t="n">
        <v>0.806253230752265</v>
      </c>
      <c r="F476" s="8" t="n">
        <f aca="true">IF(ROW()-2&gt;=Inputs!$B$4,AVERAGE(OFFSET(E476,1-Inputs!$B$4,0,Inputs!$B$4,1)),"")</f>
        <v>0.804359281710273</v>
      </c>
      <c r="G476" s="8" t="n">
        <f aca="true">IF(ROW()-2&gt;=Inputs!$B$5,AVERAGE(OFFSET(E476,1-Inputs!$B$5,0,Inputs!$B$5,1)),"")</f>
        <v>0.790422735080713</v>
      </c>
      <c r="H476" s="8" t="n">
        <f aca="false">MAX(C476-D476,ABS(C476-E475),ABS(D476-E475))</f>
        <v>0.0145198722004197</v>
      </c>
      <c r="I476" s="8" t="n">
        <f aca="true">IF(ROW()-2&lt;14,"",IF(ROW()-2=14,AVERAGE(OFFSET(H476,-13,0,14,1)),(I475*13+H476)/14))</f>
        <v>0.00840233255859057</v>
      </c>
      <c r="J476" s="9" t="b">
        <f aca="false">IF(AND(ISNUMBER(F476),ISNUMBER(G476),ISNUMBER(F475),ISNUMBER(G475)),AND(F476&gt;G476,F475&lt;=G475),FALSE())</f>
        <v>0</v>
      </c>
      <c r="K476" s="9" t="b">
        <f aca="false">IF(AND(ISNUMBER(F476),ISNUMBER(G476),ISNUMBER(F475),ISNUMBER(G475)),AND(F476&lt;G476,F475&gt;=G475),FALSE())</f>
        <v>0</v>
      </c>
      <c r="L476" s="8" t="n">
        <f aca="false">IF(ISNUMBER(I476),E476-Inputs!$B$6*I476,"")</f>
        <v>0.789448565635084</v>
      </c>
      <c r="M476" s="9" t="b">
        <f aca="false">AND(Y475&gt;0,Z475)</f>
        <v>0</v>
      </c>
      <c r="N476" s="8" t="n">
        <f aca="false">B476*(1-Inputs!$B$12)</f>
        <v>0.814635786299166</v>
      </c>
      <c r="O476" s="10" t="n">
        <f aca="false">IF(M476,Y475*(N476-AB475)-Inputs!$B$9-Y475*AD475*Inputs!$B$13*(A476-AC475),0)</f>
        <v>0</v>
      </c>
      <c r="P476" s="10" t="n">
        <f aca="false">X475+O476</f>
        <v>1015.3844066801</v>
      </c>
      <c r="Q476" s="9" t="b">
        <f aca="false">AND(IF(M476,0,Y475)=0,AA475,IF(ISNUMBER(AE475),B476&gt;AE475,FALSE()))</f>
        <v>0</v>
      </c>
      <c r="R476" s="8" t="n">
        <f aca="false">B476*(1+Inputs!$B$12)</f>
        <v>0.814961705797586</v>
      </c>
      <c r="S476" s="11" t="n">
        <f aca="false">IF(Q476,MIN(P476*Inputs!$B$3/(R476-AE475),P476*Inputs!$B$11/R476),0)</f>
        <v>0</v>
      </c>
      <c r="T476" s="11" t="n">
        <f aca="false">IF(Q476,S476,IF(M476,0,Y475))</f>
        <v>664.118972006065</v>
      </c>
      <c r="U476" s="8" t="n">
        <f aca="false">IF(Q476,AE475,AF475)</f>
        <v>0.771982232894536</v>
      </c>
      <c r="V476" s="9" t="b">
        <f aca="false">AND(T476&gt;0,D476&lt;=U476)</f>
        <v>0</v>
      </c>
      <c r="W476" s="10" t="n">
        <f aca="false">IF(V476,T476*(AK476-AB476)-Inputs!$B$9-T476*AD476*Inputs!$B$13*(A476-AC476),0)</f>
        <v>0</v>
      </c>
      <c r="X476" s="10" t="n">
        <f aca="false">P476-IF(Q476,Inputs!$B$9,0)+W476</f>
        <v>1015.3844066801</v>
      </c>
      <c r="Y476" s="11" t="n">
        <f aca="false">IF(V476,0,T476)</f>
        <v>664.118972006065</v>
      </c>
      <c r="Z476" s="9" t="b">
        <f aca="false">AND(Y476&gt;0,K476)</f>
        <v>0</v>
      </c>
      <c r="AA476" s="9" t="b">
        <f aca="false">AND(Y476=0,J476,ISNUMBER(L476))</f>
        <v>0</v>
      </c>
      <c r="AB476" s="8" t="n">
        <f aca="false">IF(Q476,R476,AB475)</f>
        <v>0.787286484836172</v>
      </c>
      <c r="AC476" s="12" t="n">
        <f aca="false">IF(Q476,A476,AC475)</f>
        <v>45226</v>
      </c>
      <c r="AD476" s="8" t="n">
        <f aca="false">IF(Q476,B476,AD475)</f>
        <v>0.787129059024367</v>
      </c>
      <c r="AE476" s="8" t="str">
        <f aca="false">IF(AA476,L476,"")</f>
        <v/>
      </c>
      <c r="AF476" s="8" t="n">
        <f aca="false">U476</f>
        <v>0.771982232894536</v>
      </c>
      <c r="AG476" s="2" t="n">
        <f aca="false">AG475+IF(Q476,1,0)</f>
        <v>3</v>
      </c>
      <c r="AH476" s="2" t="n">
        <f aca="false">AG475</f>
        <v>3</v>
      </c>
      <c r="AI476" s="10" t="n">
        <f aca="false">X476+Y476*(E476-AB476)-Y476*AD476*Inputs!$B$13*(A476-AC476)</f>
        <v>1024.81545474115</v>
      </c>
      <c r="AJ476" s="10" t="n">
        <v>0</v>
      </c>
      <c r="AK476" s="8" t="n">
        <f aca="false">IF(AND(B476&lt;=U476,NOT(Q476)),B476,U476)*(1-Inputs!$B$12)</f>
        <v>0.771827836447957</v>
      </c>
    </row>
    <row r="477" customFormat="false" ht="15" hidden="false" customHeight="false" outlineLevel="0" collapsed="false">
      <c r="A477" s="6" t="n">
        <v>45261</v>
      </c>
      <c r="B477" s="7" t="n">
        <v>0.806253230752265</v>
      </c>
      <c r="C477" s="7" t="n">
        <v>0.810597371199148</v>
      </c>
      <c r="D477" s="7" t="n">
        <v>0.801846200070554</v>
      </c>
      <c r="E477" s="7" t="n">
        <v>0.808408922345942</v>
      </c>
      <c r="F477" s="8" t="n">
        <f aca="true">IF(ROW()-2&gt;=Inputs!$B$4,AVERAGE(OFFSET(E477,1-Inputs!$B$4,0,Inputs!$B$4,1)),"")</f>
        <v>0.805202243873463</v>
      </c>
      <c r="G477" s="8" t="n">
        <f aca="true">IF(ROW()-2&gt;=Inputs!$B$5,AVERAGE(OFFSET(E477,1-Inputs!$B$5,0,Inputs!$B$5,1)),"")</f>
        <v>0.791184587451932</v>
      </c>
      <c r="H477" s="8" t="n">
        <f aca="false">MAX(C477-D477,ABS(C477-E476),ABS(D477-E476))</f>
        <v>0.0087511711285938</v>
      </c>
      <c r="I477" s="8" t="n">
        <f aca="true">IF(ROW()-2&lt;14,"",IF(ROW()-2=14,AVERAGE(OFFSET(H477,-13,0,14,1)),(I476*13+H477)/14))</f>
        <v>0.00842724959930509</v>
      </c>
      <c r="J477" s="9" t="b">
        <f aca="false">IF(AND(ISNUMBER(F477),ISNUMBER(G477),ISNUMBER(F476),ISNUMBER(G476)),AND(F477&gt;G477,F476&lt;=G476),FALSE())</f>
        <v>0</v>
      </c>
      <c r="K477" s="9" t="b">
        <f aca="false">IF(AND(ISNUMBER(F477),ISNUMBER(G477),ISNUMBER(F476),ISNUMBER(G476)),AND(F477&lt;G477,F476&gt;=G476),FALSE())</f>
        <v>0</v>
      </c>
      <c r="L477" s="8" t="n">
        <f aca="false">IF(ISNUMBER(I477),E477-Inputs!$B$6*I477,"")</f>
        <v>0.791554423147332</v>
      </c>
      <c r="M477" s="9" t="b">
        <f aca="false">AND(Y476&gt;0,Z476)</f>
        <v>0</v>
      </c>
      <c r="N477" s="8" t="n">
        <f aca="false">B477*(1-Inputs!$B$12)</f>
        <v>0.806091980106115</v>
      </c>
      <c r="O477" s="10" t="n">
        <f aca="false">IF(M477,Y476*(N477-AB476)-Inputs!$B$9-Y476*AD476*Inputs!$B$13*(A477-AC476),0)</f>
        <v>0</v>
      </c>
      <c r="P477" s="10" t="n">
        <f aca="false">X476+O477</f>
        <v>1015.3844066801</v>
      </c>
      <c r="Q477" s="9" t="b">
        <f aca="false">AND(IF(M477,0,Y476)=0,AA476,IF(ISNUMBER(AE476),B477&gt;AE476,FALSE()))</f>
        <v>0</v>
      </c>
      <c r="R477" s="8" t="n">
        <f aca="false">B477*(1+Inputs!$B$12)</f>
        <v>0.806414481398416</v>
      </c>
      <c r="S477" s="11" t="n">
        <f aca="false">IF(Q477,MIN(P477*Inputs!$B$3/(R477-AE476),P477*Inputs!$B$11/R477),0)</f>
        <v>0</v>
      </c>
      <c r="T477" s="11" t="n">
        <f aca="false">IF(Q477,S477,IF(M477,0,Y476))</f>
        <v>664.118972006065</v>
      </c>
      <c r="U477" s="8" t="n">
        <f aca="false">IF(Q477,AE476,AF476)</f>
        <v>0.771982232894536</v>
      </c>
      <c r="V477" s="9" t="b">
        <f aca="false">AND(T477&gt;0,D477&lt;=U477)</f>
        <v>0</v>
      </c>
      <c r="W477" s="10" t="n">
        <f aca="false">IF(V477,T477*(AK477-AB477)-Inputs!$B$9-T477*AD477*Inputs!$B$13*(A477-AC477),0)</f>
        <v>0</v>
      </c>
      <c r="X477" s="10" t="n">
        <f aca="false">P477-IF(Q477,Inputs!$B$9,0)+W477</f>
        <v>1015.3844066801</v>
      </c>
      <c r="Y477" s="11" t="n">
        <f aca="false">IF(V477,0,T477)</f>
        <v>664.118972006065</v>
      </c>
      <c r="Z477" s="9" t="b">
        <f aca="false">AND(Y477&gt;0,K477)</f>
        <v>0</v>
      </c>
      <c r="AA477" s="9" t="b">
        <f aca="false">AND(Y477=0,J477,ISNUMBER(L477))</f>
        <v>0</v>
      </c>
      <c r="AB477" s="8" t="n">
        <f aca="false">IF(Q477,R477,AB476)</f>
        <v>0.787286484836172</v>
      </c>
      <c r="AC477" s="12" t="n">
        <f aca="false">IF(Q477,A477,AC476)</f>
        <v>45226</v>
      </c>
      <c r="AD477" s="8" t="n">
        <f aca="false">IF(Q477,B477,AD476)</f>
        <v>0.787129059024367</v>
      </c>
      <c r="AE477" s="8" t="str">
        <f aca="false">IF(AA477,L477,"")</f>
        <v/>
      </c>
      <c r="AF477" s="8" t="n">
        <f aca="false">U477</f>
        <v>0.771982232894536</v>
      </c>
      <c r="AG477" s="2" t="n">
        <f aca="false">AG476+IF(Q477,1,0)</f>
        <v>3</v>
      </c>
      <c r="AH477" s="2" t="n">
        <f aca="false">AG476</f>
        <v>3</v>
      </c>
      <c r="AI477" s="10" t="n">
        <f aca="false">X477+Y477*(E477-AB477)-Y477*AD477*Inputs!$B$13*(A477-AC477)</f>
        <v>1026.15399843398</v>
      </c>
      <c r="AJ477" s="10" t="n">
        <v>0</v>
      </c>
      <c r="AK477" s="8" t="n">
        <f aca="false">IF(AND(B477&lt;=U477,NOT(Q477)),B477,U477)*(1-Inputs!$B$12)</f>
        <v>0.771827836447957</v>
      </c>
    </row>
    <row r="478" customFormat="false" ht="15" hidden="false" customHeight="false" outlineLevel="0" collapsed="false">
      <c r="A478" s="6" t="n">
        <v>45262</v>
      </c>
      <c r="B478" s="7" t="n">
        <v>0.808408922345942</v>
      </c>
      <c r="C478" s="7" t="n">
        <v>0.822552134832228</v>
      </c>
      <c r="D478" s="7" t="n">
        <v>0.801814172021718</v>
      </c>
      <c r="E478" s="7" t="n">
        <v>0.81803356357318</v>
      </c>
      <c r="F478" s="8" t="n">
        <f aca="true">IF(ROW()-2&gt;=Inputs!$B$4,AVERAGE(OFFSET(E478,1-Inputs!$B$4,0,Inputs!$B$4,1)),"")</f>
        <v>0.80621137232325</v>
      </c>
      <c r="G478" s="8" t="n">
        <f aca="true">IF(ROW()-2&gt;=Inputs!$B$5,AVERAGE(OFFSET(E478,1-Inputs!$B$5,0,Inputs!$B$5,1)),"")</f>
        <v>0.792216383595738</v>
      </c>
      <c r="H478" s="8" t="n">
        <f aca="false">MAX(C478-D478,ABS(C478-E477),ABS(D478-E477))</f>
        <v>0.0207379628105097</v>
      </c>
      <c r="I478" s="8" t="n">
        <f aca="true">IF(ROW()-2&lt;14,"",IF(ROW()-2=14,AVERAGE(OFFSET(H478,-13,0,14,1)),(I477*13+H478)/14))</f>
        <v>0.00930658625724827</v>
      </c>
      <c r="J478" s="9" t="b">
        <f aca="false">IF(AND(ISNUMBER(F478),ISNUMBER(G478),ISNUMBER(F477),ISNUMBER(G477)),AND(F478&gt;G478,F477&lt;=G477),FALSE())</f>
        <v>0</v>
      </c>
      <c r="K478" s="9" t="b">
        <f aca="false">IF(AND(ISNUMBER(F478),ISNUMBER(G478),ISNUMBER(F477),ISNUMBER(G477)),AND(F478&lt;G478,F477&gt;=G477),FALSE())</f>
        <v>0</v>
      </c>
      <c r="L478" s="8" t="n">
        <f aca="false">IF(ISNUMBER(I478),E478-Inputs!$B$6*I478,"")</f>
        <v>0.799420391058684</v>
      </c>
      <c r="M478" s="9" t="b">
        <f aca="false">AND(Y477&gt;0,Z477)</f>
        <v>0</v>
      </c>
      <c r="N478" s="8" t="n">
        <f aca="false">B478*(1-Inputs!$B$12)</f>
        <v>0.808247240561473</v>
      </c>
      <c r="O478" s="10" t="n">
        <f aca="false">IF(M478,Y477*(N478-AB477)-Inputs!$B$9-Y477*AD477*Inputs!$B$13*(A478-AC477),0)</f>
        <v>0</v>
      </c>
      <c r="P478" s="10" t="n">
        <f aca="false">X477+O478</f>
        <v>1015.3844066801</v>
      </c>
      <c r="Q478" s="9" t="b">
        <f aca="false">AND(IF(M478,0,Y477)=0,AA477,IF(ISNUMBER(AE477),B478&gt;AE477,FALSE()))</f>
        <v>0</v>
      </c>
      <c r="R478" s="8" t="n">
        <f aca="false">B478*(1+Inputs!$B$12)</f>
        <v>0.808570604130411</v>
      </c>
      <c r="S478" s="11" t="n">
        <f aca="false">IF(Q478,MIN(P478*Inputs!$B$3/(R478-AE477),P478*Inputs!$B$11/R478),0)</f>
        <v>0</v>
      </c>
      <c r="T478" s="11" t="n">
        <f aca="false">IF(Q478,S478,IF(M478,0,Y477))</f>
        <v>664.118972006065</v>
      </c>
      <c r="U478" s="8" t="n">
        <f aca="false">IF(Q478,AE477,AF477)</f>
        <v>0.771982232894536</v>
      </c>
      <c r="V478" s="9" t="b">
        <f aca="false">AND(T478&gt;0,D478&lt;=U478)</f>
        <v>0</v>
      </c>
      <c r="W478" s="10" t="n">
        <f aca="false">IF(V478,T478*(AK478-AB478)-Inputs!$B$9-T478*AD478*Inputs!$B$13*(A478-AC478),0)</f>
        <v>0</v>
      </c>
      <c r="X478" s="10" t="n">
        <f aca="false">P478-IF(Q478,Inputs!$B$9,0)+W478</f>
        <v>1015.3844066801</v>
      </c>
      <c r="Y478" s="11" t="n">
        <f aca="false">IF(V478,0,T478)</f>
        <v>664.118972006065</v>
      </c>
      <c r="Z478" s="9" t="b">
        <f aca="false">AND(Y478&gt;0,K478)</f>
        <v>0</v>
      </c>
      <c r="AA478" s="9" t="b">
        <f aca="false">AND(Y478=0,J478,ISNUMBER(L478))</f>
        <v>0</v>
      </c>
      <c r="AB478" s="8" t="n">
        <f aca="false">IF(Q478,R478,AB477)</f>
        <v>0.787286484836172</v>
      </c>
      <c r="AC478" s="12" t="n">
        <f aca="false">IF(Q478,A478,AC477)</f>
        <v>45226</v>
      </c>
      <c r="AD478" s="8" t="n">
        <f aca="false">IF(Q478,B478,AD477)</f>
        <v>0.787129059024367</v>
      </c>
      <c r="AE478" s="8" t="str">
        <f aca="false">IF(AA478,L478,"")</f>
        <v/>
      </c>
      <c r="AF478" s="8" t="n">
        <f aca="false">U478</f>
        <v>0.771982232894536</v>
      </c>
      <c r="AG478" s="2" t="n">
        <f aca="false">AG477+IF(Q478,1,0)</f>
        <v>3</v>
      </c>
      <c r="AH478" s="2" t="n">
        <f aca="false">AG477</f>
        <v>3</v>
      </c>
      <c r="AI478" s="10" t="n">
        <f aca="false">X478+Y478*(E478-AB478)-Y478*AD478*Inputs!$B$13*(A478-AC478)</f>
        <v>1032.45281327942</v>
      </c>
      <c r="AJ478" s="10" t="n">
        <v>0</v>
      </c>
      <c r="AK478" s="8" t="n">
        <f aca="false">IF(AND(B478&lt;=U478,NOT(Q478)),B478,U478)*(1-Inputs!$B$12)</f>
        <v>0.771827836447957</v>
      </c>
    </row>
    <row r="479" customFormat="false" ht="15" hidden="false" customHeight="false" outlineLevel="0" collapsed="false">
      <c r="A479" s="6" t="n">
        <v>45263</v>
      </c>
      <c r="B479" s="7" t="n">
        <v>0.81803356357318</v>
      </c>
      <c r="C479" s="7" t="n">
        <v>0.828396098488569</v>
      </c>
      <c r="D479" s="7" t="n">
        <v>0.814531517874989</v>
      </c>
      <c r="E479" s="7" t="n">
        <v>0.827628995811877</v>
      </c>
      <c r="F479" s="8" t="n">
        <f aca="true">IF(ROW()-2&gt;=Inputs!$B$4,AVERAGE(OFFSET(E479,1-Inputs!$B$4,0,Inputs!$B$4,1)),"")</f>
        <v>0.807948978570583</v>
      </c>
      <c r="G479" s="8" t="n">
        <f aca="true">IF(ROW()-2&gt;=Inputs!$B$5,AVERAGE(OFFSET(E479,1-Inputs!$B$5,0,Inputs!$B$5,1)),"")</f>
        <v>0.793366851597927</v>
      </c>
      <c r="H479" s="8" t="n">
        <f aca="false">MAX(C479-D479,ABS(C479-E478),ABS(D479-E478))</f>
        <v>0.01386458061358</v>
      </c>
      <c r="I479" s="8" t="n">
        <f aca="true">IF(ROW()-2&lt;14,"",IF(ROW()-2=14,AVERAGE(OFFSET(H479,-13,0,14,1)),(I478*13+H479)/14))</f>
        <v>0.00963215728270054</v>
      </c>
      <c r="J479" s="9" t="b">
        <f aca="false">IF(AND(ISNUMBER(F479),ISNUMBER(G479),ISNUMBER(F478),ISNUMBER(G478)),AND(F479&gt;G479,F478&lt;=G478),FALSE())</f>
        <v>0</v>
      </c>
      <c r="K479" s="9" t="b">
        <f aca="false">IF(AND(ISNUMBER(F479),ISNUMBER(G479),ISNUMBER(F478),ISNUMBER(G478)),AND(F479&lt;G479,F478&gt;=G478),FALSE())</f>
        <v>0</v>
      </c>
      <c r="L479" s="8" t="n">
        <f aca="false">IF(ISNUMBER(I479),E479-Inputs!$B$6*I479,"")</f>
        <v>0.808364681246476</v>
      </c>
      <c r="M479" s="9" t="b">
        <f aca="false">AND(Y478&gt;0,Z478)</f>
        <v>0</v>
      </c>
      <c r="N479" s="8" t="n">
        <f aca="false">B479*(1-Inputs!$B$12)</f>
        <v>0.817869956860466</v>
      </c>
      <c r="O479" s="10" t="n">
        <f aca="false">IF(M479,Y478*(N479-AB478)-Inputs!$B$9-Y478*AD478*Inputs!$B$13*(A479-AC478),0)</f>
        <v>0</v>
      </c>
      <c r="P479" s="10" t="n">
        <f aca="false">X478+O479</f>
        <v>1015.3844066801</v>
      </c>
      <c r="Q479" s="9" t="b">
        <f aca="false">AND(IF(M479,0,Y478)=0,AA478,IF(ISNUMBER(AE478),B479&gt;AE478,FALSE()))</f>
        <v>0</v>
      </c>
      <c r="R479" s="8" t="n">
        <f aca="false">B479*(1+Inputs!$B$12)</f>
        <v>0.818197170285895</v>
      </c>
      <c r="S479" s="11" t="n">
        <f aca="false">IF(Q479,MIN(P479*Inputs!$B$3/(R479-AE478),P479*Inputs!$B$11/R479),0)</f>
        <v>0</v>
      </c>
      <c r="T479" s="11" t="n">
        <f aca="false">IF(Q479,S479,IF(M479,0,Y478))</f>
        <v>664.118972006065</v>
      </c>
      <c r="U479" s="8" t="n">
        <f aca="false">IF(Q479,AE478,AF478)</f>
        <v>0.771982232894536</v>
      </c>
      <c r="V479" s="9" t="b">
        <f aca="false">AND(T479&gt;0,D479&lt;=U479)</f>
        <v>0</v>
      </c>
      <c r="W479" s="10" t="n">
        <f aca="false">IF(V479,T479*(AK479-AB479)-Inputs!$B$9-T479*AD479*Inputs!$B$13*(A479-AC479),0)</f>
        <v>0</v>
      </c>
      <c r="X479" s="10" t="n">
        <f aca="false">P479-IF(Q479,Inputs!$B$9,0)+W479</f>
        <v>1015.3844066801</v>
      </c>
      <c r="Y479" s="11" t="n">
        <f aca="false">IF(V479,0,T479)</f>
        <v>664.118972006065</v>
      </c>
      <c r="Z479" s="9" t="b">
        <f aca="false">AND(Y479&gt;0,K479)</f>
        <v>0</v>
      </c>
      <c r="AA479" s="9" t="b">
        <f aca="false">AND(Y479=0,J479,ISNUMBER(L479))</f>
        <v>0</v>
      </c>
      <c r="AB479" s="8" t="n">
        <f aca="false">IF(Q479,R479,AB478)</f>
        <v>0.787286484836172</v>
      </c>
      <c r="AC479" s="12" t="n">
        <f aca="false">IF(Q479,A479,AC478)</f>
        <v>45226</v>
      </c>
      <c r="AD479" s="8" t="n">
        <f aca="false">IF(Q479,B479,AD478)</f>
        <v>0.787129059024367</v>
      </c>
      <c r="AE479" s="8" t="str">
        <f aca="false">IF(AA479,L479,"")</f>
        <v/>
      </c>
      <c r="AF479" s="8" t="n">
        <f aca="false">U479</f>
        <v>0.771982232894536</v>
      </c>
      <c r="AG479" s="2" t="n">
        <f aca="false">AG478+IF(Q479,1,0)</f>
        <v>3</v>
      </c>
      <c r="AH479" s="2" t="n">
        <f aca="false">AG478</f>
        <v>3</v>
      </c>
      <c r="AI479" s="10" t="n">
        <f aca="false">X479+Y479*(E479-AB479)-Y479*AD479*Inputs!$B$13*(A479-AC479)</f>
        <v>1038.73222988141</v>
      </c>
      <c r="AJ479" s="10" t="n">
        <v>0</v>
      </c>
      <c r="AK479" s="8" t="n">
        <f aca="false">IF(AND(B479&lt;=U479,NOT(Q479)),B479,U479)*(1-Inputs!$B$12)</f>
        <v>0.771827836447957</v>
      </c>
    </row>
    <row r="480" customFormat="false" ht="15" hidden="false" customHeight="false" outlineLevel="0" collapsed="false">
      <c r="A480" s="6" t="n">
        <v>45264</v>
      </c>
      <c r="B480" s="7" t="n">
        <v>0.827628995811877</v>
      </c>
      <c r="C480" s="7" t="n">
        <v>0.828029467414764</v>
      </c>
      <c r="D480" s="7" t="n">
        <v>0.821284210438242</v>
      </c>
      <c r="E480" s="7" t="n">
        <v>0.821951768751496</v>
      </c>
      <c r="F480" s="8" t="n">
        <f aca="true">IF(ROW()-2&gt;=Inputs!$B$4,AVERAGE(OFFSET(E480,1-Inputs!$B$4,0,Inputs!$B$4,1)),"")</f>
        <v>0.809579360010194</v>
      </c>
      <c r="G480" s="8" t="n">
        <f aca="true">IF(ROW()-2&gt;=Inputs!$B$5,AVERAGE(OFFSET(E480,1-Inputs!$B$5,0,Inputs!$B$5,1)),"")</f>
        <v>0.794383312983812</v>
      </c>
      <c r="H480" s="8" t="n">
        <f aca="false">MAX(C480-D480,ABS(C480-E479),ABS(D480-E479))</f>
        <v>0.00674525697652195</v>
      </c>
      <c r="I480" s="8" t="n">
        <f aca="true">IF(ROW()-2&lt;14,"",IF(ROW()-2=14,AVERAGE(OFFSET(H480,-13,0,14,1)),(I479*13+H480)/14))</f>
        <v>0.00942595011797349</v>
      </c>
      <c r="J480" s="9" t="b">
        <f aca="false">IF(AND(ISNUMBER(F480),ISNUMBER(G480),ISNUMBER(F479),ISNUMBER(G479)),AND(F480&gt;G480,F479&lt;=G479),FALSE())</f>
        <v>0</v>
      </c>
      <c r="K480" s="9" t="b">
        <f aca="false">IF(AND(ISNUMBER(F480),ISNUMBER(G480),ISNUMBER(F479),ISNUMBER(G479)),AND(F480&lt;G480,F479&gt;=G479),FALSE())</f>
        <v>0</v>
      </c>
      <c r="L480" s="8" t="n">
        <f aca="false">IF(ISNUMBER(I480),E480-Inputs!$B$6*I480,"")</f>
        <v>0.803099868515549</v>
      </c>
      <c r="M480" s="9" t="b">
        <f aca="false">AND(Y479&gt;0,Z479)</f>
        <v>0</v>
      </c>
      <c r="N480" s="8" t="n">
        <f aca="false">B480*(1-Inputs!$B$12)</f>
        <v>0.827463470012715</v>
      </c>
      <c r="O480" s="10" t="n">
        <f aca="false">IF(M480,Y479*(N480-AB479)-Inputs!$B$9-Y479*AD479*Inputs!$B$13*(A480-AC479),0)</f>
        <v>0</v>
      </c>
      <c r="P480" s="10" t="n">
        <f aca="false">X479+O480</f>
        <v>1015.3844066801</v>
      </c>
      <c r="Q480" s="9" t="b">
        <f aca="false">AND(IF(M480,0,Y479)=0,AA479,IF(ISNUMBER(AE479),B480&gt;AE479,FALSE()))</f>
        <v>0</v>
      </c>
      <c r="R480" s="8" t="n">
        <f aca="false">B480*(1+Inputs!$B$12)</f>
        <v>0.82779452161104</v>
      </c>
      <c r="S480" s="11" t="n">
        <f aca="false">IF(Q480,MIN(P480*Inputs!$B$3/(R480-AE479),P480*Inputs!$B$11/R480),0)</f>
        <v>0</v>
      </c>
      <c r="T480" s="11" t="n">
        <f aca="false">IF(Q480,S480,IF(M480,0,Y479))</f>
        <v>664.118972006065</v>
      </c>
      <c r="U480" s="8" t="n">
        <f aca="false">IF(Q480,AE479,AF479)</f>
        <v>0.771982232894536</v>
      </c>
      <c r="V480" s="9" t="b">
        <f aca="false">AND(T480&gt;0,D480&lt;=U480)</f>
        <v>0</v>
      </c>
      <c r="W480" s="10" t="n">
        <f aca="false">IF(V480,T480*(AK480-AB480)-Inputs!$B$9-T480*AD480*Inputs!$B$13*(A480-AC480),0)</f>
        <v>0</v>
      </c>
      <c r="X480" s="10" t="n">
        <f aca="false">P480-IF(Q480,Inputs!$B$9,0)+W480</f>
        <v>1015.3844066801</v>
      </c>
      <c r="Y480" s="11" t="n">
        <f aca="false">IF(V480,0,T480)</f>
        <v>664.118972006065</v>
      </c>
      <c r="Z480" s="9" t="b">
        <f aca="false">AND(Y480&gt;0,K480)</f>
        <v>0</v>
      </c>
      <c r="AA480" s="9" t="b">
        <f aca="false">AND(Y480=0,J480,ISNUMBER(L480))</f>
        <v>0</v>
      </c>
      <c r="AB480" s="8" t="n">
        <f aca="false">IF(Q480,R480,AB479)</f>
        <v>0.787286484836172</v>
      </c>
      <c r="AC480" s="12" t="n">
        <f aca="false">IF(Q480,A480,AC479)</f>
        <v>45226</v>
      </c>
      <c r="AD480" s="8" t="n">
        <f aca="false">IF(Q480,B480,AD479)</f>
        <v>0.787129059024367</v>
      </c>
      <c r="AE480" s="8" t="str">
        <f aca="false">IF(AA480,L480,"")</f>
        <v/>
      </c>
      <c r="AF480" s="8" t="n">
        <f aca="false">U480</f>
        <v>0.771982232894536</v>
      </c>
      <c r="AG480" s="2" t="n">
        <f aca="false">AG479+IF(Q480,1,0)</f>
        <v>3</v>
      </c>
      <c r="AH480" s="2" t="n">
        <f aca="false">AG479</f>
        <v>3</v>
      </c>
      <c r="AI480" s="10" t="n">
        <f aca="false">X480+Y480*(E480-AB480)-Y480*AD480*Inputs!$B$13*(A480-AC480)</f>
        <v>1034.8687836899</v>
      </c>
      <c r="AJ480" s="10" t="n">
        <v>0</v>
      </c>
      <c r="AK480" s="8" t="n">
        <f aca="false">IF(AND(B480&lt;=U480,NOT(Q480)),B480,U480)*(1-Inputs!$B$12)</f>
        <v>0.771827836447957</v>
      </c>
    </row>
    <row r="481" customFormat="false" ht="15" hidden="false" customHeight="false" outlineLevel="0" collapsed="false">
      <c r="A481" s="6" t="n">
        <v>45265</v>
      </c>
      <c r="B481" s="7" t="n">
        <v>0.821951768751496</v>
      </c>
      <c r="C481" s="7" t="n">
        <v>0.827114900568579</v>
      </c>
      <c r="D481" s="7" t="n">
        <v>0.812840990347874</v>
      </c>
      <c r="E481" s="7" t="n">
        <v>0.815677033113908</v>
      </c>
      <c r="F481" s="8" t="n">
        <f aca="true">IF(ROW()-2&gt;=Inputs!$B$4,AVERAGE(OFFSET(E481,1-Inputs!$B$4,0,Inputs!$B$4,1)),"")</f>
        <v>0.810838816834263</v>
      </c>
      <c r="G481" s="8" t="n">
        <f aca="true">IF(ROW()-2&gt;=Inputs!$B$5,AVERAGE(OFFSET(E481,1-Inputs!$B$5,0,Inputs!$B$5,1)),"")</f>
        <v>0.795255441967627</v>
      </c>
      <c r="H481" s="8" t="n">
        <f aca="false">MAX(C481-D481,ABS(C481-E480),ABS(D481-E480))</f>
        <v>0.0142739102207055</v>
      </c>
      <c r="I481" s="8" t="n">
        <f aca="true">IF(ROW()-2&lt;14,"",IF(ROW()-2=14,AVERAGE(OFFSET(H481,-13,0,14,1)),(I480*13+H481)/14))</f>
        <v>0.00977223298245435</v>
      </c>
      <c r="J481" s="9" t="b">
        <f aca="false">IF(AND(ISNUMBER(F481),ISNUMBER(G481),ISNUMBER(F480),ISNUMBER(G480)),AND(F481&gt;G481,F480&lt;=G480),FALSE())</f>
        <v>0</v>
      </c>
      <c r="K481" s="9" t="b">
        <f aca="false">IF(AND(ISNUMBER(F481),ISNUMBER(G481),ISNUMBER(F480),ISNUMBER(G480)),AND(F481&lt;G481,F480&gt;=G480),FALSE())</f>
        <v>0</v>
      </c>
      <c r="L481" s="8" t="n">
        <f aca="false">IF(ISNUMBER(I481),E481-Inputs!$B$6*I481,"")</f>
        <v>0.796132567148999</v>
      </c>
      <c r="M481" s="9" t="b">
        <f aca="false">AND(Y480&gt;0,Z480)</f>
        <v>0</v>
      </c>
      <c r="N481" s="8" t="n">
        <f aca="false">B481*(1-Inputs!$B$12)</f>
        <v>0.821787378397746</v>
      </c>
      <c r="O481" s="10" t="n">
        <f aca="false">IF(M481,Y480*(N481-AB480)-Inputs!$B$9-Y480*AD480*Inputs!$B$13*(A481-AC480),0)</f>
        <v>0</v>
      </c>
      <c r="P481" s="10" t="n">
        <f aca="false">X480+O481</f>
        <v>1015.3844066801</v>
      </c>
      <c r="Q481" s="9" t="b">
        <f aca="false">AND(IF(M481,0,Y480)=0,AA480,IF(ISNUMBER(AE480),B481&gt;AE480,FALSE()))</f>
        <v>0</v>
      </c>
      <c r="R481" s="8" t="n">
        <f aca="false">B481*(1+Inputs!$B$12)</f>
        <v>0.822116159105247</v>
      </c>
      <c r="S481" s="11" t="n">
        <f aca="false">IF(Q481,MIN(P481*Inputs!$B$3/(R481-AE480),P481*Inputs!$B$11/R481),0)</f>
        <v>0</v>
      </c>
      <c r="T481" s="11" t="n">
        <f aca="false">IF(Q481,S481,IF(M481,0,Y480))</f>
        <v>664.118972006065</v>
      </c>
      <c r="U481" s="8" t="n">
        <f aca="false">IF(Q481,AE480,AF480)</f>
        <v>0.771982232894536</v>
      </c>
      <c r="V481" s="9" t="b">
        <f aca="false">AND(T481&gt;0,D481&lt;=U481)</f>
        <v>0</v>
      </c>
      <c r="W481" s="10" t="n">
        <f aca="false">IF(V481,T481*(AK481-AB481)-Inputs!$B$9-T481*AD481*Inputs!$B$13*(A481-AC481),0)</f>
        <v>0</v>
      </c>
      <c r="X481" s="10" t="n">
        <f aca="false">P481-IF(Q481,Inputs!$B$9,0)+W481</f>
        <v>1015.3844066801</v>
      </c>
      <c r="Y481" s="11" t="n">
        <f aca="false">IF(V481,0,T481)</f>
        <v>664.118972006065</v>
      </c>
      <c r="Z481" s="9" t="b">
        <f aca="false">AND(Y481&gt;0,K481)</f>
        <v>0</v>
      </c>
      <c r="AA481" s="9" t="b">
        <f aca="false">AND(Y481=0,J481,ISNUMBER(L481))</f>
        <v>0</v>
      </c>
      <c r="AB481" s="8" t="n">
        <f aca="false">IF(Q481,R481,AB480)</f>
        <v>0.787286484836172</v>
      </c>
      <c r="AC481" s="12" t="n">
        <f aca="false">IF(Q481,A481,AC480)</f>
        <v>45226</v>
      </c>
      <c r="AD481" s="8" t="n">
        <f aca="false">IF(Q481,B481,AD480)</f>
        <v>0.787129059024367</v>
      </c>
      <c r="AE481" s="8" t="str">
        <f aca="false">IF(AA481,L481,"")</f>
        <v/>
      </c>
      <c r="AF481" s="8" t="n">
        <f aca="false">U481</f>
        <v>0.771982232894536</v>
      </c>
      <c r="AG481" s="2" t="n">
        <f aca="false">AG480+IF(Q481,1,0)</f>
        <v>3</v>
      </c>
      <c r="AH481" s="2" t="n">
        <f aca="false">AG480</f>
        <v>3</v>
      </c>
      <c r="AI481" s="10" t="n">
        <f aca="false">X481+Y481*(E481-AB481)-Y481*AD481*Inputs!$B$13*(A481-AC481)</f>
        <v>1030.60852071633</v>
      </c>
      <c r="AJ481" s="10" t="n">
        <v>0</v>
      </c>
      <c r="AK481" s="8" t="n">
        <f aca="false">IF(AND(B481&lt;=U481,NOT(Q481)),B481,U481)*(1-Inputs!$B$12)</f>
        <v>0.771827836447957</v>
      </c>
    </row>
    <row r="482" customFormat="false" ht="15" hidden="false" customHeight="false" outlineLevel="0" collapsed="false">
      <c r="A482" s="6" t="n">
        <v>45266</v>
      </c>
      <c r="B482" s="7" t="n">
        <v>0.815677033113908</v>
      </c>
      <c r="C482" s="7" t="n">
        <v>0.820303352554723</v>
      </c>
      <c r="D482" s="7" t="n">
        <v>0.811616857320183</v>
      </c>
      <c r="E482" s="7" t="n">
        <v>0.818996051895699</v>
      </c>
      <c r="F482" s="8" t="n">
        <f aca="true">IF(ROW()-2&gt;=Inputs!$B$4,AVERAGE(OFFSET(E482,1-Inputs!$B$4,0,Inputs!$B$4,1)),"")</f>
        <v>0.812171295917735</v>
      </c>
      <c r="G482" s="8" t="n">
        <f aca="true">IF(ROW()-2&gt;=Inputs!$B$5,AVERAGE(OFFSET(E482,1-Inputs!$B$5,0,Inputs!$B$5,1)),"")</f>
        <v>0.796224458412459</v>
      </c>
      <c r="H482" s="8" t="n">
        <f aca="false">MAX(C482-D482,ABS(C482-E481),ABS(D482-E481))</f>
        <v>0.00868649523454024</v>
      </c>
      <c r="I482" s="8" t="n">
        <f aca="true">IF(ROW()-2&lt;14,"",IF(ROW()-2=14,AVERAGE(OFFSET(H482,-13,0,14,1)),(I481*13+H482)/14))</f>
        <v>0.00969468028617477</v>
      </c>
      <c r="J482" s="9" t="b">
        <f aca="false">IF(AND(ISNUMBER(F482),ISNUMBER(G482),ISNUMBER(F481),ISNUMBER(G481)),AND(F482&gt;G482,F481&lt;=G481),FALSE())</f>
        <v>0</v>
      </c>
      <c r="K482" s="9" t="b">
        <f aca="false">IF(AND(ISNUMBER(F482),ISNUMBER(G482),ISNUMBER(F481),ISNUMBER(G481)),AND(F482&lt;G482,F481&gt;=G481),FALSE())</f>
        <v>0</v>
      </c>
      <c r="L482" s="8" t="n">
        <f aca="false">IF(ISNUMBER(I482),E482-Inputs!$B$6*I482,"")</f>
        <v>0.799606691323349</v>
      </c>
      <c r="M482" s="9" t="b">
        <f aca="false">AND(Y481&gt;0,Z481)</f>
        <v>0</v>
      </c>
      <c r="N482" s="8" t="n">
        <f aca="false">B482*(1-Inputs!$B$12)</f>
        <v>0.815513897707285</v>
      </c>
      <c r="O482" s="10" t="n">
        <f aca="false">IF(M482,Y481*(N482-AB481)-Inputs!$B$9-Y481*AD481*Inputs!$B$13*(A482-AC481),0)</f>
        <v>0</v>
      </c>
      <c r="P482" s="10" t="n">
        <f aca="false">X481+O482</f>
        <v>1015.3844066801</v>
      </c>
      <c r="Q482" s="9" t="b">
        <f aca="false">AND(IF(M482,0,Y481)=0,AA481,IF(ISNUMBER(AE481),B482&gt;AE481,FALSE()))</f>
        <v>0</v>
      </c>
      <c r="R482" s="8" t="n">
        <f aca="false">B482*(1+Inputs!$B$12)</f>
        <v>0.81584016852053</v>
      </c>
      <c r="S482" s="11" t="n">
        <f aca="false">IF(Q482,MIN(P482*Inputs!$B$3/(R482-AE481),P482*Inputs!$B$11/R482),0)</f>
        <v>0</v>
      </c>
      <c r="T482" s="11" t="n">
        <f aca="false">IF(Q482,S482,IF(M482,0,Y481))</f>
        <v>664.118972006065</v>
      </c>
      <c r="U482" s="8" t="n">
        <f aca="false">IF(Q482,AE481,AF481)</f>
        <v>0.771982232894536</v>
      </c>
      <c r="V482" s="9" t="b">
        <f aca="false">AND(T482&gt;0,D482&lt;=U482)</f>
        <v>0</v>
      </c>
      <c r="W482" s="10" t="n">
        <f aca="false">IF(V482,T482*(AK482-AB482)-Inputs!$B$9-T482*AD482*Inputs!$B$13*(A482-AC482),0)</f>
        <v>0</v>
      </c>
      <c r="X482" s="10" t="n">
        <f aca="false">P482-IF(Q482,Inputs!$B$9,0)+W482</f>
        <v>1015.3844066801</v>
      </c>
      <c r="Y482" s="11" t="n">
        <f aca="false">IF(V482,0,T482)</f>
        <v>664.118972006065</v>
      </c>
      <c r="Z482" s="9" t="b">
        <f aca="false">AND(Y482&gt;0,K482)</f>
        <v>0</v>
      </c>
      <c r="AA482" s="9" t="b">
        <f aca="false">AND(Y482=0,J482,ISNUMBER(L482))</f>
        <v>0</v>
      </c>
      <c r="AB482" s="8" t="n">
        <f aca="false">IF(Q482,R482,AB481)</f>
        <v>0.787286484836172</v>
      </c>
      <c r="AC482" s="12" t="n">
        <f aca="false">IF(Q482,A482,AC481)</f>
        <v>45226</v>
      </c>
      <c r="AD482" s="8" t="n">
        <f aca="false">IF(Q482,B482,AD481)</f>
        <v>0.787129059024367</v>
      </c>
      <c r="AE482" s="8" t="str">
        <f aca="false">IF(AA482,L482,"")</f>
        <v/>
      </c>
      <c r="AF482" s="8" t="n">
        <f aca="false">U482</f>
        <v>0.771982232894536</v>
      </c>
      <c r="AG482" s="2" t="n">
        <f aca="false">AG481+IF(Q482,1,0)</f>
        <v>3</v>
      </c>
      <c r="AH482" s="2" t="n">
        <f aca="false">AG481</f>
        <v>3</v>
      </c>
      <c r="AI482" s="10" t="n">
        <f aca="false">X482+Y482*(E482-AB482)-Y482*AD482*Inputs!$B$13*(A482-AC482)</f>
        <v>1032.71965206544</v>
      </c>
      <c r="AJ482" s="10" t="n">
        <v>0</v>
      </c>
      <c r="AK482" s="8" t="n">
        <f aca="false">IF(AND(B482&lt;=U482,NOT(Q482)),B482,U482)*(1-Inputs!$B$12)</f>
        <v>0.771827836447957</v>
      </c>
    </row>
    <row r="483" customFormat="false" ht="15" hidden="false" customHeight="false" outlineLevel="0" collapsed="false">
      <c r="A483" s="6" t="n">
        <v>45267</v>
      </c>
      <c r="B483" s="7" t="n">
        <v>0.818996051895699</v>
      </c>
      <c r="C483" s="7" t="n">
        <v>0.820331187028707</v>
      </c>
      <c r="D483" s="7" t="n">
        <v>0.817800329743223</v>
      </c>
      <c r="E483" s="7" t="n">
        <v>0.817968966047549</v>
      </c>
      <c r="F483" s="8" t="n">
        <f aca="true">IF(ROW()-2&gt;=Inputs!$B$4,AVERAGE(OFFSET(E483,1-Inputs!$B$4,0,Inputs!$B$4,1)),"")</f>
        <v>0.813506315523864</v>
      </c>
      <c r="G483" s="8" t="n">
        <f aca="true">IF(ROW()-2&gt;=Inputs!$B$5,AVERAGE(OFFSET(E483,1-Inputs!$B$5,0,Inputs!$B$5,1)),"")</f>
        <v>0.797209701347314</v>
      </c>
      <c r="H483" s="8" t="n">
        <f aca="false">MAX(C483-D483,ABS(C483-E482),ABS(D483-E482))</f>
        <v>0.00253085728548452</v>
      </c>
      <c r="I483" s="8" t="n">
        <f aca="true">IF(ROW()-2&lt;14,"",IF(ROW()-2=14,AVERAGE(OFFSET(H483,-13,0,14,1)),(I482*13+H483)/14))</f>
        <v>0.00918297864326832</v>
      </c>
      <c r="J483" s="9" t="b">
        <f aca="false">IF(AND(ISNUMBER(F483),ISNUMBER(G483),ISNUMBER(F482),ISNUMBER(G482)),AND(F483&gt;G483,F482&lt;=G482),FALSE())</f>
        <v>0</v>
      </c>
      <c r="K483" s="9" t="b">
        <f aca="false">IF(AND(ISNUMBER(F483),ISNUMBER(G483),ISNUMBER(F482),ISNUMBER(G482)),AND(F483&lt;G483,F482&gt;=G482),FALSE())</f>
        <v>0</v>
      </c>
      <c r="L483" s="8" t="n">
        <f aca="false">IF(ISNUMBER(I483),E483-Inputs!$B$6*I483,"")</f>
        <v>0.799603008761012</v>
      </c>
      <c r="M483" s="9" t="b">
        <f aca="false">AND(Y482&gt;0,Z482)</f>
        <v>0</v>
      </c>
      <c r="N483" s="8" t="n">
        <f aca="false">B483*(1-Inputs!$B$12)</f>
        <v>0.81883225268532</v>
      </c>
      <c r="O483" s="10" t="n">
        <f aca="false">IF(M483,Y482*(N483-AB482)-Inputs!$B$9-Y482*AD482*Inputs!$B$13*(A483-AC482),0)</f>
        <v>0</v>
      </c>
      <c r="P483" s="10" t="n">
        <f aca="false">X482+O483</f>
        <v>1015.3844066801</v>
      </c>
      <c r="Q483" s="9" t="b">
        <f aca="false">AND(IF(M483,0,Y482)=0,AA482,IF(ISNUMBER(AE482),B483&gt;AE482,FALSE()))</f>
        <v>0</v>
      </c>
      <c r="R483" s="8" t="n">
        <f aca="false">B483*(1+Inputs!$B$12)</f>
        <v>0.819159851106078</v>
      </c>
      <c r="S483" s="11" t="n">
        <f aca="false">IF(Q483,MIN(P483*Inputs!$B$3/(R483-AE482),P483*Inputs!$B$11/R483),0)</f>
        <v>0</v>
      </c>
      <c r="T483" s="11" t="n">
        <f aca="false">IF(Q483,S483,IF(M483,0,Y482))</f>
        <v>664.118972006065</v>
      </c>
      <c r="U483" s="8" t="n">
        <f aca="false">IF(Q483,AE482,AF482)</f>
        <v>0.771982232894536</v>
      </c>
      <c r="V483" s="9" t="b">
        <f aca="false">AND(T483&gt;0,D483&lt;=U483)</f>
        <v>0</v>
      </c>
      <c r="W483" s="10" t="n">
        <f aca="false">IF(V483,T483*(AK483-AB483)-Inputs!$B$9-T483*AD483*Inputs!$B$13*(A483-AC483),0)</f>
        <v>0</v>
      </c>
      <c r="X483" s="10" t="n">
        <f aca="false">P483-IF(Q483,Inputs!$B$9,0)+W483</f>
        <v>1015.3844066801</v>
      </c>
      <c r="Y483" s="11" t="n">
        <f aca="false">IF(V483,0,T483)</f>
        <v>664.118972006065</v>
      </c>
      <c r="Z483" s="9" t="b">
        <f aca="false">AND(Y483&gt;0,K483)</f>
        <v>0</v>
      </c>
      <c r="AA483" s="9" t="b">
        <f aca="false">AND(Y483=0,J483,ISNUMBER(L483))</f>
        <v>0</v>
      </c>
      <c r="AB483" s="8" t="n">
        <f aca="false">IF(Q483,R483,AB482)</f>
        <v>0.787286484836172</v>
      </c>
      <c r="AC483" s="12" t="n">
        <f aca="false">IF(Q483,A483,AC482)</f>
        <v>45226</v>
      </c>
      <c r="AD483" s="8" t="n">
        <f aca="false">IF(Q483,B483,AD482)</f>
        <v>0.787129059024367</v>
      </c>
      <c r="AE483" s="8" t="str">
        <f aca="false">IF(AA483,L483,"")</f>
        <v/>
      </c>
      <c r="AF483" s="8" t="n">
        <f aca="false">U483</f>
        <v>0.771982232894536</v>
      </c>
      <c r="AG483" s="2" t="n">
        <f aca="false">AG482+IF(Q483,1,0)</f>
        <v>3</v>
      </c>
      <c r="AH483" s="2" t="n">
        <f aca="false">AG482</f>
        <v>3</v>
      </c>
      <c r="AI483" s="10" t="n">
        <f aca="false">X483+Y483*(E483-AB483)-Y483*AD483*Inputs!$B$13*(A483-AC483)</f>
        <v>1031.94445287548</v>
      </c>
      <c r="AJ483" s="10" t="n">
        <v>0</v>
      </c>
      <c r="AK483" s="8" t="n">
        <f aca="false">IF(AND(B483&lt;=U483,NOT(Q483)),B483,U483)*(1-Inputs!$B$12)</f>
        <v>0.771827836447957</v>
      </c>
    </row>
    <row r="484" customFormat="false" ht="15" hidden="false" customHeight="false" outlineLevel="0" collapsed="false">
      <c r="A484" s="6" t="n">
        <v>45268</v>
      </c>
      <c r="B484" s="7" t="n">
        <v>0.817968966047549</v>
      </c>
      <c r="C484" s="7" t="n">
        <v>0.831206497400348</v>
      </c>
      <c r="D484" s="7" t="n">
        <v>0.814772079691115</v>
      </c>
      <c r="E484" s="7" t="n">
        <v>0.823541000201122</v>
      </c>
      <c r="F484" s="8" t="n">
        <f aca="true">IF(ROW()-2&gt;=Inputs!$B$4,AVERAGE(OFFSET(E484,1-Inputs!$B$4,0,Inputs!$B$4,1)),"")</f>
        <v>0.814837962748704</v>
      </c>
      <c r="G484" s="8" t="n">
        <f aca="true">IF(ROW()-2&gt;=Inputs!$B$5,AVERAGE(OFFSET(E484,1-Inputs!$B$5,0,Inputs!$B$5,1)),"")</f>
        <v>0.798288232305267</v>
      </c>
      <c r="H484" s="8" t="n">
        <f aca="false">MAX(C484-D484,ABS(C484-E483),ABS(D484-E483))</f>
        <v>0.016434417709233</v>
      </c>
      <c r="I484" s="8" t="n">
        <f aca="true">IF(ROW()-2&lt;14,"",IF(ROW()-2=14,AVERAGE(OFFSET(H484,-13,0,14,1)),(I483*13+H484)/14))</f>
        <v>0.00970093857655151</v>
      </c>
      <c r="J484" s="9" t="b">
        <f aca="false">IF(AND(ISNUMBER(F484),ISNUMBER(G484),ISNUMBER(F483),ISNUMBER(G483)),AND(F484&gt;G484,F483&lt;=G483),FALSE())</f>
        <v>0</v>
      </c>
      <c r="K484" s="9" t="b">
        <f aca="false">IF(AND(ISNUMBER(F484),ISNUMBER(G484),ISNUMBER(F483),ISNUMBER(G483)),AND(F484&lt;G484,F483&gt;=G483),FALSE())</f>
        <v>0</v>
      </c>
      <c r="L484" s="8" t="n">
        <f aca="false">IF(ISNUMBER(I484),E484-Inputs!$B$6*I484,"")</f>
        <v>0.804139123048019</v>
      </c>
      <c r="M484" s="9" t="b">
        <f aca="false">AND(Y483&gt;0,Z483)</f>
        <v>0</v>
      </c>
      <c r="N484" s="8" t="n">
        <f aca="false">B484*(1-Inputs!$B$12)</f>
        <v>0.817805372254339</v>
      </c>
      <c r="O484" s="10" t="n">
        <f aca="false">IF(M484,Y483*(N484-AB483)-Inputs!$B$9-Y483*AD483*Inputs!$B$13*(A484-AC483),0)</f>
        <v>0</v>
      </c>
      <c r="P484" s="10" t="n">
        <f aca="false">X483+O484</f>
        <v>1015.3844066801</v>
      </c>
      <c r="Q484" s="9" t="b">
        <f aca="false">AND(IF(M484,0,Y483)=0,AA483,IF(ISNUMBER(AE483),B484&gt;AE483,FALSE()))</f>
        <v>0</v>
      </c>
      <c r="R484" s="8" t="n">
        <f aca="false">B484*(1+Inputs!$B$12)</f>
        <v>0.818132559840758</v>
      </c>
      <c r="S484" s="11" t="n">
        <f aca="false">IF(Q484,MIN(P484*Inputs!$B$3/(R484-AE483),P484*Inputs!$B$11/R484),0)</f>
        <v>0</v>
      </c>
      <c r="T484" s="11" t="n">
        <f aca="false">IF(Q484,S484,IF(M484,0,Y483))</f>
        <v>664.118972006065</v>
      </c>
      <c r="U484" s="8" t="n">
        <f aca="false">IF(Q484,AE483,AF483)</f>
        <v>0.771982232894536</v>
      </c>
      <c r="V484" s="9" t="b">
        <f aca="false">AND(T484&gt;0,D484&lt;=U484)</f>
        <v>0</v>
      </c>
      <c r="W484" s="10" t="n">
        <f aca="false">IF(V484,T484*(AK484-AB484)-Inputs!$B$9-T484*AD484*Inputs!$B$13*(A484-AC484),0)</f>
        <v>0</v>
      </c>
      <c r="X484" s="10" t="n">
        <f aca="false">P484-IF(Q484,Inputs!$B$9,0)+W484</f>
        <v>1015.3844066801</v>
      </c>
      <c r="Y484" s="11" t="n">
        <f aca="false">IF(V484,0,T484)</f>
        <v>664.118972006065</v>
      </c>
      <c r="Z484" s="9" t="b">
        <f aca="false">AND(Y484&gt;0,K484)</f>
        <v>0</v>
      </c>
      <c r="AA484" s="9" t="b">
        <f aca="false">AND(Y484=0,J484,ISNUMBER(L484))</f>
        <v>0</v>
      </c>
      <c r="AB484" s="8" t="n">
        <f aca="false">IF(Q484,R484,AB483)</f>
        <v>0.787286484836172</v>
      </c>
      <c r="AC484" s="12" t="n">
        <f aca="false">IF(Q484,A484,AC483)</f>
        <v>45226</v>
      </c>
      <c r="AD484" s="8" t="n">
        <f aca="false">IF(Q484,B484,AD483)</f>
        <v>0.787129059024367</v>
      </c>
      <c r="AE484" s="8" t="str">
        <f aca="false">IF(AA484,L484,"")</f>
        <v/>
      </c>
      <c r="AF484" s="8" t="n">
        <f aca="false">U484</f>
        <v>0.771982232894536</v>
      </c>
      <c r="AG484" s="2" t="n">
        <f aca="false">AG483+IF(Q484,1,0)</f>
        <v>3</v>
      </c>
      <c r="AH484" s="2" t="n">
        <f aca="false">AG483</f>
        <v>3</v>
      </c>
      <c r="AI484" s="10" t="n">
        <f aca="false">X484+Y484*(E484-AB484)-Y484*AD484*Inputs!$B$13*(A484-AC484)</f>
        <v>1035.55185447721</v>
      </c>
      <c r="AJ484" s="10" t="n">
        <v>0</v>
      </c>
      <c r="AK484" s="8" t="n">
        <f aca="false">IF(AND(B484&lt;=U484,NOT(Q484)),B484,U484)*(1-Inputs!$B$12)</f>
        <v>0.771827836447957</v>
      </c>
    </row>
    <row r="485" customFormat="false" ht="15" hidden="false" customHeight="false" outlineLevel="0" collapsed="false">
      <c r="A485" s="6" t="n">
        <v>45269</v>
      </c>
      <c r="B485" s="7" t="n">
        <v>0.823541000201122</v>
      </c>
      <c r="C485" s="7" t="n">
        <v>0.824556240082943</v>
      </c>
      <c r="D485" s="7" t="n">
        <v>0.817194767960654</v>
      </c>
      <c r="E485" s="7" t="n">
        <v>0.822230097919594</v>
      </c>
      <c r="F485" s="8" t="n">
        <f aca="true">IF(ROW()-2&gt;=Inputs!$B$4,AVERAGE(OFFSET(E485,1-Inputs!$B$4,0,Inputs!$B$4,1)),"")</f>
        <v>0.816154716672485</v>
      </c>
      <c r="G485" s="8" t="n">
        <f aca="true">IF(ROW()-2&gt;=Inputs!$B$5,AVERAGE(OFFSET(E485,1-Inputs!$B$5,0,Inputs!$B$5,1)),"")</f>
        <v>0.799312096987733</v>
      </c>
      <c r="H485" s="8" t="n">
        <f aca="false">MAX(C485-D485,ABS(C485-E484),ABS(D485-E484))</f>
        <v>0.00736147212228888</v>
      </c>
      <c r="I485" s="8" t="n">
        <f aca="true">IF(ROW()-2&lt;14,"",IF(ROW()-2=14,AVERAGE(OFFSET(H485,-13,0,14,1)),(I484*13+H485)/14))</f>
        <v>0.00953383382981847</v>
      </c>
      <c r="J485" s="9" t="b">
        <f aca="false">IF(AND(ISNUMBER(F485),ISNUMBER(G485),ISNUMBER(F484),ISNUMBER(G484)),AND(F485&gt;G485,F484&lt;=G484),FALSE())</f>
        <v>0</v>
      </c>
      <c r="K485" s="9" t="b">
        <f aca="false">IF(AND(ISNUMBER(F485),ISNUMBER(G485),ISNUMBER(F484),ISNUMBER(G484)),AND(F485&lt;G485,F484&gt;=G484),FALSE())</f>
        <v>0</v>
      </c>
      <c r="L485" s="8" t="n">
        <f aca="false">IF(ISNUMBER(I485),E485-Inputs!$B$6*I485,"")</f>
        <v>0.803162430259957</v>
      </c>
      <c r="M485" s="9" t="b">
        <f aca="false">AND(Y484&gt;0,Z484)</f>
        <v>0</v>
      </c>
      <c r="N485" s="8" t="n">
        <f aca="false">B485*(1-Inputs!$B$12)</f>
        <v>0.823376292001082</v>
      </c>
      <c r="O485" s="10" t="n">
        <f aca="false">IF(M485,Y484*(N485-AB484)-Inputs!$B$9-Y484*AD484*Inputs!$B$13*(A485-AC484),0)</f>
        <v>0</v>
      </c>
      <c r="P485" s="10" t="n">
        <f aca="false">X484+O485</f>
        <v>1015.3844066801</v>
      </c>
      <c r="Q485" s="9" t="b">
        <f aca="false">AND(IF(M485,0,Y484)=0,AA484,IF(ISNUMBER(AE484),B485&gt;AE484,FALSE()))</f>
        <v>0</v>
      </c>
      <c r="R485" s="8" t="n">
        <f aca="false">B485*(1+Inputs!$B$12)</f>
        <v>0.823705708401163</v>
      </c>
      <c r="S485" s="11" t="n">
        <f aca="false">IF(Q485,MIN(P485*Inputs!$B$3/(R485-AE484),P485*Inputs!$B$11/R485),0)</f>
        <v>0</v>
      </c>
      <c r="T485" s="11" t="n">
        <f aca="false">IF(Q485,S485,IF(M485,0,Y484))</f>
        <v>664.118972006065</v>
      </c>
      <c r="U485" s="8" t="n">
        <f aca="false">IF(Q485,AE484,AF484)</f>
        <v>0.771982232894536</v>
      </c>
      <c r="V485" s="9" t="b">
        <f aca="false">AND(T485&gt;0,D485&lt;=U485)</f>
        <v>0</v>
      </c>
      <c r="W485" s="10" t="n">
        <f aca="false">IF(V485,T485*(AK485-AB485)-Inputs!$B$9-T485*AD485*Inputs!$B$13*(A485-AC485),0)</f>
        <v>0</v>
      </c>
      <c r="X485" s="10" t="n">
        <f aca="false">P485-IF(Q485,Inputs!$B$9,0)+W485</f>
        <v>1015.3844066801</v>
      </c>
      <c r="Y485" s="11" t="n">
        <f aca="false">IF(V485,0,T485)</f>
        <v>664.118972006065</v>
      </c>
      <c r="Z485" s="9" t="b">
        <f aca="false">AND(Y485&gt;0,K485)</f>
        <v>0</v>
      </c>
      <c r="AA485" s="9" t="b">
        <f aca="false">AND(Y485=0,J485,ISNUMBER(L485))</f>
        <v>0</v>
      </c>
      <c r="AB485" s="8" t="n">
        <f aca="false">IF(Q485,R485,AB484)</f>
        <v>0.787286484836172</v>
      </c>
      <c r="AC485" s="12" t="n">
        <f aca="false">IF(Q485,A485,AC484)</f>
        <v>45226</v>
      </c>
      <c r="AD485" s="8" t="n">
        <f aca="false">IF(Q485,B485,AD484)</f>
        <v>0.787129059024367</v>
      </c>
      <c r="AE485" s="8" t="str">
        <f aca="false">IF(AA485,L485,"")</f>
        <v/>
      </c>
      <c r="AF485" s="8" t="n">
        <f aca="false">U485</f>
        <v>0.771982232894536</v>
      </c>
      <c r="AG485" s="2" t="n">
        <f aca="false">AG484+IF(Q485,1,0)</f>
        <v>3</v>
      </c>
      <c r="AH485" s="2" t="n">
        <f aca="false">AG484</f>
        <v>3</v>
      </c>
      <c r="AI485" s="10" t="n">
        <f aca="false">X485+Y485*(E485-AB485)-Y485*AD485*Inputs!$B$13*(A485-AC485)</f>
        <v>1034.58816740928</v>
      </c>
      <c r="AJ485" s="10" t="n">
        <v>0</v>
      </c>
      <c r="AK485" s="8" t="n">
        <f aca="false">IF(AND(B485&lt;=U485,NOT(Q485)),B485,U485)*(1-Inputs!$B$12)</f>
        <v>0.771827836447957</v>
      </c>
    </row>
    <row r="486" customFormat="false" ht="15" hidden="false" customHeight="false" outlineLevel="0" collapsed="false">
      <c r="A486" s="6" t="n">
        <v>45270</v>
      </c>
      <c r="B486" s="7" t="n">
        <v>0.822230097919594</v>
      </c>
      <c r="C486" s="7" t="n">
        <v>0.833751212414015</v>
      </c>
      <c r="D486" s="7" t="n">
        <v>0.820641438237976</v>
      </c>
      <c r="E486" s="7" t="n">
        <v>0.828671300588035</v>
      </c>
      <c r="F486" s="8" t="n">
        <f aca="true">IF(ROW()-2&gt;=Inputs!$B$4,AVERAGE(OFFSET(E486,1-Inputs!$B$4,0,Inputs!$B$4,1)),"")</f>
        <v>0.817583580012661</v>
      </c>
      <c r="G486" s="8" t="n">
        <f aca="true">IF(ROW()-2&gt;=Inputs!$B$5,AVERAGE(OFFSET(E486,1-Inputs!$B$5,0,Inputs!$B$5,1)),"")</f>
        <v>0.800331050215908</v>
      </c>
      <c r="H486" s="8" t="n">
        <f aca="false">MAX(C486-D486,ABS(C486-E485),ABS(D486-E485))</f>
        <v>0.0131097741760394</v>
      </c>
      <c r="I486" s="8" t="n">
        <f aca="true">IF(ROW()-2&lt;14,"",IF(ROW()-2=14,AVERAGE(OFFSET(H486,-13,0,14,1)),(I485*13+H486)/14))</f>
        <v>0.00978925814026282</v>
      </c>
      <c r="J486" s="9" t="b">
        <f aca="false">IF(AND(ISNUMBER(F486),ISNUMBER(G486),ISNUMBER(F485),ISNUMBER(G485)),AND(F486&gt;G486,F485&lt;=G485),FALSE())</f>
        <v>0</v>
      </c>
      <c r="K486" s="9" t="b">
        <f aca="false">IF(AND(ISNUMBER(F486),ISNUMBER(G486),ISNUMBER(F485),ISNUMBER(G485)),AND(F486&lt;G486,F485&gt;=G485),FALSE())</f>
        <v>0</v>
      </c>
      <c r="L486" s="8" t="n">
        <f aca="false">IF(ISNUMBER(I486),E486-Inputs!$B$6*I486,"")</f>
        <v>0.80909278430751</v>
      </c>
      <c r="M486" s="9" t="b">
        <f aca="false">AND(Y485&gt;0,Z485)</f>
        <v>0</v>
      </c>
      <c r="N486" s="8" t="n">
        <f aca="false">B486*(1-Inputs!$B$12)</f>
        <v>0.822065651900011</v>
      </c>
      <c r="O486" s="10" t="n">
        <f aca="false">IF(M486,Y485*(N486-AB485)-Inputs!$B$9-Y485*AD485*Inputs!$B$13*(A486-AC485),0)</f>
        <v>0</v>
      </c>
      <c r="P486" s="10" t="n">
        <f aca="false">X485+O486</f>
        <v>1015.3844066801</v>
      </c>
      <c r="Q486" s="9" t="b">
        <f aca="false">AND(IF(M486,0,Y485)=0,AA485,IF(ISNUMBER(AE485),B486&gt;AE485,FALSE()))</f>
        <v>0</v>
      </c>
      <c r="R486" s="8" t="n">
        <f aca="false">B486*(1+Inputs!$B$12)</f>
        <v>0.822394543939178</v>
      </c>
      <c r="S486" s="11" t="n">
        <f aca="false">IF(Q486,MIN(P486*Inputs!$B$3/(R486-AE485),P486*Inputs!$B$11/R486),0)</f>
        <v>0</v>
      </c>
      <c r="T486" s="11" t="n">
        <f aca="false">IF(Q486,S486,IF(M486,0,Y485))</f>
        <v>664.118972006065</v>
      </c>
      <c r="U486" s="8" t="n">
        <f aca="false">IF(Q486,AE485,AF485)</f>
        <v>0.771982232894536</v>
      </c>
      <c r="V486" s="9" t="b">
        <f aca="false">AND(T486&gt;0,D486&lt;=U486)</f>
        <v>0</v>
      </c>
      <c r="W486" s="10" t="n">
        <f aca="false">IF(V486,T486*(AK486-AB486)-Inputs!$B$9-T486*AD486*Inputs!$B$13*(A486-AC486),0)</f>
        <v>0</v>
      </c>
      <c r="X486" s="10" t="n">
        <f aca="false">P486-IF(Q486,Inputs!$B$9,0)+W486</f>
        <v>1015.3844066801</v>
      </c>
      <c r="Y486" s="11" t="n">
        <f aca="false">IF(V486,0,T486)</f>
        <v>664.118972006065</v>
      </c>
      <c r="Z486" s="9" t="b">
        <f aca="false">AND(Y486&gt;0,K486)</f>
        <v>0</v>
      </c>
      <c r="AA486" s="9" t="b">
        <f aca="false">AND(Y486=0,J486,ISNUMBER(L486))</f>
        <v>0</v>
      </c>
      <c r="AB486" s="8" t="n">
        <f aca="false">IF(Q486,R486,AB485)</f>
        <v>0.787286484836172</v>
      </c>
      <c r="AC486" s="12" t="n">
        <f aca="false">IF(Q486,A486,AC485)</f>
        <v>45226</v>
      </c>
      <c r="AD486" s="8" t="n">
        <f aca="false">IF(Q486,B486,AD485)</f>
        <v>0.787129059024367</v>
      </c>
      <c r="AE486" s="8" t="str">
        <f aca="false">IF(AA486,L486,"")</f>
        <v/>
      </c>
      <c r="AF486" s="8" t="n">
        <f aca="false">U486</f>
        <v>0.771982232894536</v>
      </c>
      <c r="AG486" s="2" t="n">
        <f aca="false">AG485+IF(Q486,1,0)</f>
        <v>3</v>
      </c>
      <c r="AH486" s="2" t="n">
        <f aca="false">AG485</f>
        <v>3</v>
      </c>
      <c r="AI486" s="10" t="n">
        <f aca="false">X486+Y486*(E486-AB486)-Y486*AD486*Inputs!$B$13*(A486-AC486)</f>
        <v>1038.7728003116</v>
      </c>
      <c r="AJ486" s="10" t="n">
        <v>0</v>
      </c>
      <c r="AK486" s="8" t="n">
        <f aca="false">IF(AND(B486&lt;=U486,NOT(Q486)),B486,U486)*(1-Inputs!$B$12)</f>
        <v>0.771827836447957</v>
      </c>
    </row>
    <row r="487" customFormat="false" ht="15" hidden="false" customHeight="false" outlineLevel="0" collapsed="false">
      <c r="A487" s="6" t="n">
        <v>45271</v>
      </c>
      <c r="B487" s="7" t="n">
        <v>0.828671300588035</v>
      </c>
      <c r="C487" s="7" t="n">
        <v>0.831393626849057</v>
      </c>
      <c r="D487" s="7" t="n">
        <v>0.827879611427882</v>
      </c>
      <c r="E487" s="7" t="n">
        <v>0.829340206564805</v>
      </c>
      <c r="F487" s="8" t="n">
        <f aca="true">IF(ROW()-2&gt;=Inputs!$B$4,AVERAGE(OFFSET(E487,1-Inputs!$B$4,0,Inputs!$B$4,1)),"")</f>
        <v>0.818718369722299</v>
      </c>
      <c r="G487" s="8" t="n">
        <f aca="true">IF(ROW()-2&gt;=Inputs!$B$5,AVERAGE(OFFSET(E487,1-Inputs!$B$5,0,Inputs!$B$5,1)),"")</f>
        <v>0.801269822675728</v>
      </c>
      <c r="H487" s="8" t="n">
        <f aca="false">MAX(C487-D487,ABS(C487-E486),ABS(D487-E486))</f>
        <v>0.00351401542117469</v>
      </c>
      <c r="I487" s="8" t="n">
        <f aca="true">IF(ROW()-2&lt;14,"",IF(ROW()-2=14,AVERAGE(OFFSET(H487,-13,0,14,1)),(I486*13+H487)/14))</f>
        <v>0.00934102651747081</v>
      </c>
      <c r="J487" s="9" t="b">
        <f aca="false">IF(AND(ISNUMBER(F487),ISNUMBER(G487),ISNUMBER(F486),ISNUMBER(G486)),AND(F487&gt;G487,F486&lt;=G486),FALSE())</f>
        <v>0</v>
      </c>
      <c r="K487" s="9" t="b">
        <f aca="false">IF(AND(ISNUMBER(F487),ISNUMBER(G487),ISNUMBER(F486),ISNUMBER(G486)),AND(F487&lt;G487,F486&gt;=G486),FALSE())</f>
        <v>0</v>
      </c>
      <c r="L487" s="8" t="n">
        <f aca="false">IF(ISNUMBER(I487),E487-Inputs!$B$6*I487,"")</f>
        <v>0.810658153529863</v>
      </c>
      <c r="M487" s="9" t="b">
        <f aca="false">AND(Y486&gt;0,Z486)</f>
        <v>0</v>
      </c>
      <c r="N487" s="8" t="n">
        <f aca="false">B487*(1-Inputs!$B$12)</f>
        <v>0.828505566327918</v>
      </c>
      <c r="O487" s="10" t="n">
        <f aca="false">IF(M487,Y486*(N487-AB486)-Inputs!$B$9-Y486*AD486*Inputs!$B$13*(A487-AC486),0)</f>
        <v>0</v>
      </c>
      <c r="P487" s="10" t="n">
        <f aca="false">X486+O487</f>
        <v>1015.3844066801</v>
      </c>
      <c r="Q487" s="9" t="b">
        <f aca="false">AND(IF(M487,0,Y486)=0,AA486,IF(ISNUMBER(AE486),B487&gt;AE486,FALSE()))</f>
        <v>0</v>
      </c>
      <c r="R487" s="8" t="n">
        <f aca="false">B487*(1+Inputs!$B$12)</f>
        <v>0.828837034848153</v>
      </c>
      <c r="S487" s="11" t="n">
        <f aca="false">IF(Q487,MIN(P487*Inputs!$B$3/(R487-AE486),P487*Inputs!$B$11/R487),0)</f>
        <v>0</v>
      </c>
      <c r="T487" s="11" t="n">
        <f aca="false">IF(Q487,S487,IF(M487,0,Y486))</f>
        <v>664.118972006065</v>
      </c>
      <c r="U487" s="8" t="n">
        <f aca="false">IF(Q487,AE486,AF486)</f>
        <v>0.771982232894536</v>
      </c>
      <c r="V487" s="9" t="b">
        <f aca="false">AND(T487&gt;0,D487&lt;=U487)</f>
        <v>0</v>
      </c>
      <c r="W487" s="10" t="n">
        <f aca="false">IF(V487,T487*(AK487-AB487)-Inputs!$B$9-T487*AD487*Inputs!$B$13*(A487-AC487),0)</f>
        <v>0</v>
      </c>
      <c r="X487" s="10" t="n">
        <f aca="false">P487-IF(Q487,Inputs!$B$9,0)+W487</f>
        <v>1015.3844066801</v>
      </c>
      <c r="Y487" s="11" t="n">
        <f aca="false">IF(V487,0,T487)</f>
        <v>664.118972006065</v>
      </c>
      <c r="Z487" s="9" t="b">
        <f aca="false">AND(Y487&gt;0,K487)</f>
        <v>0</v>
      </c>
      <c r="AA487" s="9" t="b">
        <f aca="false">AND(Y487=0,J487,ISNUMBER(L487))</f>
        <v>0</v>
      </c>
      <c r="AB487" s="8" t="n">
        <f aca="false">IF(Q487,R487,AB486)</f>
        <v>0.787286484836172</v>
      </c>
      <c r="AC487" s="12" t="n">
        <f aca="false">IF(Q487,A487,AC486)</f>
        <v>45226</v>
      </c>
      <c r="AD487" s="8" t="n">
        <f aca="false">IF(Q487,B487,AD486)</f>
        <v>0.787129059024367</v>
      </c>
      <c r="AE487" s="8" t="str">
        <f aca="false">IF(AA487,L487,"")</f>
        <v/>
      </c>
      <c r="AF487" s="8" t="n">
        <f aca="false">U487</f>
        <v>0.771982232894536</v>
      </c>
      <c r="AG487" s="2" t="n">
        <f aca="false">AG486+IF(Q487,1,0)</f>
        <v>3</v>
      </c>
      <c r="AH487" s="2" t="n">
        <f aca="false">AG486</f>
        <v>3</v>
      </c>
      <c r="AI487" s="10" t="n">
        <f aca="false">X487+Y487*(E487-AB487)-Y487*AD487*Inputs!$B$13*(A487-AC487)</f>
        <v>1039.12394146894</v>
      </c>
      <c r="AJ487" s="10" t="n">
        <v>0</v>
      </c>
      <c r="AK487" s="8" t="n">
        <f aca="false">IF(AND(B487&lt;=U487,NOT(Q487)),B487,U487)*(1-Inputs!$B$12)</f>
        <v>0.771827836447957</v>
      </c>
    </row>
    <row r="488" customFormat="false" ht="15" hidden="false" customHeight="false" outlineLevel="0" collapsed="false">
      <c r="A488" s="6" t="n">
        <v>45272</v>
      </c>
      <c r="B488" s="7" t="n">
        <v>0.829340206564805</v>
      </c>
      <c r="C488" s="7" t="n">
        <v>0.830704442019938</v>
      </c>
      <c r="D488" s="7" t="n">
        <v>0.819690124659817</v>
      </c>
      <c r="E488" s="7" t="n">
        <v>0.822989467601165</v>
      </c>
      <c r="F488" s="8" t="n">
        <f aca="true">IF(ROW()-2&gt;=Inputs!$B$4,AVERAGE(OFFSET(E488,1-Inputs!$B$4,0,Inputs!$B$4,1)),"")</f>
        <v>0.819311297559081</v>
      </c>
      <c r="G488" s="8" t="n">
        <f aca="true">IF(ROW()-2&gt;=Inputs!$B$5,AVERAGE(OFFSET(E488,1-Inputs!$B$5,0,Inputs!$B$5,1)),"")</f>
        <v>0.802002098835448</v>
      </c>
      <c r="H488" s="8" t="n">
        <f aca="false">MAX(C488-D488,ABS(C488-E487),ABS(D488-E487))</f>
        <v>0.0110143173601207</v>
      </c>
      <c r="I488" s="8" t="n">
        <f aca="true">IF(ROW()-2&lt;14,"",IF(ROW()-2=14,AVERAGE(OFFSET(H488,-13,0,14,1)),(I487*13+H488)/14))</f>
        <v>0.0094605472919458</v>
      </c>
      <c r="J488" s="9" t="b">
        <f aca="false">IF(AND(ISNUMBER(F488),ISNUMBER(G488),ISNUMBER(F487),ISNUMBER(G487)),AND(F488&gt;G488,F487&lt;=G487),FALSE())</f>
        <v>0</v>
      </c>
      <c r="K488" s="9" t="b">
        <f aca="false">IF(AND(ISNUMBER(F488),ISNUMBER(G488),ISNUMBER(F487),ISNUMBER(G487)),AND(F488&lt;G488,F487&gt;=G487),FALSE())</f>
        <v>0</v>
      </c>
      <c r="L488" s="8" t="n">
        <f aca="false">IF(ISNUMBER(I488),E488-Inputs!$B$6*I488,"")</f>
        <v>0.804068373017274</v>
      </c>
      <c r="M488" s="9" t="b">
        <f aca="false">AND(Y487&gt;0,Z487)</f>
        <v>0</v>
      </c>
      <c r="N488" s="8" t="n">
        <f aca="false">B488*(1-Inputs!$B$12)</f>
        <v>0.829174338523492</v>
      </c>
      <c r="O488" s="10" t="n">
        <f aca="false">IF(M488,Y487*(N488-AB487)-Inputs!$B$9-Y487*AD487*Inputs!$B$13*(A488-AC487),0)</f>
        <v>0</v>
      </c>
      <c r="P488" s="10" t="n">
        <f aca="false">X487+O488</f>
        <v>1015.3844066801</v>
      </c>
      <c r="Q488" s="9" t="b">
        <f aca="false">AND(IF(M488,0,Y487)=0,AA487,IF(ISNUMBER(AE487),B488&gt;AE487,FALSE()))</f>
        <v>0</v>
      </c>
      <c r="R488" s="8" t="n">
        <f aca="false">B488*(1+Inputs!$B$12)</f>
        <v>0.829506074606118</v>
      </c>
      <c r="S488" s="11" t="n">
        <f aca="false">IF(Q488,MIN(P488*Inputs!$B$3/(R488-AE487),P488*Inputs!$B$11/R488),0)</f>
        <v>0</v>
      </c>
      <c r="T488" s="11" t="n">
        <f aca="false">IF(Q488,S488,IF(M488,0,Y487))</f>
        <v>664.118972006065</v>
      </c>
      <c r="U488" s="8" t="n">
        <f aca="false">IF(Q488,AE487,AF487)</f>
        <v>0.771982232894536</v>
      </c>
      <c r="V488" s="9" t="b">
        <f aca="false">AND(T488&gt;0,D488&lt;=U488)</f>
        <v>0</v>
      </c>
      <c r="W488" s="10" t="n">
        <f aca="false">IF(V488,T488*(AK488-AB488)-Inputs!$B$9-T488*AD488*Inputs!$B$13*(A488-AC488),0)</f>
        <v>0</v>
      </c>
      <c r="X488" s="10" t="n">
        <f aca="false">P488-IF(Q488,Inputs!$B$9,0)+W488</f>
        <v>1015.3844066801</v>
      </c>
      <c r="Y488" s="11" t="n">
        <f aca="false">IF(V488,0,T488)</f>
        <v>664.118972006065</v>
      </c>
      <c r="Z488" s="9" t="b">
        <f aca="false">AND(Y488&gt;0,K488)</f>
        <v>0</v>
      </c>
      <c r="AA488" s="9" t="b">
        <f aca="false">AND(Y488=0,J488,ISNUMBER(L488))</f>
        <v>0</v>
      </c>
      <c r="AB488" s="8" t="n">
        <f aca="false">IF(Q488,R488,AB487)</f>
        <v>0.787286484836172</v>
      </c>
      <c r="AC488" s="12" t="n">
        <f aca="false">IF(Q488,A488,AC487)</f>
        <v>45226</v>
      </c>
      <c r="AD488" s="8" t="n">
        <f aca="false">IF(Q488,B488,AD487)</f>
        <v>0.787129059024367</v>
      </c>
      <c r="AE488" s="8" t="str">
        <f aca="false">IF(AA488,L488,"")</f>
        <v/>
      </c>
      <c r="AF488" s="8" t="n">
        <f aca="false">U488</f>
        <v>0.771982232894536</v>
      </c>
      <c r="AG488" s="2" t="n">
        <f aca="false">AG487+IF(Q488,1,0)</f>
        <v>3</v>
      </c>
      <c r="AH488" s="2" t="n">
        <f aca="false">AG487</f>
        <v>3</v>
      </c>
      <c r="AI488" s="10" t="n">
        <f aca="false">X488+Y488*(E488-AB488)-Y488*AD488*Inputs!$B$13*(A488-AC488)</f>
        <v>1034.8132032446</v>
      </c>
      <c r="AJ488" s="10" t="n">
        <v>0</v>
      </c>
      <c r="AK488" s="8" t="n">
        <f aca="false">IF(AND(B488&lt;=U488,NOT(Q488)),B488,U488)*(1-Inputs!$B$12)</f>
        <v>0.771827836447957</v>
      </c>
    </row>
    <row r="489" customFormat="false" ht="15" hidden="false" customHeight="false" outlineLevel="0" collapsed="false">
      <c r="A489" s="6" t="n">
        <v>45273</v>
      </c>
      <c r="B489" s="7" t="n">
        <v>0.822989467601165</v>
      </c>
      <c r="C489" s="7" t="n">
        <v>0.828513091274682</v>
      </c>
      <c r="D489" s="7" t="n">
        <v>0.821453965456977</v>
      </c>
      <c r="E489" s="7" t="n">
        <v>0.824720099521198</v>
      </c>
      <c r="F489" s="8" t="n">
        <f aca="true">IF(ROW()-2&gt;=Inputs!$B$4,AVERAGE(OFFSET(E489,1-Inputs!$B$4,0,Inputs!$B$4,1)),"")</f>
        <v>0.819814124807314</v>
      </c>
      <c r="G489" s="8" t="n">
        <f aca="true">IF(ROW()-2&gt;=Inputs!$B$5,AVERAGE(OFFSET(E489,1-Inputs!$B$5,0,Inputs!$B$5,1)),"")</f>
        <v>0.802792787020158</v>
      </c>
      <c r="H489" s="8" t="n">
        <f aca="false">MAX(C489-D489,ABS(C489-E488),ABS(D489-E488))</f>
        <v>0.00705912581770563</v>
      </c>
      <c r="I489" s="8" t="n">
        <f aca="true">IF(ROW()-2&lt;14,"",IF(ROW()-2=14,AVERAGE(OFFSET(H489,-13,0,14,1)),(I488*13+H489)/14))</f>
        <v>0.00928901718664293</v>
      </c>
      <c r="J489" s="9" t="b">
        <f aca="false">IF(AND(ISNUMBER(F489),ISNUMBER(G489),ISNUMBER(F488),ISNUMBER(G488)),AND(F489&gt;G489,F488&lt;=G488),FALSE())</f>
        <v>0</v>
      </c>
      <c r="K489" s="9" t="b">
        <f aca="false">IF(AND(ISNUMBER(F489),ISNUMBER(G489),ISNUMBER(F488),ISNUMBER(G488)),AND(F489&lt;G489,F488&gt;=G488),FALSE())</f>
        <v>0</v>
      </c>
      <c r="L489" s="8" t="n">
        <f aca="false">IF(ISNUMBER(I489),E489-Inputs!$B$6*I489,"")</f>
        <v>0.806142065147912</v>
      </c>
      <c r="M489" s="9" t="b">
        <f aca="false">AND(Y488&gt;0,Z488)</f>
        <v>0</v>
      </c>
      <c r="N489" s="8" t="n">
        <f aca="false">B489*(1-Inputs!$B$12)</f>
        <v>0.822824869707645</v>
      </c>
      <c r="O489" s="10" t="n">
        <f aca="false">IF(M489,Y488*(N489-AB488)-Inputs!$B$9-Y488*AD488*Inputs!$B$13*(A489-AC488),0)</f>
        <v>0</v>
      </c>
      <c r="P489" s="10" t="n">
        <f aca="false">X488+O489</f>
        <v>1015.3844066801</v>
      </c>
      <c r="Q489" s="9" t="b">
        <f aca="false">AND(IF(M489,0,Y488)=0,AA488,IF(ISNUMBER(AE488),B489&gt;AE488,FALSE()))</f>
        <v>0</v>
      </c>
      <c r="R489" s="8" t="n">
        <f aca="false">B489*(1+Inputs!$B$12)</f>
        <v>0.823154065494686</v>
      </c>
      <c r="S489" s="11" t="n">
        <f aca="false">IF(Q489,MIN(P489*Inputs!$B$3/(R489-AE488),P489*Inputs!$B$11/R489),0)</f>
        <v>0</v>
      </c>
      <c r="T489" s="11" t="n">
        <f aca="false">IF(Q489,S489,IF(M489,0,Y488))</f>
        <v>664.118972006065</v>
      </c>
      <c r="U489" s="8" t="n">
        <f aca="false">IF(Q489,AE488,AF488)</f>
        <v>0.771982232894536</v>
      </c>
      <c r="V489" s="9" t="b">
        <f aca="false">AND(T489&gt;0,D489&lt;=U489)</f>
        <v>0</v>
      </c>
      <c r="W489" s="10" t="n">
        <f aca="false">IF(V489,T489*(AK489-AB489)-Inputs!$B$9-T489*AD489*Inputs!$B$13*(A489-AC489),0)</f>
        <v>0</v>
      </c>
      <c r="X489" s="10" t="n">
        <f aca="false">P489-IF(Q489,Inputs!$B$9,0)+W489</f>
        <v>1015.3844066801</v>
      </c>
      <c r="Y489" s="11" t="n">
        <f aca="false">IF(V489,0,T489)</f>
        <v>664.118972006065</v>
      </c>
      <c r="Z489" s="9" t="b">
        <f aca="false">AND(Y489&gt;0,K489)</f>
        <v>0</v>
      </c>
      <c r="AA489" s="9" t="b">
        <f aca="false">AND(Y489=0,J489,ISNUMBER(L489))</f>
        <v>0</v>
      </c>
      <c r="AB489" s="8" t="n">
        <f aca="false">IF(Q489,R489,AB488)</f>
        <v>0.787286484836172</v>
      </c>
      <c r="AC489" s="12" t="n">
        <f aca="false">IF(Q489,A489,AC488)</f>
        <v>45226</v>
      </c>
      <c r="AD489" s="8" t="n">
        <f aca="false">IF(Q489,B489,AD488)</f>
        <v>0.787129059024367</v>
      </c>
      <c r="AE489" s="8" t="str">
        <f aca="false">IF(AA489,L489,"")</f>
        <v/>
      </c>
      <c r="AF489" s="8" t="n">
        <f aca="false">U489</f>
        <v>0.771982232894536</v>
      </c>
      <c r="AG489" s="2" t="n">
        <f aca="false">AG488+IF(Q489,1,0)</f>
        <v>3</v>
      </c>
      <c r="AH489" s="2" t="n">
        <f aca="false">AG488</f>
        <v>3</v>
      </c>
      <c r="AI489" s="10" t="n">
        <f aca="false">X489+Y489*(E489-AB489)-Y489*AD489*Inputs!$B$13*(A489-AC489)</f>
        <v>1035.86945674393</v>
      </c>
      <c r="AJ489" s="10" t="n">
        <v>0</v>
      </c>
      <c r="AK489" s="8" t="n">
        <f aca="false">IF(AND(B489&lt;=U489,NOT(Q489)),B489,U489)*(1-Inputs!$B$12)</f>
        <v>0.771827836447957</v>
      </c>
    </row>
    <row r="490" customFormat="false" ht="15" hidden="false" customHeight="false" outlineLevel="0" collapsed="false">
      <c r="A490" s="6" t="n">
        <v>45274</v>
      </c>
      <c r="B490" s="7" t="n">
        <v>0.824720099521198</v>
      </c>
      <c r="C490" s="7" t="n">
        <v>0.831411924816992</v>
      </c>
      <c r="D490" s="7" t="n">
        <v>0.821629749940042</v>
      </c>
      <c r="E490" s="7" t="n">
        <v>0.828204912249877</v>
      </c>
      <c r="F490" s="8" t="n">
        <f aca="true">IF(ROW()-2&gt;=Inputs!$B$4,AVERAGE(OFFSET(E490,1-Inputs!$B$4,0,Inputs!$B$4,1)),"")</f>
        <v>0.820583165528732</v>
      </c>
      <c r="G490" s="8" t="n">
        <f aca="true">IF(ROW()-2&gt;=Inputs!$B$5,AVERAGE(OFFSET(E490,1-Inputs!$B$5,0,Inputs!$B$5,1)),"")</f>
        <v>0.803747206505107</v>
      </c>
      <c r="H490" s="8" t="n">
        <f aca="false">MAX(C490-D490,ABS(C490-E489),ABS(D490-E489))</f>
        <v>0.00978217487694966</v>
      </c>
      <c r="I490" s="8" t="n">
        <f aca="true">IF(ROW()-2&lt;14,"",IF(ROW()-2=14,AVERAGE(OFFSET(H490,-13,0,14,1)),(I489*13+H490)/14))</f>
        <v>0.00932424273595056</v>
      </c>
      <c r="J490" s="9" t="b">
        <f aca="false">IF(AND(ISNUMBER(F490),ISNUMBER(G490),ISNUMBER(F489),ISNUMBER(G489)),AND(F490&gt;G490,F489&lt;=G489),FALSE())</f>
        <v>0</v>
      </c>
      <c r="K490" s="9" t="b">
        <f aca="false">IF(AND(ISNUMBER(F490),ISNUMBER(G490),ISNUMBER(F489),ISNUMBER(G489)),AND(F490&lt;G490,F489&gt;=G489),FALSE())</f>
        <v>0</v>
      </c>
      <c r="L490" s="8" t="n">
        <f aca="false">IF(ISNUMBER(I490),E490-Inputs!$B$6*I490,"")</f>
        <v>0.809556426777976</v>
      </c>
      <c r="M490" s="9" t="b">
        <f aca="false">AND(Y489&gt;0,Z489)</f>
        <v>0</v>
      </c>
      <c r="N490" s="8" t="n">
        <f aca="false">B490*(1-Inputs!$B$12)</f>
        <v>0.824555155501294</v>
      </c>
      <c r="O490" s="10" t="n">
        <f aca="false">IF(M490,Y489*(N490-AB489)-Inputs!$B$9-Y489*AD489*Inputs!$B$13*(A490-AC489),0)</f>
        <v>0</v>
      </c>
      <c r="P490" s="10" t="n">
        <f aca="false">X489+O490</f>
        <v>1015.3844066801</v>
      </c>
      <c r="Q490" s="9" t="b">
        <f aca="false">AND(IF(M490,0,Y489)=0,AA489,IF(ISNUMBER(AE489),B490&gt;AE489,FALSE()))</f>
        <v>0</v>
      </c>
      <c r="R490" s="8" t="n">
        <f aca="false">B490*(1+Inputs!$B$12)</f>
        <v>0.824885043541102</v>
      </c>
      <c r="S490" s="11" t="n">
        <f aca="false">IF(Q490,MIN(P490*Inputs!$B$3/(R490-AE489),P490*Inputs!$B$11/R490),0)</f>
        <v>0</v>
      </c>
      <c r="T490" s="11" t="n">
        <f aca="false">IF(Q490,S490,IF(M490,0,Y489))</f>
        <v>664.118972006065</v>
      </c>
      <c r="U490" s="8" t="n">
        <f aca="false">IF(Q490,AE489,AF489)</f>
        <v>0.771982232894536</v>
      </c>
      <c r="V490" s="9" t="b">
        <f aca="false">AND(T490&gt;0,D490&lt;=U490)</f>
        <v>0</v>
      </c>
      <c r="W490" s="10" t="n">
        <f aca="false">IF(V490,T490*(AK490-AB490)-Inputs!$B$9-T490*AD490*Inputs!$B$13*(A490-AC490),0)</f>
        <v>0</v>
      </c>
      <c r="X490" s="10" t="n">
        <f aca="false">P490-IF(Q490,Inputs!$B$9,0)+W490</f>
        <v>1015.3844066801</v>
      </c>
      <c r="Y490" s="11" t="n">
        <f aca="false">IF(V490,0,T490)</f>
        <v>664.118972006065</v>
      </c>
      <c r="Z490" s="9" t="b">
        <f aca="false">AND(Y490&gt;0,K490)</f>
        <v>0</v>
      </c>
      <c r="AA490" s="9" t="b">
        <f aca="false">AND(Y490=0,J490,ISNUMBER(L490))</f>
        <v>0</v>
      </c>
      <c r="AB490" s="8" t="n">
        <f aca="false">IF(Q490,R490,AB489)</f>
        <v>0.787286484836172</v>
      </c>
      <c r="AC490" s="12" t="n">
        <f aca="false">IF(Q490,A490,AC489)</f>
        <v>45226</v>
      </c>
      <c r="AD490" s="8" t="n">
        <f aca="false">IF(Q490,B490,AD489)</f>
        <v>0.787129059024367</v>
      </c>
      <c r="AE490" s="8" t="str">
        <f aca="false">IF(AA490,L490,"")</f>
        <v/>
      </c>
      <c r="AF490" s="8" t="n">
        <f aca="false">U490</f>
        <v>0.771982232894536</v>
      </c>
      <c r="AG490" s="2" t="n">
        <f aca="false">AG489+IF(Q490,1,0)</f>
        <v>3</v>
      </c>
      <c r="AH490" s="2" t="n">
        <f aca="false">AG489</f>
        <v>3</v>
      </c>
      <c r="AI490" s="10" t="n">
        <f aca="false">X490+Y490*(E490-AB490)-Y490*AD490*Inputs!$B$13*(A490-AC490)</f>
        <v>1038.09069499861</v>
      </c>
      <c r="AJ490" s="10" t="n">
        <v>0</v>
      </c>
      <c r="AK490" s="8" t="n">
        <f aca="false">IF(AND(B490&lt;=U490,NOT(Q490)),B490,U490)*(1-Inputs!$B$12)</f>
        <v>0.771827836447957</v>
      </c>
    </row>
    <row r="491" customFormat="false" ht="15" hidden="false" customHeight="false" outlineLevel="0" collapsed="false">
      <c r="A491" s="6" t="n">
        <v>45275</v>
      </c>
      <c r="B491" s="7" t="n">
        <v>0.828204912249877</v>
      </c>
      <c r="C491" s="7" t="n">
        <v>0.833583825525261</v>
      </c>
      <c r="D491" s="7" t="n">
        <v>0.826607852272431</v>
      </c>
      <c r="E491" s="7" t="n">
        <v>0.83324138764114</v>
      </c>
      <c r="F491" s="8" t="n">
        <f aca="true">IF(ROW()-2&gt;=Inputs!$B$4,AVERAGE(OFFSET(E491,1-Inputs!$B$4,0,Inputs!$B$4,1)),"")</f>
        <v>0.821320034495306</v>
      </c>
      <c r="G491" s="8" t="n">
        <f aca="true">IF(ROW()-2&gt;=Inputs!$B$5,AVERAGE(OFFSET(E491,1-Inputs!$B$5,0,Inputs!$B$5,1)),"")</f>
        <v>0.804669453077442</v>
      </c>
      <c r="H491" s="8" t="n">
        <f aca="false">MAX(C491-D491,ABS(C491-E490),ABS(D491-E490))</f>
        <v>0.00697597325282984</v>
      </c>
      <c r="I491" s="8" t="n">
        <f aca="true">IF(ROW()-2&lt;14,"",IF(ROW()-2=14,AVERAGE(OFFSET(H491,-13,0,14,1)),(I490*13+H491)/14))</f>
        <v>0.00915650920144193</v>
      </c>
      <c r="J491" s="9" t="b">
        <f aca="false">IF(AND(ISNUMBER(F491),ISNUMBER(G491),ISNUMBER(F490),ISNUMBER(G490)),AND(F491&gt;G491,F490&lt;=G490),FALSE())</f>
        <v>0</v>
      </c>
      <c r="K491" s="9" t="b">
        <f aca="false">IF(AND(ISNUMBER(F491),ISNUMBER(G491),ISNUMBER(F490),ISNUMBER(G490)),AND(F491&lt;G491,F490&gt;=G490),FALSE())</f>
        <v>0</v>
      </c>
      <c r="L491" s="8" t="n">
        <f aca="false">IF(ISNUMBER(I491),E491-Inputs!$B$6*I491,"")</f>
        <v>0.814928369238256</v>
      </c>
      <c r="M491" s="9" t="b">
        <f aca="false">AND(Y490&gt;0,Z490)</f>
        <v>0</v>
      </c>
      <c r="N491" s="8" t="n">
        <f aca="false">B491*(1-Inputs!$B$12)</f>
        <v>0.828039271267427</v>
      </c>
      <c r="O491" s="10" t="n">
        <f aca="false">IF(M491,Y490*(N491-AB490)-Inputs!$B$9-Y490*AD490*Inputs!$B$13*(A491-AC490),0)</f>
        <v>0</v>
      </c>
      <c r="P491" s="10" t="n">
        <f aca="false">X490+O491</f>
        <v>1015.3844066801</v>
      </c>
      <c r="Q491" s="9" t="b">
        <f aca="false">AND(IF(M491,0,Y490)=0,AA490,IF(ISNUMBER(AE490),B491&gt;AE490,FALSE()))</f>
        <v>0</v>
      </c>
      <c r="R491" s="8" t="n">
        <f aca="false">B491*(1+Inputs!$B$12)</f>
        <v>0.828370553232327</v>
      </c>
      <c r="S491" s="11" t="n">
        <f aca="false">IF(Q491,MIN(P491*Inputs!$B$3/(R491-AE490),P491*Inputs!$B$11/R491),0)</f>
        <v>0</v>
      </c>
      <c r="T491" s="11" t="n">
        <f aca="false">IF(Q491,S491,IF(M491,0,Y490))</f>
        <v>664.118972006065</v>
      </c>
      <c r="U491" s="8" t="n">
        <f aca="false">IF(Q491,AE490,AF490)</f>
        <v>0.771982232894536</v>
      </c>
      <c r="V491" s="9" t="b">
        <f aca="false">AND(T491&gt;0,D491&lt;=U491)</f>
        <v>0</v>
      </c>
      <c r="W491" s="10" t="n">
        <f aca="false">IF(V491,T491*(AK491-AB491)-Inputs!$B$9-T491*AD491*Inputs!$B$13*(A491-AC491),0)</f>
        <v>0</v>
      </c>
      <c r="X491" s="10" t="n">
        <f aca="false">P491-IF(Q491,Inputs!$B$9,0)+W491</f>
        <v>1015.3844066801</v>
      </c>
      <c r="Y491" s="11" t="n">
        <f aca="false">IF(V491,0,T491)</f>
        <v>664.118972006065</v>
      </c>
      <c r="Z491" s="9" t="b">
        <f aca="false">AND(Y491&gt;0,K491)</f>
        <v>0</v>
      </c>
      <c r="AA491" s="9" t="b">
        <f aca="false">AND(Y491=0,J491,ISNUMBER(L491))</f>
        <v>0</v>
      </c>
      <c r="AB491" s="8" t="n">
        <f aca="false">IF(Q491,R491,AB490)</f>
        <v>0.787286484836172</v>
      </c>
      <c r="AC491" s="12" t="n">
        <f aca="false">IF(Q491,A491,AC490)</f>
        <v>45226</v>
      </c>
      <c r="AD491" s="8" t="n">
        <f aca="false">IF(Q491,B491,AD490)</f>
        <v>0.787129059024367</v>
      </c>
      <c r="AE491" s="8" t="str">
        <f aca="false">IF(AA491,L491,"")</f>
        <v/>
      </c>
      <c r="AF491" s="8" t="n">
        <f aca="false">U491</f>
        <v>0.771982232894536</v>
      </c>
      <c r="AG491" s="2" t="n">
        <f aca="false">AG490+IF(Q491,1,0)</f>
        <v>3</v>
      </c>
      <c r="AH491" s="2" t="n">
        <f aca="false">AG490</f>
        <v>3</v>
      </c>
      <c r="AI491" s="10" t="n">
        <f aca="false">X491+Y491*(E491-AB491)-Y491*AD491*Inputs!$B$13*(A491-AC491)</f>
        <v>1041.34242186566</v>
      </c>
      <c r="AJ491" s="10" t="n">
        <v>0</v>
      </c>
      <c r="AK491" s="8" t="n">
        <f aca="false">IF(AND(B491&lt;=U491,NOT(Q491)),B491,U491)*(1-Inputs!$B$12)</f>
        <v>0.771827836447957</v>
      </c>
    </row>
    <row r="492" customFormat="false" ht="15" hidden="false" customHeight="false" outlineLevel="0" collapsed="false">
      <c r="A492" s="6" t="n">
        <v>45276</v>
      </c>
      <c r="B492" s="7" t="n">
        <v>0.83324138764114</v>
      </c>
      <c r="C492" s="7" t="n">
        <v>0.834629734020058</v>
      </c>
      <c r="D492" s="7" t="n">
        <v>0.819810870978035</v>
      </c>
      <c r="E492" s="7" t="n">
        <v>0.823441158919146</v>
      </c>
      <c r="F492" s="8" t="n">
        <f aca="true">IF(ROW()-2&gt;=Inputs!$B$4,AVERAGE(OFFSET(E492,1-Inputs!$B$4,0,Inputs!$B$4,1)),"")</f>
        <v>0.821274470651147</v>
      </c>
      <c r="G492" s="8" t="n">
        <f aca="true">IF(ROW()-2&gt;=Inputs!$B$5,AVERAGE(OFFSET(E492,1-Inputs!$B$5,0,Inputs!$B$5,1)),"")</f>
        <v>0.805367552974245</v>
      </c>
      <c r="H492" s="8" t="n">
        <f aca="false">MAX(C492-D492,ABS(C492-E491),ABS(D492-E491))</f>
        <v>0.0148188630420228</v>
      </c>
      <c r="I492" s="8" t="n">
        <f aca="true">IF(ROW()-2&lt;14,"",IF(ROW()-2=14,AVERAGE(OFFSET(H492,-13,0,14,1)),(I491*13+H492)/14))</f>
        <v>0.00956096304719771</v>
      </c>
      <c r="J492" s="9" t="b">
        <f aca="false">IF(AND(ISNUMBER(F492),ISNUMBER(G492),ISNUMBER(F491),ISNUMBER(G491)),AND(F492&gt;G492,F491&lt;=G491),FALSE())</f>
        <v>0</v>
      </c>
      <c r="K492" s="9" t="b">
        <f aca="false">IF(AND(ISNUMBER(F492),ISNUMBER(G492),ISNUMBER(F491),ISNUMBER(G491)),AND(F492&lt;G492,F491&gt;=G491),FALSE())</f>
        <v>0</v>
      </c>
      <c r="L492" s="8" t="n">
        <f aca="false">IF(ISNUMBER(I492),E492-Inputs!$B$6*I492,"")</f>
        <v>0.804319232824751</v>
      </c>
      <c r="M492" s="9" t="b">
        <f aca="false">AND(Y491&gt;0,Z491)</f>
        <v>0</v>
      </c>
      <c r="N492" s="8" t="n">
        <f aca="false">B492*(1-Inputs!$B$12)</f>
        <v>0.833074739363612</v>
      </c>
      <c r="O492" s="10" t="n">
        <f aca="false">IF(M492,Y491*(N492-AB491)-Inputs!$B$9-Y491*AD491*Inputs!$B$13*(A492-AC491),0)</f>
        <v>0</v>
      </c>
      <c r="P492" s="10" t="n">
        <f aca="false">X491+O492</f>
        <v>1015.3844066801</v>
      </c>
      <c r="Q492" s="9" t="b">
        <f aca="false">AND(IF(M492,0,Y491)=0,AA491,IF(ISNUMBER(AE491),B492&gt;AE491,FALSE()))</f>
        <v>0</v>
      </c>
      <c r="R492" s="8" t="n">
        <f aca="false">B492*(1+Inputs!$B$12)</f>
        <v>0.833408035918668</v>
      </c>
      <c r="S492" s="11" t="n">
        <f aca="false">IF(Q492,MIN(P492*Inputs!$B$3/(R492-AE491),P492*Inputs!$B$11/R492),0)</f>
        <v>0</v>
      </c>
      <c r="T492" s="11" t="n">
        <f aca="false">IF(Q492,S492,IF(M492,0,Y491))</f>
        <v>664.118972006065</v>
      </c>
      <c r="U492" s="8" t="n">
        <f aca="false">IF(Q492,AE491,AF491)</f>
        <v>0.771982232894536</v>
      </c>
      <c r="V492" s="9" t="b">
        <f aca="false">AND(T492&gt;0,D492&lt;=U492)</f>
        <v>0</v>
      </c>
      <c r="W492" s="10" t="n">
        <f aca="false">IF(V492,T492*(AK492-AB492)-Inputs!$B$9-T492*AD492*Inputs!$B$13*(A492-AC492),0)</f>
        <v>0</v>
      </c>
      <c r="X492" s="10" t="n">
        <f aca="false">P492-IF(Q492,Inputs!$B$9,0)+W492</f>
        <v>1015.3844066801</v>
      </c>
      <c r="Y492" s="11" t="n">
        <f aca="false">IF(V492,0,T492)</f>
        <v>664.118972006065</v>
      </c>
      <c r="Z492" s="9" t="b">
        <f aca="false">AND(Y492&gt;0,K492)</f>
        <v>0</v>
      </c>
      <c r="AA492" s="9" t="b">
        <f aca="false">AND(Y492=0,J492,ISNUMBER(L492))</f>
        <v>0</v>
      </c>
      <c r="AB492" s="8" t="n">
        <f aca="false">IF(Q492,R492,AB491)</f>
        <v>0.787286484836172</v>
      </c>
      <c r="AC492" s="12" t="n">
        <f aca="false">IF(Q492,A492,AC491)</f>
        <v>45226</v>
      </c>
      <c r="AD492" s="8" t="n">
        <f aca="false">IF(Q492,B492,AD491)</f>
        <v>0.787129059024367</v>
      </c>
      <c r="AE492" s="8" t="str">
        <f aca="false">IF(AA492,L492,"")</f>
        <v/>
      </c>
      <c r="AF492" s="8" t="n">
        <f aca="false">U492</f>
        <v>0.771982232894536</v>
      </c>
      <c r="AG492" s="2" t="n">
        <f aca="false">AG491+IF(Q492,1,0)</f>
        <v>3</v>
      </c>
      <c r="AH492" s="2" t="n">
        <f aca="false">AG491</f>
        <v>3</v>
      </c>
      <c r="AI492" s="10" t="n">
        <f aca="false">X492+Y492*(E492-AB492)-Y492*AD492*Inputs!$B$13*(A492-AC492)</f>
        <v>1034.74081204906</v>
      </c>
      <c r="AJ492" s="10" t="n">
        <v>0</v>
      </c>
      <c r="AK492" s="8" t="n">
        <f aca="false">IF(AND(B492&lt;=U492,NOT(Q492)),B492,U492)*(1-Inputs!$B$12)</f>
        <v>0.771827836447957</v>
      </c>
    </row>
    <row r="493" customFormat="false" ht="15" hidden="false" customHeight="false" outlineLevel="0" collapsed="false">
      <c r="A493" s="6" t="n">
        <v>45277</v>
      </c>
      <c r="B493" s="7" t="n">
        <v>0.823441158919146</v>
      </c>
      <c r="C493" s="7" t="n">
        <v>0.82348886016372</v>
      </c>
      <c r="D493" s="7" t="n">
        <v>0.822057221423262</v>
      </c>
      <c r="E493" s="7" t="n">
        <v>0.823151149057836</v>
      </c>
      <c r="F493" s="8" t="n">
        <f aca="true">IF(ROW()-2&gt;=Inputs!$B$4,AVERAGE(OFFSET(E493,1-Inputs!$B$4,0,Inputs!$B$4,1)),"")</f>
        <v>0.82137799477268</v>
      </c>
      <c r="G493" s="8" t="n">
        <f aca="true">IF(ROW()-2&gt;=Inputs!$B$5,AVERAGE(OFFSET(E493,1-Inputs!$B$5,0,Inputs!$B$5,1)),"")</f>
        <v>0.806181514061486</v>
      </c>
      <c r="H493" s="8" t="n">
        <f aca="false">MAX(C493-D493,ABS(C493-E492),ABS(D493-E492))</f>
        <v>0.00143163874045793</v>
      </c>
      <c r="I493" s="8" t="n">
        <f aca="true">IF(ROW()-2&lt;14,"",IF(ROW()-2=14,AVERAGE(OFFSET(H493,-13,0,14,1)),(I492*13+H493)/14))</f>
        <v>0.00898029702528773</v>
      </c>
      <c r="J493" s="9" t="b">
        <f aca="false">IF(AND(ISNUMBER(F493),ISNUMBER(G493),ISNUMBER(F492),ISNUMBER(G492)),AND(F493&gt;G493,F492&lt;=G492),FALSE())</f>
        <v>0</v>
      </c>
      <c r="K493" s="9" t="b">
        <f aca="false">IF(AND(ISNUMBER(F493),ISNUMBER(G493),ISNUMBER(F492),ISNUMBER(G492)),AND(F493&lt;G493,F492&gt;=G492),FALSE())</f>
        <v>0</v>
      </c>
      <c r="L493" s="8" t="n">
        <f aca="false">IF(ISNUMBER(I493),E493-Inputs!$B$6*I493,"")</f>
        <v>0.80519055500726</v>
      </c>
      <c r="M493" s="9" t="b">
        <f aca="false">AND(Y492&gt;0,Z492)</f>
        <v>0</v>
      </c>
      <c r="N493" s="8" t="n">
        <f aca="false">B493*(1-Inputs!$B$12)</f>
        <v>0.823276470687362</v>
      </c>
      <c r="O493" s="10" t="n">
        <f aca="false">IF(M493,Y492*(N493-AB492)-Inputs!$B$9-Y492*AD492*Inputs!$B$13*(A493-AC492),0)</f>
        <v>0</v>
      </c>
      <c r="P493" s="10" t="n">
        <f aca="false">X492+O493</f>
        <v>1015.3844066801</v>
      </c>
      <c r="Q493" s="9" t="b">
        <f aca="false">AND(IF(M493,0,Y492)=0,AA492,IF(ISNUMBER(AE492),B493&gt;AE492,FALSE()))</f>
        <v>0</v>
      </c>
      <c r="R493" s="8" t="n">
        <f aca="false">B493*(1+Inputs!$B$12)</f>
        <v>0.82360584715093</v>
      </c>
      <c r="S493" s="11" t="n">
        <f aca="false">IF(Q493,MIN(P493*Inputs!$B$3/(R493-AE492),P493*Inputs!$B$11/R493),0)</f>
        <v>0</v>
      </c>
      <c r="T493" s="11" t="n">
        <f aca="false">IF(Q493,S493,IF(M493,0,Y492))</f>
        <v>664.118972006065</v>
      </c>
      <c r="U493" s="8" t="n">
        <f aca="false">IF(Q493,AE492,AF492)</f>
        <v>0.771982232894536</v>
      </c>
      <c r="V493" s="9" t="b">
        <f aca="false">AND(T493&gt;0,D493&lt;=U493)</f>
        <v>0</v>
      </c>
      <c r="W493" s="10" t="n">
        <f aca="false">IF(V493,T493*(AK493-AB493)-Inputs!$B$9-T493*AD493*Inputs!$B$13*(A493-AC493),0)</f>
        <v>0</v>
      </c>
      <c r="X493" s="10" t="n">
        <f aca="false">P493-IF(Q493,Inputs!$B$9,0)+W493</f>
        <v>1015.3844066801</v>
      </c>
      <c r="Y493" s="11" t="n">
        <f aca="false">IF(V493,0,T493)</f>
        <v>664.118972006065</v>
      </c>
      <c r="Z493" s="9" t="b">
        <f aca="false">AND(Y493&gt;0,K493)</f>
        <v>0</v>
      </c>
      <c r="AA493" s="9" t="b">
        <f aca="false">AND(Y493=0,J493,ISNUMBER(L493))</f>
        <v>0</v>
      </c>
      <c r="AB493" s="8" t="n">
        <f aca="false">IF(Q493,R493,AB492)</f>
        <v>0.787286484836172</v>
      </c>
      <c r="AC493" s="12" t="n">
        <f aca="false">IF(Q493,A493,AC492)</f>
        <v>45226</v>
      </c>
      <c r="AD493" s="8" t="n">
        <f aca="false">IF(Q493,B493,AD492)</f>
        <v>0.787129059024367</v>
      </c>
      <c r="AE493" s="8" t="str">
        <f aca="false">IF(AA493,L493,"")</f>
        <v/>
      </c>
      <c r="AF493" s="8" t="n">
        <f aca="false">U493</f>
        <v>0.771982232894536</v>
      </c>
      <c r="AG493" s="2" t="n">
        <f aca="false">AG492+IF(Q493,1,0)</f>
        <v>3</v>
      </c>
      <c r="AH493" s="2" t="n">
        <f aca="false">AG492</f>
        <v>3</v>
      </c>
      <c r="AI493" s="10" t="n">
        <f aca="false">X493+Y493*(E493-AB493)-Y493*AD493*Inputs!$B$13*(A493-AC493)</f>
        <v>1034.45511900577</v>
      </c>
      <c r="AJ493" s="10" t="n">
        <v>0</v>
      </c>
      <c r="AK493" s="8" t="n">
        <f aca="false">IF(AND(B493&lt;=U493,NOT(Q493)),B493,U493)*(1-Inputs!$B$12)</f>
        <v>0.771827836447957</v>
      </c>
    </row>
    <row r="494" customFormat="false" ht="15" hidden="false" customHeight="false" outlineLevel="0" collapsed="false">
      <c r="A494" s="6" t="n">
        <v>45278</v>
      </c>
      <c r="B494" s="7" t="n">
        <v>0.823151149057836</v>
      </c>
      <c r="C494" s="7" t="n">
        <v>0.827550962963915</v>
      </c>
      <c r="D494" s="7" t="n">
        <v>0.821373767175602</v>
      </c>
      <c r="E494" s="7" t="n">
        <v>0.822814116917023</v>
      </c>
      <c r="F494" s="8" t="n">
        <f aca="true">IF(ROW()-2&gt;=Inputs!$B$4,AVERAGE(OFFSET(E494,1-Inputs!$B$4,0,Inputs!$B$4,1)),"")</f>
        <v>0.821603108776062</v>
      </c>
      <c r="G494" s="8" t="n">
        <f aca="true">IF(ROW()-2&gt;=Inputs!$B$5,AVERAGE(OFFSET(E494,1-Inputs!$B$5,0,Inputs!$B$5,1)),"")</f>
        <v>0.806898773205712</v>
      </c>
      <c r="H494" s="8" t="n">
        <f aca="false">MAX(C494-D494,ABS(C494-E493),ABS(D494-E493))</f>
        <v>0.00617719578831333</v>
      </c>
      <c r="I494" s="8" t="n">
        <f aca="true">IF(ROW()-2&lt;14,"",IF(ROW()-2=14,AVERAGE(OFFSET(H494,-13,0,14,1)),(I493*13+H494)/14))</f>
        <v>0.00878007550836099</v>
      </c>
      <c r="J494" s="9" t="b">
        <f aca="false">IF(AND(ISNUMBER(F494),ISNUMBER(G494),ISNUMBER(F493),ISNUMBER(G493)),AND(F494&gt;G494,F493&lt;=G493),FALSE())</f>
        <v>0</v>
      </c>
      <c r="K494" s="9" t="b">
        <f aca="false">IF(AND(ISNUMBER(F494),ISNUMBER(G494),ISNUMBER(F493),ISNUMBER(G493)),AND(F494&lt;G494,F493&gt;=G493),FALSE())</f>
        <v>0</v>
      </c>
      <c r="L494" s="8" t="n">
        <f aca="false">IF(ISNUMBER(I494),E494-Inputs!$B$6*I494,"")</f>
        <v>0.805253965900301</v>
      </c>
      <c r="M494" s="9" t="b">
        <f aca="false">AND(Y493&gt;0,Z493)</f>
        <v>0</v>
      </c>
      <c r="N494" s="8" t="n">
        <f aca="false">B494*(1-Inputs!$B$12)</f>
        <v>0.822986518828024</v>
      </c>
      <c r="O494" s="10" t="n">
        <f aca="false">IF(M494,Y493*(N494-AB493)-Inputs!$B$9-Y493*AD493*Inputs!$B$13*(A494-AC493),0)</f>
        <v>0</v>
      </c>
      <c r="P494" s="10" t="n">
        <f aca="false">X493+O494</f>
        <v>1015.3844066801</v>
      </c>
      <c r="Q494" s="9" t="b">
        <f aca="false">AND(IF(M494,0,Y493)=0,AA493,IF(ISNUMBER(AE493),B494&gt;AE493,FALSE()))</f>
        <v>0</v>
      </c>
      <c r="R494" s="8" t="n">
        <f aca="false">B494*(1+Inputs!$B$12)</f>
        <v>0.823315779287647</v>
      </c>
      <c r="S494" s="11" t="n">
        <f aca="false">IF(Q494,MIN(P494*Inputs!$B$3/(R494-AE493),P494*Inputs!$B$11/R494),0)</f>
        <v>0</v>
      </c>
      <c r="T494" s="11" t="n">
        <f aca="false">IF(Q494,S494,IF(M494,0,Y493))</f>
        <v>664.118972006065</v>
      </c>
      <c r="U494" s="8" t="n">
        <f aca="false">IF(Q494,AE493,AF493)</f>
        <v>0.771982232894536</v>
      </c>
      <c r="V494" s="9" t="b">
        <f aca="false">AND(T494&gt;0,D494&lt;=U494)</f>
        <v>0</v>
      </c>
      <c r="W494" s="10" t="n">
        <f aca="false">IF(V494,T494*(AK494-AB494)-Inputs!$B$9-T494*AD494*Inputs!$B$13*(A494-AC494),0)</f>
        <v>0</v>
      </c>
      <c r="X494" s="10" t="n">
        <f aca="false">P494-IF(Q494,Inputs!$B$9,0)+W494</f>
        <v>1015.3844066801</v>
      </c>
      <c r="Y494" s="11" t="n">
        <f aca="false">IF(V494,0,T494)</f>
        <v>664.118972006065</v>
      </c>
      <c r="Z494" s="9" t="b">
        <f aca="false">AND(Y494&gt;0,K494)</f>
        <v>0</v>
      </c>
      <c r="AA494" s="9" t="b">
        <f aca="false">AND(Y494=0,J494,ISNUMBER(L494))</f>
        <v>0</v>
      </c>
      <c r="AB494" s="8" t="n">
        <f aca="false">IF(Q494,R494,AB493)</f>
        <v>0.787286484836172</v>
      </c>
      <c r="AC494" s="12" t="n">
        <f aca="false">IF(Q494,A494,AC493)</f>
        <v>45226</v>
      </c>
      <c r="AD494" s="8" t="n">
        <f aca="false">IF(Q494,B494,AD493)</f>
        <v>0.787129059024367</v>
      </c>
      <c r="AE494" s="8" t="str">
        <f aca="false">IF(AA494,L494,"")</f>
        <v/>
      </c>
      <c r="AF494" s="8" t="n">
        <f aca="false">U494</f>
        <v>0.771982232894536</v>
      </c>
      <c r="AG494" s="2" t="n">
        <f aca="false">AG493+IF(Q494,1,0)</f>
        <v>3</v>
      </c>
      <c r="AH494" s="2" t="n">
        <f aca="false">AG493</f>
        <v>3</v>
      </c>
      <c r="AI494" s="10" t="n">
        <f aca="false">X494+Y494*(E494-AB494)-Y494*AD494*Inputs!$B$13*(A494-AC494)</f>
        <v>1034.13819757456</v>
      </c>
      <c r="AJ494" s="10" t="n">
        <v>0</v>
      </c>
      <c r="AK494" s="8" t="n">
        <f aca="false">IF(AND(B494&lt;=U494,NOT(Q494)),B494,U494)*(1-Inputs!$B$12)</f>
        <v>0.771827836447957</v>
      </c>
    </row>
    <row r="495" customFormat="false" ht="15" hidden="false" customHeight="false" outlineLevel="0" collapsed="false">
      <c r="A495" s="6" t="n">
        <v>45279</v>
      </c>
      <c r="B495" s="7" t="n">
        <v>0.822814116917023</v>
      </c>
      <c r="C495" s="7" t="n">
        <v>0.834149316647243</v>
      </c>
      <c r="D495" s="7" t="n">
        <v>0.818411535147416</v>
      </c>
      <c r="E495" s="7" t="n">
        <v>0.830252186538722</v>
      </c>
      <c r="F495" s="8" t="n">
        <f aca="true">IF(ROW()-2&gt;=Inputs!$B$4,AVERAGE(OFFSET(E495,1-Inputs!$B$4,0,Inputs!$B$4,1)),"")</f>
        <v>0.822375780800579</v>
      </c>
      <c r="G495" s="8" t="n">
        <f aca="true">IF(ROW()-2&gt;=Inputs!$B$5,AVERAGE(OFFSET(E495,1-Inputs!$B$5,0,Inputs!$B$5,1)),"")</f>
        <v>0.807674988953831</v>
      </c>
      <c r="H495" s="8" t="n">
        <f aca="false">MAX(C495-D495,ABS(C495-E494),ABS(D495-E494))</f>
        <v>0.0157377814998262</v>
      </c>
      <c r="I495" s="8" t="n">
        <f aca="true">IF(ROW()-2&lt;14,"",IF(ROW()-2=14,AVERAGE(OFFSET(H495,-13,0,14,1)),(I494*13+H495)/14))</f>
        <v>0.00927705450775136</v>
      </c>
      <c r="J495" s="9" t="b">
        <f aca="false">IF(AND(ISNUMBER(F495),ISNUMBER(G495),ISNUMBER(F494),ISNUMBER(G494)),AND(F495&gt;G495,F494&lt;=G494),FALSE())</f>
        <v>0</v>
      </c>
      <c r="K495" s="9" t="b">
        <f aca="false">IF(AND(ISNUMBER(F495),ISNUMBER(G495),ISNUMBER(F494),ISNUMBER(G494)),AND(F495&lt;G495,F494&gt;=G494),FALSE())</f>
        <v>0</v>
      </c>
      <c r="L495" s="8" t="n">
        <f aca="false">IF(ISNUMBER(I495),E495-Inputs!$B$6*I495,"")</f>
        <v>0.811698077523219</v>
      </c>
      <c r="M495" s="9" t="b">
        <f aca="false">AND(Y494&gt;0,Z494)</f>
        <v>0</v>
      </c>
      <c r="N495" s="8" t="n">
        <f aca="false">B495*(1-Inputs!$B$12)</f>
        <v>0.822649554093639</v>
      </c>
      <c r="O495" s="10" t="n">
        <f aca="false">IF(M495,Y494*(N495-AB494)-Inputs!$B$9-Y494*AD494*Inputs!$B$13*(A495-AC494),0)</f>
        <v>0</v>
      </c>
      <c r="P495" s="10" t="n">
        <f aca="false">X494+O495</f>
        <v>1015.3844066801</v>
      </c>
      <c r="Q495" s="9" t="b">
        <f aca="false">AND(IF(M495,0,Y494)=0,AA494,IF(ISNUMBER(AE494),B495&gt;AE494,FALSE()))</f>
        <v>0</v>
      </c>
      <c r="R495" s="8" t="n">
        <f aca="false">B495*(1+Inputs!$B$12)</f>
        <v>0.822978679740406</v>
      </c>
      <c r="S495" s="11" t="n">
        <f aca="false">IF(Q495,MIN(P495*Inputs!$B$3/(R495-AE494),P495*Inputs!$B$11/R495),0)</f>
        <v>0</v>
      </c>
      <c r="T495" s="11" t="n">
        <f aca="false">IF(Q495,S495,IF(M495,0,Y494))</f>
        <v>664.118972006065</v>
      </c>
      <c r="U495" s="8" t="n">
        <f aca="false">IF(Q495,AE494,AF494)</f>
        <v>0.771982232894536</v>
      </c>
      <c r="V495" s="9" t="b">
        <f aca="false">AND(T495&gt;0,D495&lt;=U495)</f>
        <v>0</v>
      </c>
      <c r="W495" s="10" t="n">
        <f aca="false">IF(V495,T495*(AK495-AB495)-Inputs!$B$9-T495*AD495*Inputs!$B$13*(A495-AC495),0)</f>
        <v>0</v>
      </c>
      <c r="X495" s="10" t="n">
        <f aca="false">P495-IF(Q495,Inputs!$B$9,0)+W495</f>
        <v>1015.3844066801</v>
      </c>
      <c r="Y495" s="11" t="n">
        <f aca="false">IF(V495,0,T495)</f>
        <v>664.118972006065</v>
      </c>
      <c r="Z495" s="9" t="b">
        <f aca="false">AND(Y495&gt;0,K495)</f>
        <v>0</v>
      </c>
      <c r="AA495" s="9" t="b">
        <f aca="false">AND(Y495=0,J495,ISNUMBER(L495))</f>
        <v>0</v>
      </c>
      <c r="AB495" s="8" t="n">
        <f aca="false">IF(Q495,R495,AB494)</f>
        <v>0.787286484836172</v>
      </c>
      <c r="AC495" s="12" t="n">
        <f aca="false">IF(Q495,A495,AC494)</f>
        <v>45226</v>
      </c>
      <c r="AD495" s="8" t="n">
        <f aca="false">IF(Q495,B495,AD494)</f>
        <v>0.787129059024367</v>
      </c>
      <c r="AE495" s="8" t="str">
        <f aca="false">IF(AA495,L495,"")</f>
        <v/>
      </c>
      <c r="AF495" s="8" t="n">
        <f aca="false">U495</f>
        <v>0.771982232894536</v>
      </c>
      <c r="AG495" s="2" t="n">
        <f aca="false">AG494+IF(Q495,1,0)</f>
        <v>3</v>
      </c>
      <c r="AH495" s="2" t="n">
        <f aca="false">AG494</f>
        <v>3</v>
      </c>
      <c r="AI495" s="10" t="n">
        <f aca="false">X495+Y495*(E495-AB495)-Y495*AD495*Inputs!$B$13*(A495-AC495)</f>
        <v>1038.98486873311</v>
      </c>
      <c r="AJ495" s="10" t="n">
        <v>0</v>
      </c>
      <c r="AK495" s="8" t="n">
        <f aca="false">IF(AND(B495&lt;=U495,NOT(Q495)),B495,U495)*(1-Inputs!$B$12)</f>
        <v>0.771827836447957</v>
      </c>
    </row>
    <row r="496" customFormat="false" ht="15" hidden="false" customHeight="false" outlineLevel="0" collapsed="false">
      <c r="A496" s="6" t="n">
        <v>45280</v>
      </c>
      <c r="B496" s="7" t="n">
        <v>0.830252186538722</v>
      </c>
      <c r="C496" s="7" t="n">
        <v>0.83284403116928</v>
      </c>
      <c r="D496" s="7" t="n">
        <v>0.826572538242875</v>
      </c>
      <c r="E496" s="7" t="n">
        <v>0.829646332414001</v>
      </c>
      <c r="F496" s="8" t="n">
        <f aca="true">IF(ROW()-2&gt;=Inputs!$B$4,AVERAGE(OFFSET(E496,1-Inputs!$B$4,0,Inputs!$B$4,1)),"")</f>
        <v>0.823545435883666</v>
      </c>
      <c r="G496" s="8" t="n">
        <f aca="true">IF(ROW()-2&gt;=Inputs!$B$5,AVERAGE(OFFSET(E496,1-Inputs!$B$5,0,Inputs!$B$5,1)),"")</f>
        <v>0.808519998031659</v>
      </c>
      <c r="H496" s="8" t="n">
        <f aca="false">MAX(C496-D496,ABS(C496-E495),ABS(D496-E495))</f>
        <v>0.00627149292640516</v>
      </c>
      <c r="I496" s="8" t="n">
        <f aca="true">IF(ROW()-2&lt;14,"",IF(ROW()-2=14,AVERAGE(OFFSET(H496,-13,0,14,1)),(I495*13+H496)/14))</f>
        <v>0.0090623715376552</v>
      </c>
      <c r="J496" s="9" t="b">
        <f aca="false">IF(AND(ISNUMBER(F496),ISNUMBER(G496),ISNUMBER(F495),ISNUMBER(G495)),AND(F496&gt;G496,F495&lt;=G495),FALSE())</f>
        <v>0</v>
      </c>
      <c r="K496" s="9" t="b">
        <f aca="false">IF(AND(ISNUMBER(F496),ISNUMBER(G496),ISNUMBER(F495),ISNUMBER(G495)),AND(F496&lt;G496,F495&gt;=G495),FALSE())</f>
        <v>0</v>
      </c>
      <c r="L496" s="8" t="n">
        <f aca="false">IF(ISNUMBER(I496),E496-Inputs!$B$6*I496,"")</f>
        <v>0.811521589338691</v>
      </c>
      <c r="M496" s="9" t="b">
        <f aca="false">AND(Y495&gt;0,Z495)</f>
        <v>0</v>
      </c>
      <c r="N496" s="8" t="n">
        <f aca="false">B496*(1-Inputs!$B$12)</f>
        <v>0.830086136101414</v>
      </c>
      <c r="O496" s="10" t="n">
        <f aca="false">IF(M496,Y495*(N496-AB495)-Inputs!$B$9-Y495*AD495*Inputs!$B$13*(A496-AC495),0)</f>
        <v>0</v>
      </c>
      <c r="P496" s="10" t="n">
        <f aca="false">X495+O496</f>
        <v>1015.3844066801</v>
      </c>
      <c r="Q496" s="9" t="b">
        <f aca="false">AND(IF(M496,0,Y495)=0,AA495,IF(ISNUMBER(AE495),B496&gt;AE495,FALSE()))</f>
        <v>0</v>
      </c>
      <c r="R496" s="8" t="n">
        <f aca="false">B496*(1+Inputs!$B$12)</f>
        <v>0.83041823697603</v>
      </c>
      <c r="S496" s="11" t="n">
        <f aca="false">IF(Q496,MIN(P496*Inputs!$B$3/(R496-AE495),P496*Inputs!$B$11/R496),0)</f>
        <v>0</v>
      </c>
      <c r="T496" s="11" t="n">
        <f aca="false">IF(Q496,S496,IF(M496,0,Y495))</f>
        <v>664.118972006065</v>
      </c>
      <c r="U496" s="8" t="n">
        <f aca="false">IF(Q496,AE495,AF495)</f>
        <v>0.771982232894536</v>
      </c>
      <c r="V496" s="9" t="b">
        <f aca="false">AND(T496&gt;0,D496&lt;=U496)</f>
        <v>0</v>
      </c>
      <c r="W496" s="10" t="n">
        <f aca="false">IF(V496,T496*(AK496-AB496)-Inputs!$B$9-T496*AD496*Inputs!$B$13*(A496-AC496),0)</f>
        <v>0</v>
      </c>
      <c r="X496" s="10" t="n">
        <f aca="false">P496-IF(Q496,Inputs!$B$9,0)+W496</f>
        <v>1015.3844066801</v>
      </c>
      <c r="Y496" s="11" t="n">
        <f aca="false">IF(V496,0,T496)</f>
        <v>664.118972006065</v>
      </c>
      <c r="Z496" s="9" t="b">
        <f aca="false">AND(Y496&gt;0,K496)</f>
        <v>0</v>
      </c>
      <c r="AA496" s="9" t="b">
        <f aca="false">AND(Y496=0,J496,ISNUMBER(L496))</f>
        <v>0</v>
      </c>
      <c r="AB496" s="8" t="n">
        <f aca="false">IF(Q496,R496,AB495)</f>
        <v>0.787286484836172</v>
      </c>
      <c r="AC496" s="12" t="n">
        <f aca="false">IF(Q496,A496,AC495)</f>
        <v>45226</v>
      </c>
      <c r="AD496" s="8" t="n">
        <f aca="false">IF(Q496,B496,AD495)</f>
        <v>0.787129059024367</v>
      </c>
      <c r="AE496" s="8" t="str">
        <f aca="false">IF(AA496,L496,"")</f>
        <v/>
      </c>
      <c r="AF496" s="8" t="n">
        <f aca="false">U496</f>
        <v>0.771982232894536</v>
      </c>
      <c r="AG496" s="2" t="n">
        <f aca="false">AG495+IF(Q496,1,0)</f>
        <v>3</v>
      </c>
      <c r="AH496" s="2" t="n">
        <f aca="false">AG495</f>
        <v>3</v>
      </c>
      <c r="AI496" s="10" t="n">
        <f aca="false">X496+Y496*(E496-AB496)-Y496*AD496*Inputs!$B$13*(A496-AC496)</f>
        <v>1038.48941752229</v>
      </c>
      <c r="AJ496" s="10" t="n">
        <v>0</v>
      </c>
      <c r="AK496" s="8" t="n">
        <f aca="false">IF(AND(B496&lt;=U496,NOT(Q496)),B496,U496)*(1-Inputs!$B$12)</f>
        <v>0.771827836447957</v>
      </c>
    </row>
    <row r="497" customFormat="false" ht="15" hidden="false" customHeight="false" outlineLevel="0" collapsed="false">
      <c r="A497" s="6" t="n">
        <v>45281</v>
      </c>
      <c r="B497" s="7" t="n">
        <v>0.829646332414001</v>
      </c>
      <c r="C497" s="7" t="n">
        <v>0.830365772313818</v>
      </c>
      <c r="D497" s="7" t="n">
        <v>0.826713166060399</v>
      </c>
      <c r="E497" s="7" t="n">
        <v>0.827602163090482</v>
      </c>
      <c r="F497" s="8" t="n">
        <f aca="true">IF(ROW()-2&gt;=Inputs!$B$4,AVERAGE(OFFSET(E497,1-Inputs!$B$4,0,Inputs!$B$4,1)),"")</f>
        <v>0.824505097920893</v>
      </c>
      <c r="G497" s="8" t="n">
        <f aca="true">IF(ROW()-2&gt;=Inputs!$B$5,AVERAGE(OFFSET(E497,1-Inputs!$B$5,0,Inputs!$B$5,1)),"")</f>
        <v>0.809298582714677</v>
      </c>
      <c r="H497" s="8" t="n">
        <f aca="false">MAX(C497-D497,ABS(C497-E496),ABS(D497-E496))</f>
        <v>0.00365260625341934</v>
      </c>
      <c r="I497" s="8" t="n">
        <f aca="true">IF(ROW()-2&lt;14,"",IF(ROW()-2=14,AVERAGE(OFFSET(H497,-13,0,14,1)),(I496*13+H497)/14))</f>
        <v>0.00867595973163835</v>
      </c>
      <c r="J497" s="9" t="b">
        <f aca="false">IF(AND(ISNUMBER(F497),ISNUMBER(G497),ISNUMBER(F496),ISNUMBER(G496)),AND(F497&gt;G497,F496&lt;=G496),FALSE())</f>
        <v>0</v>
      </c>
      <c r="K497" s="9" t="b">
        <f aca="false">IF(AND(ISNUMBER(F497),ISNUMBER(G497),ISNUMBER(F496),ISNUMBER(G496)),AND(F497&lt;G497,F496&gt;=G496),FALSE())</f>
        <v>0</v>
      </c>
      <c r="L497" s="8" t="n">
        <f aca="false">IF(ISNUMBER(I497),E497-Inputs!$B$6*I497,"")</f>
        <v>0.810250243627205</v>
      </c>
      <c r="M497" s="9" t="b">
        <f aca="false">AND(Y496&gt;0,Z496)</f>
        <v>0</v>
      </c>
      <c r="N497" s="8" t="n">
        <f aca="false">B497*(1-Inputs!$B$12)</f>
        <v>0.829480403147519</v>
      </c>
      <c r="O497" s="10" t="n">
        <f aca="false">IF(M497,Y496*(N497-AB496)-Inputs!$B$9-Y496*AD496*Inputs!$B$13*(A497-AC496),0)</f>
        <v>0</v>
      </c>
      <c r="P497" s="10" t="n">
        <f aca="false">X496+O497</f>
        <v>1015.3844066801</v>
      </c>
      <c r="Q497" s="9" t="b">
        <f aca="false">AND(IF(M497,0,Y496)=0,AA496,IF(ISNUMBER(AE496),B497&gt;AE496,FALSE()))</f>
        <v>0</v>
      </c>
      <c r="R497" s="8" t="n">
        <f aca="false">B497*(1+Inputs!$B$12)</f>
        <v>0.829812261680484</v>
      </c>
      <c r="S497" s="11" t="n">
        <f aca="false">IF(Q497,MIN(P497*Inputs!$B$3/(R497-AE496),P497*Inputs!$B$11/R497),0)</f>
        <v>0</v>
      </c>
      <c r="T497" s="11" t="n">
        <f aca="false">IF(Q497,S497,IF(M497,0,Y496))</f>
        <v>664.118972006065</v>
      </c>
      <c r="U497" s="8" t="n">
        <f aca="false">IF(Q497,AE496,AF496)</f>
        <v>0.771982232894536</v>
      </c>
      <c r="V497" s="9" t="b">
        <f aca="false">AND(T497&gt;0,D497&lt;=U497)</f>
        <v>0</v>
      </c>
      <c r="W497" s="10" t="n">
        <f aca="false">IF(V497,T497*(AK497-AB497)-Inputs!$B$9-T497*AD497*Inputs!$B$13*(A497-AC497),0)</f>
        <v>0</v>
      </c>
      <c r="X497" s="10" t="n">
        <f aca="false">P497-IF(Q497,Inputs!$B$9,0)+W497</f>
        <v>1015.3844066801</v>
      </c>
      <c r="Y497" s="11" t="n">
        <f aca="false">IF(V497,0,T497)</f>
        <v>664.118972006065</v>
      </c>
      <c r="Z497" s="9" t="b">
        <f aca="false">AND(Y497&gt;0,K497)</f>
        <v>0</v>
      </c>
      <c r="AA497" s="9" t="b">
        <f aca="false">AND(Y497=0,J497,ISNUMBER(L497))</f>
        <v>0</v>
      </c>
      <c r="AB497" s="8" t="n">
        <f aca="false">IF(Q497,R497,AB496)</f>
        <v>0.787286484836172</v>
      </c>
      <c r="AC497" s="12" t="n">
        <f aca="false">IF(Q497,A497,AC496)</f>
        <v>45226</v>
      </c>
      <c r="AD497" s="8" t="n">
        <f aca="false">IF(Q497,B497,AD496)</f>
        <v>0.787129059024367</v>
      </c>
      <c r="AE497" s="8" t="str">
        <f aca="false">IF(AA497,L497,"")</f>
        <v/>
      </c>
      <c r="AF497" s="8" t="n">
        <f aca="false">U497</f>
        <v>0.771982232894536</v>
      </c>
      <c r="AG497" s="2" t="n">
        <f aca="false">AG496+IF(Q497,1,0)</f>
        <v>3</v>
      </c>
      <c r="AH497" s="2" t="n">
        <f aca="false">AG496</f>
        <v>3</v>
      </c>
      <c r="AI497" s="10" t="n">
        <f aca="false">X497+Y497*(E497-AB497)-Y497*AD497*Inputs!$B$13*(A497-AC497)</f>
        <v>1037.03875390022</v>
      </c>
      <c r="AJ497" s="10" t="n">
        <v>0</v>
      </c>
      <c r="AK497" s="8" t="n">
        <f aca="false">IF(AND(B497&lt;=U497,NOT(Q497)),B497,U497)*(1-Inputs!$B$12)</f>
        <v>0.771827836447957</v>
      </c>
    </row>
    <row r="498" customFormat="false" ht="15" hidden="false" customHeight="false" outlineLevel="0" collapsed="false">
      <c r="A498" s="6" t="n">
        <v>45282</v>
      </c>
      <c r="B498" s="7" t="n">
        <v>0.827602163090482</v>
      </c>
      <c r="C498" s="7" t="n">
        <v>0.834084491170185</v>
      </c>
      <c r="D498" s="7" t="n">
        <v>0.827098451016508</v>
      </c>
      <c r="E498" s="7" t="n">
        <v>0.832828148374991</v>
      </c>
      <c r="F498" s="8" t="n">
        <f aca="true">IF(ROW()-2&gt;=Inputs!$B$4,AVERAGE(OFFSET(E498,1-Inputs!$B$4,0,Inputs!$B$4,1)),"")</f>
        <v>0.825244827160983</v>
      </c>
      <c r="G498" s="8" t="n">
        <f aca="true">IF(ROW()-2&gt;=Inputs!$B$5,AVERAGE(OFFSET(E498,1-Inputs!$B$5,0,Inputs!$B$5,1)),"")</f>
        <v>0.810220131496892</v>
      </c>
      <c r="H498" s="8" t="n">
        <f aca="false">MAX(C498-D498,ABS(C498-E497),ABS(D498-E497))</f>
        <v>0.00698604015367654</v>
      </c>
      <c r="I498" s="8" t="n">
        <f aca="true">IF(ROW()-2&lt;14,"",IF(ROW()-2=14,AVERAGE(OFFSET(H498,-13,0,14,1)),(I497*13+H498)/14))</f>
        <v>0.00855525119035537</v>
      </c>
      <c r="J498" s="9" t="b">
        <f aca="false">IF(AND(ISNUMBER(F498),ISNUMBER(G498),ISNUMBER(F497),ISNUMBER(G497)),AND(F498&gt;G498,F497&lt;=G497),FALSE())</f>
        <v>0</v>
      </c>
      <c r="K498" s="9" t="b">
        <f aca="false">IF(AND(ISNUMBER(F498),ISNUMBER(G498),ISNUMBER(F497),ISNUMBER(G497)),AND(F498&lt;G498,F497&gt;=G497),FALSE())</f>
        <v>0</v>
      </c>
      <c r="L498" s="8" t="n">
        <f aca="false">IF(ISNUMBER(I498),E498-Inputs!$B$6*I498,"")</f>
        <v>0.81571764599428</v>
      </c>
      <c r="M498" s="9" t="b">
        <f aca="false">AND(Y497&gt;0,Z497)</f>
        <v>0</v>
      </c>
      <c r="N498" s="8" t="n">
        <f aca="false">B498*(1-Inputs!$B$12)</f>
        <v>0.827436642657864</v>
      </c>
      <c r="O498" s="10" t="n">
        <f aca="false">IF(M498,Y497*(N498-AB497)-Inputs!$B$9-Y497*AD497*Inputs!$B$13*(A498-AC497),0)</f>
        <v>0</v>
      </c>
      <c r="P498" s="10" t="n">
        <f aca="false">X497+O498</f>
        <v>1015.3844066801</v>
      </c>
      <c r="Q498" s="9" t="b">
        <f aca="false">AND(IF(M498,0,Y497)=0,AA497,IF(ISNUMBER(AE497),B498&gt;AE497,FALSE()))</f>
        <v>0</v>
      </c>
      <c r="R498" s="8" t="n">
        <f aca="false">B498*(1+Inputs!$B$12)</f>
        <v>0.8277676835231</v>
      </c>
      <c r="S498" s="11" t="n">
        <f aca="false">IF(Q498,MIN(P498*Inputs!$B$3/(R498-AE497),P498*Inputs!$B$11/R498),0)</f>
        <v>0</v>
      </c>
      <c r="T498" s="11" t="n">
        <f aca="false">IF(Q498,S498,IF(M498,0,Y497))</f>
        <v>664.118972006065</v>
      </c>
      <c r="U498" s="8" t="n">
        <f aca="false">IF(Q498,AE497,AF497)</f>
        <v>0.771982232894536</v>
      </c>
      <c r="V498" s="9" t="b">
        <f aca="false">AND(T498&gt;0,D498&lt;=U498)</f>
        <v>0</v>
      </c>
      <c r="W498" s="10" t="n">
        <f aca="false">IF(V498,T498*(AK498-AB498)-Inputs!$B$9-T498*AD498*Inputs!$B$13*(A498-AC498),0)</f>
        <v>0</v>
      </c>
      <c r="X498" s="10" t="n">
        <f aca="false">P498-IF(Q498,Inputs!$B$9,0)+W498</f>
        <v>1015.3844066801</v>
      </c>
      <c r="Y498" s="11" t="n">
        <f aca="false">IF(V498,0,T498)</f>
        <v>664.118972006065</v>
      </c>
      <c r="Z498" s="9" t="b">
        <f aca="false">AND(Y498&gt;0,K498)</f>
        <v>0</v>
      </c>
      <c r="AA498" s="9" t="b">
        <f aca="false">AND(Y498=0,J498,ISNUMBER(L498))</f>
        <v>0</v>
      </c>
      <c r="AB498" s="8" t="n">
        <f aca="false">IF(Q498,R498,AB497)</f>
        <v>0.787286484836172</v>
      </c>
      <c r="AC498" s="12" t="n">
        <f aca="false">IF(Q498,A498,AC497)</f>
        <v>45226</v>
      </c>
      <c r="AD498" s="8" t="n">
        <f aca="false">IF(Q498,B498,AD497)</f>
        <v>0.787129059024367</v>
      </c>
      <c r="AE498" s="8" t="str">
        <f aca="false">IF(AA498,L498,"")</f>
        <v/>
      </c>
      <c r="AF498" s="8" t="n">
        <f aca="false">U498</f>
        <v>0.771982232894536</v>
      </c>
      <c r="AG498" s="2" t="n">
        <f aca="false">AG497+IF(Q498,1,0)</f>
        <v>3</v>
      </c>
      <c r="AH498" s="2" t="n">
        <f aca="false">AG497</f>
        <v>3</v>
      </c>
      <c r="AI498" s="10" t="n">
        <f aca="false">X498+Y498*(E498-AB498)-Y498*AD498*Inputs!$B$13*(A498-AC498)</f>
        <v>1040.41633788276</v>
      </c>
      <c r="AJ498" s="10" t="n">
        <v>0</v>
      </c>
      <c r="AK498" s="8" t="n">
        <f aca="false">IF(AND(B498&lt;=U498,NOT(Q498)),B498,U498)*(1-Inputs!$B$12)</f>
        <v>0.771827836447957</v>
      </c>
    </row>
    <row r="499" customFormat="false" ht="15" hidden="false" customHeight="false" outlineLevel="0" collapsed="false">
      <c r="A499" s="6" t="n">
        <v>45283</v>
      </c>
      <c r="B499" s="7" t="n">
        <v>0.832828148374991</v>
      </c>
      <c r="C499" s="7" t="n">
        <v>0.838749533142092</v>
      </c>
      <c r="D499" s="7" t="n">
        <v>0.831015330631365</v>
      </c>
      <c r="E499" s="7" t="n">
        <v>0.833289083834815</v>
      </c>
      <c r="F499" s="8" t="n">
        <f aca="true">IF(ROW()-2&gt;=Inputs!$B$4,AVERAGE(OFFSET(E499,1-Inputs!$B$4,0,Inputs!$B$4,1)),"")</f>
        <v>0.82552783156213</v>
      </c>
      <c r="G499" s="8" t="n">
        <f aca="true">IF(ROW()-2&gt;=Inputs!$B$5,AVERAGE(OFFSET(E499,1-Inputs!$B$5,0,Inputs!$B$5,1)),"")</f>
        <v>0.811118891942461</v>
      </c>
      <c r="H499" s="8" t="n">
        <f aca="false">MAX(C499-D499,ABS(C499-E498),ABS(D499-E498))</f>
        <v>0.00773420251072732</v>
      </c>
      <c r="I499" s="8" t="n">
        <f aca="true">IF(ROW()-2&lt;14,"",IF(ROW()-2=14,AVERAGE(OFFSET(H499,-13,0,14,1)),(I498*13+H499)/14))</f>
        <v>0.00849660485609622</v>
      </c>
      <c r="J499" s="9" t="b">
        <f aca="false">IF(AND(ISNUMBER(F499),ISNUMBER(G499),ISNUMBER(F498),ISNUMBER(G498)),AND(F499&gt;G499,F498&lt;=G498),FALSE())</f>
        <v>0</v>
      </c>
      <c r="K499" s="9" t="b">
        <f aca="false">IF(AND(ISNUMBER(F499),ISNUMBER(G499),ISNUMBER(F498),ISNUMBER(G498)),AND(F499&lt;G499,F498&gt;=G498),FALSE())</f>
        <v>0</v>
      </c>
      <c r="L499" s="8" t="n">
        <f aca="false">IF(ISNUMBER(I499),E499-Inputs!$B$6*I499,"")</f>
        <v>0.816295874122622</v>
      </c>
      <c r="M499" s="9" t="b">
        <f aca="false">AND(Y498&gt;0,Z498)</f>
        <v>0</v>
      </c>
      <c r="N499" s="8" t="n">
        <f aca="false">B499*(1-Inputs!$B$12)</f>
        <v>0.832661582745316</v>
      </c>
      <c r="O499" s="10" t="n">
        <f aca="false">IF(M499,Y498*(N499-AB498)-Inputs!$B$9-Y498*AD498*Inputs!$B$13*(A499-AC498),0)</f>
        <v>0</v>
      </c>
      <c r="P499" s="10" t="n">
        <f aca="false">X498+O499</f>
        <v>1015.3844066801</v>
      </c>
      <c r="Q499" s="9" t="b">
        <f aca="false">AND(IF(M499,0,Y498)=0,AA498,IF(ISNUMBER(AE498),B499&gt;AE498,FALSE()))</f>
        <v>0</v>
      </c>
      <c r="R499" s="8" t="n">
        <f aca="false">B499*(1+Inputs!$B$12)</f>
        <v>0.832994714004666</v>
      </c>
      <c r="S499" s="11" t="n">
        <f aca="false">IF(Q499,MIN(P499*Inputs!$B$3/(R499-AE498),P499*Inputs!$B$11/R499),0)</f>
        <v>0</v>
      </c>
      <c r="T499" s="11" t="n">
        <f aca="false">IF(Q499,S499,IF(M499,0,Y498))</f>
        <v>664.118972006065</v>
      </c>
      <c r="U499" s="8" t="n">
        <f aca="false">IF(Q499,AE498,AF498)</f>
        <v>0.771982232894536</v>
      </c>
      <c r="V499" s="9" t="b">
        <f aca="false">AND(T499&gt;0,D499&lt;=U499)</f>
        <v>0</v>
      </c>
      <c r="W499" s="10" t="n">
        <f aca="false">IF(V499,T499*(AK499-AB499)-Inputs!$B$9-T499*AD499*Inputs!$B$13*(A499-AC499),0)</f>
        <v>0</v>
      </c>
      <c r="X499" s="10" t="n">
        <f aca="false">P499-IF(Q499,Inputs!$B$9,0)+W499</f>
        <v>1015.3844066801</v>
      </c>
      <c r="Y499" s="11" t="n">
        <f aca="false">IF(V499,0,T499)</f>
        <v>664.118972006065</v>
      </c>
      <c r="Z499" s="9" t="b">
        <f aca="false">AND(Y499&gt;0,K499)</f>
        <v>0</v>
      </c>
      <c r="AA499" s="9" t="b">
        <f aca="false">AND(Y499=0,J499,ISNUMBER(L499))</f>
        <v>0</v>
      </c>
      <c r="AB499" s="8" t="n">
        <f aca="false">IF(Q499,R499,AB498)</f>
        <v>0.787286484836172</v>
      </c>
      <c r="AC499" s="12" t="n">
        <f aca="false">IF(Q499,A499,AC498)</f>
        <v>45226</v>
      </c>
      <c r="AD499" s="8" t="n">
        <f aca="false">IF(Q499,B499,AD498)</f>
        <v>0.787129059024367</v>
      </c>
      <c r="AE499" s="8" t="str">
        <f aca="false">IF(AA499,L499,"")</f>
        <v/>
      </c>
      <c r="AF499" s="8" t="n">
        <f aca="false">U499</f>
        <v>0.771982232894536</v>
      </c>
      <c r="AG499" s="2" t="n">
        <f aca="false">AG498+IF(Q499,1,0)</f>
        <v>3</v>
      </c>
      <c r="AH499" s="2" t="n">
        <f aca="false">AG498</f>
        <v>3</v>
      </c>
      <c r="AI499" s="10" t="n">
        <f aca="false">X499+Y499*(E499-AB499)-Y499*AD499*Inputs!$B$13*(A499-AC499)</f>
        <v>1040.62936187418</v>
      </c>
      <c r="AJ499" s="10" t="n">
        <v>0</v>
      </c>
      <c r="AK499" s="8" t="n">
        <f aca="false">IF(AND(B499&lt;=U499,NOT(Q499)),B499,U499)*(1-Inputs!$B$12)</f>
        <v>0.771827836447957</v>
      </c>
    </row>
    <row r="500" customFormat="false" ht="15" hidden="false" customHeight="false" outlineLevel="0" collapsed="false">
      <c r="A500" s="6" t="n">
        <v>45284</v>
      </c>
      <c r="B500" s="7" t="n">
        <v>0.833289083834815</v>
      </c>
      <c r="C500" s="7" t="n">
        <v>0.833734341376782</v>
      </c>
      <c r="D500" s="7" t="n">
        <v>0.823223384679087</v>
      </c>
      <c r="E500" s="7" t="n">
        <v>0.82629076840725</v>
      </c>
      <c r="F500" s="8" t="n">
        <f aca="true">IF(ROW()-2&gt;=Inputs!$B$4,AVERAGE(OFFSET(E500,1-Inputs!$B$4,0,Inputs!$B$4,1)),"")</f>
        <v>0.825744781544918</v>
      </c>
      <c r="G500" s="8" t="n">
        <f aca="true">IF(ROW()-2&gt;=Inputs!$B$5,AVERAGE(OFFSET(E500,1-Inputs!$B$5,0,Inputs!$B$5,1)),"")</f>
        <v>0.81188415589083</v>
      </c>
      <c r="H500" s="8" t="n">
        <f aca="false">MAX(C500-D500,ABS(C500-E499),ABS(D500-E499))</f>
        <v>0.0105109566976955</v>
      </c>
      <c r="I500" s="8" t="n">
        <f aca="true">IF(ROW()-2&lt;14,"",IF(ROW()-2=14,AVERAGE(OFFSET(H500,-13,0,14,1)),(I499*13+H500)/14))</f>
        <v>0.00864048713049617</v>
      </c>
      <c r="J500" s="9" t="b">
        <f aca="false">IF(AND(ISNUMBER(F500),ISNUMBER(G500),ISNUMBER(F499),ISNUMBER(G499)),AND(F500&gt;G500,F499&lt;=G499),FALSE())</f>
        <v>0</v>
      </c>
      <c r="K500" s="9" t="b">
        <f aca="false">IF(AND(ISNUMBER(F500),ISNUMBER(G500),ISNUMBER(F499),ISNUMBER(G499)),AND(F500&lt;G500,F499&gt;=G499),FALSE())</f>
        <v>0</v>
      </c>
      <c r="L500" s="8" t="n">
        <f aca="false">IF(ISNUMBER(I500),E500-Inputs!$B$6*I500,"")</f>
        <v>0.809009794146257</v>
      </c>
      <c r="M500" s="9" t="b">
        <f aca="false">AND(Y499&gt;0,Z499)</f>
        <v>0</v>
      </c>
      <c r="N500" s="8" t="n">
        <f aca="false">B500*(1-Inputs!$B$12)</f>
        <v>0.833122426018048</v>
      </c>
      <c r="O500" s="10" t="n">
        <f aca="false">IF(M500,Y499*(N500-AB499)-Inputs!$B$9-Y499*AD499*Inputs!$B$13*(A500-AC499),0)</f>
        <v>0</v>
      </c>
      <c r="P500" s="10" t="n">
        <f aca="false">X499+O500</f>
        <v>1015.3844066801</v>
      </c>
      <c r="Q500" s="9" t="b">
        <f aca="false">AND(IF(M500,0,Y499)=0,AA499,IF(ISNUMBER(AE499),B500&gt;AE499,FALSE()))</f>
        <v>0</v>
      </c>
      <c r="R500" s="8" t="n">
        <f aca="false">B500*(1+Inputs!$B$12)</f>
        <v>0.833455741651581</v>
      </c>
      <c r="S500" s="11" t="n">
        <f aca="false">IF(Q500,MIN(P500*Inputs!$B$3/(R500-AE499),P500*Inputs!$B$11/R500),0)</f>
        <v>0</v>
      </c>
      <c r="T500" s="11" t="n">
        <f aca="false">IF(Q500,S500,IF(M500,0,Y499))</f>
        <v>664.118972006065</v>
      </c>
      <c r="U500" s="8" t="n">
        <f aca="false">IF(Q500,AE499,AF499)</f>
        <v>0.771982232894536</v>
      </c>
      <c r="V500" s="9" t="b">
        <f aca="false">AND(T500&gt;0,D500&lt;=U500)</f>
        <v>0</v>
      </c>
      <c r="W500" s="10" t="n">
        <f aca="false">IF(V500,T500*(AK500-AB500)-Inputs!$B$9-T500*AD500*Inputs!$B$13*(A500-AC500),0)</f>
        <v>0</v>
      </c>
      <c r="X500" s="10" t="n">
        <f aca="false">P500-IF(Q500,Inputs!$B$9,0)+W500</f>
        <v>1015.3844066801</v>
      </c>
      <c r="Y500" s="11" t="n">
        <f aca="false">IF(V500,0,T500)</f>
        <v>664.118972006065</v>
      </c>
      <c r="Z500" s="9" t="b">
        <f aca="false">AND(Y500&gt;0,K500)</f>
        <v>0</v>
      </c>
      <c r="AA500" s="9" t="b">
        <f aca="false">AND(Y500=0,J500,ISNUMBER(L500))</f>
        <v>0</v>
      </c>
      <c r="AB500" s="8" t="n">
        <f aca="false">IF(Q500,R500,AB499)</f>
        <v>0.787286484836172</v>
      </c>
      <c r="AC500" s="12" t="n">
        <f aca="false">IF(Q500,A500,AC499)</f>
        <v>45226</v>
      </c>
      <c r="AD500" s="8" t="n">
        <f aca="false">IF(Q500,B500,AD499)</f>
        <v>0.787129059024367</v>
      </c>
      <c r="AE500" s="8" t="str">
        <f aca="false">IF(AA500,L500,"")</f>
        <v/>
      </c>
      <c r="AF500" s="8" t="n">
        <f aca="false">U500</f>
        <v>0.771982232894536</v>
      </c>
      <c r="AG500" s="2" t="n">
        <f aca="false">AG499+IF(Q500,1,0)</f>
        <v>3</v>
      </c>
      <c r="AH500" s="2" t="n">
        <f aca="false">AG499</f>
        <v>3</v>
      </c>
      <c r="AI500" s="10" t="n">
        <f aca="false">X500+Y500*(E500-AB500)-Y500*AD500*Inputs!$B$13*(A500-AC500)</f>
        <v>1035.88855583432</v>
      </c>
      <c r="AJ500" s="10" t="n">
        <v>0</v>
      </c>
      <c r="AK500" s="8" t="n">
        <f aca="false">IF(AND(B500&lt;=U500,NOT(Q500)),B500,U500)*(1-Inputs!$B$12)</f>
        <v>0.771827836447957</v>
      </c>
    </row>
    <row r="501" customFormat="false" ht="15" hidden="false" customHeight="false" outlineLevel="0" collapsed="false">
      <c r="A501" s="6" t="n">
        <v>45285</v>
      </c>
      <c r="B501" s="7" t="n">
        <v>0.82629076840725</v>
      </c>
      <c r="C501" s="7" t="n">
        <v>0.830552358508237</v>
      </c>
      <c r="D501" s="7" t="n">
        <v>0.82313415453041</v>
      </c>
      <c r="E501" s="7" t="n">
        <v>0.82493732213442</v>
      </c>
      <c r="F501" s="8" t="n">
        <f aca="true">IF(ROW()-2&gt;=Inputs!$B$4,AVERAGE(OFFSET(E501,1-Inputs!$B$4,0,Inputs!$B$4,1)),"")</f>
        <v>0.826207795995943</v>
      </c>
      <c r="G501" s="8" t="n">
        <f aca="true">IF(ROW()-2&gt;=Inputs!$B$5,AVERAGE(OFFSET(E501,1-Inputs!$B$5,0,Inputs!$B$5,1)),"")</f>
        <v>0.812617347091227</v>
      </c>
      <c r="H501" s="8" t="n">
        <f aca="false">MAX(C501-D501,ABS(C501-E500),ABS(D501-E500))</f>
        <v>0.00741820397782667</v>
      </c>
      <c r="I501" s="8" t="n">
        <f aca="true">IF(ROW()-2&lt;14,"",IF(ROW()-2=14,AVERAGE(OFFSET(H501,-13,0,14,1)),(I500*13+H501)/14))</f>
        <v>0.00855318119101978</v>
      </c>
      <c r="J501" s="9" t="b">
        <f aca="false">IF(AND(ISNUMBER(F501),ISNUMBER(G501),ISNUMBER(F500),ISNUMBER(G500)),AND(F501&gt;G501,F500&lt;=G500),FALSE())</f>
        <v>0</v>
      </c>
      <c r="K501" s="9" t="b">
        <f aca="false">IF(AND(ISNUMBER(F501),ISNUMBER(G501),ISNUMBER(F500),ISNUMBER(G500)),AND(F501&lt;G501,F500&gt;=G500),FALSE())</f>
        <v>0</v>
      </c>
      <c r="L501" s="8" t="n">
        <f aca="false">IF(ISNUMBER(I501),E501-Inputs!$B$6*I501,"")</f>
        <v>0.80783095975238</v>
      </c>
      <c r="M501" s="9" t="b">
        <f aca="false">AND(Y500&gt;0,Z500)</f>
        <v>0</v>
      </c>
      <c r="N501" s="8" t="n">
        <f aca="false">B501*(1-Inputs!$B$12)</f>
        <v>0.826125510253568</v>
      </c>
      <c r="O501" s="10" t="n">
        <f aca="false">IF(M501,Y500*(N501-AB500)-Inputs!$B$9-Y500*AD500*Inputs!$B$13*(A501-AC500),0)</f>
        <v>0</v>
      </c>
      <c r="P501" s="10" t="n">
        <f aca="false">X500+O501</f>
        <v>1015.3844066801</v>
      </c>
      <c r="Q501" s="9" t="b">
        <f aca="false">AND(IF(M501,0,Y500)=0,AA500,IF(ISNUMBER(AE500),B501&gt;AE500,FALSE()))</f>
        <v>0</v>
      </c>
      <c r="R501" s="8" t="n">
        <f aca="false">B501*(1+Inputs!$B$12)</f>
        <v>0.826456026560931</v>
      </c>
      <c r="S501" s="11" t="n">
        <f aca="false">IF(Q501,MIN(P501*Inputs!$B$3/(R501-AE500),P501*Inputs!$B$11/R501),0)</f>
        <v>0</v>
      </c>
      <c r="T501" s="11" t="n">
        <f aca="false">IF(Q501,S501,IF(M501,0,Y500))</f>
        <v>664.118972006065</v>
      </c>
      <c r="U501" s="8" t="n">
        <f aca="false">IF(Q501,AE500,AF500)</f>
        <v>0.771982232894536</v>
      </c>
      <c r="V501" s="9" t="b">
        <f aca="false">AND(T501&gt;0,D501&lt;=U501)</f>
        <v>0</v>
      </c>
      <c r="W501" s="10" t="n">
        <f aca="false">IF(V501,T501*(AK501-AB501)-Inputs!$B$9-T501*AD501*Inputs!$B$13*(A501-AC501),0)</f>
        <v>0</v>
      </c>
      <c r="X501" s="10" t="n">
        <f aca="false">P501-IF(Q501,Inputs!$B$9,0)+W501</f>
        <v>1015.3844066801</v>
      </c>
      <c r="Y501" s="11" t="n">
        <f aca="false">IF(V501,0,T501)</f>
        <v>664.118972006065</v>
      </c>
      <c r="Z501" s="9" t="b">
        <f aca="false">AND(Y501&gt;0,K501)</f>
        <v>0</v>
      </c>
      <c r="AA501" s="9" t="b">
        <f aca="false">AND(Y501=0,J501,ISNUMBER(L501))</f>
        <v>0</v>
      </c>
      <c r="AB501" s="8" t="n">
        <f aca="false">IF(Q501,R501,AB500)</f>
        <v>0.787286484836172</v>
      </c>
      <c r="AC501" s="12" t="n">
        <f aca="false">IF(Q501,A501,AC500)</f>
        <v>45226</v>
      </c>
      <c r="AD501" s="8" t="n">
        <f aca="false">IF(Q501,B501,AD500)</f>
        <v>0.787129059024367</v>
      </c>
      <c r="AE501" s="8" t="str">
        <f aca="false">IF(AA501,L501,"")</f>
        <v/>
      </c>
      <c r="AF501" s="8" t="n">
        <f aca="false">U501</f>
        <v>0.771982232894536</v>
      </c>
      <c r="AG501" s="2" t="n">
        <f aca="false">AG500+IF(Q501,1,0)</f>
        <v>3</v>
      </c>
      <c r="AH501" s="2" t="n">
        <f aca="false">AG500</f>
        <v>3</v>
      </c>
      <c r="AI501" s="10" t="n">
        <f aca="false">X501+Y501*(E501-AB501)-Y501*AD501*Inputs!$B$13*(A501-AC501)</f>
        <v>1034.89661449462</v>
      </c>
      <c r="AJ501" s="10" t="n">
        <v>0</v>
      </c>
      <c r="AK501" s="8" t="n">
        <f aca="false">IF(AND(B501&lt;=U501,NOT(Q501)),B501,U501)*(1-Inputs!$B$12)</f>
        <v>0.771827836447957</v>
      </c>
    </row>
    <row r="502" customFormat="false" ht="15" hidden="false" customHeight="false" outlineLevel="0" collapsed="false">
      <c r="A502" s="6" t="n">
        <v>45286</v>
      </c>
      <c r="B502" s="7" t="n">
        <v>0.82493732213442</v>
      </c>
      <c r="C502" s="7" t="n">
        <v>0.828468078092449</v>
      </c>
      <c r="D502" s="7" t="n">
        <v>0.818508429942238</v>
      </c>
      <c r="E502" s="7" t="n">
        <v>0.819372519958045</v>
      </c>
      <c r="F502" s="8" t="n">
        <f aca="true">IF(ROW()-2&gt;=Inputs!$B$4,AVERAGE(OFFSET(E502,1-Inputs!$B$4,0,Inputs!$B$4,1)),"")</f>
        <v>0.826226619399061</v>
      </c>
      <c r="G502" s="8" t="n">
        <f aca="true">IF(ROW()-2&gt;=Inputs!$B$5,AVERAGE(OFFSET(E502,1-Inputs!$B$5,0,Inputs!$B$5,1)),"")</f>
        <v>0.813352703142291</v>
      </c>
      <c r="H502" s="8" t="n">
        <f aca="false">MAX(C502-D502,ABS(C502-E501),ABS(D502-E501))</f>
        <v>0.00995964815021133</v>
      </c>
      <c r="I502" s="8" t="n">
        <f aca="true">IF(ROW()-2&lt;14,"",IF(ROW()-2=14,AVERAGE(OFFSET(H502,-13,0,14,1)),(I501*13+H502)/14))</f>
        <v>0.00865364311667632</v>
      </c>
      <c r="J502" s="9" t="b">
        <f aca="false">IF(AND(ISNUMBER(F502),ISNUMBER(G502),ISNUMBER(F501),ISNUMBER(G501)),AND(F502&gt;G502,F501&lt;=G501),FALSE())</f>
        <v>0</v>
      </c>
      <c r="K502" s="9" t="b">
        <f aca="false">IF(AND(ISNUMBER(F502),ISNUMBER(G502),ISNUMBER(F501),ISNUMBER(G501)),AND(F502&lt;G502,F501&gt;=G501),FALSE())</f>
        <v>0</v>
      </c>
      <c r="L502" s="8" t="n">
        <f aca="false">IF(ISNUMBER(I502),E502-Inputs!$B$6*I502,"")</f>
        <v>0.802065233724692</v>
      </c>
      <c r="M502" s="9" t="b">
        <f aca="false">AND(Y501&gt;0,Z501)</f>
        <v>0</v>
      </c>
      <c r="N502" s="8" t="n">
        <f aca="false">B502*(1-Inputs!$B$12)</f>
        <v>0.824772334669993</v>
      </c>
      <c r="O502" s="10" t="n">
        <f aca="false">IF(M502,Y501*(N502-AB501)-Inputs!$B$9-Y501*AD501*Inputs!$B$13*(A502-AC501),0)</f>
        <v>0</v>
      </c>
      <c r="P502" s="10" t="n">
        <f aca="false">X501+O502</f>
        <v>1015.3844066801</v>
      </c>
      <c r="Q502" s="9" t="b">
        <f aca="false">AND(IF(M502,0,Y501)=0,AA501,IF(ISNUMBER(AE501),B502&gt;AE501,FALSE()))</f>
        <v>0</v>
      </c>
      <c r="R502" s="8" t="n">
        <f aca="false">B502*(1+Inputs!$B$12)</f>
        <v>0.825102309598846</v>
      </c>
      <c r="S502" s="11" t="n">
        <f aca="false">IF(Q502,MIN(P502*Inputs!$B$3/(R502-AE501),P502*Inputs!$B$11/R502),0)</f>
        <v>0</v>
      </c>
      <c r="T502" s="11" t="n">
        <f aca="false">IF(Q502,S502,IF(M502,0,Y501))</f>
        <v>664.118972006065</v>
      </c>
      <c r="U502" s="8" t="n">
        <f aca="false">IF(Q502,AE501,AF501)</f>
        <v>0.771982232894536</v>
      </c>
      <c r="V502" s="9" t="b">
        <f aca="false">AND(T502&gt;0,D502&lt;=U502)</f>
        <v>0</v>
      </c>
      <c r="W502" s="10" t="n">
        <f aca="false">IF(V502,T502*(AK502-AB502)-Inputs!$B$9-T502*AD502*Inputs!$B$13*(A502-AC502),0)</f>
        <v>0</v>
      </c>
      <c r="X502" s="10" t="n">
        <f aca="false">P502-IF(Q502,Inputs!$B$9,0)+W502</f>
        <v>1015.3844066801</v>
      </c>
      <c r="Y502" s="11" t="n">
        <f aca="false">IF(V502,0,T502)</f>
        <v>664.118972006065</v>
      </c>
      <c r="Z502" s="9" t="b">
        <f aca="false">AND(Y502&gt;0,K502)</f>
        <v>0</v>
      </c>
      <c r="AA502" s="9" t="b">
        <f aca="false">AND(Y502=0,J502,ISNUMBER(L502))</f>
        <v>0</v>
      </c>
      <c r="AB502" s="8" t="n">
        <f aca="false">IF(Q502,R502,AB501)</f>
        <v>0.787286484836172</v>
      </c>
      <c r="AC502" s="12" t="n">
        <f aca="false">IF(Q502,A502,AC501)</f>
        <v>45226</v>
      </c>
      <c r="AD502" s="8" t="n">
        <f aca="false">IF(Q502,B502,AD501)</f>
        <v>0.787129059024367</v>
      </c>
      <c r="AE502" s="8" t="str">
        <f aca="false">IF(AA502,L502,"")</f>
        <v/>
      </c>
      <c r="AF502" s="8" t="n">
        <f aca="false">U502</f>
        <v>0.771982232894536</v>
      </c>
      <c r="AG502" s="2" t="n">
        <f aca="false">AG501+IF(Q502,1,0)</f>
        <v>3</v>
      </c>
      <c r="AH502" s="2" t="n">
        <f aca="false">AG501</f>
        <v>3</v>
      </c>
      <c r="AI502" s="10" t="n">
        <f aca="false">X502+Y502*(E502-AB502)-Y502*AD502*Inputs!$B$13*(A502-AC502)</f>
        <v>1031.10783180151</v>
      </c>
      <c r="AJ502" s="10" t="n">
        <v>0</v>
      </c>
      <c r="AK502" s="8" t="n">
        <f aca="false">IF(AND(B502&lt;=U502,NOT(Q502)),B502,U502)*(1-Inputs!$B$12)</f>
        <v>0.771827836447957</v>
      </c>
    </row>
    <row r="503" customFormat="false" ht="15" hidden="false" customHeight="false" outlineLevel="0" collapsed="false">
      <c r="A503" s="6" t="n">
        <v>45287</v>
      </c>
      <c r="B503" s="7" t="n">
        <v>0.819372519958045</v>
      </c>
      <c r="C503" s="7" t="n">
        <v>0.82368279026156</v>
      </c>
      <c r="D503" s="7" t="n">
        <v>0.811133251727057</v>
      </c>
      <c r="E503" s="7" t="n">
        <v>0.815612276055535</v>
      </c>
      <c r="F503" s="8" t="n">
        <f aca="true">IF(ROW()-2&gt;=Inputs!$B$4,AVERAGE(OFFSET(E503,1-Inputs!$B$4,0,Inputs!$B$4,1)),"")</f>
        <v>0.82610878489946</v>
      </c>
      <c r="G503" s="8" t="n">
        <f aca="true">IF(ROW()-2&gt;=Inputs!$B$5,AVERAGE(OFFSET(E503,1-Inputs!$B$5,0,Inputs!$B$5,1)),"")</f>
        <v>0.813949843229756</v>
      </c>
      <c r="H503" s="8" t="n">
        <f aca="false">MAX(C503-D503,ABS(C503-E502),ABS(D503-E502))</f>
        <v>0.0125495385345026</v>
      </c>
      <c r="I503" s="8" t="n">
        <f aca="true">IF(ROW()-2&lt;14,"",IF(ROW()-2=14,AVERAGE(OFFSET(H503,-13,0,14,1)),(I502*13+H503)/14))</f>
        <v>0.00893192136080677</v>
      </c>
      <c r="J503" s="9" t="b">
        <f aca="false">IF(AND(ISNUMBER(F503),ISNUMBER(G503),ISNUMBER(F502),ISNUMBER(G502)),AND(F503&gt;G503,F502&lt;=G502),FALSE())</f>
        <v>0</v>
      </c>
      <c r="K503" s="9" t="b">
        <f aca="false">IF(AND(ISNUMBER(F503),ISNUMBER(G503),ISNUMBER(F502),ISNUMBER(G502)),AND(F503&lt;G503,F502&gt;=G502),FALSE())</f>
        <v>0</v>
      </c>
      <c r="L503" s="8" t="n">
        <f aca="false">IF(ISNUMBER(I503),E503-Inputs!$B$6*I503,"")</f>
        <v>0.797748433333921</v>
      </c>
      <c r="M503" s="9" t="b">
        <f aca="false">AND(Y502&gt;0,Z502)</f>
        <v>0</v>
      </c>
      <c r="N503" s="8" t="n">
        <f aca="false">B503*(1-Inputs!$B$12)</f>
        <v>0.819208645454053</v>
      </c>
      <c r="O503" s="10" t="n">
        <f aca="false">IF(M503,Y502*(N503-AB502)-Inputs!$B$9-Y502*AD502*Inputs!$B$13*(A503-AC502),0)</f>
        <v>0</v>
      </c>
      <c r="P503" s="10" t="n">
        <f aca="false">X502+O503</f>
        <v>1015.3844066801</v>
      </c>
      <c r="Q503" s="9" t="b">
        <f aca="false">AND(IF(M503,0,Y502)=0,AA502,IF(ISNUMBER(AE502),B503&gt;AE502,FALSE()))</f>
        <v>0</v>
      </c>
      <c r="R503" s="8" t="n">
        <f aca="false">B503*(1+Inputs!$B$12)</f>
        <v>0.819536394462036</v>
      </c>
      <c r="S503" s="11" t="n">
        <f aca="false">IF(Q503,MIN(P503*Inputs!$B$3/(R503-AE502),P503*Inputs!$B$11/R503),0)</f>
        <v>0</v>
      </c>
      <c r="T503" s="11" t="n">
        <f aca="false">IF(Q503,S503,IF(M503,0,Y502))</f>
        <v>664.118972006065</v>
      </c>
      <c r="U503" s="8" t="n">
        <f aca="false">IF(Q503,AE502,AF502)</f>
        <v>0.771982232894536</v>
      </c>
      <c r="V503" s="9" t="b">
        <f aca="false">AND(T503&gt;0,D503&lt;=U503)</f>
        <v>0</v>
      </c>
      <c r="W503" s="10" t="n">
        <f aca="false">IF(V503,T503*(AK503-AB503)-Inputs!$B$9-T503*AD503*Inputs!$B$13*(A503-AC503),0)</f>
        <v>0</v>
      </c>
      <c r="X503" s="10" t="n">
        <f aca="false">P503-IF(Q503,Inputs!$B$9,0)+W503</f>
        <v>1015.3844066801</v>
      </c>
      <c r="Y503" s="11" t="n">
        <f aca="false">IF(V503,0,T503)</f>
        <v>664.118972006065</v>
      </c>
      <c r="Z503" s="9" t="b">
        <f aca="false">AND(Y503&gt;0,K503)</f>
        <v>0</v>
      </c>
      <c r="AA503" s="9" t="b">
        <f aca="false">AND(Y503=0,J503,ISNUMBER(L503))</f>
        <v>0</v>
      </c>
      <c r="AB503" s="8" t="n">
        <f aca="false">IF(Q503,R503,AB502)</f>
        <v>0.787286484836172</v>
      </c>
      <c r="AC503" s="12" t="n">
        <f aca="false">IF(Q503,A503,AC502)</f>
        <v>45226</v>
      </c>
      <c r="AD503" s="8" t="n">
        <f aca="false">IF(Q503,B503,AD502)</f>
        <v>0.787129059024367</v>
      </c>
      <c r="AE503" s="8" t="str">
        <f aca="false">IF(AA503,L503,"")</f>
        <v/>
      </c>
      <c r="AF503" s="8" t="n">
        <f aca="false">U503</f>
        <v>0.771982232894536</v>
      </c>
      <c r="AG503" s="2" t="n">
        <f aca="false">AG502+IF(Q503,1,0)</f>
        <v>3</v>
      </c>
      <c r="AH503" s="2" t="n">
        <f aca="false">AG502</f>
        <v>3</v>
      </c>
      <c r="AI503" s="10" t="n">
        <f aca="false">X503+Y503*(E503-AB503)-Y503*AD503*Inputs!$B$13*(A503-AC503)</f>
        <v>1028.51749049415</v>
      </c>
      <c r="AJ503" s="10" t="n">
        <v>0</v>
      </c>
      <c r="AK503" s="8" t="n">
        <f aca="false">IF(AND(B503&lt;=U503,NOT(Q503)),B503,U503)*(1-Inputs!$B$12)</f>
        <v>0.771827836447957</v>
      </c>
    </row>
    <row r="504" customFormat="false" ht="15" hidden="false" customHeight="false" outlineLevel="0" collapsed="false">
      <c r="A504" s="6" t="n">
        <v>45288</v>
      </c>
      <c r="B504" s="7" t="n">
        <v>0.815612276055535</v>
      </c>
      <c r="C504" s="7" t="n">
        <v>0.816456069438657</v>
      </c>
      <c r="D504" s="7" t="n">
        <v>0.812050631644151</v>
      </c>
      <c r="E504" s="7" t="n">
        <v>0.813993900201338</v>
      </c>
      <c r="F504" s="8" t="n">
        <f aca="true">IF(ROW()-2&gt;=Inputs!$B$4,AVERAGE(OFFSET(E504,1-Inputs!$B$4,0,Inputs!$B$4,1)),"")</f>
        <v>0.825631429899471</v>
      </c>
      <c r="G504" s="8" t="n">
        <f aca="true">IF(ROW()-2&gt;=Inputs!$B$5,AVERAGE(OFFSET(E504,1-Inputs!$B$5,0,Inputs!$B$5,1)),"")</f>
        <v>0.814530932248457</v>
      </c>
      <c r="H504" s="8" t="n">
        <f aca="false">MAX(C504-D504,ABS(C504-E503),ABS(D504-E503))</f>
        <v>0.00440543779450608</v>
      </c>
      <c r="I504" s="8" t="n">
        <f aca="true">IF(ROW()-2&lt;14,"",IF(ROW()-2=14,AVERAGE(OFFSET(H504,-13,0,14,1)),(I503*13+H504)/14))</f>
        <v>0.008608601106071</v>
      </c>
      <c r="J504" s="9" t="b">
        <f aca="false">IF(AND(ISNUMBER(F504),ISNUMBER(G504),ISNUMBER(F503),ISNUMBER(G503)),AND(F504&gt;G504,F503&lt;=G503),FALSE())</f>
        <v>0</v>
      </c>
      <c r="K504" s="9" t="b">
        <f aca="false">IF(AND(ISNUMBER(F504),ISNUMBER(G504),ISNUMBER(F503),ISNUMBER(G503)),AND(F504&lt;G504,F503&gt;=G503),FALSE())</f>
        <v>0</v>
      </c>
      <c r="L504" s="8" t="n">
        <f aca="false">IF(ISNUMBER(I504),E504-Inputs!$B$6*I504,"")</f>
        <v>0.796776697989196</v>
      </c>
      <c r="M504" s="9" t="b">
        <f aca="false">AND(Y503&gt;0,Z503)</f>
        <v>0</v>
      </c>
      <c r="N504" s="8" t="n">
        <f aca="false">B504*(1-Inputs!$B$12)</f>
        <v>0.815449153600324</v>
      </c>
      <c r="O504" s="10" t="n">
        <f aca="false">IF(M504,Y503*(N504-AB503)-Inputs!$B$9-Y503*AD503*Inputs!$B$13*(A504-AC503),0)</f>
        <v>0</v>
      </c>
      <c r="P504" s="10" t="n">
        <f aca="false">X503+O504</f>
        <v>1015.3844066801</v>
      </c>
      <c r="Q504" s="9" t="b">
        <f aca="false">AND(IF(M504,0,Y503)=0,AA503,IF(ISNUMBER(AE503),B504&gt;AE503,FALSE()))</f>
        <v>0</v>
      </c>
      <c r="R504" s="8" t="n">
        <f aca="false">B504*(1+Inputs!$B$12)</f>
        <v>0.815775398510746</v>
      </c>
      <c r="S504" s="11" t="n">
        <f aca="false">IF(Q504,MIN(P504*Inputs!$B$3/(R504-AE503),P504*Inputs!$B$11/R504),0)</f>
        <v>0</v>
      </c>
      <c r="T504" s="11" t="n">
        <f aca="false">IF(Q504,S504,IF(M504,0,Y503))</f>
        <v>664.118972006065</v>
      </c>
      <c r="U504" s="8" t="n">
        <f aca="false">IF(Q504,AE503,AF503)</f>
        <v>0.771982232894536</v>
      </c>
      <c r="V504" s="9" t="b">
        <f aca="false">AND(T504&gt;0,D504&lt;=U504)</f>
        <v>0</v>
      </c>
      <c r="W504" s="10" t="n">
        <f aca="false">IF(V504,T504*(AK504-AB504)-Inputs!$B$9-T504*AD504*Inputs!$B$13*(A504-AC504),0)</f>
        <v>0</v>
      </c>
      <c r="X504" s="10" t="n">
        <f aca="false">P504-IF(Q504,Inputs!$B$9,0)+W504</f>
        <v>1015.3844066801</v>
      </c>
      <c r="Y504" s="11" t="n">
        <f aca="false">IF(V504,0,T504)</f>
        <v>664.118972006065</v>
      </c>
      <c r="Z504" s="9" t="b">
        <f aca="false">AND(Y504&gt;0,K504)</f>
        <v>0</v>
      </c>
      <c r="AA504" s="9" t="b">
        <f aca="false">AND(Y504=0,J504,ISNUMBER(L504))</f>
        <v>0</v>
      </c>
      <c r="AB504" s="8" t="n">
        <f aca="false">IF(Q504,R504,AB503)</f>
        <v>0.787286484836172</v>
      </c>
      <c r="AC504" s="12" t="n">
        <f aca="false">IF(Q504,A504,AC503)</f>
        <v>45226</v>
      </c>
      <c r="AD504" s="8" t="n">
        <f aca="false">IF(Q504,B504,AD503)</f>
        <v>0.787129059024367</v>
      </c>
      <c r="AE504" s="8" t="str">
        <f aca="false">IF(AA504,L504,"")</f>
        <v/>
      </c>
      <c r="AF504" s="8" t="n">
        <f aca="false">U504</f>
        <v>0.771982232894536</v>
      </c>
      <c r="AG504" s="2" t="n">
        <f aca="false">AG503+IF(Q504,1,0)</f>
        <v>3</v>
      </c>
      <c r="AH504" s="2" t="n">
        <f aca="false">AG503</f>
        <v>3</v>
      </c>
      <c r="AI504" s="10" t="n">
        <f aca="false">X504+Y504*(E504-AB504)-Y504*AD504*Inputs!$B$13*(A504-AC504)</f>
        <v>1027.34960439322</v>
      </c>
      <c r="AJ504" s="10" t="n">
        <v>0</v>
      </c>
      <c r="AK504" s="8" t="n">
        <f aca="false">IF(AND(B504&lt;=U504,NOT(Q504)),B504,U504)*(1-Inputs!$B$12)</f>
        <v>0.771827836447957</v>
      </c>
    </row>
    <row r="505" customFormat="false" ht="15" hidden="false" customHeight="false" outlineLevel="0" collapsed="false">
      <c r="A505" s="6" t="n">
        <v>45289</v>
      </c>
      <c r="B505" s="7" t="n">
        <v>0.813993900201338</v>
      </c>
      <c r="C505" s="7" t="n">
        <v>0.822363405379772</v>
      </c>
      <c r="D505" s="7" t="n">
        <v>0.812394825959643</v>
      </c>
      <c r="E505" s="7" t="n">
        <v>0.817409019680488</v>
      </c>
      <c r="F505" s="8" t="n">
        <f aca="true">IF(ROW()-2&gt;=Inputs!$B$4,AVERAGE(OFFSET(E505,1-Inputs!$B$4,0,Inputs!$B$4,1)),"")</f>
        <v>0.825390375987515</v>
      </c>
      <c r="G505" s="8" t="n">
        <f aca="true">IF(ROW()-2&gt;=Inputs!$B$5,AVERAGE(OFFSET(E505,1-Inputs!$B$5,0,Inputs!$B$5,1)),"")</f>
        <v>0.815098372615953</v>
      </c>
      <c r="H505" s="8" t="n">
        <f aca="false">MAX(C505-D505,ABS(C505-E504),ABS(D505-E504))</f>
        <v>0.00996857942012863</v>
      </c>
      <c r="I505" s="8" t="n">
        <f aca="true">IF(ROW()-2&lt;14,"",IF(ROW()-2=14,AVERAGE(OFFSET(H505,-13,0,14,1)),(I504*13+H505)/14))</f>
        <v>0.00870574241421798</v>
      </c>
      <c r="J505" s="9" t="b">
        <f aca="false">IF(AND(ISNUMBER(F505),ISNUMBER(G505),ISNUMBER(F504),ISNUMBER(G504)),AND(F505&gt;G505,F504&lt;=G504),FALSE())</f>
        <v>0</v>
      </c>
      <c r="K505" s="9" t="b">
        <f aca="false">IF(AND(ISNUMBER(F505),ISNUMBER(G505),ISNUMBER(F504),ISNUMBER(G504)),AND(F505&lt;G505,F504&gt;=G504),FALSE())</f>
        <v>0</v>
      </c>
      <c r="L505" s="8" t="n">
        <f aca="false">IF(ISNUMBER(I505),E505-Inputs!$B$6*I505,"")</f>
        <v>0.799997534852052</v>
      </c>
      <c r="M505" s="9" t="b">
        <f aca="false">AND(Y504&gt;0,Z504)</f>
        <v>0</v>
      </c>
      <c r="N505" s="8" t="n">
        <f aca="false">B505*(1-Inputs!$B$12)</f>
        <v>0.813831101421298</v>
      </c>
      <c r="O505" s="10" t="n">
        <f aca="false">IF(M505,Y504*(N505-AB504)-Inputs!$B$9-Y504*AD504*Inputs!$B$13*(A505-AC504),0)</f>
        <v>0</v>
      </c>
      <c r="P505" s="10" t="n">
        <f aca="false">X504+O505</f>
        <v>1015.3844066801</v>
      </c>
      <c r="Q505" s="9" t="b">
        <f aca="false">AND(IF(M505,0,Y504)=0,AA504,IF(ISNUMBER(AE504),B505&gt;AE504,FALSE()))</f>
        <v>0</v>
      </c>
      <c r="R505" s="8" t="n">
        <f aca="false">B505*(1+Inputs!$B$12)</f>
        <v>0.814156698981378</v>
      </c>
      <c r="S505" s="11" t="n">
        <f aca="false">IF(Q505,MIN(P505*Inputs!$B$3/(R505-AE504),P505*Inputs!$B$11/R505),0)</f>
        <v>0</v>
      </c>
      <c r="T505" s="11" t="n">
        <f aca="false">IF(Q505,S505,IF(M505,0,Y504))</f>
        <v>664.118972006065</v>
      </c>
      <c r="U505" s="8" t="n">
        <f aca="false">IF(Q505,AE504,AF504)</f>
        <v>0.771982232894536</v>
      </c>
      <c r="V505" s="9" t="b">
        <f aca="false">AND(T505&gt;0,D505&lt;=U505)</f>
        <v>0</v>
      </c>
      <c r="W505" s="10" t="n">
        <f aca="false">IF(V505,T505*(AK505-AB505)-Inputs!$B$9-T505*AD505*Inputs!$B$13*(A505-AC505),0)</f>
        <v>0</v>
      </c>
      <c r="X505" s="10" t="n">
        <f aca="false">P505-IF(Q505,Inputs!$B$9,0)+W505</f>
        <v>1015.3844066801</v>
      </c>
      <c r="Y505" s="11" t="n">
        <f aca="false">IF(V505,0,T505)</f>
        <v>664.118972006065</v>
      </c>
      <c r="Z505" s="9" t="b">
        <f aca="false">AND(Y505&gt;0,K505)</f>
        <v>0</v>
      </c>
      <c r="AA505" s="9" t="b">
        <f aca="false">AND(Y505=0,J505,ISNUMBER(L505))</f>
        <v>0</v>
      </c>
      <c r="AB505" s="8" t="n">
        <f aca="false">IF(Q505,R505,AB504)</f>
        <v>0.787286484836172</v>
      </c>
      <c r="AC505" s="12" t="n">
        <f aca="false">IF(Q505,A505,AC504)</f>
        <v>45226</v>
      </c>
      <c r="AD505" s="8" t="n">
        <f aca="false">IF(Q505,B505,AD504)</f>
        <v>0.787129059024367</v>
      </c>
      <c r="AE505" s="8" t="str">
        <f aca="false">IF(AA505,L505,"")</f>
        <v/>
      </c>
      <c r="AF505" s="8" t="n">
        <f aca="false">U505</f>
        <v>0.771982232894536</v>
      </c>
      <c r="AG505" s="2" t="n">
        <f aca="false">AG504+IF(Q505,1,0)</f>
        <v>3</v>
      </c>
      <c r="AH505" s="2" t="n">
        <f aca="false">AG504</f>
        <v>3</v>
      </c>
      <c r="AI505" s="10" t="n">
        <f aca="false">X505+Y505*(E505-AB505)-Y505*AD505*Inputs!$B$13*(A505-AC505)</f>
        <v>1029.52455803867</v>
      </c>
      <c r="AJ505" s="10" t="n">
        <v>0</v>
      </c>
      <c r="AK505" s="8" t="n">
        <f aca="false">IF(AND(B505&lt;=U505,NOT(Q505)),B505,U505)*(1-Inputs!$B$12)</f>
        <v>0.771827836447957</v>
      </c>
    </row>
    <row r="506" customFormat="false" ht="15" hidden="false" customHeight="false" outlineLevel="0" collapsed="false">
      <c r="A506" s="6" t="n">
        <v>45290</v>
      </c>
      <c r="B506" s="7" t="n">
        <v>0.817409019680488</v>
      </c>
      <c r="C506" s="7" t="n">
        <v>0.827985540842155</v>
      </c>
      <c r="D506" s="7" t="n">
        <v>0.815054523156428</v>
      </c>
      <c r="E506" s="7" t="n">
        <v>0.825331337606839</v>
      </c>
      <c r="F506" s="8" t="n">
        <f aca="true">IF(ROW()-2&gt;=Inputs!$B$4,AVERAGE(OFFSET(E506,1-Inputs!$B$4,0,Inputs!$B$4,1)),"")</f>
        <v>0.825223377838456</v>
      </c>
      <c r="G506" s="8" t="n">
        <f aca="true">IF(ROW()-2&gt;=Inputs!$B$5,AVERAGE(OFFSET(E506,1-Inputs!$B$5,0,Inputs!$B$5,1)),"")</f>
        <v>0.81589521782446</v>
      </c>
      <c r="H506" s="8" t="n">
        <f aca="false">MAX(C506-D506,ABS(C506-E505),ABS(D506-E505))</f>
        <v>0.0129310176857269</v>
      </c>
      <c r="I506" s="8" t="n">
        <f aca="true">IF(ROW()-2&lt;14,"",IF(ROW()-2=14,AVERAGE(OFFSET(H506,-13,0,14,1)),(I505*13+H506)/14))</f>
        <v>0.00900754779075433</v>
      </c>
      <c r="J506" s="9" t="b">
        <f aca="false">IF(AND(ISNUMBER(F506),ISNUMBER(G506),ISNUMBER(F505),ISNUMBER(G505)),AND(F506&gt;G506,F505&lt;=G505),FALSE())</f>
        <v>0</v>
      </c>
      <c r="K506" s="9" t="b">
        <f aca="false">IF(AND(ISNUMBER(F506),ISNUMBER(G506),ISNUMBER(F505),ISNUMBER(G505)),AND(F506&lt;G506,F505&gt;=G505),FALSE())</f>
        <v>0</v>
      </c>
      <c r="L506" s="8" t="n">
        <f aca="false">IF(ISNUMBER(I506),E506-Inputs!$B$6*I506,"")</f>
        <v>0.80731624202533</v>
      </c>
      <c r="M506" s="9" t="b">
        <f aca="false">AND(Y505&gt;0,Z505)</f>
        <v>0</v>
      </c>
      <c r="N506" s="8" t="n">
        <f aca="false">B506*(1-Inputs!$B$12)</f>
        <v>0.817245537876552</v>
      </c>
      <c r="O506" s="10" t="n">
        <f aca="false">IF(M506,Y505*(N506-AB505)-Inputs!$B$9-Y505*AD505*Inputs!$B$13*(A506-AC505),0)</f>
        <v>0</v>
      </c>
      <c r="P506" s="10" t="n">
        <f aca="false">X505+O506</f>
        <v>1015.3844066801</v>
      </c>
      <c r="Q506" s="9" t="b">
        <f aca="false">AND(IF(M506,0,Y505)=0,AA505,IF(ISNUMBER(AE505),B506&gt;AE505,FALSE()))</f>
        <v>0</v>
      </c>
      <c r="R506" s="8" t="n">
        <f aca="false">B506*(1+Inputs!$B$12)</f>
        <v>0.817572501484424</v>
      </c>
      <c r="S506" s="11" t="n">
        <f aca="false">IF(Q506,MIN(P506*Inputs!$B$3/(R506-AE505),P506*Inputs!$B$11/R506),0)</f>
        <v>0</v>
      </c>
      <c r="T506" s="11" t="n">
        <f aca="false">IF(Q506,S506,IF(M506,0,Y505))</f>
        <v>664.118972006065</v>
      </c>
      <c r="U506" s="8" t="n">
        <f aca="false">IF(Q506,AE505,AF505)</f>
        <v>0.771982232894536</v>
      </c>
      <c r="V506" s="9" t="b">
        <f aca="false">AND(T506&gt;0,D506&lt;=U506)</f>
        <v>0</v>
      </c>
      <c r="W506" s="10" t="n">
        <f aca="false">IF(V506,T506*(AK506-AB506)-Inputs!$B$9-T506*AD506*Inputs!$B$13*(A506-AC506),0)</f>
        <v>0</v>
      </c>
      <c r="X506" s="10" t="n">
        <f aca="false">P506-IF(Q506,Inputs!$B$9,0)+W506</f>
        <v>1015.3844066801</v>
      </c>
      <c r="Y506" s="11" t="n">
        <f aca="false">IF(V506,0,T506)</f>
        <v>664.118972006065</v>
      </c>
      <c r="Z506" s="9" t="b">
        <f aca="false">AND(Y506&gt;0,K506)</f>
        <v>0</v>
      </c>
      <c r="AA506" s="9" t="b">
        <f aca="false">AND(Y506=0,J506,ISNUMBER(L506))</f>
        <v>0</v>
      </c>
      <c r="AB506" s="8" t="n">
        <f aca="false">IF(Q506,R506,AB505)</f>
        <v>0.787286484836172</v>
      </c>
      <c r="AC506" s="12" t="n">
        <f aca="false">IF(Q506,A506,AC505)</f>
        <v>45226</v>
      </c>
      <c r="AD506" s="8" t="n">
        <f aca="false">IF(Q506,B506,AD505)</f>
        <v>0.787129059024367</v>
      </c>
      <c r="AE506" s="8" t="str">
        <f aca="false">IF(AA506,L506,"")</f>
        <v/>
      </c>
      <c r="AF506" s="8" t="n">
        <f aca="false">U506</f>
        <v>0.771982232894536</v>
      </c>
      <c r="AG506" s="2" t="n">
        <f aca="false">AG505+IF(Q506,1,0)</f>
        <v>3</v>
      </c>
      <c r="AH506" s="2" t="n">
        <f aca="false">AG505</f>
        <v>3</v>
      </c>
      <c r="AI506" s="10" t="n">
        <f aca="false">X506+Y506*(E506-AB506)-Y506*AD506*Inputs!$B$13*(A506-AC506)</f>
        <v>1034.6928276835</v>
      </c>
      <c r="AJ506" s="10" t="n">
        <v>0</v>
      </c>
      <c r="AK506" s="8" t="n">
        <f aca="false">IF(AND(B506&lt;=U506,NOT(Q506)),B506,U506)*(1-Inputs!$B$12)</f>
        <v>0.771827836447957</v>
      </c>
    </row>
    <row r="507" customFormat="false" ht="15" hidden="false" customHeight="false" outlineLevel="0" collapsed="false">
      <c r="A507" s="6" t="n">
        <v>45291</v>
      </c>
      <c r="B507" s="7" t="n">
        <v>0.825331337606839</v>
      </c>
      <c r="C507" s="7" t="n">
        <v>0.830532106735343</v>
      </c>
      <c r="D507" s="7" t="n">
        <v>0.81626201786072</v>
      </c>
      <c r="E507" s="7" t="n">
        <v>0.817792248762851</v>
      </c>
      <c r="F507" s="8" t="n">
        <f aca="true">IF(ROW()-2&gt;=Inputs!$B$4,AVERAGE(OFFSET(E507,1-Inputs!$B$4,0,Inputs!$B$4,1)),"")</f>
        <v>0.824645979948358</v>
      </c>
      <c r="G507" s="8" t="n">
        <f aca="true">IF(ROW()-2&gt;=Inputs!$B$5,AVERAGE(OFFSET(E507,1-Inputs!$B$5,0,Inputs!$B$5,1)),"")</f>
        <v>0.816420069218074</v>
      </c>
      <c r="H507" s="8" t="n">
        <f aca="false">MAX(C507-D507,ABS(C507-E506),ABS(D507-E506))</f>
        <v>0.0142700888746222</v>
      </c>
      <c r="I507" s="8" t="n">
        <f aca="true">IF(ROW()-2&lt;14,"",IF(ROW()-2=14,AVERAGE(OFFSET(H507,-13,0,14,1)),(I506*13+H507)/14))</f>
        <v>0.00938344358245918</v>
      </c>
      <c r="J507" s="9" t="b">
        <f aca="false">IF(AND(ISNUMBER(F507),ISNUMBER(G507),ISNUMBER(F506),ISNUMBER(G506)),AND(F507&gt;G507,F506&lt;=G506),FALSE())</f>
        <v>0</v>
      </c>
      <c r="K507" s="9" t="b">
        <f aca="false">IF(AND(ISNUMBER(F507),ISNUMBER(G507),ISNUMBER(F506),ISNUMBER(G506)),AND(F507&lt;G507,F506&gt;=G506),FALSE())</f>
        <v>0</v>
      </c>
      <c r="L507" s="8" t="n">
        <f aca="false">IF(ISNUMBER(I507),E507-Inputs!$B$6*I507,"")</f>
        <v>0.799025361597933</v>
      </c>
      <c r="M507" s="9" t="b">
        <f aca="false">AND(Y506&gt;0,Z506)</f>
        <v>0</v>
      </c>
      <c r="N507" s="8" t="n">
        <f aca="false">B507*(1-Inputs!$B$12)</f>
        <v>0.825166271339317</v>
      </c>
      <c r="O507" s="10" t="n">
        <f aca="false">IF(M507,Y506*(N507-AB506)-Inputs!$B$9-Y506*AD506*Inputs!$B$13*(A507-AC506),0)</f>
        <v>0</v>
      </c>
      <c r="P507" s="10" t="n">
        <f aca="false">X506+O507</f>
        <v>1015.3844066801</v>
      </c>
      <c r="Q507" s="9" t="b">
        <f aca="false">AND(IF(M507,0,Y506)=0,AA506,IF(ISNUMBER(AE506),B507&gt;AE506,FALSE()))</f>
        <v>0</v>
      </c>
      <c r="R507" s="8" t="n">
        <f aca="false">B507*(1+Inputs!$B$12)</f>
        <v>0.82549640387436</v>
      </c>
      <c r="S507" s="11" t="n">
        <f aca="false">IF(Q507,MIN(P507*Inputs!$B$3/(R507-AE506),P507*Inputs!$B$11/R507),0)</f>
        <v>0</v>
      </c>
      <c r="T507" s="11" t="n">
        <f aca="false">IF(Q507,S507,IF(M507,0,Y506))</f>
        <v>664.118972006065</v>
      </c>
      <c r="U507" s="8" t="n">
        <f aca="false">IF(Q507,AE506,AF506)</f>
        <v>0.771982232894536</v>
      </c>
      <c r="V507" s="9" t="b">
        <f aca="false">AND(T507&gt;0,D507&lt;=U507)</f>
        <v>0</v>
      </c>
      <c r="W507" s="10" t="n">
        <f aca="false">IF(V507,T507*(AK507-AB507)-Inputs!$B$9-T507*AD507*Inputs!$B$13*(A507-AC507),0)</f>
        <v>0</v>
      </c>
      <c r="X507" s="10" t="n">
        <f aca="false">P507-IF(Q507,Inputs!$B$9,0)+W507</f>
        <v>1015.3844066801</v>
      </c>
      <c r="Y507" s="11" t="n">
        <f aca="false">IF(V507,0,T507)</f>
        <v>664.118972006065</v>
      </c>
      <c r="Z507" s="9" t="b">
        <f aca="false">AND(Y507&gt;0,K507)</f>
        <v>0</v>
      </c>
      <c r="AA507" s="9" t="b">
        <f aca="false">AND(Y507=0,J507,ISNUMBER(L507))</f>
        <v>0</v>
      </c>
      <c r="AB507" s="8" t="n">
        <f aca="false">IF(Q507,R507,AB506)</f>
        <v>0.787286484836172</v>
      </c>
      <c r="AC507" s="12" t="n">
        <f aca="false">IF(Q507,A507,AC506)</f>
        <v>45226</v>
      </c>
      <c r="AD507" s="8" t="n">
        <f aca="false">IF(Q507,B507,AD506)</f>
        <v>0.787129059024367</v>
      </c>
      <c r="AE507" s="8" t="str">
        <f aca="false">IF(AA507,L507,"")</f>
        <v/>
      </c>
      <c r="AF507" s="8" t="n">
        <f aca="false">U507</f>
        <v>0.771982232894536</v>
      </c>
      <c r="AG507" s="2" t="n">
        <f aca="false">AG506+IF(Q507,1,0)</f>
        <v>3</v>
      </c>
      <c r="AH507" s="2" t="n">
        <f aca="false">AG506</f>
        <v>3</v>
      </c>
      <c r="AI507" s="10" t="n">
        <f aca="false">X507+Y507*(E507-AB507)-Y507*AD507*Inputs!$B$13*(A507-AC507)</f>
        <v>1029.59288375824</v>
      </c>
      <c r="AJ507" s="10" t="n">
        <v>0</v>
      </c>
      <c r="AK507" s="8" t="n">
        <f aca="false">IF(AND(B507&lt;=U507,NOT(Q507)),B507,U507)*(1-Inputs!$B$12)</f>
        <v>0.771827836447957</v>
      </c>
    </row>
    <row r="508" customFormat="false" ht="15" hidden="false" customHeight="false" outlineLevel="0" collapsed="false">
      <c r="A508" s="6" t="n">
        <v>45292</v>
      </c>
      <c r="B508" s="7" t="n">
        <v>0.817792248762851</v>
      </c>
      <c r="C508" s="7" t="n">
        <v>0.821275459009289</v>
      </c>
      <c r="D508" s="7" t="n">
        <v>0.815992311875436</v>
      </c>
      <c r="E508" s="7" t="n">
        <v>0.818837218238535</v>
      </c>
      <c r="F508" s="8" t="n">
        <f aca="true">IF(ROW()-2&gt;=Inputs!$B$4,AVERAGE(OFFSET(E508,1-Inputs!$B$4,0,Inputs!$B$4,1)),"")</f>
        <v>0.824438367480227</v>
      </c>
      <c r="G508" s="8" t="n">
        <f aca="true">IF(ROW()-2&gt;=Inputs!$B$5,AVERAGE(OFFSET(E508,1-Inputs!$B$5,0,Inputs!$B$5,1)),"")</f>
        <v>0.816839793691295</v>
      </c>
      <c r="H508" s="8" t="n">
        <f aca="false">MAX(C508-D508,ABS(C508-E507),ABS(D508-E507))</f>
        <v>0.00528314713385347</v>
      </c>
      <c r="I508" s="8" t="n">
        <f aca="true">IF(ROW()-2&lt;14,"",IF(ROW()-2=14,AVERAGE(OFFSET(H508,-13,0,14,1)),(I507*13+H508)/14))</f>
        <v>0.00909056526470163</v>
      </c>
      <c r="J508" s="9" t="b">
        <f aca="false">IF(AND(ISNUMBER(F508),ISNUMBER(G508),ISNUMBER(F507),ISNUMBER(G507)),AND(F508&gt;G508,F507&lt;=G507),FALSE())</f>
        <v>0</v>
      </c>
      <c r="K508" s="9" t="b">
        <f aca="false">IF(AND(ISNUMBER(F508),ISNUMBER(G508),ISNUMBER(F507),ISNUMBER(G507)),AND(F508&lt;G508,F507&gt;=G507),FALSE())</f>
        <v>0</v>
      </c>
      <c r="L508" s="8" t="n">
        <f aca="false">IF(ISNUMBER(I508),E508-Inputs!$B$6*I508,"")</f>
        <v>0.800656087709132</v>
      </c>
      <c r="M508" s="9" t="b">
        <f aca="false">AND(Y507&gt;0,Z507)</f>
        <v>0</v>
      </c>
      <c r="N508" s="8" t="n">
        <f aca="false">B508*(1-Inputs!$B$12)</f>
        <v>0.817628690313099</v>
      </c>
      <c r="O508" s="10" t="n">
        <f aca="false">IF(M508,Y507*(N508-AB507)-Inputs!$B$9-Y507*AD507*Inputs!$B$13*(A508-AC507),0)</f>
        <v>0</v>
      </c>
      <c r="P508" s="10" t="n">
        <f aca="false">X507+O508</f>
        <v>1015.3844066801</v>
      </c>
      <c r="Q508" s="9" t="b">
        <f aca="false">AND(IF(M508,0,Y507)=0,AA507,IF(ISNUMBER(AE507),B508&gt;AE507,FALSE()))</f>
        <v>0</v>
      </c>
      <c r="R508" s="8" t="n">
        <f aca="false">B508*(1+Inputs!$B$12)</f>
        <v>0.817955807212604</v>
      </c>
      <c r="S508" s="11" t="n">
        <f aca="false">IF(Q508,MIN(P508*Inputs!$B$3/(R508-AE507),P508*Inputs!$B$11/R508),0)</f>
        <v>0</v>
      </c>
      <c r="T508" s="11" t="n">
        <f aca="false">IF(Q508,S508,IF(M508,0,Y507))</f>
        <v>664.118972006065</v>
      </c>
      <c r="U508" s="8" t="n">
        <f aca="false">IF(Q508,AE507,AF507)</f>
        <v>0.771982232894536</v>
      </c>
      <c r="V508" s="9" t="b">
        <f aca="false">AND(T508&gt;0,D508&lt;=U508)</f>
        <v>0</v>
      </c>
      <c r="W508" s="10" t="n">
        <f aca="false">IF(V508,T508*(AK508-AB508)-Inputs!$B$9-T508*AD508*Inputs!$B$13*(A508-AC508),0)</f>
        <v>0</v>
      </c>
      <c r="X508" s="10" t="n">
        <f aca="false">P508-IF(Q508,Inputs!$B$9,0)+W508</f>
        <v>1015.3844066801</v>
      </c>
      <c r="Y508" s="11" t="n">
        <f aca="false">IF(V508,0,T508)</f>
        <v>664.118972006065</v>
      </c>
      <c r="Z508" s="9" t="b">
        <f aca="false">AND(Y508&gt;0,K508)</f>
        <v>0</v>
      </c>
      <c r="AA508" s="9" t="b">
        <f aca="false">AND(Y508=0,J508,ISNUMBER(L508))</f>
        <v>0</v>
      </c>
      <c r="AB508" s="8" t="n">
        <f aca="false">IF(Q508,R508,AB507)</f>
        <v>0.787286484836172</v>
      </c>
      <c r="AC508" s="12" t="n">
        <f aca="false">IF(Q508,A508,AC507)</f>
        <v>45226</v>
      </c>
      <c r="AD508" s="8" t="n">
        <f aca="false">IF(Q508,B508,AD507)</f>
        <v>0.787129059024367</v>
      </c>
      <c r="AE508" s="8" t="str">
        <f aca="false">IF(AA508,L508,"")</f>
        <v/>
      </c>
      <c r="AF508" s="8" t="n">
        <f aca="false">U508</f>
        <v>0.771982232894536</v>
      </c>
      <c r="AG508" s="2" t="n">
        <f aca="false">AG507+IF(Q508,1,0)</f>
        <v>3</v>
      </c>
      <c r="AH508" s="2" t="n">
        <f aca="false">AG507</f>
        <v>3</v>
      </c>
      <c r="AI508" s="10" t="n">
        <f aca="false">X508+Y508*(E508-AB508)-Y508*AD508*Inputs!$B$13*(A508-AC508)</f>
        <v>1030.19377581988</v>
      </c>
      <c r="AJ508" s="10" t="n">
        <v>0</v>
      </c>
      <c r="AK508" s="8" t="n">
        <f aca="false">IF(AND(B508&lt;=U508,NOT(Q508)),B508,U508)*(1-Inputs!$B$12)</f>
        <v>0.771827836447957</v>
      </c>
    </row>
    <row r="509" customFormat="false" ht="15" hidden="false" customHeight="false" outlineLevel="0" collapsed="false">
      <c r="A509" s="6" t="n">
        <v>45293</v>
      </c>
      <c r="B509" s="7" t="n">
        <v>0.818837218238535</v>
      </c>
      <c r="C509" s="7" t="n">
        <v>0.832652135558604</v>
      </c>
      <c r="D509" s="7" t="n">
        <v>0.817936351646434</v>
      </c>
      <c r="E509" s="7" t="n">
        <v>0.829471625045962</v>
      </c>
      <c r="F509" s="8" t="n">
        <f aca="true">IF(ROW()-2&gt;=Inputs!$B$4,AVERAGE(OFFSET(E509,1-Inputs!$B$4,0,Inputs!$B$4,1)),"")</f>
        <v>0.824675943756465</v>
      </c>
      <c r="G509" s="8" t="n">
        <f aca="true">IF(ROW()-2&gt;=Inputs!$B$5,AVERAGE(OFFSET(E509,1-Inputs!$B$5,0,Inputs!$B$5,1)),"")</f>
        <v>0.81757168877491</v>
      </c>
      <c r="H509" s="8" t="n">
        <f aca="false">MAX(C509-D509,ABS(C509-E508),ABS(D509-E508))</f>
        <v>0.0147157839121705</v>
      </c>
      <c r="I509" s="8" t="n">
        <f aca="true">IF(ROW()-2&lt;14,"",IF(ROW()-2=14,AVERAGE(OFFSET(H509,-13,0,14,1)),(I508*13+H509)/14))</f>
        <v>0.00949236659666369</v>
      </c>
      <c r="J509" s="9" t="b">
        <f aca="false">IF(AND(ISNUMBER(F509),ISNUMBER(G509),ISNUMBER(F508),ISNUMBER(G508)),AND(F509&gt;G509,F508&lt;=G508),FALSE())</f>
        <v>0</v>
      </c>
      <c r="K509" s="9" t="b">
        <f aca="false">IF(AND(ISNUMBER(F509),ISNUMBER(G509),ISNUMBER(F508),ISNUMBER(G508)),AND(F509&lt;G509,F508&gt;=G508),FALSE())</f>
        <v>0</v>
      </c>
      <c r="L509" s="8" t="n">
        <f aca="false">IF(ISNUMBER(I509),E509-Inputs!$B$6*I509,"")</f>
        <v>0.810486891852634</v>
      </c>
      <c r="M509" s="9" t="b">
        <f aca="false">AND(Y508&gt;0,Z508)</f>
        <v>0</v>
      </c>
      <c r="N509" s="8" t="n">
        <f aca="false">B509*(1-Inputs!$B$12)</f>
        <v>0.818673450794887</v>
      </c>
      <c r="O509" s="10" t="n">
        <f aca="false">IF(M509,Y508*(N509-AB508)-Inputs!$B$9-Y508*AD508*Inputs!$B$13*(A509-AC508),0)</f>
        <v>0</v>
      </c>
      <c r="P509" s="10" t="n">
        <f aca="false">X508+O509</f>
        <v>1015.3844066801</v>
      </c>
      <c r="Q509" s="9" t="b">
        <f aca="false">AND(IF(M509,0,Y508)=0,AA508,IF(ISNUMBER(AE508),B509&gt;AE508,FALSE()))</f>
        <v>0</v>
      </c>
      <c r="R509" s="8" t="n">
        <f aca="false">B509*(1+Inputs!$B$12)</f>
        <v>0.819000985682183</v>
      </c>
      <c r="S509" s="11" t="n">
        <f aca="false">IF(Q509,MIN(P509*Inputs!$B$3/(R509-AE508),P509*Inputs!$B$11/R509),0)</f>
        <v>0</v>
      </c>
      <c r="T509" s="11" t="n">
        <f aca="false">IF(Q509,S509,IF(M509,0,Y508))</f>
        <v>664.118972006065</v>
      </c>
      <c r="U509" s="8" t="n">
        <f aca="false">IF(Q509,AE508,AF508)</f>
        <v>0.771982232894536</v>
      </c>
      <c r="V509" s="9" t="b">
        <f aca="false">AND(T509&gt;0,D509&lt;=U509)</f>
        <v>0</v>
      </c>
      <c r="W509" s="10" t="n">
        <f aca="false">IF(V509,T509*(AK509-AB509)-Inputs!$B$9-T509*AD509*Inputs!$B$13*(A509-AC509),0)</f>
        <v>0</v>
      </c>
      <c r="X509" s="10" t="n">
        <f aca="false">P509-IF(Q509,Inputs!$B$9,0)+W509</f>
        <v>1015.3844066801</v>
      </c>
      <c r="Y509" s="11" t="n">
        <f aca="false">IF(V509,0,T509)</f>
        <v>664.118972006065</v>
      </c>
      <c r="Z509" s="9" t="b">
        <f aca="false">AND(Y509&gt;0,K509)</f>
        <v>0</v>
      </c>
      <c r="AA509" s="9" t="b">
        <f aca="false">AND(Y509=0,J509,ISNUMBER(L509))</f>
        <v>0</v>
      </c>
      <c r="AB509" s="8" t="n">
        <f aca="false">IF(Q509,R509,AB508)</f>
        <v>0.787286484836172</v>
      </c>
      <c r="AC509" s="12" t="n">
        <f aca="false">IF(Q509,A509,AC508)</f>
        <v>45226</v>
      </c>
      <c r="AD509" s="8" t="n">
        <f aca="false">IF(Q509,B509,AD508)</f>
        <v>0.787129059024367</v>
      </c>
      <c r="AE509" s="8" t="str">
        <f aca="false">IF(AA509,L509,"")</f>
        <v/>
      </c>
      <c r="AF509" s="8" t="n">
        <f aca="false">U509</f>
        <v>0.771982232894536</v>
      </c>
      <c r="AG509" s="2" t="n">
        <f aca="false">AG508+IF(Q509,1,0)</f>
        <v>3</v>
      </c>
      <c r="AH509" s="2" t="n">
        <f aca="false">AG508</f>
        <v>3</v>
      </c>
      <c r="AI509" s="10" t="n">
        <f aca="false">X509+Y509*(E509-AB509)-Y509*AD509*Inputs!$B$13*(A509-AC509)</f>
        <v>1037.1631951444</v>
      </c>
      <c r="AJ509" s="10" t="n">
        <v>0</v>
      </c>
      <c r="AK509" s="8" t="n">
        <f aca="false">IF(AND(B509&lt;=U509,NOT(Q509)),B509,U509)*(1-Inputs!$B$12)</f>
        <v>0.771827836447957</v>
      </c>
    </row>
    <row r="510" customFormat="false" ht="15" hidden="false" customHeight="false" outlineLevel="0" collapsed="false">
      <c r="A510" s="6" t="n">
        <v>45294</v>
      </c>
      <c r="B510" s="7" t="n">
        <v>0.829471625045962</v>
      </c>
      <c r="C510" s="7" t="n">
        <v>0.834268577210692</v>
      </c>
      <c r="D510" s="7" t="n">
        <v>0.826482061686916</v>
      </c>
      <c r="E510" s="7" t="n">
        <v>0.829064581852679</v>
      </c>
      <c r="F510" s="8" t="n">
        <f aca="true">IF(ROW()-2&gt;=Inputs!$B$4,AVERAGE(OFFSET(E510,1-Inputs!$B$4,0,Inputs!$B$4,1)),"")</f>
        <v>0.824718927236605</v>
      </c>
      <c r="G510" s="8" t="n">
        <f aca="true">IF(ROW()-2&gt;=Inputs!$B$5,AVERAGE(OFFSET(E510,1-Inputs!$B$5,0,Inputs!$B$5,1)),"")</f>
        <v>0.818366097612779</v>
      </c>
      <c r="H510" s="8" t="n">
        <f aca="false">MAX(C510-D510,ABS(C510-E509),ABS(D510-E509))</f>
        <v>0.00778651552377629</v>
      </c>
      <c r="I510" s="8" t="n">
        <f aca="true">IF(ROW()-2&lt;14,"",IF(ROW()-2=14,AVERAGE(OFFSET(H510,-13,0,14,1)),(I509*13+H510)/14))</f>
        <v>0.00937052009145745</v>
      </c>
      <c r="J510" s="9" t="b">
        <f aca="false">IF(AND(ISNUMBER(F510),ISNUMBER(G510),ISNUMBER(F509),ISNUMBER(G509)),AND(F510&gt;G510,F509&lt;=G509),FALSE())</f>
        <v>0</v>
      </c>
      <c r="K510" s="9" t="b">
        <f aca="false">IF(AND(ISNUMBER(F510),ISNUMBER(G510),ISNUMBER(F509),ISNUMBER(G509)),AND(F510&lt;G510,F509&gt;=G509),FALSE())</f>
        <v>0</v>
      </c>
      <c r="L510" s="8" t="n">
        <f aca="false">IF(ISNUMBER(I510),E510-Inputs!$B$6*I510,"")</f>
        <v>0.810323541669764</v>
      </c>
      <c r="M510" s="9" t="b">
        <f aca="false">AND(Y509&gt;0,Z509)</f>
        <v>0</v>
      </c>
      <c r="N510" s="8" t="n">
        <f aca="false">B510*(1-Inputs!$B$12)</f>
        <v>0.829305730720952</v>
      </c>
      <c r="O510" s="10" t="n">
        <f aca="false">IF(M510,Y509*(N510-AB509)-Inputs!$B$9-Y509*AD509*Inputs!$B$13*(A510-AC509),0)</f>
        <v>0</v>
      </c>
      <c r="P510" s="10" t="n">
        <f aca="false">X509+O510</f>
        <v>1015.3844066801</v>
      </c>
      <c r="Q510" s="9" t="b">
        <f aca="false">AND(IF(M510,0,Y509)=0,AA509,IF(ISNUMBER(AE509),B510&gt;AE509,FALSE()))</f>
        <v>0</v>
      </c>
      <c r="R510" s="8" t="n">
        <f aca="false">B510*(1+Inputs!$B$12)</f>
        <v>0.829637519370971</v>
      </c>
      <c r="S510" s="11" t="n">
        <f aca="false">IF(Q510,MIN(P510*Inputs!$B$3/(R510-AE509),P510*Inputs!$B$11/R510),0)</f>
        <v>0</v>
      </c>
      <c r="T510" s="11" t="n">
        <f aca="false">IF(Q510,S510,IF(M510,0,Y509))</f>
        <v>664.118972006065</v>
      </c>
      <c r="U510" s="8" t="n">
        <f aca="false">IF(Q510,AE509,AF509)</f>
        <v>0.771982232894536</v>
      </c>
      <c r="V510" s="9" t="b">
        <f aca="false">AND(T510&gt;0,D510&lt;=U510)</f>
        <v>0</v>
      </c>
      <c r="W510" s="10" t="n">
        <f aca="false">IF(V510,T510*(AK510-AB510)-Inputs!$B$9-T510*AD510*Inputs!$B$13*(A510-AC510),0)</f>
        <v>0</v>
      </c>
      <c r="X510" s="10" t="n">
        <f aca="false">P510-IF(Q510,Inputs!$B$9,0)+W510</f>
        <v>1015.3844066801</v>
      </c>
      <c r="Y510" s="11" t="n">
        <f aca="false">IF(V510,0,T510)</f>
        <v>664.118972006065</v>
      </c>
      <c r="Z510" s="9" t="b">
        <f aca="false">AND(Y510&gt;0,K510)</f>
        <v>0</v>
      </c>
      <c r="AA510" s="9" t="b">
        <f aca="false">AND(Y510=0,J510,ISNUMBER(L510))</f>
        <v>0</v>
      </c>
      <c r="AB510" s="8" t="n">
        <f aca="false">IF(Q510,R510,AB509)</f>
        <v>0.787286484836172</v>
      </c>
      <c r="AC510" s="12" t="n">
        <f aca="false">IF(Q510,A510,AC509)</f>
        <v>45226</v>
      </c>
      <c r="AD510" s="8" t="n">
        <f aca="false">IF(Q510,B510,AD509)</f>
        <v>0.787129059024367</v>
      </c>
      <c r="AE510" s="8" t="str">
        <f aca="false">IF(AA510,L510,"")</f>
        <v/>
      </c>
      <c r="AF510" s="8" t="n">
        <f aca="false">U510</f>
        <v>0.771982232894536</v>
      </c>
      <c r="AG510" s="2" t="n">
        <f aca="false">AG509+IF(Q510,1,0)</f>
        <v>3</v>
      </c>
      <c r="AH510" s="2" t="n">
        <f aca="false">AG509</f>
        <v>3</v>
      </c>
      <c r="AI510" s="10" t="n">
        <f aca="false">X510+Y510*(E510-AB510)-Y510*AD510*Inputs!$B$13*(A510-AC510)</f>
        <v>1036.79977804499</v>
      </c>
      <c r="AJ510" s="10" t="n">
        <v>0</v>
      </c>
      <c r="AK510" s="8" t="n">
        <f aca="false">IF(AND(B510&lt;=U510,NOT(Q510)),B510,U510)*(1-Inputs!$B$12)</f>
        <v>0.771827836447957</v>
      </c>
    </row>
    <row r="511" customFormat="false" ht="15" hidden="false" customHeight="false" outlineLevel="0" collapsed="false">
      <c r="A511" s="6" t="n">
        <v>45295</v>
      </c>
      <c r="B511" s="7" t="n">
        <v>0.829064581852679</v>
      </c>
      <c r="C511" s="7" t="n">
        <v>0.832814541134808</v>
      </c>
      <c r="D511" s="7" t="n">
        <v>0.826610130717585</v>
      </c>
      <c r="E511" s="7" t="n">
        <v>0.830452593782234</v>
      </c>
      <c r="F511" s="8" t="n">
        <f aca="true">IF(ROW()-2&gt;=Inputs!$B$4,AVERAGE(OFFSET(E511,1-Inputs!$B$4,0,Inputs!$B$4,1)),"")</f>
        <v>0.824579487543659</v>
      </c>
      <c r="G511" s="8" t="n">
        <f aca="true">IF(ROW()-2&gt;=Inputs!$B$5,AVERAGE(OFFSET(E511,1-Inputs!$B$5,0,Inputs!$B$5,1)),"")</f>
        <v>0.819165391555773</v>
      </c>
      <c r="H511" s="8" t="n">
        <f aca="false">MAX(C511-D511,ABS(C511-E510),ABS(D511-E510))</f>
        <v>0.00620441041722319</v>
      </c>
      <c r="I511" s="8" t="n">
        <f aca="true">IF(ROW()-2&lt;14,"",IF(ROW()-2=14,AVERAGE(OFFSET(H511,-13,0,14,1)),(I510*13+H511)/14))</f>
        <v>0.00914436940044072</v>
      </c>
      <c r="J511" s="9" t="b">
        <f aca="false">IF(AND(ISNUMBER(F511),ISNUMBER(G511),ISNUMBER(F510),ISNUMBER(G510)),AND(F511&gt;G511,F510&lt;=G510),FALSE())</f>
        <v>0</v>
      </c>
      <c r="K511" s="9" t="b">
        <f aca="false">IF(AND(ISNUMBER(F511),ISNUMBER(G511),ISNUMBER(F510),ISNUMBER(G510)),AND(F511&lt;G511,F510&gt;=G510),FALSE())</f>
        <v>0</v>
      </c>
      <c r="L511" s="8" t="n">
        <f aca="false">IF(ISNUMBER(I511),E511-Inputs!$B$6*I511,"")</f>
        <v>0.812163854981353</v>
      </c>
      <c r="M511" s="9" t="b">
        <f aca="false">AND(Y510&gt;0,Z510)</f>
        <v>0</v>
      </c>
      <c r="N511" s="8" t="n">
        <f aca="false">B511*(1-Inputs!$B$12)</f>
        <v>0.828898768936309</v>
      </c>
      <c r="O511" s="10" t="n">
        <f aca="false">IF(M511,Y510*(N511-AB510)-Inputs!$B$9-Y510*AD510*Inputs!$B$13*(A511-AC510),0)</f>
        <v>0</v>
      </c>
      <c r="P511" s="10" t="n">
        <f aca="false">X510+O511</f>
        <v>1015.3844066801</v>
      </c>
      <c r="Q511" s="9" t="b">
        <f aca="false">AND(IF(M511,0,Y510)=0,AA510,IF(ISNUMBER(AE510),B511&gt;AE510,FALSE()))</f>
        <v>0</v>
      </c>
      <c r="R511" s="8" t="n">
        <f aca="false">B511*(1+Inputs!$B$12)</f>
        <v>0.82923039476905</v>
      </c>
      <c r="S511" s="11" t="n">
        <f aca="false">IF(Q511,MIN(P511*Inputs!$B$3/(R511-AE510),P511*Inputs!$B$11/R511),0)</f>
        <v>0</v>
      </c>
      <c r="T511" s="11" t="n">
        <f aca="false">IF(Q511,S511,IF(M511,0,Y510))</f>
        <v>664.118972006065</v>
      </c>
      <c r="U511" s="8" t="n">
        <f aca="false">IF(Q511,AE510,AF510)</f>
        <v>0.771982232894536</v>
      </c>
      <c r="V511" s="9" t="b">
        <f aca="false">AND(T511&gt;0,D511&lt;=U511)</f>
        <v>0</v>
      </c>
      <c r="W511" s="10" t="n">
        <f aca="false">IF(V511,T511*(AK511-AB511)-Inputs!$B$9-T511*AD511*Inputs!$B$13*(A511-AC511),0)</f>
        <v>0</v>
      </c>
      <c r="X511" s="10" t="n">
        <f aca="false">P511-IF(Q511,Inputs!$B$9,0)+W511</f>
        <v>1015.3844066801</v>
      </c>
      <c r="Y511" s="11" t="n">
        <f aca="false">IF(V511,0,T511)</f>
        <v>664.118972006065</v>
      </c>
      <c r="Z511" s="9" t="b">
        <f aca="false">AND(Y511&gt;0,K511)</f>
        <v>0</v>
      </c>
      <c r="AA511" s="9" t="b">
        <f aca="false">AND(Y511=0,J511,ISNUMBER(L511))</f>
        <v>0</v>
      </c>
      <c r="AB511" s="8" t="n">
        <f aca="false">IF(Q511,R511,AB510)</f>
        <v>0.787286484836172</v>
      </c>
      <c r="AC511" s="12" t="n">
        <f aca="false">IF(Q511,A511,AC510)</f>
        <v>45226</v>
      </c>
      <c r="AD511" s="8" t="n">
        <f aca="false">IF(Q511,B511,AD510)</f>
        <v>0.787129059024367</v>
      </c>
      <c r="AE511" s="8" t="str">
        <f aca="false">IF(AA511,L511,"")</f>
        <v/>
      </c>
      <c r="AF511" s="8" t="n">
        <f aca="false">U511</f>
        <v>0.771982232894536</v>
      </c>
      <c r="AG511" s="2" t="n">
        <f aca="false">AG510+IF(Q511,1,0)</f>
        <v>3</v>
      </c>
      <c r="AH511" s="2" t="n">
        <f aca="false">AG510</f>
        <v>3</v>
      </c>
      <c r="AI511" s="10" t="n">
        <f aca="false">X511+Y511*(E511-AB511)-Y511*AD511*Inputs!$B$13*(A511-AC511)</f>
        <v>1037.62849110846</v>
      </c>
      <c r="AJ511" s="10" t="n">
        <v>0</v>
      </c>
      <c r="AK511" s="8" t="n">
        <f aca="false">IF(AND(B511&lt;=U511,NOT(Q511)),B511,U511)*(1-Inputs!$B$12)</f>
        <v>0.771827836447957</v>
      </c>
    </row>
    <row r="512" customFormat="false" ht="15" hidden="false" customHeight="false" outlineLevel="0" collapsed="false">
      <c r="A512" s="6" t="n">
        <v>45296</v>
      </c>
      <c r="B512" s="7" t="n">
        <v>0.830452593782234</v>
      </c>
      <c r="C512" s="7" t="n">
        <v>0.830611564965023</v>
      </c>
      <c r="D512" s="7" t="n">
        <v>0.819363050656079</v>
      </c>
      <c r="E512" s="7" t="n">
        <v>0.824655994877804</v>
      </c>
      <c r="F512" s="8" t="n">
        <f aca="true">IF(ROW()-2&gt;=Inputs!$B$4,AVERAGE(OFFSET(E512,1-Inputs!$B$4,0,Inputs!$B$4,1)),"")</f>
        <v>0.824640229341592</v>
      </c>
      <c r="G512" s="8" t="n">
        <f aca="true">IF(ROW()-2&gt;=Inputs!$B$5,AVERAGE(OFFSET(E512,1-Inputs!$B$5,0,Inputs!$B$5,1)),"")</f>
        <v>0.819811582048804</v>
      </c>
      <c r="H512" s="8" t="n">
        <f aca="false">MAX(C512-D512,ABS(C512-E511),ABS(D512-E511))</f>
        <v>0.0112485143089439</v>
      </c>
      <c r="I512" s="8" t="n">
        <f aca="true">IF(ROW()-2&lt;14,"",IF(ROW()-2=14,AVERAGE(OFFSET(H512,-13,0,14,1)),(I511*13+H512)/14))</f>
        <v>0.0092946654653338</v>
      </c>
      <c r="J512" s="9" t="b">
        <f aca="false">IF(AND(ISNUMBER(F512),ISNUMBER(G512),ISNUMBER(F511),ISNUMBER(G511)),AND(F512&gt;G512,F511&lt;=G511),FALSE())</f>
        <v>0</v>
      </c>
      <c r="K512" s="9" t="b">
        <f aca="false">IF(AND(ISNUMBER(F512),ISNUMBER(G512),ISNUMBER(F511),ISNUMBER(G511)),AND(F512&lt;G512,F511&gt;=G511),FALSE())</f>
        <v>0</v>
      </c>
      <c r="L512" s="8" t="n">
        <f aca="false">IF(ISNUMBER(I512),E512-Inputs!$B$6*I512,"")</f>
        <v>0.806066663947136</v>
      </c>
      <c r="M512" s="9" t="b">
        <f aca="false">AND(Y511&gt;0,Z511)</f>
        <v>0</v>
      </c>
      <c r="N512" s="8" t="n">
        <f aca="false">B512*(1-Inputs!$B$12)</f>
        <v>0.830286503263478</v>
      </c>
      <c r="O512" s="10" t="n">
        <f aca="false">IF(M512,Y511*(N512-AB511)-Inputs!$B$9-Y511*AD511*Inputs!$B$13*(A512-AC511),0)</f>
        <v>0</v>
      </c>
      <c r="P512" s="10" t="n">
        <f aca="false">X511+O512</f>
        <v>1015.3844066801</v>
      </c>
      <c r="Q512" s="9" t="b">
        <f aca="false">AND(IF(M512,0,Y511)=0,AA511,IF(ISNUMBER(AE511),B512&gt;AE511,FALSE()))</f>
        <v>0</v>
      </c>
      <c r="R512" s="8" t="n">
        <f aca="false">B512*(1+Inputs!$B$12)</f>
        <v>0.83061868430099</v>
      </c>
      <c r="S512" s="11" t="n">
        <f aca="false">IF(Q512,MIN(P512*Inputs!$B$3/(R512-AE511),P512*Inputs!$B$11/R512),0)</f>
        <v>0</v>
      </c>
      <c r="T512" s="11" t="n">
        <f aca="false">IF(Q512,S512,IF(M512,0,Y511))</f>
        <v>664.118972006065</v>
      </c>
      <c r="U512" s="8" t="n">
        <f aca="false">IF(Q512,AE511,AF511)</f>
        <v>0.771982232894536</v>
      </c>
      <c r="V512" s="9" t="b">
        <f aca="false">AND(T512&gt;0,D512&lt;=U512)</f>
        <v>0</v>
      </c>
      <c r="W512" s="10" t="n">
        <f aca="false">IF(V512,T512*(AK512-AB512)-Inputs!$B$9-T512*AD512*Inputs!$B$13*(A512-AC512),0)</f>
        <v>0</v>
      </c>
      <c r="X512" s="10" t="n">
        <f aca="false">P512-IF(Q512,Inputs!$B$9,0)+W512</f>
        <v>1015.3844066801</v>
      </c>
      <c r="Y512" s="11" t="n">
        <f aca="false">IF(V512,0,T512)</f>
        <v>664.118972006065</v>
      </c>
      <c r="Z512" s="9" t="b">
        <f aca="false">AND(Y512&gt;0,K512)</f>
        <v>0</v>
      </c>
      <c r="AA512" s="9" t="b">
        <f aca="false">AND(Y512=0,J512,ISNUMBER(L512))</f>
        <v>0</v>
      </c>
      <c r="AB512" s="8" t="n">
        <f aca="false">IF(Q512,R512,AB511)</f>
        <v>0.787286484836172</v>
      </c>
      <c r="AC512" s="12" t="n">
        <f aca="false">IF(Q512,A512,AC511)</f>
        <v>45226</v>
      </c>
      <c r="AD512" s="8" t="n">
        <f aca="false">IF(Q512,B512,AD511)</f>
        <v>0.787129059024367</v>
      </c>
      <c r="AE512" s="8" t="str">
        <f aca="false">IF(AA512,L512,"")</f>
        <v/>
      </c>
      <c r="AF512" s="8" t="n">
        <f aca="false">U512</f>
        <v>0.771982232894536</v>
      </c>
      <c r="AG512" s="2" t="n">
        <f aca="false">AG511+IF(Q512,1,0)</f>
        <v>3</v>
      </c>
      <c r="AH512" s="2" t="n">
        <f aca="false">AG511</f>
        <v>3</v>
      </c>
      <c r="AI512" s="10" t="n">
        <f aca="false">X512+Y512*(E512-AB512)-Y512*AD512*Inputs!$B$13*(A512-AC512)</f>
        <v>1033.68576781059</v>
      </c>
      <c r="AJ512" s="10" t="n">
        <v>0</v>
      </c>
      <c r="AK512" s="8" t="n">
        <f aca="false">IF(AND(B512&lt;=U512,NOT(Q512)),B512,U512)*(1-Inputs!$B$12)</f>
        <v>0.771827836447957</v>
      </c>
    </row>
    <row r="513" customFormat="false" ht="15" hidden="false" customHeight="false" outlineLevel="0" collapsed="false">
      <c r="A513" s="6" t="n">
        <v>45297</v>
      </c>
      <c r="B513" s="7" t="n">
        <v>0.824655994877804</v>
      </c>
      <c r="C513" s="7" t="n">
        <v>0.82628137043966</v>
      </c>
      <c r="D513" s="7" t="n">
        <v>0.816685169137212</v>
      </c>
      <c r="E513" s="7" t="n">
        <v>0.820378740627685</v>
      </c>
      <c r="F513" s="8" t="n">
        <f aca="true">IF(ROW()-2&gt;=Inputs!$B$4,AVERAGE(OFFSET(E513,1-Inputs!$B$4,0,Inputs!$B$4,1)),"")</f>
        <v>0.824501608920085</v>
      </c>
      <c r="G513" s="8" t="n">
        <f aca="true">IF(ROW()-2&gt;=Inputs!$B$5,AVERAGE(OFFSET(E513,1-Inputs!$B$5,0,Inputs!$B$5,1)),"")</f>
        <v>0.820393785382858</v>
      </c>
      <c r="H513" s="8" t="n">
        <f aca="false">MAX(C513-D513,ABS(C513-E512),ABS(D513-E512))</f>
        <v>0.00959620130244865</v>
      </c>
      <c r="I513" s="8" t="n">
        <f aca="true">IF(ROW()-2&lt;14,"",IF(ROW()-2=14,AVERAGE(OFFSET(H513,-13,0,14,1)),(I512*13+H513)/14))</f>
        <v>0.00931620373941343</v>
      </c>
      <c r="J513" s="9" t="b">
        <f aca="false">IF(AND(ISNUMBER(F513),ISNUMBER(G513),ISNUMBER(F512),ISNUMBER(G512)),AND(F513&gt;G513,F512&lt;=G512),FALSE())</f>
        <v>0</v>
      </c>
      <c r="K513" s="9" t="b">
        <f aca="false">IF(AND(ISNUMBER(F513),ISNUMBER(G513),ISNUMBER(F512),ISNUMBER(G512)),AND(F513&lt;G513,F512&gt;=G512),FALSE())</f>
        <v>0</v>
      </c>
      <c r="L513" s="8" t="n">
        <f aca="false">IF(ISNUMBER(I513),E513-Inputs!$B$6*I513,"")</f>
        <v>0.801746333148858</v>
      </c>
      <c r="M513" s="9" t="b">
        <f aca="false">AND(Y512&gt;0,Z512)</f>
        <v>0</v>
      </c>
      <c r="N513" s="8" t="n">
        <f aca="false">B513*(1-Inputs!$B$12)</f>
        <v>0.824491063678828</v>
      </c>
      <c r="O513" s="10" t="n">
        <f aca="false">IF(M513,Y512*(N513-AB512)-Inputs!$B$9-Y512*AD512*Inputs!$B$13*(A513-AC512),0)</f>
        <v>0</v>
      </c>
      <c r="P513" s="10" t="n">
        <f aca="false">X512+O513</f>
        <v>1015.3844066801</v>
      </c>
      <c r="Q513" s="9" t="b">
        <f aca="false">AND(IF(M513,0,Y512)=0,AA512,IF(ISNUMBER(AE512),B513&gt;AE512,FALSE()))</f>
        <v>0</v>
      </c>
      <c r="R513" s="8" t="n">
        <f aca="false">B513*(1+Inputs!$B$12)</f>
        <v>0.824820926076779</v>
      </c>
      <c r="S513" s="11" t="n">
        <f aca="false">IF(Q513,MIN(P513*Inputs!$B$3/(R513-AE512),P513*Inputs!$B$11/R513),0)</f>
        <v>0</v>
      </c>
      <c r="T513" s="11" t="n">
        <f aca="false">IF(Q513,S513,IF(M513,0,Y512))</f>
        <v>664.118972006065</v>
      </c>
      <c r="U513" s="8" t="n">
        <f aca="false">IF(Q513,AE512,AF512)</f>
        <v>0.771982232894536</v>
      </c>
      <c r="V513" s="9" t="b">
        <f aca="false">AND(T513&gt;0,D513&lt;=U513)</f>
        <v>0</v>
      </c>
      <c r="W513" s="10" t="n">
        <f aca="false">IF(V513,T513*(AK513-AB513)-Inputs!$B$9-T513*AD513*Inputs!$B$13*(A513-AC513),0)</f>
        <v>0</v>
      </c>
      <c r="X513" s="10" t="n">
        <f aca="false">P513-IF(Q513,Inputs!$B$9,0)+W513</f>
        <v>1015.3844066801</v>
      </c>
      <c r="Y513" s="11" t="n">
        <f aca="false">IF(V513,0,T513)</f>
        <v>664.118972006065</v>
      </c>
      <c r="Z513" s="9" t="b">
        <f aca="false">AND(Y513&gt;0,K513)</f>
        <v>0</v>
      </c>
      <c r="AA513" s="9" t="b">
        <f aca="false">AND(Y513=0,J513,ISNUMBER(L513))</f>
        <v>0</v>
      </c>
      <c r="AB513" s="8" t="n">
        <f aca="false">IF(Q513,R513,AB512)</f>
        <v>0.787286484836172</v>
      </c>
      <c r="AC513" s="12" t="n">
        <f aca="false">IF(Q513,A513,AC512)</f>
        <v>45226</v>
      </c>
      <c r="AD513" s="8" t="n">
        <f aca="false">IF(Q513,B513,AD512)</f>
        <v>0.787129059024367</v>
      </c>
      <c r="AE513" s="8" t="str">
        <f aca="false">IF(AA513,L513,"")</f>
        <v/>
      </c>
      <c r="AF513" s="8" t="n">
        <f aca="false">U513</f>
        <v>0.771982232894536</v>
      </c>
      <c r="AG513" s="2" t="n">
        <f aca="false">AG512+IF(Q513,1,0)</f>
        <v>3</v>
      </c>
      <c r="AH513" s="2" t="n">
        <f aca="false">AG512</f>
        <v>3</v>
      </c>
      <c r="AI513" s="10" t="n">
        <f aca="false">X513+Y513*(E513-AB513)-Y513*AD513*Inputs!$B$13*(A513-AC513)</f>
        <v>1030.75207012267</v>
      </c>
      <c r="AJ513" s="10" t="n">
        <v>0</v>
      </c>
      <c r="AK513" s="8" t="n">
        <f aca="false">IF(AND(B513&lt;=U513,NOT(Q513)),B513,U513)*(1-Inputs!$B$12)</f>
        <v>0.771827836447957</v>
      </c>
    </row>
    <row r="514" customFormat="false" ht="15" hidden="false" customHeight="false" outlineLevel="0" collapsed="false">
      <c r="A514" s="6" t="n">
        <v>45298</v>
      </c>
      <c r="B514" s="7" t="n">
        <v>0.820378740627685</v>
      </c>
      <c r="C514" s="7" t="n">
        <v>0.831535474232082</v>
      </c>
      <c r="D514" s="7" t="n">
        <v>0.820250455387957</v>
      </c>
      <c r="E514" s="7" t="n">
        <v>0.831420706770901</v>
      </c>
      <c r="F514" s="8" t="n">
        <f aca="true">IF(ROW()-2&gt;=Inputs!$B$4,AVERAGE(OFFSET(E514,1-Inputs!$B$4,0,Inputs!$B$4,1)),"")</f>
        <v>0.824931938412779</v>
      </c>
      <c r="G514" s="8" t="n">
        <f aca="true">IF(ROW()-2&gt;=Inputs!$B$5,AVERAGE(OFFSET(E514,1-Inputs!$B$5,0,Inputs!$B$5,1)),"")</f>
        <v>0.821084038404189</v>
      </c>
      <c r="H514" s="8" t="n">
        <f aca="false">MAX(C514-D514,ABS(C514-E513),ABS(D514-E513))</f>
        <v>0.0112850188441248</v>
      </c>
      <c r="I514" s="8" t="n">
        <f aca="true">IF(ROW()-2&lt;14,"",IF(ROW()-2=14,AVERAGE(OFFSET(H514,-13,0,14,1)),(I513*13+H514)/14))</f>
        <v>0.00945683338974996</v>
      </c>
      <c r="J514" s="9" t="b">
        <f aca="false">IF(AND(ISNUMBER(F514),ISNUMBER(G514),ISNUMBER(F513),ISNUMBER(G513)),AND(F514&gt;G514,F513&lt;=G513),FALSE())</f>
        <v>0</v>
      </c>
      <c r="K514" s="9" t="b">
        <f aca="false">IF(AND(ISNUMBER(F514),ISNUMBER(G514),ISNUMBER(F513),ISNUMBER(G513)),AND(F514&lt;G514,F513&gt;=G513),FALSE())</f>
        <v>0</v>
      </c>
      <c r="L514" s="8" t="n">
        <f aca="false">IF(ISNUMBER(I514),E514-Inputs!$B$6*I514,"")</f>
        <v>0.812507039991401</v>
      </c>
      <c r="M514" s="9" t="b">
        <f aca="false">AND(Y513&gt;0,Z513)</f>
        <v>0</v>
      </c>
      <c r="N514" s="8" t="n">
        <f aca="false">B514*(1-Inputs!$B$12)</f>
        <v>0.82021466487956</v>
      </c>
      <c r="O514" s="10" t="n">
        <f aca="false">IF(M514,Y513*(N514-AB513)-Inputs!$B$9-Y513*AD513*Inputs!$B$13*(A514-AC513),0)</f>
        <v>0</v>
      </c>
      <c r="P514" s="10" t="n">
        <f aca="false">X513+O514</f>
        <v>1015.3844066801</v>
      </c>
      <c r="Q514" s="9" t="b">
        <f aca="false">AND(IF(M514,0,Y513)=0,AA513,IF(ISNUMBER(AE513),B514&gt;AE513,FALSE()))</f>
        <v>0</v>
      </c>
      <c r="R514" s="8" t="n">
        <f aca="false">B514*(1+Inputs!$B$12)</f>
        <v>0.820542816375811</v>
      </c>
      <c r="S514" s="11" t="n">
        <f aca="false">IF(Q514,MIN(P514*Inputs!$B$3/(R514-AE513),P514*Inputs!$B$11/R514),0)</f>
        <v>0</v>
      </c>
      <c r="T514" s="11" t="n">
        <f aca="false">IF(Q514,S514,IF(M514,0,Y513))</f>
        <v>664.118972006065</v>
      </c>
      <c r="U514" s="8" t="n">
        <f aca="false">IF(Q514,AE513,AF513)</f>
        <v>0.771982232894536</v>
      </c>
      <c r="V514" s="9" t="b">
        <f aca="false">AND(T514&gt;0,D514&lt;=U514)</f>
        <v>0</v>
      </c>
      <c r="W514" s="10" t="n">
        <f aca="false">IF(V514,T514*(AK514-AB514)-Inputs!$B$9-T514*AD514*Inputs!$B$13*(A514-AC514),0)</f>
        <v>0</v>
      </c>
      <c r="X514" s="10" t="n">
        <f aca="false">P514-IF(Q514,Inputs!$B$9,0)+W514</f>
        <v>1015.3844066801</v>
      </c>
      <c r="Y514" s="11" t="n">
        <f aca="false">IF(V514,0,T514)</f>
        <v>664.118972006065</v>
      </c>
      <c r="Z514" s="9" t="b">
        <f aca="false">AND(Y514&gt;0,K514)</f>
        <v>0</v>
      </c>
      <c r="AA514" s="9" t="b">
        <f aca="false">AND(Y514=0,J514,ISNUMBER(L514))</f>
        <v>0</v>
      </c>
      <c r="AB514" s="8" t="n">
        <f aca="false">IF(Q514,R514,AB513)</f>
        <v>0.787286484836172</v>
      </c>
      <c r="AC514" s="12" t="n">
        <f aca="false">IF(Q514,A514,AC513)</f>
        <v>45226</v>
      </c>
      <c r="AD514" s="8" t="n">
        <f aca="false">IF(Q514,B514,AD513)</f>
        <v>0.787129059024367</v>
      </c>
      <c r="AE514" s="8" t="str">
        <f aca="false">IF(AA514,L514,"")</f>
        <v/>
      </c>
      <c r="AF514" s="8" t="n">
        <f aca="false">U514</f>
        <v>0.771982232894536</v>
      </c>
      <c r="AG514" s="2" t="n">
        <f aca="false">AG513+IF(Q514,1,0)</f>
        <v>3</v>
      </c>
      <c r="AH514" s="2" t="n">
        <f aca="false">AG513</f>
        <v>3</v>
      </c>
      <c r="AI514" s="10" t="n">
        <f aca="false">X514+Y514*(E514-AB514)-Y514*AD514*Inputs!$B$13*(A514-AC514)</f>
        <v>1037.9921573343</v>
      </c>
      <c r="AJ514" s="10" t="n">
        <v>0</v>
      </c>
      <c r="AK514" s="8" t="n">
        <f aca="false">IF(AND(B514&lt;=U514,NOT(Q514)),B514,U514)*(1-Inputs!$B$12)</f>
        <v>0.771827836447957</v>
      </c>
    </row>
    <row r="515" customFormat="false" ht="15" hidden="false" customHeight="false" outlineLevel="0" collapsed="false">
      <c r="A515" s="6" t="n">
        <v>45299</v>
      </c>
      <c r="B515" s="7" t="n">
        <v>0.831420706770901</v>
      </c>
      <c r="C515" s="7" t="n">
        <v>0.8390177034807</v>
      </c>
      <c r="D515" s="7" t="n">
        <v>0.83088740004046</v>
      </c>
      <c r="E515" s="7" t="n">
        <v>0.836606424026731</v>
      </c>
      <c r="F515" s="8" t="n">
        <f aca="true">IF(ROW()-2&gt;=Inputs!$B$4,AVERAGE(OFFSET(E515,1-Inputs!$B$4,0,Inputs!$B$4,1)),"")</f>
        <v>0.825249650287179</v>
      </c>
      <c r="G515" s="8" t="n">
        <f aca="true">IF(ROW()-2&gt;=Inputs!$B$5,AVERAGE(OFFSET(E515,1-Inputs!$B$5,0,Inputs!$B$5,1)),"")</f>
        <v>0.821898266495845</v>
      </c>
      <c r="H515" s="8" t="n">
        <f aca="false">MAX(C515-D515,ABS(C515-E514),ABS(D515-E514))</f>
        <v>0.00813030344024024</v>
      </c>
      <c r="I515" s="8" t="n">
        <f aca="true">IF(ROW()-2&lt;14,"",IF(ROW()-2=14,AVERAGE(OFFSET(H515,-13,0,14,1)),(I514*13+H515)/14))</f>
        <v>0.00936208125049927</v>
      </c>
      <c r="J515" s="9" t="b">
        <f aca="false">IF(AND(ISNUMBER(F515),ISNUMBER(G515),ISNUMBER(F514),ISNUMBER(G514)),AND(F515&gt;G515,F514&lt;=G514),FALSE())</f>
        <v>0</v>
      </c>
      <c r="K515" s="9" t="b">
        <f aca="false">IF(AND(ISNUMBER(F515),ISNUMBER(G515),ISNUMBER(F514),ISNUMBER(G514)),AND(F515&lt;G515,F514&gt;=G514),FALSE())</f>
        <v>0</v>
      </c>
      <c r="L515" s="8" t="n">
        <f aca="false">IF(ISNUMBER(I515),E515-Inputs!$B$6*I515,"")</f>
        <v>0.817882261525732</v>
      </c>
      <c r="M515" s="9" t="b">
        <f aca="false">AND(Y514&gt;0,Z514)</f>
        <v>0</v>
      </c>
      <c r="N515" s="8" t="n">
        <f aca="false">B515*(1-Inputs!$B$12)</f>
        <v>0.831254422629547</v>
      </c>
      <c r="O515" s="10" t="n">
        <f aca="false">IF(M515,Y514*(N515-AB514)-Inputs!$B$9-Y514*AD514*Inputs!$B$13*(A515-AC514),0)</f>
        <v>0</v>
      </c>
      <c r="P515" s="10" t="n">
        <f aca="false">X514+O515</f>
        <v>1015.3844066801</v>
      </c>
      <c r="Q515" s="9" t="b">
        <f aca="false">AND(IF(M515,0,Y514)=0,AA514,IF(ISNUMBER(AE514),B515&gt;AE514,FALSE()))</f>
        <v>0</v>
      </c>
      <c r="R515" s="8" t="n">
        <f aca="false">B515*(1+Inputs!$B$12)</f>
        <v>0.831586990912255</v>
      </c>
      <c r="S515" s="11" t="n">
        <f aca="false">IF(Q515,MIN(P515*Inputs!$B$3/(R515-AE514),P515*Inputs!$B$11/R515),0)</f>
        <v>0</v>
      </c>
      <c r="T515" s="11" t="n">
        <f aca="false">IF(Q515,S515,IF(M515,0,Y514))</f>
        <v>664.118972006065</v>
      </c>
      <c r="U515" s="8" t="n">
        <f aca="false">IF(Q515,AE514,AF514)</f>
        <v>0.771982232894536</v>
      </c>
      <c r="V515" s="9" t="b">
        <f aca="false">AND(T515&gt;0,D515&lt;=U515)</f>
        <v>0</v>
      </c>
      <c r="W515" s="10" t="n">
        <f aca="false">IF(V515,T515*(AK515-AB515)-Inputs!$B$9-T515*AD515*Inputs!$B$13*(A515-AC515),0)</f>
        <v>0</v>
      </c>
      <c r="X515" s="10" t="n">
        <f aca="false">P515-IF(Q515,Inputs!$B$9,0)+W515</f>
        <v>1015.3844066801</v>
      </c>
      <c r="Y515" s="11" t="n">
        <f aca="false">IF(V515,0,T515)</f>
        <v>664.118972006065</v>
      </c>
      <c r="Z515" s="9" t="b">
        <f aca="false">AND(Y515&gt;0,K515)</f>
        <v>0</v>
      </c>
      <c r="AA515" s="9" t="b">
        <f aca="false">AND(Y515=0,J515,ISNUMBER(L515))</f>
        <v>0</v>
      </c>
      <c r="AB515" s="8" t="n">
        <f aca="false">IF(Q515,R515,AB514)</f>
        <v>0.787286484836172</v>
      </c>
      <c r="AC515" s="12" t="n">
        <f aca="false">IF(Q515,A515,AC514)</f>
        <v>45226</v>
      </c>
      <c r="AD515" s="8" t="n">
        <f aca="false">IF(Q515,B515,AD514)</f>
        <v>0.787129059024367</v>
      </c>
      <c r="AE515" s="8" t="str">
        <f aca="false">IF(AA515,L515,"")</f>
        <v/>
      </c>
      <c r="AF515" s="8" t="n">
        <f aca="false">U515</f>
        <v>0.771982232894536</v>
      </c>
      <c r="AG515" s="2" t="n">
        <f aca="false">AG514+IF(Q515,1,0)</f>
        <v>3</v>
      </c>
      <c r="AH515" s="2" t="n">
        <f aca="false">AG514</f>
        <v>3</v>
      </c>
      <c r="AI515" s="10" t="n">
        <f aca="false">X515+Y515*(E515-AB515)-Y515*AD515*Inputs!$B$13*(A515-AC515)</f>
        <v>1041.34299855503</v>
      </c>
      <c r="AJ515" s="10" t="n">
        <v>0</v>
      </c>
      <c r="AK515" s="8" t="n">
        <f aca="false">IF(AND(B515&lt;=U515,NOT(Q515)),B515,U515)*(1-Inputs!$B$12)</f>
        <v>0.771827836447957</v>
      </c>
    </row>
    <row r="516" customFormat="false" ht="15" hidden="false" customHeight="false" outlineLevel="0" collapsed="false">
      <c r="A516" s="6" t="n">
        <v>45300</v>
      </c>
      <c r="B516" s="7" t="n">
        <v>0.836606424026731</v>
      </c>
      <c r="C516" s="7" t="n">
        <v>0.846708645776681</v>
      </c>
      <c r="D516" s="7" t="n">
        <v>0.833963672818631</v>
      </c>
      <c r="E516" s="7" t="n">
        <v>0.844422664428063</v>
      </c>
      <c r="F516" s="8" t="n">
        <f aca="true">IF(ROW()-2&gt;=Inputs!$B$4,AVERAGE(OFFSET(E516,1-Inputs!$B$4,0,Inputs!$B$4,1)),"")</f>
        <v>0.825988466887882</v>
      </c>
      <c r="G516" s="8" t="n">
        <f aca="true">IF(ROW()-2&gt;=Inputs!$B$5,AVERAGE(OFFSET(E516,1-Inputs!$B$5,0,Inputs!$B$5,1)),"")</f>
        <v>0.822784839108716</v>
      </c>
      <c r="H516" s="8" t="n">
        <f aca="false">MAX(C516-D516,ABS(C516-E515),ABS(D516-E515))</f>
        <v>0.0127449729580507</v>
      </c>
      <c r="I516" s="8" t="n">
        <f aca="true">IF(ROW()-2&lt;14,"",IF(ROW()-2=14,AVERAGE(OFFSET(H516,-13,0,14,1)),(I515*13+H516)/14))</f>
        <v>0.00960371637246722</v>
      </c>
      <c r="J516" s="9" t="b">
        <f aca="false">IF(AND(ISNUMBER(F516),ISNUMBER(G516),ISNUMBER(F515),ISNUMBER(G515)),AND(F516&gt;G516,F515&lt;=G515),FALSE())</f>
        <v>0</v>
      </c>
      <c r="K516" s="9" t="b">
        <f aca="false">IF(AND(ISNUMBER(F516),ISNUMBER(G516),ISNUMBER(F515),ISNUMBER(G515)),AND(F516&lt;G516,F515&gt;=G515),FALSE())</f>
        <v>0</v>
      </c>
      <c r="L516" s="8" t="n">
        <f aca="false">IF(ISNUMBER(I516),E516-Inputs!$B$6*I516,"")</f>
        <v>0.825215231683128</v>
      </c>
      <c r="M516" s="9" t="b">
        <f aca="false">AND(Y515&gt;0,Z515)</f>
        <v>0</v>
      </c>
      <c r="N516" s="8" t="n">
        <f aca="false">B516*(1-Inputs!$B$12)</f>
        <v>0.836439102741926</v>
      </c>
      <c r="O516" s="10" t="n">
        <f aca="false">IF(M516,Y515*(N516-AB515)-Inputs!$B$9-Y515*AD515*Inputs!$B$13*(A516-AC515),0)</f>
        <v>0</v>
      </c>
      <c r="P516" s="10" t="n">
        <f aca="false">X515+O516</f>
        <v>1015.3844066801</v>
      </c>
      <c r="Q516" s="9" t="b">
        <f aca="false">AND(IF(M516,0,Y515)=0,AA515,IF(ISNUMBER(AE515),B516&gt;AE515,FALSE()))</f>
        <v>0</v>
      </c>
      <c r="R516" s="8" t="n">
        <f aca="false">B516*(1+Inputs!$B$12)</f>
        <v>0.836773745311536</v>
      </c>
      <c r="S516" s="11" t="n">
        <f aca="false">IF(Q516,MIN(P516*Inputs!$B$3/(R516-AE515),P516*Inputs!$B$11/R516),0)</f>
        <v>0</v>
      </c>
      <c r="T516" s="11" t="n">
        <f aca="false">IF(Q516,S516,IF(M516,0,Y515))</f>
        <v>664.118972006065</v>
      </c>
      <c r="U516" s="8" t="n">
        <f aca="false">IF(Q516,AE515,AF515)</f>
        <v>0.771982232894536</v>
      </c>
      <c r="V516" s="9" t="b">
        <f aca="false">AND(T516&gt;0,D516&lt;=U516)</f>
        <v>0</v>
      </c>
      <c r="W516" s="10" t="n">
        <f aca="false">IF(V516,T516*(AK516-AB516)-Inputs!$B$9-T516*AD516*Inputs!$B$13*(A516-AC516),0)</f>
        <v>0</v>
      </c>
      <c r="X516" s="10" t="n">
        <f aca="false">P516-IF(Q516,Inputs!$B$9,0)+W516</f>
        <v>1015.3844066801</v>
      </c>
      <c r="Y516" s="11" t="n">
        <f aca="false">IF(V516,0,T516)</f>
        <v>664.118972006065</v>
      </c>
      <c r="Z516" s="9" t="b">
        <f aca="false">AND(Y516&gt;0,K516)</f>
        <v>0</v>
      </c>
      <c r="AA516" s="9" t="b">
        <f aca="false">AND(Y516=0,J516,ISNUMBER(L516))</f>
        <v>0</v>
      </c>
      <c r="AB516" s="8" t="n">
        <f aca="false">IF(Q516,R516,AB515)</f>
        <v>0.787286484836172</v>
      </c>
      <c r="AC516" s="12" t="n">
        <f aca="false">IF(Q516,A516,AC515)</f>
        <v>45226</v>
      </c>
      <c r="AD516" s="8" t="n">
        <f aca="false">IF(Q516,B516,AD515)</f>
        <v>0.787129059024367</v>
      </c>
      <c r="AE516" s="8" t="str">
        <f aca="false">IF(AA516,L516,"")</f>
        <v/>
      </c>
      <c r="AF516" s="8" t="n">
        <f aca="false">U516</f>
        <v>0.771982232894536</v>
      </c>
      <c r="AG516" s="2" t="n">
        <f aca="false">AG515+IF(Q516,1,0)</f>
        <v>3</v>
      </c>
      <c r="AH516" s="2" t="n">
        <f aca="false">AG515</f>
        <v>3</v>
      </c>
      <c r="AI516" s="10" t="n">
        <f aca="false">X516+Y516*(E516-AB516)-Y516*AD516*Inputs!$B$13*(A516-AC516)</f>
        <v>1046.44082010299</v>
      </c>
      <c r="AJ516" s="10" t="n">
        <v>0</v>
      </c>
      <c r="AK516" s="8" t="n">
        <f aca="false">IF(AND(B516&lt;=U516,NOT(Q516)),B516,U516)*(1-Inputs!$B$12)</f>
        <v>0.771827836447957</v>
      </c>
    </row>
    <row r="517" customFormat="false" ht="15" hidden="false" customHeight="false" outlineLevel="0" collapsed="false">
      <c r="A517" s="6" t="n">
        <v>45301</v>
      </c>
      <c r="B517" s="7" t="n">
        <v>0.844422664428063</v>
      </c>
      <c r="C517" s="7" t="n">
        <v>0.845022392022565</v>
      </c>
      <c r="D517" s="7" t="n">
        <v>0.837391136582688</v>
      </c>
      <c r="E517" s="7" t="n">
        <v>0.839092236309231</v>
      </c>
      <c r="F517" s="8" t="n">
        <f aca="true">IF(ROW()-2&gt;=Inputs!$B$4,AVERAGE(OFFSET(E517,1-Inputs!$B$4,0,Inputs!$B$4,1)),"")</f>
        <v>0.82656297054882</v>
      </c>
      <c r="G517" s="8" t="n">
        <f aca="true">IF(ROW()-2&gt;=Inputs!$B$5,AVERAGE(OFFSET(E517,1-Inputs!$B$5,0,Inputs!$B$5,1)),"")</f>
        <v>0.823433795587459</v>
      </c>
      <c r="H517" s="8" t="n">
        <f aca="false">MAX(C517-D517,ABS(C517-E516),ABS(D517-E516))</f>
        <v>0.00763125543987631</v>
      </c>
      <c r="I517" s="8" t="n">
        <f aca="true">IF(ROW()-2&lt;14,"",IF(ROW()-2=14,AVERAGE(OFFSET(H517,-13,0,14,1)),(I516*13+H517)/14))</f>
        <v>0.00946282630585359</v>
      </c>
      <c r="J517" s="9" t="b">
        <f aca="false">IF(AND(ISNUMBER(F517),ISNUMBER(G517),ISNUMBER(F516),ISNUMBER(G516)),AND(F517&gt;G517,F516&lt;=G516),FALSE())</f>
        <v>0</v>
      </c>
      <c r="K517" s="9" t="b">
        <f aca="false">IF(AND(ISNUMBER(F517),ISNUMBER(G517),ISNUMBER(F516),ISNUMBER(G516)),AND(F517&lt;G517,F516&gt;=G516),FALSE())</f>
        <v>0</v>
      </c>
      <c r="L517" s="8" t="n">
        <f aca="false">IF(ISNUMBER(I517),E517-Inputs!$B$6*I517,"")</f>
        <v>0.820166583697524</v>
      </c>
      <c r="M517" s="9" t="b">
        <f aca="false">AND(Y516&gt;0,Z516)</f>
        <v>0</v>
      </c>
      <c r="N517" s="8" t="n">
        <f aca="false">B517*(1-Inputs!$B$12)</f>
        <v>0.844253779895177</v>
      </c>
      <c r="O517" s="10" t="n">
        <f aca="false">IF(M517,Y516*(N517-AB516)-Inputs!$B$9-Y516*AD516*Inputs!$B$13*(A517-AC516),0)</f>
        <v>0</v>
      </c>
      <c r="P517" s="10" t="n">
        <f aca="false">X516+O517</f>
        <v>1015.3844066801</v>
      </c>
      <c r="Q517" s="9" t="b">
        <f aca="false">AND(IF(M517,0,Y516)=0,AA516,IF(ISNUMBER(AE516),B517&gt;AE516,FALSE()))</f>
        <v>0</v>
      </c>
      <c r="R517" s="8" t="n">
        <f aca="false">B517*(1+Inputs!$B$12)</f>
        <v>0.844591548960948</v>
      </c>
      <c r="S517" s="11" t="n">
        <f aca="false">IF(Q517,MIN(P517*Inputs!$B$3/(R517-AE516),P517*Inputs!$B$11/R517),0)</f>
        <v>0</v>
      </c>
      <c r="T517" s="11" t="n">
        <f aca="false">IF(Q517,S517,IF(M517,0,Y516))</f>
        <v>664.118972006065</v>
      </c>
      <c r="U517" s="8" t="n">
        <f aca="false">IF(Q517,AE516,AF516)</f>
        <v>0.771982232894536</v>
      </c>
      <c r="V517" s="9" t="b">
        <f aca="false">AND(T517&gt;0,D517&lt;=U517)</f>
        <v>0</v>
      </c>
      <c r="W517" s="10" t="n">
        <f aca="false">IF(V517,T517*(AK517-AB517)-Inputs!$B$9-T517*AD517*Inputs!$B$13*(A517-AC517),0)</f>
        <v>0</v>
      </c>
      <c r="X517" s="10" t="n">
        <f aca="false">P517-IF(Q517,Inputs!$B$9,0)+W517</f>
        <v>1015.3844066801</v>
      </c>
      <c r="Y517" s="11" t="n">
        <f aca="false">IF(V517,0,T517)</f>
        <v>664.118972006065</v>
      </c>
      <c r="Z517" s="9" t="b">
        <f aca="false">AND(Y517&gt;0,K517)</f>
        <v>0</v>
      </c>
      <c r="AA517" s="9" t="b">
        <f aca="false">AND(Y517=0,J517,ISNUMBER(L517))</f>
        <v>0</v>
      </c>
      <c r="AB517" s="8" t="n">
        <f aca="false">IF(Q517,R517,AB516)</f>
        <v>0.787286484836172</v>
      </c>
      <c r="AC517" s="12" t="n">
        <f aca="false">IF(Q517,A517,AC516)</f>
        <v>45226</v>
      </c>
      <c r="AD517" s="8" t="n">
        <f aca="false">IF(Q517,B517,AD516)</f>
        <v>0.787129059024367</v>
      </c>
      <c r="AE517" s="8" t="str">
        <f aca="false">IF(AA517,L517,"")</f>
        <v/>
      </c>
      <c r="AF517" s="8" t="n">
        <f aca="false">U517</f>
        <v>0.771982232894536</v>
      </c>
      <c r="AG517" s="2" t="n">
        <f aca="false">AG516+IF(Q517,1,0)</f>
        <v>3</v>
      </c>
      <c r="AH517" s="2" t="n">
        <f aca="false">AG516</f>
        <v>3</v>
      </c>
      <c r="AI517" s="10" t="n">
        <f aca="false">X517+Y517*(E517-AB517)-Y517*AD517*Inputs!$B$13*(A517-AC517)</f>
        <v>1042.80768966804</v>
      </c>
      <c r="AJ517" s="10" t="n">
        <v>0</v>
      </c>
      <c r="AK517" s="8" t="n">
        <f aca="false">IF(AND(B517&lt;=U517,NOT(Q517)),B517,U517)*(1-Inputs!$B$12)</f>
        <v>0.771827836447957</v>
      </c>
    </row>
    <row r="518" customFormat="false" ht="15" hidden="false" customHeight="false" outlineLevel="0" collapsed="false">
      <c r="A518" s="6" t="n">
        <v>45302</v>
      </c>
      <c r="B518" s="7" t="n">
        <v>0.839092236309231</v>
      </c>
      <c r="C518" s="7" t="n">
        <v>0.840035857169375</v>
      </c>
      <c r="D518" s="7" t="n">
        <v>0.830134336672755</v>
      </c>
      <c r="E518" s="7" t="n">
        <v>0.832647651985261</v>
      </c>
      <c r="F518" s="8" t="n">
        <f aca="true">IF(ROW()-2&gt;=Inputs!$B$4,AVERAGE(OFFSET(E518,1-Inputs!$B$4,0,Inputs!$B$4,1)),"")</f>
        <v>0.826553945729333</v>
      </c>
      <c r="G518" s="8" t="n">
        <f aca="true">IF(ROW()-2&gt;=Inputs!$B$5,AVERAGE(OFFSET(E518,1-Inputs!$B$5,0,Inputs!$B$5,1)),"")</f>
        <v>0.823864130409854</v>
      </c>
      <c r="H518" s="8" t="n">
        <f aca="false">MAX(C518-D518,ABS(C518-E517),ABS(D518-E517))</f>
        <v>0.00990152049661963</v>
      </c>
      <c r="I518" s="8" t="n">
        <f aca="true">IF(ROW()-2&lt;14,"",IF(ROW()-2=14,AVERAGE(OFFSET(H518,-13,0,14,1)),(I517*13+H518)/14))</f>
        <v>0.00949416160519402</v>
      </c>
      <c r="J518" s="9" t="b">
        <f aca="false">IF(AND(ISNUMBER(F518),ISNUMBER(G518),ISNUMBER(F517),ISNUMBER(G517)),AND(F518&gt;G518,F517&lt;=G517),FALSE())</f>
        <v>0</v>
      </c>
      <c r="K518" s="9" t="b">
        <f aca="false">IF(AND(ISNUMBER(F518),ISNUMBER(G518),ISNUMBER(F517),ISNUMBER(G517)),AND(F518&lt;G518,F517&gt;=G517),FALSE())</f>
        <v>0</v>
      </c>
      <c r="L518" s="8" t="n">
        <f aca="false">IF(ISNUMBER(I518),E518-Inputs!$B$6*I518,"")</f>
        <v>0.813659328774873</v>
      </c>
      <c r="M518" s="9" t="b">
        <f aca="false">AND(Y517&gt;0,Z517)</f>
        <v>0</v>
      </c>
      <c r="N518" s="8" t="n">
        <f aca="false">B518*(1-Inputs!$B$12)</f>
        <v>0.838924417861969</v>
      </c>
      <c r="O518" s="10" t="n">
        <f aca="false">IF(M518,Y517*(N518-AB517)-Inputs!$B$9-Y517*AD517*Inputs!$B$13*(A518-AC517),0)</f>
        <v>0</v>
      </c>
      <c r="P518" s="10" t="n">
        <f aca="false">X517+O518</f>
        <v>1015.3844066801</v>
      </c>
      <c r="Q518" s="9" t="b">
        <f aca="false">AND(IF(M518,0,Y517)=0,AA517,IF(ISNUMBER(AE517),B518&gt;AE517,FALSE()))</f>
        <v>0</v>
      </c>
      <c r="R518" s="8" t="n">
        <f aca="false">B518*(1+Inputs!$B$12)</f>
        <v>0.839260054756493</v>
      </c>
      <c r="S518" s="11" t="n">
        <f aca="false">IF(Q518,MIN(P518*Inputs!$B$3/(R518-AE517),P518*Inputs!$B$11/R518),0)</f>
        <v>0</v>
      </c>
      <c r="T518" s="11" t="n">
        <f aca="false">IF(Q518,S518,IF(M518,0,Y517))</f>
        <v>664.118972006065</v>
      </c>
      <c r="U518" s="8" t="n">
        <f aca="false">IF(Q518,AE517,AF517)</f>
        <v>0.771982232894536</v>
      </c>
      <c r="V518" s="9" t="b">
        <f aca="false">AND(T518&gt;0,D518&lt;=U518)</f>
        <v>0</v>
      </c>
      <c r="W518" s="10" t="n">
        <f aca="false">IF(V518,T518*(AK518-AB518)-Inputs!$B$9-T518*AD518*Inputs!$B$13*(A518-AC518),0)</f>
        <v>0</v>
      </c>
      <c r="X518" s="10" t="n">
        <f aca="false">P518-IF(Q518,Inputs!$B$9,0)+W518</f>
        <v>1015.3844066801</v>
      </c>
      <c r="Y518" s="11" t="n">
        <f aca="false">IF(V518,0,T518)</f>
        <v>664.118972006065</v>
      </c>
      <c r="Z518" s="9" t="b">
        <f aca="false">AND(Y518&gt;0,K518)</f>
        <v>0</v>
      </c>
      <c r="AA518" s="9" t="b">
        <f aca="false">AND(Y518=0,J518,ISNUMBER(L518))</f>
        <v>0</v>
      </c>
      <c r="AB518" s="8" t="n">
        <f aca="false">IF(Q518,R518,AB517)</f>
        <v>0.787286484836172</v>
      </c>
      <c r="AC518" s="12" t="n">
        <f aca="false">IF(Q518,A518,AC517)</f>
        <v>45226</v>
      </c>
      <c r="AD518" s="8" t="n">
        <f aca="false">IF(Q518,B518,AD517)</f>
        <v>0.787129059024367</v>
      </c>
      <c r="AE518" s="8" t="str">
        <f aca="false">IF(AA518,L518,"")</f>
        <v/>
      </c>
      <c r="AF518" s="8" t="n">
        <f aca="false">U518</f>
        <v>0.771982232894536</v>
      </c>
      <c r="AG518" s="2" t="n">
        <f aca="false">AG517+IF(Q518,1,0)</f>
        <v>3</v>
      </c>
      <c r="AH518" s="2" t="n">
        <f aca="false">AG517</f>
        <v>3</v>
      </c>
      <c r="AI518" s="10" t="n">
        <f aca="false">X518+Y518*(E518-AB518)-Y518*AD518*Inputs!$B$13*(A518-AC518)</f>
        <v>1038.43462695947</v>
      </c>
      <c r="AJ518" s="10" t="n">
        <v>0</v>
      </c>
      <c r="AK518" s="8" t="n">
        <f aca="false">IF(AND(B518&lt;=U518,NOT(Q518)),B518,U518)*(1-Inputs!$B$12)</f>
        <v>0.771827836447957</v>
      </c>
    </row>
    <row r="519" customFormat="false" ht="15" hidden="false" customHeight="false" outlineLevel="0" collapsed="false">
      <c r="A519" s="6" t="n">
        <v>45303</v>
      </c>
      <c r="B519" s="7" t="n">
        <v>0.832647651985261</v>
      </c>
      <c r="C519" s="7" t="n">
        <v>0.837275138289758</v>
      </c>
      <c r="D519" s="7" t="n">
        <v>0.82912549020118</v>
      </c>
      <c r="E519" s="7" t="n">
        <v>0.83658827631522</v>
      </c>
      <c r="F519" s="8" t="n">
        <f aca="true">IF(ROW()-2&gt;=Inputs!$B$4,AVERAGE(OFFSET(E519,1-Inputs!$B$4,0,Inputs!$B$4,1)),"")</f>
        <v>0.826718905353354</v>
      </c>
      <c r="G519" s="8" t="n">
        <f aca="true">IF(ROW()-2&gt;=Inputs!$B$5,AVERAGE(OFFSET(E519,1-Inputs!$B$5,0,Inputs!$B$5,1)),"")</f>
        <v>0.824302624845028</v>
      </c>
      <c r="H519" s="8" t="n">
        <f aca="false">MAX(C519-D519,ABS(C519-E518),ABS(D519-E518))</f>
        <v>0.00814964808857788</v>
      </c>
      <c r="I519" s="8" t="n">
        <f aca="true">IF(ROW()-2&lt;14,"",IF(ROW()-2=14,AVERAGE(OFFSET(H519,-13,0,14,1)),(I518*13+H519)/14))</f>
        <v>0.00939812492543572</v>
      </c>
      <c r="J519" s="9" t="b">
        <f aca="false">IF(AND(ISNUMBER(F519),ISNUMBER(G519),ISNUMBER(F518),ISNUMBER(G518)),AND(F519&gt;G519,F518&lt;=G518),FALSE())</f>
        <v>0</v>
      </c>
      <c r="K519" s="9" t="b">
        <f aca="false">IF(AND(ISNUMBER(F519),ISNUMBER(G519),ISNUMBER(F518),ISNUMBER(G518)),AND(F519&lt;G519,F518&gt;=G518),FALSE())</f>
        <v>0</v>
      </c>
      <c r="L519" s="8" t="n">
        <f aca="false">IF(ISNUMBER(I519),E519-Inputs!$B$6*I519,"")</f>
        <v>0.817792026464348</v>
      </c>
      <c r="M519" s="9" t="b">
        <f aca="false">AND(Y518&gt;0,Z518)</f>
        <v>0</v>
      </c>
      <c r="N519" s="8" t="n">
        <f aca="false">B519*(1-Inputs!$B$12)</f>
        <v>0.832481122454864</v>
      </c>
      <c r="O519" s="10" t="n">
        <f aca="false">IF(M519,Y518*(N519-AB518)-Inputs!$B$9-Y518*AD518*Inputs!$B$13*(A519-AC518),0)</f>
        <v>0</v>
      </c>
      <c r="P519" s="10" t="n">
        <f aca="false">X518+O519</f>
        <v>1015.3844066801</v>
      </c>
      <c r="Q519" s="9" t="b">
        <f aca="false">AND(IF(M519,0,Y518)=0,AA518,IF(ISNUMBER(AE518),B519&gt;AE518,FALSE()))</f>
        <v>0</v>
      </c>
      <c r="R519" s="8" t="n">
        <f aca="false">B519*(1+Inputs!$B$12)</f>
        <v>0.832814181515658</v>
      </c>
      <c r="S519" s="11" t="n">
        <f aca="false">IF(Q519,MIN(P519*Inputs!$B$3/(R519-AE518),P519*Inputs!$B$11/R519),0)</f>
        <v>0</v>
      </c>
      <c r="T519" s="11" t="n">
        <f aca="false">IF(Q519,S519,IF(M519,0,Y518))</f>
        <v>664.118972006065</v>
      </c>
      <c r="U519" s="8" t="n">
        <f aca="false">IF(Q519,AE518,AF518)</f>
        <v>0.771982232894536</v>
      </c>
      <c r="V519" s="9" t="b">
        <f aca="false">AND(T519&gt;0,D519&lt;=U519)</f>
        <v>0</v>
      </c>
      <c r="W519" s="10" t="n">
        <f aca="false">IF(V519,T519*(AK519-AB519)-Inputs!$B$9-T519*AD519*Inputs!$B$13*(A519-AC519),0)</f>
        <v>0</v>
      </c>
      <c r="X519" s="10" t="n">
        <f aca="false">P519-IF(Q519,Inputs!$B$9,0)+W519</f>
        <v>1015.3844066801</v>
      </c>
      <c r="Y519" s="11" t="n">
        <f aca="false">IF(V519,0,T519)</f>
        <v>664.118972006065</v>
      </c>
      <c r="Z519" s="9" t="b">
        <f aca="false">AND(Y519&gt;0,K519)</f>
        <v>0</v>
      </c>
      <c r="AA519" s="9" t="b">
        <f aca="false">AND(Y519=0,J519,ISNUMBER(L519))</f>
        <v>0</v>
      </c>
      <c r="AB519" s="8" t="n">
        <f aca="false">IF(Q519,R519,AB518)</f>
        <v>0.787286484836172</v>
      </c>
      <c r="AC519" s="12" t="n">
        <f aca="false">IF(Q519,A519,AC518)</f>
        <v>45226</v>
      </c>
      <c r="AD519" s="8" t="n">
        <f aca="false">IF(Q519,B519,AD518)</f>
        <v>0.787129059024367</v>
      </c>
      <c r="AE519" s="8" t="str">
        <f aca="false">IF(AA519,L519,"")</f>
        <v/>
      </c>
      <c r="AF519" s="8" t="n">
        <f aca="false">U519</f>
        <v>0.771982232894536</v>
      </c>
      <c r="AG519" s="2" t="n">
        <f aca="false">AG518+IF(Q519,1,0)</f>
        <v>3</v>
      </c>
      <c r="AH519" s="2" t="n">
        <f aca="false">AG518</f>
        <v>3</v>
      </c>
      <c r="AI519" s="10" t="n">
        <f aca="false">X519+Y519*(E519-AB519)-Y519*AD519*Inputs!$B$13*(A519-AC519)</f>
        <v>1040.95857834622</v>
      </c>
      <c r="AJ519" s="10" t="n">
        <v>0</v>
      </c>
      <c r="AK519" s="8" t="n">
        <f aca="false">IF(AND(B519&lt;=U519,NOT(Q519)),B519,U519)*(1-Inputs!$B$12)</f>
        <v>0.771827836447957</v>
      </c>
    </row>
    <row r="520" customFormat="false" ht="15" hidden="false" customHeight="false" outlineLevel="0" collapsed="false">
      <c r="A520" s="6" t="n">
        <v>45304</v>
      </c>
      <c r="B520" s="7" t="n">
        <v>0.83658827631522</v>
      </c>
      <c r="C520" s="7" t="n">
        <v>0.839611081178286</v>
      </c>
      <c r="D520" s="7" t="n">
        <v>0.831318886950185</v>
      </c>
      <c r="E520" s="7" t="n">
        <v>0.834588878699262</v>
      </c>
      <c r="F520" s="8" t="n">
        <f aca="true">IF(ROW()-2&gt;=Inputs!$B$4,AVERAGE(OFFSET(E520,1-Inputs!$B$4,0,Inputs!$B$4,1)),"")</f>
        <v>0.827133810867954</v>
      </c>
      <c r="G520" s="8" t="n">
        <f aca="true">IF(ROW()-2&gt;=Inputs!$B$5,AVERAGE(OFFSET(E520,1-Inputs!$B$5,0,Inputs!$B$5,1)),"")</f>
        <v>0.824737920462583</v>
      </c>
      <c r="H520" s="8" t="n">
        <f aca="false">MAX(C520-D520,ABS(C520-E519),ABS(D520-E519))</f>
        <v>0.00829219422810124</v>
      </c>
      <c r="I520" s="8" t="n">
        <f aca="true">IF(ROW()-2&lt;14,"",IF(ROW()-2=14,AVERAGE(OFFSET(H520,-13,0,14,1)),(I519*13+H520)/14))</f>
        <v>0.00931912987562612</v>
      </c>
      <c r="J520" s="9" t="b">
        <f aca="false">IF(AND(ISNUMBER(F520),ISNUMBER(G520),ISNUMBER(F519),ISNUMBER(G519)),AND(F520&gt;G520,F519&lt;=G519),FALSE())</f>
        <v>0</v>
      </c>
      <c r="K520" s="9" t="b">
        <f aca="false">IF(AND(ISNUMBER(F520),ISNUMBER(G520),ISNUMBER(F519),ISNUMBER(G519)),AND(F520&lt;G520,F519&gt;=G519),FALSE())</f>
        <v>0</v>
      </c>
      <c r="L520" s="8" t="n">
        <f aca="false">IF(ISNUMBER(I520),E520-Inputs!$B$6*I520,"")</f>
        <v>0.81595061894801</v>
      </c>
      <c r="M520" s="9" t="b">
        <f aca="false">AND(Y519&gt;0,Z519)</f>
        <v>0</v>
      </c>
      <c r="N520" s="8" t="n">
        <f aca="false">B520*(1-Inputs!$B$12)</f>
        <v>0.836420958659957</v>
      </c>
      <c r="O520" s="10" t="n">
        <f aca="false">IF(M520,Y519*(N520-AB519)-Inputs!$B$9-Y519*AD519*Inputs!$B$13*(A520-AC519),0)</f>
        <v>0</v>
      </c>
      <c r="P520" s="10" t="n">
        <f aca="false">X519+O520</f>
        <v>1015.3844066801</v>
      </c>
      <c r="Q520" s="9" t="b">
        <f aca="false">AND(IF(M520,0,Y519)=0,AA519,IF(ISNUMBER(AE519),B520&gt;AE519,FALSE()))</f>
        <v>0</v>
      </c>
      <c r="R520" s="8" t="n">
        <f aca="false">B520*(1+Inputs!$B$12)</f>
        <v>0.836755593970483</v>
      </c>
      <c r="S520" s="11" t="n">
        <f aca="false">IF(Q520,MIN(P520*Inputs!$B$3/(R520-AE519),P520*Inputs!$B$11/R520),0)</f>
        <v>0</v>
      </c>
      <c r="T520" s="11" t="n">
        <f aca="false">IF(Q520,S520,IF(M520,0,Y519))</f>
        <v>664.118972006065</v>
      </c>
      <c r="U520" s="8" t="n">
        <f aca="false">IF(Q520,AE519,AF519)</f>
        <v>0.771982232894536</v>
      </c>
      <c r="V520" s="9" t="b">
        <f aca="false">AND(T520&gt;0,D520&lt;=U520)</f>
        <v>0</v>
      </c>
      <c r="W520" s="10" t="n">
        <f aca="false">IF(V520,T520*(AK520-AB520)-Inputs!$B$9-T520*AD520*Inputs!$B$13*(A520-AC520),0)</f>
        <v>0</v>
      </c>
      <c r="X520" s="10" t="n">
        <f aca="false">P520-IF(Q520,Inputs!$B$9,0)+W520</f>
        <v>1015.3844066801</v>
      </c>
      <c r="Y520" s="11" t="n">
        <f aca="false">IF(V520,0,T520)</f>
        <v>664.118972006065</v>
      </c>
      <c r="Z520" s="9" t="b">
        <f aca="false">AND(Y520&gt;0,K520)</f>
        <v>0</v>
      </c>
      <c r="AA520" s="9" t="b">
        <f aca="false">AND(Y520=0,J520,ISNUMBER(L520))</f>
        <v>0</v>
      </c>
      <c r="AB520" s="8" t="n">
        <f aca="false">IF(Q520,R520,AB519)</f>
        <v>0.787286484836172</v>
      </c>
      <c r="AC520" s="12" t="n">
        <f aca="false">IF(Q520,A520,AC519)</f>
        <v>45226</v>
      </c>
      <c r="AD520" s="8" t="n">
        <f aca="false">IF(Q520,B520,AD519)</f>
        <v>0.787129059024367</v>
      </c>
      <c r="AE520" s="8" t="str">
        <f aca="false">IF(AA520,L520,"")</f>
        <v/>
      </c>
      <c r="AF520" s="8" t="n">
        <f aca="false">U520</f>
        <v>0.771982232894536</v>
      </c>
      <c r="AG520" s="2" t="n">
        <f aca="false">AG519+IF(Q520,1,0)</f>
        <v>3</v>
      </c>
      <c r="AH520" s="2" t="n">
        <f aca="false">AG519</f>
        <v>3</v>
      </c>
      <c r="AI520" s="10" t="n">
        <f aca="false">X520+Y520*(E520-AB520)-Y520*AD520*Inputs!$B$13*(A520-AC520)</f>
        <v>1039.53764846455</v>
      </c>
      <c r="AJ520" s="10" t="n">
        <v>0</v>
      </c>
      <c r="AK520" s="8" t="n">
        <f aca="false">IF(AND(B520&lt;=U520,NOT(Q520)),B520,U520)*(1-Inputs!$B$12)</f>
        <v>0.771827836447957</v>
      </c>
    </row>
    <row r="521" customFormat="false" ht="15" hidden="false" customHeight="false" outlineLevel="0" collapsed="false">
      <c r="A521" s="6" t="n">
        <v>45305</v>
      </c>
      <c r="B521" s="7" t="n">
        <v>0.834588878699262</v>
      </c>
      <c r="C521" s="7" t="n">
        <v>0.83875775806726</v>
      </c>
      <c r="D521" s="7" t="n">
        <v>0.832471804353914</v>
      </c>
      <c r="E521" s="7" t="n">
        <v>0.836637458436441</v>
      </c>
      <c r="F521" s="8" t="n">
        <f aca="true">IF(ROW()-2&gt;=Inputs!$B$4,AVERAGE(OFFSET(E521,1-Inputs!$B$4,0,Inputs!$B$4,1)),"")</f>
        <v>0.827718817683055</v>
      </c>
      <c r="G521" s="8" t="n">
        <f aca="true">IF(ROW()-2&gt;=Inputs!$B$5,AVERAGE(OFFSET(E521,1-Inputs!$B$5,0,Inputs!$B$5,1)),"")</f>
        <v>0.825100589465118</v>
      </c>
      <c r="H521" s="8" t="n">
        <f aca="false">MAX(C521-D521,ABS(C521-E520),ABS(D521-E520))</f>
        <v>0.00628595371334617</v>
      </c>
      <c r="I521" s="8" t="n">
        <f aca="true">IF(ROW()-2&lt;14,"",IF(ROW()-2=14,AVERAGE(OFFSET(H521,-13,0,14,1)),(I520*13+H521)/14))</f>
        <v>0.00910247443546326</v>
      </c>
      <c r="J521" s="9" t="b">
        <f aca="false">IF(AND(ISNUMBER(F521),ISNUMBER(G521),ISNUMBER(F520),ISNUMBER(G520)),AND(F521&gt;G521,F520&lt;=G520),FALSE())</f>
        <v>0</v>
      </c>
      <c r="K521" s="9" t="b">
        <f aca="false">IF(AND(ISNUMBER(F521),ISNUMBER(G521),ISNUMBER(F520),ISNUMBER(G520)),AND(F521&lt;G521,F520&gt;=G520),FALSE())</f>
        <v>0</v>
      </c>
      <c r="L521" s="8" t="n">
        <f aca="false">IF(ISNUMBER(I521),E521-Inputs!$B$6*I521,"")</f>
        <v>0.818432509565515</v>
      </c>
      <c r="M521" s="9" t="b">
        <f aca="false">AND(Y520&gt;0,Z520)</f>
        <v>0</v>
      </c>
      <c r="N521" s="8" t="n">
        <f aca="false">B521*(1-Inputs!$B$12)</f>
        <v>0.834421960923523</v>
      </c>
      <c r="O521" s="10" t="n">
        <f aca="false">IF(M521,Y520*(N521-AB520)-Inputs!$B$9-Y520*AD520*Inputs!$B$13*(A521-AC520),0)</f>
        <v>0</v>
      </c>
      <c r="P521" s="10" t="n">
        <f aca="false">X520+O521</f>
        <v>1015.3844066801</v>
      </c>
      <c r="Q521" s="9" t="b">
        <f aca="false">AND(IF(M521,0,Y520)=0,AA520,IF(ISNUMBER(AE520),B521&gt;AE520,FALSE()))</f>
        <v>0</v>
      </c>
      <c r="R521" s="8" t="n">
        <f aca="false">B521*(1+Inputs!$B$12)</f>
        <v>0.834755796475002</v>
      </c>
      <c r="S521" s="11" t="n">
        <f aca="false">IF(Q521,MIN(P521*Inputs!$B$3/(R521-AE520),P521*Inputs!$B$11/R521),0)</f>
        <v>0</v>
      </c>
      <c r="T521" s="11" t="n">
        <f aca="false">IF(Q521,S521,IF(M521,0,Y520))</f>
        <v>664.118972006065</v>
      </c>
      <c r="U521" s="8" t="n">
        <f aca="false">IF(Q521,AE520,AF520)</f>
        <v>0.771982232894536</v>
      </c>
      <c r="V521" s="9" t="b">
        <f aca="false">AND(T521&gt;0,D521&lt;=U521)</f>
        <v>0</v>
      </c>
      <c r="W521" s="10" t="n">
        <f aca="false">IF(V521,T521*(AK521-AB521)-Inputs!$B$9-T521*AD521*Inputs!$B$13*(A521-AC521),0)</f>
        <v>0</v>
      </c>
      <c r="X521" s="10" t="n">
        <f aca="false">P521-IF(Q521,Inputs!$B$9,0)+W521</f>
        <v>1015.3844066801</v>
      </c>
      <c r="Y521" s="11" t="n">
        <f aca="false">IF(V521,0,T521)</f>
        <v>664.118972006065</v>
      </c>
      <c r="Z521" s="9" t="b">
        <f aca="false">AND(Y521&gt;0,K521)</f>
        <v>0</v>
      </c>
      <c r="AA521" s="9" t="b">
        <f aca="false">AND(Y521=0,J521,ISNUMBER(L521))</f>
        <v>0</v>
      </c>
      <c r="AB521" s="8" t="n">
        <f aca="false">IF(Q521,R521,AB520)</f>
        <v>0.787286484836172</v>
      </c>
      <c r="AC521" s="12" t="n">
        <f aca="false">IF(Q521,A521,AC520)</f>
        <v>45226</v>
      </c>
      <c r="AD521" s="8" t="n">
        <f aca="false">IF(Q521,B521,AD520)</f>
        <v>0.787129059024367</v>
      </c>
      <c r="AE521" s="8" t="str">
        <f aca="false">IF(AA521,L521,"")</f>
        <v/>
      </c>
      <c r="AF521" s="8" t="n">
        <f aca="false">U521</f>
        <v>0.771982232894536</v>
      </c>
      <c r="AG521" s="2" t="n">
        <f aca="false">AG520+IF(Q521,1,0)</f>
        <v>3</v>
      </c>
      <c r="AH521" s="2" t="n">
        <f aca="false">AG520</f>
        <v>3</v>
      </c>
      <c r="AI521" s="10" t="n">
        <f aca="false">X521+Y521*(E521-AB521)-Y521*AD521*Inputs!$B$13*(A521-AC521)</f>
        <v>1040.80505714136</v>
      </c>
      <c r="AJ521" s="10" t="n">
        <v>0</v>
      </c>
      <c r="AK521" s="8" t="n">
        <f aca="false">IF(AND(B521&lt;=U521,NOT(Q521)),B521,U521)*(1-Inputs!$B$12)</f>
        <v>0.771827836447957</v>
      </c>
    </row>
    <row r="522" customFormat="false" ht="15" hidden="false" customHeight="false" outlineLevel="0" collapsed="false">
      <c r="A522" s="6" t="n">
        <v>45306</v>
      </c>
      <c r="B522" s="7" t="n">
        <v>0.836637458436441</v>
      </c>
      <c r="C522" s="7" t="n">
        <v>0.837420459392256</v>
      </c>
      <c r="D522" s="7" t="n">
        <v>0.82910371342109</v>
      </c>
      <c r="E522" s="7" t="n">
        <v>0.833637521718318</v>
      </c>
      <c r="F522" s="8" t="n">
        <f aca="true">IF(ROW()-2&gt;=Inputs!$B$4,AVERAGE(OFFSET(E522,1-Inputs!$B$4,0,Inputs!$B$4,1)),"")</f>
        <v>0.828432067771069</v>
      </c>
      <c r="G522" s="8" t="n">
        <f aca="true">IF(ROW()-2&gt;=Inputs!$B$5,AVERAGE(OFFSET(E522,1-Inputs!$B$5,0,Inputs!$B$5,1)),"")</f>
        <v>0.825286291183438</v>
      </c>
      <c r="H522" s="8" t="n">
        <f aca="false">MAX(C522-D522,ABS(C522-E521),ABS(D522-E521))</f>
        <v>0.00831674597116583</v>
      </c>
      <c r="I522" s="8" t="n">
        <f aca="true">IF(ROW()-2&lt;14,"",IF(ROW()-2=14,AVERAGE(OFFSET(H522,-13,0,14,1)),(I521*13+H522)/14))</f>
        <v>0.00904635097372773</v>
      </c>
      <c r="J522" s="9" t="b">
        <f aca="false">IF(AND(ISNUMBER(F522),ISNUMBER(G522),ISNUMBER(F521),ISNUMBER(G521)),AND(F522&gt;G522,F521&lt;=G521),FALSE())</f>
        <v>0</v>
      </c>
      <c r="K522" s="9" t="b">
        <f aca="false">IF(AND(ISNUMBER(F522),ISNUMBER(G522),ISNUMBER(F521),ISNUMBER(G521)),AND(F522&lt;G522,F521&gt;=G521),FALSE())</f>
        <v>0</v>
      </c>
      <c r="L522" s="8" t="n">
        <f aca="false">IF(ISNUMBER(I522),E522-Inputs!$B$6*I522,"")</f>
        <v>0.815544819770863</v>
      </c>
      <c r="M522" s="9" t="b">
        <f aca="false">AND(Y521&gt;0,Z521)</f>
        <v>0</v>
      </c>
      <c r="N522" s="8" t="n">
        <f aca="false">B522*(1-Inputs!$B$12)</f>
        <v>0.836470130944754</v>
      </c>
      <c r="O522" s="10" t="n">
        <f aca="false">IF(M522,Y521*(N522-AB521)-Inputs!$B$9-Y521*AD521*Inputs!$B$13*(A522-AC521),0)</f>
        <v>0</v>
      </c>
      <c r="P522" s="10" t="n">
        <f aca="false">X521+O522</f>
        <v>1015.3844066801</v>
      </c>
      <c r="Q522" s="9" t="b">
        <f aca="false">AND(IF(M522,0,Y521)=0,AA521,IF(ISNUMBER(AE521),B522&gt;AE521,FALSE()))</f>
        <v>0</v>
      </c>
      <c r="R522" s="8" t="n">
        <f aca="false">B522*(1+Inputs!$B$12)</f>
        <v>0.836804785928129</v>
      </c>
      <c r="S522" s="11" t="n">
        <f aca="false">IF(Q522,MIN(P522*Inputs!$B$3/(R522-AE521),P522*Inputs!$B$11/R522),0)</f>
        <v>0</v>
      </c>
      <c r="T522" s="11" t="n">
        <f aca="false">IF(Q522,S522,IF(M522,0,Y521))</f>
        <v>664.118972006065</v>
      </c>
      <c r="U522" s="8" t="n">
        <f aca="false">IF(Q522,AE521,AF521)</f>
        <v>0.771982232894536</v>
      </c>
      <c r="V522" s="9" t="b">
        <f aca="false">AND(T522&gt;0,D522&lt;=U522)</f>
        <v>0</v>
      </c>
      <c r="W522" s="10" t="n">
        <f aca="false">IF(V522,T522*(AK522-AB522)-Inputs!$B$9-T522*AD522*Inputs!$B$13*(A522-AC522),0)</f>
        <v>0</v>
      </c>
      <c r="X522" s="10" t="n">
        <f aca="false">P522-IF(Q522,Inputs!$B$9,0)+W522</f>
        <v>1015.3844066801</v>
      </c>
      <c r="Y522" s="11" t="n">
        <f aca="false">IF(V522,0,T522)</f>
        <v>664.118972006065</v>
      </c>
      <c r="Z522" s="9" t="b">
        <f aca="false">AND(Y522&gt;0,K522)</f>
        <v>0</v>
      </c>
      <c r="AA522" s="9" t="b">
        <f aca="false">AND(Y522=0,J522,ISNUMBER(L522))</f>
        <v>0</v>
      </c>
      <c r="AB522" s="8" t="n">
        <f aca="false">IF(Q522,R522,AB521)</f>
        <v>0.787286484836172</v>
      </c>
      <c r="AC522" s="12" t="n">
        <f aca="false">IF(Q522,A522,AC521)</f>
        <v>45226</v>
      </c>
      <c r="AD522" s="8" t="n">
        <f aca="false">IF(Q522,B522,AD521)</f>
        <v>0.787129059024367</v>
      </c>
      <c r="AE522" s="8" t="str">
        <f aca="false">IF(AA522,L522,"")</f>
        <v/>
      </c>
      <c r="AF522" s="8" t="n">
        <f aca="false">U522</f>
        <v>0.771982232894536</v>
      </c>
      <c r="AG522" s="2" t="n">
        <f aca="false">AG521+IF(Q522,1,0)</f>
        <v>3</v>
      </c>
      <c r="AH522" s="2" t="n">
        <f aca="false">AG521</f>
        <v>3</v>
      </c>
      <c r="AI522" s="10" t="n">
        <f aca="false">X522+Y522*(E522-AB522)-Y522*AD522*Inputs!$B$13*(A522-AC522)</f>
        <v>1038.71965025971</v>
      </c>
      <c r="AJ522" s="10" t="n">
        <v>0</v>
      </c>
      <c r="AK522" s="8" t="n">
        <f aca="false">IF(AND(B522&lt;=U522,NOT(Q522)),B522,U522)*(1-Inputs!$B$12)</f>
        <v>0.771827836447957</v>
      </c>
    </row>
    <row r="523" customFormat="false" ht="15" hidden="false" customHeight="false" outlineLevel="0" collapsed="false">
      <c r="A523" s="6" t="n">
        <v>45307</v>
      </c>
      <c r="B523" s="7" t="n">
        <v>0.833637521718318</v>
      </c>
      <c r="C523" s="7" t="n">
        <v>0.840873930941758</v>
      </c>
      <c r="D523" s="7" t="n">
        <v>0.832512892470442</v>
      </c>
      <c r="E523" s="7" t="n">
        <v>0.83877581631509</v>
      </c>
      <c r="F523" s="8" t="n">
        <f aca="true">IF(ROW()-2&gt;=Inputs!$B$4,AVERAGE(OFFSET(E523,1-Inputs!$B$4,0,Inputs!$B$4,1)),"")</f>
        <v>0.829590244784047</v>
      </c>
      <c r="G523" s="8" t="n">
        <f aca="true">IF(ROW()-2&gt;=Inputs!$B$5,AVERAGE(OFFSET(E523,1-Inputs!$B$5,0,Inputs!$B$5,1)),"")</f>
        <v>0.825640194177196</v>
      </c>
      <c r="H523" s="8" t="n">
        <f aca="false">MAX(C523-D523,ABS(C523-E522),ABS(D523-E522))</f>
        <v>0.00836103847131631</v>
      </c>
      <c r="I523" s="8" t="n">
        <f aca="true">IF(ROW()-2&lt;14,"",IF(ROW()-2=14,AVERAGE(OFFSET(H523,-13,0,14,1)),(I522*13+H523)/14))</f>
        <v>0.00899740008069835</v>
      </c>
      <c r="J523" s="9" t="b">
        <f aca="false">IF(AND(ISNUMBER(F523),ISNUMBER(G523),ISNUMBER(F522),ISNUMBER(G522)),AND(F523&gt;G523,F522&lt;=G522),FALSE())</f>
        <v>0</v>
      </c>
      <c r="K523" s="9" t="b">
        <f aca="false">IF(AND(ISNUMBER(F523),ISNUMBER(G523),ISNUMBER(F522),ISNUMBER(G522)),AND(F523&lt;G523,F522&gt;=G522),FALSE())</f>
        <v>0</v>
      </c>
      <c r="L523" s="8" t="n">
        <f aca="false">IF(ISNUMBER(I523),E523-Inputs!$B$6*I523,"")</f>
        <v>0.820781016153693</v>
      </c>
      <c r="M523" s="9" t="b">
        <f aca="false">AND(Y522&gt;0,Z522)</f>
        <v>0</v>
      </c>
      <c r="N523" s="8" t="n">
        <f aca="false">B523*(1-Inputs!$B$12)</f>
        <v>0.833470794213975</v>
      </c>
      <c r="O523" s="10" t="n">
        <f aca="false">IF(M523,Y522*(N523-AB522)-Inputs!$B$9-Y522*AD522*Inputs!$B$13*(A523-AC522),0)</f>
        <v>0</v>
      </c>
      <c r="P523" s="10" t="n">
        <f aca="false">X522+O523</f>
        <v>1015.3844066801</v>
      </c>
      <c r="Q523" s="9" t="b">
        <f aca="false">AND(IF(M523,0,Y522)=0,AA522,IF(ISNUMBER(AE522),B523&gt;AE522,FALSE()))</f>
        <v>0</v>
      </c>
      <c r="R523" s="8" t="n">
        <f aca="false">B523*(1+Inputs!$B$12)</f>
        <v>0.833804249222662</v>
      </c>
      <c r="S523" s="11" t="n">
        <f aca="false">IF(Q523,MIN(P523*Inputs!$B$3/(R523-AE522),P523*Inputs!$B$11/R523),0)</f>
        <v>0</v>
      </c>
      <c r="T523" s="11" t="n">
        <f aca="false">IF(Q523,S523,IF(M523,0,Y522))</f>
        <v>664.118972006065</v>
      </c>
      <c r="U523" s="8" t="n">
        <f aca="false">IF(Q523,AE522,AF522)</f>
        <v>0.771982232894536</v>
      </c>
      <c r="V523" s="9" t="b">
        <f aca="false">AND(T523&gt;0,D523&lt;=U523)</f>
        <v>0</v>
      </c>
      <c r="W523" s="10" t="n">
        <f aca="false">IF(V523,T523*(AK523-AB523)-Inputs!$B$9-T523*AD523*Inputs!$B$13*(A523-AC523),0)</f>
        <v>0</v>
      </c>
      <c r="X523" s="10" t="n">
        <f aca="false">P523-IF(Q523,Inputs!$B$9,0)+W523</f>
        <v>1015.3844066801</v>
      </c>
      <c r="Y523" s="11" t="n">
        <f aca="false">IF(V523,0,T523)</f>
        <v>664.118972006065</v>
      </c>
      <c r="Z523" s="9" t="b">
        <f aca="false">AND(Y523&gt;0,K523)</f>
        <v>0</v>
      </c>
      <c r="AA523" s="9" t="b">
        <f aca="false">AND(Y523=0,J523,ISNUMBER(L523))</f>
        <v>0</v>
      </c>
      <c r="AB523" s="8" t="n">
        <f aca="false">IF(Q523,R523,AB522)</f>
        <v>0.787286484836172</v>
      </c>
      <c r="AC523" s="12" t="n">
        <f aca="false">IF(Q523,A523,AC522)</f>
        <v>45226</v>
      </c>
      <c r="AD523" s="8" t="n">
        <f aca="false">IF(Q523,B523,AD522)</f>
        <v>0.787129059024367</v>
      </c>
      <c r="AE523" s="8" t="str">
        <f aca="false">IF(AA523,L523,"")</f>
        <v/>
      </c>
      <c r="AF523" s="8" t="n">
        <f aca="false">U523</f>
        <v>0.771982232894536</v>
      </c>
      <c r="AG523" s="2" t="n">
        <f aca="false">AG522+IF(Q523,1,0)</f>
        <v>3</v>
      </c>
      <c r="AH523" s="2" t="n">
        <f aca="false">AG522</f>
        <v>3</v>
      </c>
      <c r="AI523" s="10" t="n">
        <f aca="false">X523+Y523*(E523-AB523)-Y523*AD523*Inputs!$B$13*(A523-AC523)</f>
        <v>1042.03899719286</v>
      </c>
      <c r="AJ523" s="10" t="n">
        <v>0</v>
      </c>
      <c r="AK523" s="8" t="n">
        <f aca="false">IF(AND(B523&lt;=U523,NOT(Q523)),B523,U523)*(1-Inputs!$B$12)</f>
        <v>0.771827836447957</v>
      </c>
    </row>
    <row r="524" customFormat="false" ht="15" hidden="false" customHeight="false" outlineLevel="0" collapsed="false">
      <c r="A524" s="6" t="n">
        <v>45308</v>
      </c>
      <c r="B524" s="7" t="n">
        <v>0.83877581631509</v>
      </c>
      <c r="C524" s="7" t="n">
        <v>0.84491365308201</v>
      </c>
      <c r="D524" s="7" t="n">
        <v>0.833276464585452</v>
      </c>
      <c r="E524" s="7" t="n">
        <v>0.842672952527142</v>
      </c>
      <c r="F524" s="8" t="n">
        <f aca="true">IF(ROW()-2&gt;=Inputs!$B$4,AVERAGE(OFFSET(E524,1-Inputs!$B$4,0,Inputs!$B$4,1)),"")</f>
        <v>0.831024197400337</v>
      </c>
      <c r="G524" s="8" t="n">
        <f aca="true">IF(ROW()-2&gt;=Inputs!$B$5,AVERAGE(OFFSET(E524,1-Inputs!$B$5,0,Inputs!$B$5,1)),"")</f>
        <v>0.826127416490751</v>
      </c>
      <c r="H524" s="8" t="n">
        <f aca="false">MAX(C524-D524,ABS(C524-E523),ABS(D524-E523))</f>
        <v>0.0116371884965574</v>
      </c>
      <c r="I524" s="8" t="n">
        <f aca="true">IF(ROW()-2&lt;14,"",IF(ROW()-2=14,AVERAGE(OFFSET(H524,-13,0,14,1)),(I523*13+H524)/14))</f>
        <v>0.00918595639611685</v>
      </c>
      <c r="J524" s="9" t="b">
        <f aca="false">IF(AND(ISNUMBER(F524),ISNUMBER(G524),ISNUMBER(F523),ISNUMBER(G523)),AND(F524&gt;G524,F523&lt;=G523),FALSE())</f>
        <v>0</v>
      </c>
      <c r="K524" s="9" t="b">
        <f aca="false">IF(AND(ISNUMBER(F524),ISNUMBER(G524),ISNUMBER(F523),ISNUMBER(G523)),AND(F524&lt;G524,F523&gt;=G523),FALSE())</f>
        <v>0</v>
      </c>
      <c r="L524" s="8" t="n">
        <f aca="false">IF(ISNUMBER(I524),E524-Inputs!$B$6*I524,"")</f>
        <v>0.824301039734908</v>
      </c>
      <c r="M524" s="9" t="b">
        <f aca="false">AND(Y523&gt;0,Z523)</f>
        <v>0</v>
      </c>
      <c r="N524" s="8" t="n">
        <f aca="false">B524*(1-Inputs!$B$12)</f>
        <v>0.838608061151827</v>
      </c>
      <c r="O524" s="10" t="n">
        <f aca="false">IF(M524,Y523*(N524-AB523)-Inputs!$B$9-Y523*AD523*Inputs!$B$13*(A524-AC523),0)</f>
        <v>0</v>
      </c>
      <c r="P524" s="10" t="n">
        <f aca="false">X523+O524</f>
        <v>1015.3844066801</v>
      </c>
      <c r="Q524" s="9" t="b">
        <f aca="false">AND(IF(M524,0,Y523)=0,AA523,IF(ISNUMBER(AE523),B524&gt;AE523,FALSE()))</f>
        <v>0</v>
      </c>
      <c r="R524" s="8" t="n">
        <f aca="false">B524*(1+Inputs!$B$12)</f>
        <v>0.838943571478352</v>
      </c>
      <c r="S524" s="11" t="n">
        <f aca="false">IF(Q524,MIN(P524*Inputs!$B$3/(R524-AE523),P524*Inputs!$B$11/R524),0)</f>
        <v>0</v>
      </c>
      <c r="T524" s="11" t="n">
        <f aca="false">IF(Q524,S524,IF(M524,0,Y523))</f>
        <v>664.118972006065</v>
      </c>
      <c r="U524" s="8" t="n">
        <f aca="false">IF(Q524,AE523,AF523)</f>
        <v>0.771982232894536</v>
      </c>
      <c r="V524" s="9" t="b">
        <f aca="false">AND(T524&gt;0,D524&lt;=U524)</f>
        <v>0</v>
      </c>
      <c r="W524" s="10" t="n">
        <f aca="false">IF(V524,T524*(AK524-AB524)-Inputs!$B$9-T524*AD524*Inputs!$B$13*(A524-AC524),0)</f>
        <v>0</v>
      </c>
      <c r="X524" s="10" t="n">
        <f aca="false">P524-IF(Q524,Inputs!$B$9,0)+W524</f>
        <v>1015.3844066801</v>
      </c>
      <c r="Y524" s="11" t="n">
        <f aca="false">IF(V524,0,T524)</f>
        <v>664.118972006065</v>
      </c>
      <c r="Z524" s="9" t="b">
        <f aca="false">AND(Y524&gt;0,K524)</f>
        <v>0</v>
      </c>
      <c r="AA524" s="9" t="b">
        <f aca="false">AND(Y524=0,J524,ISNUMBER(L524))</f>
        <v>0</v>
      </c>
      <c r="AB524" s="8" t="n">
        <f aca="false">IF(Q524,R524,AB523)</f>
        <v>0.787286484836172</v>
      </c>
      <c r="AC524" s="12" t="n">
        <f aca="false">IF(Q524,A524,AC523)</f>
        <v>45226</v>
      </c>
      <c r="AD524" s="8" t="n">
        <f aca="false">IF(Q524,B524,AD523)</f>
        <v>0.787129059024367</v>
      </c>
      <c r="AE524" s="8" t="str">
        <f aca="false">IF(AA524,L524,"")</f>
        <v/>
      </c>
      <c r="AF524" s="8" t="n">
        <f aca="false">U524</f>
        <v>0.771982232894536</v>
      </c>
      <c r="AG524" s="2" t="n">
        <f aca="false">AG523+IF(Q524,1,0)</f>
        <v>3</v>
      </c>
      <c r="AH524" s="2" t="n">
        <f aca="false">AG523</f>
        <v>3</v>
      </c>
      <c r="AI524" s="10" t="n">
        <f aca="false">X524+Y524*(E524-AB524)-Y524*AD524*Inputs!$B$13*(A524-AC524)</f>
        <v>1044.53406729545</v>
      </c>
      <c r="AJ524" s="10" t="n">
        <v>0</v>
      </c>
      <c r="AK524" s="8" t="n">
        <f aca="false">IF(AND(B524&lt;=U524,NOT(Q524)),B524,U524)*(1-Inputs!$B$12)</f>
        <v>0.771827836447957</v>
      </c>
    </row>
    <row r="525" customFormat="false" ht="15" hidden="false" customHeight="false" outlineLevel="0" collapsed="false">
      <c r="A525" s="6" t="n">
        <v>45309</v>
      </c>
      <c r="B525" s="7" t="n">
        <v>0.842672952527142</v>
      </c>
      <c r="C525" s="7" t="n">
        <v>0.845346767499993</v>
      </c>
      <c r="D525" s="7" t="n">
        <v>0.839385118706802</v>
      </c>
      <c r="E525" s="7" t="n">
        <v>0.842533173718663</v>
      </c>
      <c r="F525" s="8" t="n">
        <f aca="true">IF(ROW()-2&gt;=Inputs!$B$4,AVERAGE(OFFSET(E525,1-Inputs!$B$4,0,Inputs!$B$4,1)),"")</f>
        <v>0.832280405102246</v>
      </c>
      <c r="G525" s="8" t="n">
        <f aca="true">IF(ROW()-2&gt;=Inputs!$B$5,AVERAGE(OFFSET(E525,1-Inputs!$B$5,0,Inputs!$B$5,1)),"")</f>
        <v>0.826682105044157</v>
      </c>
      <c r="H525" s="8" t="n">
        <f aca="false">MAX(C525-D525,ABS(C525-E524),ABS(D525-E524))</f>
        <v>0.00596164879319161</v>
      </c>
      <c r="I525" s="8" t="n">
        <f aca="true">IF(ROW()-2&lt;14,"",IF(ROW()-2=14,AVERAGE(OFFSET(H525,-13,0,14,1)),(I524*13+H525)/14))</f>
        <v>0.00895564871019361</v>
      </c>
      <c r="J525" s="9" t="b">
        <f aca="false">IF(AND(ISNUMBER(F525),ISNUMBER(G525),ISNUMBER(F524),ISNUMBER(G524)),AND(F525&gt;G525,F524&lt;=G524),FALSE())</f>
        <v>0</v>
      </c>
      <c r="K525" s="9" t="b">
        <f aca="false">IF(AND(ISNUMBER(F525),ISNUMBER(G525),ISNUMBER(F524),ISNUMBER(G524)),AND(F525&lt;G525,F524&gt;=G524),FALSE())</f>
        <v>0</v>
      </c>
      <c r="L525" s="8" t="n">
        <f aca="false">IF(ISNUMBER(I525),E525-Inputs!$B$6*I525,"")</f>
        <v>0.824621876298275</v>
      </c>
      <c r="M525" s="9" t="b">
        <f aca="false">AND(Y524&gt;0,Z524)</f>
        <v>0</v>
      </c>
      <c r="N525" s="8" t="n">
        <f aca="false">B525*(1-Inputs!$B$12)</f>
        <v>0.842504417936637</v>
      </c>
      <c r="O525" s="10" t="n">
        <f aca="false">IF(M525,Y524*(N525-AB524)-Inputs!$B$9-Y524*AD524*Inputs!$B$13*(A525-AC524),0)</f>
        <v>0</v>
      </c>
      <c r="P525" s="10" t="n">
        <f aca="false">X524+O525</f>
        <v>1015.3844066801</v>
      </c>
      <c r="Q525" s="9" t="b">
        <f aca="false">AND(IF(M525,0,Y524)=0,AA524,IF(ISNUMBER(AE524),B525&gt;AE524,FALSE()))</f>
        <v>0</v>
      </c>
      <c r="R525" s="8" t="n">
        <f aca="false">B525*(1+Inputs!$B$12)</f>
        <v>0.842841487117648</v>
      </c>
      <c r="S525" s="11" t="n">
        <f aca="false">IF(Q525,MIN(P525*Inputs!$B$3/(R525-AE524),P525*Inputs!$B$11/R525),0)</f>
        <v>0</v>
      </c>
      <c r="T525" s="11" t="n">
        <f aca="false">IF(Q525,S525,IF(M525,0,Y524))</f>
        <v>664.118972006065</v>
      </c>
      <c r="U525" s="8" t="n">
        <f aca="false">IF(Q525,AE524,AF524)</f>
        <v>0.771982232894536</v>
      </c>
      <c r="V525" s="9" t="b">
        <f aca="false">AND(T525&gt;0,D525&lt;=U525)</f>
        <v>0</v>
      </c>
      <c r="W525" s="10" t="n">
        <f aca="false">IF(V525,T525*(AK525-AB525)-Inputs!$B$9-T525*AD525*Inputs!$B$13*(A525-AC525),0)</f>
        <v>0</v>
      </c>
      <c r="X525" s="10" t="n">
        <f aca="false">P525-IF(Q525,Inputs!$B$9,0)+W525</f>
        <v>1015.3844066801</v>
      </c>
      <c r="Y525" s="11" t="n">
        <f aca="false">IF(V525,0,T525)</f>
        <v>664.118972006065</v>
      </c>
      <c r="Z525" s="9" t="b">
        <f aca="false">AND(Y525&gt;0,K525)</f>
        <v>0</v>
      </c>
      <c r="AA525" s="9" t="b">
        <f aca="false">AND(Y525=0,J525,ISNUMBER(L525))</f>
        <v>0</v>
      </c>
      <c r="AB525" s="8" t="n">
        <f aca="false">IF(Q525,R525,AB524)</f>
        <v>0.787286484836172</v>
      </c>
      <c r="AC525" s="12" t="n">
        <f aca="false">IF(Q525,A525,AC524)</f>
        <v>45226</v>
      </c>
      <c r="AD525" s="8" t="n">
        <f aca="false">IF(Q525,B525,AD524)</f>
        <v>0.787129059024367</v>
      </c>
      <c r="AE525" s="8" t="str">
        <f aca="false">IF(AA525,L525,"")</f>
        <v/>
      </c>
      <c r="AF525" s="8" t="n">
        <f aca="false">U525</f>
        <v>0.771982232894536</v>
      </c>
      <c r="AG525" s="2" t="n">
        <f aca="false">AG524+IF(Q525,1,0)</f>
        <v>3</v>
      </c>
      <c r="AH525" s="2" t="n">
        <f aca="false">AG524</f>
        <v>3</v>
      </c>
      <c r="AI525" s="10" t="n">
        <f aca="false">X525+Y525*(E525-AB525)-Y525*AD525*Inputs!$B$13*(A525-AC525)</f>
        <v>1044.34814554453</v>
      </c>
      <c r="AJ525" s="10" t="n">
        <v>0</v>
      </c>
      <c r="AK525" s="8" t="n">
        <f aca="false">IF(AND(B525&lt;=U525,NOT(Q525)),B525,U525)*(1-Inputs!$B$12)</f>
        <v>0.771827836447957</v>
      </c>
    </row>
    <row r="526" customFormat="false" ht="15" hidden="false" customHeight="false" outlineLevel="0" collapsed="false">
      <c r="A526" s="6" t="n">
        <v>45310</v>
      </c>
      <c r="B526" s="7" t="n">
        <v>0.842533173718663</v>
      </c>
      <c r="C526" s="7" t="n">
        <v>0.848903299248051</v>
      </c>
      <c r="D526" s="7" t="n">
        <v>0.842422833021364</v>
      </c>
      <c r="E526" s="7" t="n">
        <v>0.844583636442963</v>
      </c>
      <c r="F526" s="8" t="n">
        <f aca="true">IF(ROW()-2&gt;=Inputs!$B$4,AVERAGE(OFFSET(E526,1-Inputs!$B$4,0,Inputs!$B$4,1)),"")</f>
        <v>0.833243020044052</v>
      </c>
      <c r="G526" s="8" t="n">
        <f aca="true">IF(ROW()-2&gt;=Inputs!$B$5,AVERAGE(OFFSET(E526,1-Inputs!$B$5,0,Inputs!$B$5,1)),"")</f>
        <v>0.827448713157971</v>
      </c>
      <c r="H526" s="8" t="n">
        <f aca="false">MAX(C526-D526,ABS(C526-E525),ABS(D526-E525))</f>
        <v>0.00648046622668697</v>
      </c>
      <c r="I526" s="8" t="n">
        <f aca="true">IF(ROW()-2&lt;14,"",IF(ROW()-2=14,AVERAGE(OFFSET(H526,-13,0,14,1)),(I525*13+H526)/14))</f>
        <v>0.00877884996137171</v>
      </c>
      <c r="J526" s="9" t="b">
        <f aca="false">IF(AND(ISNUMBER(F526),ISNUMBER(G526),ISNUMBER(F525),ISNUMBER(G525)),AND(F526&gt;G526,F525&lt;=G525),FALSE())</f>
        <v>0</v>
      </c>
      <c r="K526" s="9" t="b">
        <f aca="false">IF(AND(ISNUMBER(F526),ISNUMBER(G526),ISNUMBER(F525),ISNUMBER(G525)),AND(F526&lt;G526,F525&gt;=G525),FALSE())</f>
        <v>0</v>
      </c>
      <c r="L526" s="8" t="n">
        <f aca="false">IF(ISNUMBER(I526),E526-Inputs!$B$6*I526,"")</f>
        <v>0.82702593652022</v>
      </c>
      <c r="M526" s="9" t="b">
        <f aca="false">AND(Y525&gt;0,Z525)</f>
        <v>0</v>
      </c>
      <c r="N526" s="8" t="n">
        <f aca="false">B526*(1-Inputs!$B$12)</f>
        <v>0.842364667083919</v>
      </c>
      <c r="O526" s="10" t="n">
        <f aca="false">IF(M526,Y525*(N526-AB525)-Inputs!$B$9-Y525*AD525*Inputs!$B$13*(A526-AC525),0)</f>
        <v>0</v>
      </c>
      <c r="P526" s="10" t="n">
        <f aca="false">X525+O526</f>
        <v>1015.3844066801</v>
      </c>
      <c r="Q526" s="9" t="b">
        <f aca="false">AND(IF(M526,0,Y525)=0,AA525,IF(ISNUMBER(AE525),B526&gt;AE525,FALSE()))</f>
        <v>0</v>
      </c>
      <c r="R526" s="8" t="n">
        <f aca="false">B526*(1+Inputs!$B$12)</f>
        <v>0.842701680353406</v>
      </c>
      <c r="S526" s="11" t="n">
        <f aca="false">IF(Q526,MIN(P526*Inputs!$B$3/(R526-AE525),P526*Inputs!$B$11/R526),0)</f>
        <v>0</v>
      </c>
      <c r="T526" s="11" t="n">
        <f aca="false">IF(Q526,S526,IF(M526,0,Y525))</f>
        <v>664.118972006065</v>
      </c>
      <c r="U526" s="8" t="n">
        <f aca="false">IF(Q526,AE525,AF525)</f>
        <v>0.771982232894536</v>
      </c>
      <c r="V526" s="9" t="b">
        <f aca="false">AND(T526&gt;0,D526&lt;=U526)</f>
        <v>0</v>
      </c>
      <c r="W526" s="10" t="n">
        <f aca="false">IF(V526,T526*(AK526-AB526)-Inputs!$B$9-T526*AD526*Inputs!$B$13*(A526-AC526),0)</f>
        <v>0</v>
      </c>
      <c r="X526" s="10" t="n">
        <f aca="false">P526-IF(Q526,Inputs!$B$9,0)+W526</f>
        <v>1015.3844066801</v>
      </c>
      <c r="Y526" s="11" t="n">
        <f aca="false">IF(V526,0,T526)</f>
        <v>664.118972006065</v>
      </c>
      <c r="Z526" s="9" t="b">
        <f aca="false">AND(Y526&gt;0,K526)</f>
        <v>0</v>
      </c>
      <c r="AA526" s="9" t="b">
        <f aca="false">AND(Y526=0,J526,ISNUMBER(L526))</f>
        <v>0</v>
      </c>
      <c r="AB526" s="8" t="n">
        <f aca="false">IF(Q526,R526,AB525)</f>
        <v>0.787286484836172</v>
      </c>
      <c r="AC526" s="12" t="n">
        <f aca="false">IF(Q526,A526,AC525)</f>
        <v>45226</v>
      </c>
      <c r="AD526" s="8" t="n">
        <f aca="false">IF(Q526,B526,AD525)</f>
        <v>0.787129059024367</v>
      </c>
      <c r="AE526" s="8" t="str">
        <f aca="false">IF(AA526,L526,"")</f>
        <v/>
      </c>
      <c r="AF526" s="8" t="n">
        <f aca="false">U526</f>
        <v>0.771982232894536</v>
      </c>
      <c r="AG526" s="2" t="n">
        <f aca="false">AG525+IF(Q526,1,0)</f>
        <v>3</v>
      </c>
      <c r="AH526" s="2" t="n">
        <f aca="false">AG525</f>
        <v>3</v>
      </c>
      <c r="AI526" s="10" t="n">
        <f aca="false">X526+Y526*(E526-AB526)-Y526*AD526*Inputs!$B$13*(A526-AC526)</f>
        <v>1045.6168047488</v>
      </c>
      <c r="AJ526" s="10" t="n">
        <v>0</v>
      </c>
      <c r="AK526" s="8" t="n">
        <f aca="false">IF(AND(B526&lt;=U526,NOT(Q526)),B526,U526)*(1-Inputs!$B$12)</f>
        <v>0.771827836447957</v>
      </c>
    </row>
    <row r="527" customFormat="false" ht="15" hidden="false" customHeight="false" outlineLevel="0" collapsed="false">
      <c r="A527" s="6" t="n">
        <v>45311</v>
      </c>
      <c r="B527" s="7" t="n">
        <v>0.844583636442963</v>
      </c>
      <c r="C527" s="7" t="n">
        <v>0.845063698628431</v>
      </c>
      <c r="D527" s="7" t="n">
        <v>0.835444324520313</v>
      </c>
      <c r="E527" s="7" t="n">
        <v>0.839320017278201</v>
      </c>
      <c r="F527" s="8" t="n">
        <f aca="true">IF(ROW()-2&gt;=Inputs!$B$4,AVERAGE(OFFSET(E527,1-Inputs!$B$4,0,Inputs!$B$4,1)),"")</f>
        <v>0.834319408469819</v>
      </c>
      <c r="G527" s="8" t="n">
        <f aca="true">IF(ROW()-2&gt;=Inputs!$B$5,AVERAGE(OFFSET(E527,1-Inputs!$B$5,0,Inputs!$B$5,1)),"")</f>
        <v>0.828066935056616</v>
      </c>
      <c r="H527" s="8" t="n">
        <f aca="false">MAX(C527-D527,ABS(C527-E526),ABS(D527-E526))</f>
        <v>0.00961937410811853</v>
      </c>
      <c r="I527" s="8" t="n">
        <f aca="true">IF(ROW()-2&lt;14,"",IF(ROW()-2=14,AVERAGE(OFFSET(H527,-13,0,14,1)),(I526*13+H527)/14))</f>
        <v>0.00883888740042506</v>
      </c>
      <c r="J527" s="9" t="b">
        <f aca="false">IF(AND(ISNUMBER(F527),ISNUMBER(G527),ISNUMBER(F526),ISNUMBER(G526)),AND(F527&gt;G527,F526&lt;=G526),FALSE())</f>
        <v>0</v>
      </c>
      <c r="K527" s="9" t="b">
        <f aca="false">IF(AND(ISNUMBER(F527),ISNUMBER(G527),ISNUMBER(F526),ISNUMBER(G526)),AND(F527&lt;G527,F526&gt;=G526),FALSE())</f>
        <v>0</v>
      </c>
      <c r="L527" s="8" t="n">
        <f aca="false">IF(ISNUMBER(I527),E527-Inputs!$B$6*I527,"")</f>
        <v>0.821642242477351</v>
      </c>
      <c r="M527" s="9" t="b">
        <f aca="false">AND(Y526&gt;0,Z526)</f>
        <v>0</v>
      </c>
      <c r="N527" s="8" t="n">
        <f aca="false">B527*(1-Inputs!$B$12)</f>
        <v>0.844414719715674</v>
      </c>
      <c r="O527" s="10" t="n">
        <f aca="false">IF(M527,Y526*(N527-AB526)-Inputs!$B$9-Y526*AD526*Inputs!$B$13*(A527-AC526),0)</f>
        <v>0</v>
      </c>
      <c r="P527" s="10" t="n">
        <f aca="false">X526+O527</f>
        <v>1015.3844066801</v>
      </c>
      <c r="Q527" s="9" t="b">
        <f aca="false">AND(IF(M527,0,Y526)=0,AA526,IF(ISNUMBER(AE526),B527&gt;AE526,FALSE()))</f>
        <v>0</v>
      </c>
      <c r="R527" s="8" t="n">
        <f aca="false">B527*(1+Inputs!$B$12)</f>
        <v>0.844752553170252</v>
      </c>
      <c r="S527" s="11" t="n">
        <f aca="false">IF(Q527,MIN(P527*Inputs!$B$3/(R527-AE526),P527*Inputs!$B$11/R527),0)</f>
        <v>0</v>
      </c>
      <c r="T527" s="11" t="n">
        <f aca="false">IF(Q527,S527,IF(M527,0,Y526))</f>
        <v>664.118972006065</v>
      </c>
      <c r="U527" s="8" t="n">
        <f aca="false">IF(Q527,AE526,AF526)</f>
        <v>0.771982232894536</v>
      </c>
      <c r="V527" s="9" t="b">
        <f aca="false">AND(T527&gt;0,D527&lt;=U527)</f>
        <v>0</v>
      </c>
      <c r="W527" s="10" t="n">
        <f aca="false">IF(V527,T527*(AK527-AB527)-Inputs!$B$9-T527*AD527*Inputs!$B$13*(A527-AC527),0)</f>
        <v>0</v>
      </c>
      <c r="X527" s="10" t="n">
        <f aca="false">P527-IF(Q527,Inputs!$B$9,0)+W527</f>
        <v>1015.3844066801</v>
      </c>
      <c r="Y527" s="11" t="n">
        <f aca="false">IF(V527,0,T527)</f>
        <v>664.118972006065</v>
      </c>
      <c r="Z527" s="9" t="b">
        <f aca="false">AND(Y527&gt;0,K527)</f>
        <v>0</v>
      </c>
      <c r="AA527" s="9" t="b">
        <f aca="false">AND(Y527=0,J527,ISNUMBER(L527))</f>
        <v>0</v>
      </c>
      <c r="AB527" s="8" t="n">
        <f aca="false">IF(Q527,R527,AB526)</f>
        <v>0.787286484836172</v>
      </c>
      <c r="AC527" s="12" t="n">
        <f aca="false">IF(Q527,A527,AC526)</f>
        <v>45226</v>
      </c>
      <c r="AD527" s="8" t="n">
        <f aca="false">IF(Q527,B527,AD526)</f>
        <v>0.787129059024367</v>
      </c>
      <c r="AE527" s="8" t="str">
        <f aca="false">IF(AA527,L527,"")</f>
        <v/>
      </c>
      <c r="AF527" s="8" t="n">
        <f aca="false">U527</f>
        <v>0.771982232894536</v>
      </c>
      <c r="AG527" s="2" t="n">
        <f aca="false">AG526+IF(Q527,1,0)</f>
        <v>3</v>
      </c>
      <c r="AH527" s="2" t="n">
        <f aca="false">AG526</f>
        <v>3</v>
      </c>
      <c r="AI527" s="10" t="n">
        <f aca="false">X527+Y527*(E527-AB527)-Y527*AD527*Inputs!$B$13*(A527-AC527)</f>
        <v>1042.02804340775</v>
      </c>
      <c r="AJ527" s="10" t="n">
        <v>0</v>
      </c>
      <c r="AK527" s="8" t="n">
        <f aca="false">IF(AND(B527&lt;=U527,NOT(Q527)),B527,U527)*(1-Inputs!$B$12)</f>
        <v>0.771827836447957</v>
      </c>
    </row>
    <row r="528" customFormat="false" ht="15" hidden="false" customHeight="false" outlineLevel="0" collapsed="false">
      <c r="A528" s="6" t="n">
        <v>45312</v>
      </c>
      <c r="B528" s="7" t="n">
        <v>0.839320017278201</v>
      </c>
      <c r="C528" s="7" t="n">
        <v>0.843644296928155</v>
      </c>
      <c r="D528" s="7" t="n">
        <v>0.836341837173325</v>
      </c>
      <c r="E528" s="7" t="n">
        <v>0.838384635034511</v>
      </c>
      <c r="F528" s="8" t="n">
        <f aca="true">IF(ROW()-2&gt;=Inputs!$B$4,AVERAGE(OFFSET(E528,1-Inputs!$B$4,0,Inputs!$B$4,1)),"")</f>
        <v>0.835296779309618</v>
      </c>
      <c r="G528" s="8" t="n">
        <f aca="true">IF(ROW()-2&gt;=Inputs!$B$5,AVERAGE(OFFSET(E528,1-Inputs!$B$5,0,Inputs!$B$5,1)),"")</f>
        <v>0.828473956485843</v>
      </c>
      <c r="H528" s="8" t="n">
        <f aca="false">MAX(C528-D528,ABS(C528-E527),ABS(D528-E527))</f>
        <v>0.00730245975483024</v>
      </c>
      <c r="I528" s="8" t="n">
        <f aca="true">IF(ROW()-2&lt;14,"",IF(ROW()-2=14,AVERAGE(OFFSET(H528,-13,0,14,1)),(I527*13+H528)/14))</f>
        <v>0.00872914256859685</v>
      </c>
      <c r="J528" s="9" t="b">
        <f aca="false">IF(AND(ISNUMBER(F528),ISNUMBER(G528),ISNUMBER(F527),ISNUMBER(G527)),AND(F528&gt;G528,F527&lt;=G527),FALSE())</f>
        <v>0</v>
      </c>
      <c r="K528" s="9" t="b">
        <f aca="false">IF(AND(ISNUMBER(F528),ISNUMBER(G528),ISNUMBER(F527),ISNUMBER(G527)),AND(F528&lt;G528,F527&gt;=G527),FALSE())</f>
        <v>0</v>
      </c>
      <c r="L528" s="8" t="n">
        <f aca="false">IF(ISNUMBER(I528),E528-Inputs!$B$6*I528,"")</f>
        <v>0.820926349897317</v>
      </c>
      <c r="M528" s="9" t="b">
        <f aca="false">AND(Y527&gt;0,Z527)</f>
        <v>0</v>
      </c>
      <c r="N528" s="8" t="n">
        <f aca="false">B528*(1-Inputs!$B$12)</f>
        <v>0.839152153274746</v>
      </c>
      <c r="O528" s="10" t="n">
        <f aca="false">IF(M528,Y527*(N528-AB527)-Inputs!$B$9-Y527*AD527*Inputs!$B$13*(A528-AC527),0)</f>
        <v>0</v>
      </c>
      <c r="P528" s="10" t="n">
        <f aca="false">X527+O528</f>
        <v>1015.3844066801</v>
      </c>
      <c r="Q528" s="9" t="b">
        <f aca="false">AND(IF(M528,0,Y527)=0,AA527,IF(ISNUMBER(AE527),B528&gt;AE527,FALSE()))</f>
        <v>0</v>
      </c>
      <c r="R528" s="8" t="n">
        <f aca="false">B528*(1+Inputs!$B$12)</f>
        <v>0.839487881281657</v>
      </c>
      <c r="S528" s="11" t="n">
        <f aca="false">IF(Q528,MIN(P528*Inputs!$B$3/(R528-AE527),P528*Inputs!$B$11/R528),0)</f>
        <v>0</v>
      </c>
      <c r="T528" s="11" t="n">
        <f aca="false">IF(Q528,S528,IF(M528,0,Y527))</f>
        <v>664.118972006065</v>
      </c>
      <c r="U528" s="8" t="n">
        <f aca="false">IF(Q528,AE527,AF527)</f>
        <v>0.771982232894536</v>
      </c>
      <c r="V528" s="9" t="b">
        <f aca="false">AND(T528&gt;0,D528&lt;=U528)</f>
        <v>0</v>
      </c>
      <c r="W528" s="10" t="n">
        <f aca="false">IF(V528,T528*(AK528-AB528)-Inputs!$B$9-T528*AD528*Inputs!$B$13*(A528-AC528),0)</f>
        <v>0</v>
      </c>
      <c r="X528" s="10" t="n">
        <f aca="false">P528-IF(Q528,Inputs!$B$9,0)+W528</f>
        <v>1015.3844066801</v>
      </c>
      <c r="Y528" s="11" t="n">
        <f aca="false">IF(V528,0,T528)</f>
        <v>664.118972006065</v>
      </c>
      <c r="Z528" s="9" t="b">
        <f aca="false">AND(Y528&gt;0,K528)</f>
        <v>0</v>
      </c>
      <c r="AA528" s="9" t="b">
        <f aca="false">AND(Y528=0,J528,ISNUMBER(L528))</f>
        <v>0</v>
      </c>
      <c r="AB528" s="8" t="n">
        <f aca="false">IF(Q528,R528,AB527)</f>
        <v>0.787286484836172</v>
      </c>
      <c r="AC528" s="12" t="n">
        <f aca="false">IF(Q528,A528,AC527)</f>
        <v>45226</v>
      </c>
      <c r="AD528" s="8" t="n">
        <f aca="false">IF(Q528,B528,AD527)</f>
        <v>0.787129059024367</v>
      </c>
      <c r="AE528" s="8" t="str">
        <f aca="false">IF(AA528,L528,"")</f>
        <v/>
      </c>
      <c r="AF528" s="8" t="n">
        <f aca="false">U528</f>
        <v>0.771982232894536</v>
      </c>
      <c r="AG528" s="2" t="n">
        <f aca="false">AG527+IF(Q528,1,0)</f>
        <v>3</v>
      </c>
      <c r="AH528" s="2" t="n">
        <f aca="false">AG527</f>
        <v>3</v>
      </c>
      <c r="AI528" s="10" t="n">
        <f aca="false">X528+Y528*(E528-AB528)-Y528*AD528*Inputs!$B$13*(A528-AC528)</f>
        <v>1041.31374632131</v>
      </c>
      <c r="AJ528" s="10" t="n">
        <v>0</v>
      </c>
      <c r="AK528" s="8" t="n">
        <f aca="false">IF(AND(B528&lt;=U528,NOT(Q528)),B528,U528)*(1-Inputs!$B$12)</f>
        <v>0.771827836447957</v>
      </c>
    </row>
    <row r="529" customFormat="false" ht="15" hidden="false" customHeight="false" outlineLevel="0" collapsed="false">
      <c r="A529" s="6" t="n">
        <v>45313</v>
      </c>
      <c r="B529" s="7" t="n">
        <v>0.838384635034511</v>
      </c>
      <c r="C529" s="7" t="n">
        <v>0.843065003144358</v>
      </c>
      <c r="D529" s="7" t="n">
        <v>0.834001387677393</v>
      </c>
      <c r="E529" s="7" t="n">
        <v>0.839792887205902</v>
      </c>
      <c r="F529" s="8" t="n">
        <f aca="true">IF(ROW()-2&gt;=Inputs!$B$4,AVERAGE(OFFSET(E529,1-Inputs!$B$4,0,Inputs!$B$4,1)),"")</f>
        <v>0.835812842417615</v>
      </c>
      <c r="G529" s="8" t="n">
        <f aca="true">IF(ROW()-2&gt;=Inputs!$B$5,AVERAGE(OFFSET(E529,1-Inputs!$B$5,0,Inputs!$B$5,1)),"")</f>
        <v>0.828717234313723</v>
      </c>
      <c r="H529" s="8" t="n">
        <f aca="false">MAX(C529-D529,ABS(C529-E528),ABS(D529-E528))</f>
        <v>0.00906361546696499</v>
      </c>
      <c r="I529" s="8" t="n">
        <f aca="true">IF(ROW()-2&lt;14,"",IF(ROW()-2=14,AVERAGE(OFFSET(H529,-13,0,14,1)),(I528*13+H529)/14))</f>
        <v>0.00875303348990886</v>
      </c>
      <c r="J529" s="9" t="b">
        <f aca="false">IF(AND(ISNUMBER(F529),ISNUMBER(G529),ISNUMBER(F528),ISNUMBER(G528)),AND(F529&gt;G529,F528&lt;=G528),FALSE())</f>
        <v>0</v>
      </c>
      <c r="K529" s="9" t="b">
        <f aca="false">IF(AND(ISNUMBER(F529),ISNUMBER(G529),ISNUMBER(F528),ISNUMBER(G528)),AND(F529&lt;G529,F528&gt;=G528),FALSE())</f>
        <v>0</v>
      </c>
      <c r="L529" s="8" t="n">
        <f aca="false">IF(ISNUMBER(I529),E529-Inputs!$B$6*I529,"")</f>
        <v>0.822286820226084</v>
      </c>
      <c r="M529" s="9" t="b">
        <f aca="false">AND(Y528&gt;0,Z528)</f>
        <v>0</v>
      </c>
      <c r="N529" s="8" t="n">
        <f aca="false">B529*(1-Inputs!$B$12)</f>
        <v>0.838216958107504</v>
      </c>
      <c r="O529" s="10" t="n">
        <f aca="false">IF(M529,Y528*(N529-AB528)-Inputs!$B$9-Y528*AD528*Inputs!$B$13*(A529-AC528),0)</f>
        <v>0</v>
      </c>
      <c r="P529" s="10" t="n">
        <f aca="false">X528+O529</f>
        <v>1015.3844066801</v>
      </c>
      <c r="Q529" s="9" t="b">
        <f aca="false">AND(IF(M529,0,Y528)=0,AA528,IF(ISNUMBER(AE528),B529&gt;AE528,FALSE()))</f>
        <v>0</v>
      </c>
      <c r="R529" s="8" t="n">
        <f aca="false">B529*(1+Inputs!$B$12)</f>
        <v>0.838552311961518</v>
      </c>
      <c r="S529" s="11" t="n">
        <f aca="false">IF(Q529,MIN(P529*Inputs!$B$3/(R529-AE528),P529*Inputs!$B$11/R529),0)</f>
        <v>0</v>
      </c>
      <c r="T529" s="11" t="n">
        <f aca="false">IF(Q529,S529,IF(M529,0,Y528))</f>
        <v>664.118972006065</v>
      </c>
      <c r="U529" s="8" t="n">
        <f aca="false">IF(Q529,AE528,AF528)</f>
        <v>0.771982232894536</v>
      </c>
      <c r="V529" s="9" t="b">
        <f aca="false">AND(T529&gt;0,D529&lt;=U529)</f>
        <v>0</v>
      </c>
      <c r="W529" s="10" t="n">
        <f aca="false">IF(V529,T529*(AK529-AB529)-Inputs!$B$9-T529*AD529*Inputs!$B$13*(A529-AC529),0)</f>
        <v>0</v>
      </c>
      <c r="X529" s="10" t="n">
        <f aca="false">P529-IF(Q529,Inputs!$B$9,0)+W529</f>
        <v>1015.3844066801</v>
      </c>
      <c r="Y529" s="11" t="n">
        <f aca="false">IF(V529,0,T529)</f>
        <v>664.118972006065</v>
      </c>
      <c r="Z529" s="9" t="b">
        <f aca="false">AND(Y529&gt;0,K529)</f>
        <v>0</v>
      </c>
      <c r="AA529" s="9" t="b">
        <f aca="false">AND(Y529=0,J529,ISNUMBER(L529))</f>
        <v>0</v>
      </c>
      <c r="AB529" s="8" t="n">
        <f aca="false">IF(Q529,R529,AB528)</f>
        <v>0.787286484836172</v>
      </c>
      <c r="AC529" s="12" t="n">
        <f aca="false">IF(Q529,A529,AC528)</f>
        <v>45226</v>
      </c>
      <c r="AD529" s="8" t="n">
        <f aca="false">IF(Q529,B529,AD528)</f>
        <v>0.787129059024367</v>
      </c>
      <c r="AE529" s="8" t="str">
        <f aca="false">IF(AA529,L529,"")</f>
        <v/>
      </c>
      <c r="AF529" s="8" t="n">
        <f aca="false">U529</f>
        <v>0.771982232894536</v>
      </c>
      <c r="AG529" s="2" t="n">
        <f aca="false">AG528+IF(Q529,1,0)</f>
        <v>3</v>
      </c>
      <c r="AH529" s="2" t="n">
        <f aca="false">AG528</f>
        <v>3</v>
      </c>
      <c r="AI529" s="10" t="n">
        <f aca="false">X529+Y529*(E529-AB529)-Y529*AD529*Inputs!$B$13*(A529-AC529)</f>
        <v>1042.15590131337</v>
      </c>
      <c r="AJ529" s="10" t="n">
        <v>0</v>
      </c>
      <c r="AK529" s="8" t="n">
        <f aca="false">IF(AND(B529&lt;=U529,NOT(Q529)),B529,U529)*(1-Inputs!$B$12)</f>
        <v>0.771827836447957</v>
      </c>
    </row>
    <row r="530" customFormat="false" ht="15" hidden="false" customHeight="false" outlineLevel="0" collapsed="false">
      <c r="A530" s="6" t="n">
        <v>45314</v>
      </c>
      <c r="B530" s="7" t="n">
        <v>0.839792887205902</v>
      </c>
      <c r="C530" s="7" t="n">
        <v>0.844876505251012</v>
      </c>
      <c r="D530" s="7" t="n">
        <v>0.835459531222989</v>
      </c>
      <c r="E530" s="7" t="n">
        <v>0.842212883729362</v>
      </c>
      <c r="F530" s="8" t="n">
        <f aca="true">IF(ROW()-2&gt;=Inputs!$B$4,AVERAGE(OFFSET(E530,1-Inputs!$B$4,0,Inputs!$B$4,1)),"")</f>
        <v>0.836470257511449</v>
      </c>
      <c r="G530" s="8" t="n">
        <f aca="true">IF(ROW()-2&gt;=Inputs!$B$5,AVERAGE(OFFSET(E530,1-Inputs!$B$5,0,Inputs!$B$5,1)),"")</f>
        <v>0.829122456613281</v>
      </c>
      <c r="H530" s="8" t="n">
        <f aca="false">MAX(C530-D530,ABS(C530-E529),ABS(D530-E529))</f>
        <v>0.009416974028023</v>
      </c>
      <c r="I530" s="8" t="n">
        <f aca="true">IF(ROW()-2&lt;14,"",IF(ROW()-2=14,AVERAGE(OFFSET(H530,-13,0,14,1)),(I529*13+H530)/14))</f>
        <v>0.00880045781405987</v>
      </c>
      <c r="J530" s="9" t="b">
        <f aca="false">IF(AND(ISNUMBER(F530),ISNUMBER(G530),ISNUMBER(F529),ISNUMBER(G529)),AND(F530&gt;G530,F529&lt;=G529),FALSE())</f>
        <v>0</v>
      </c>
      <c r="K530" s="9" t="b">
        <f aca="false">IF(AND(ISNUMBER(F530),ISNUMBER(G530),ISNUMBER(F529),ISNUMBER(G529)),AND(F530&lt;G530,F529&gt;=G529),FALSE())</f>
        <v>0</v>
      </c>
      <c r="L530" s="8" t="n">
        <f aca="false">IF(ISNUMBER(I530),E530-Inputs!$B$6*I530,"")</f>
        <v>0.824611968101242</v>
      </c>
      <c r="M530" s="9" t="b">
        <f aca="false">AND(Y529&gt;0,Z529)</f>
        <v>0</v>
      </c>
      <c r="N530" s="8" t="n">
        <f aca="false">B530*(1-Inputs!$B$12)</f>
        <v>0.839624928628461</v>
      </c>
      <c r="O530" s="10" t="n">
        <f aca="false">IF(M530,Y529*(N530-AB529)-Inputs!$B$9-Y529*AD529*Inputs!$B$13*(A530-AC529),0)</f>
        <v>0</v>
      </c>
      <c r="P530" s="10" t="n">
        <f aca="false">X529+O530</f>
        <v>1015.3844066801</v>
      </c>
      <c r="Q530" s="9" t="b">
        <f aca="false">AND(IF(M530,0,Y529)=0,AA529,IF(ISNUMBER(AE529),B530&gt;AE529,FALSE()))</f>
        <v>0</v>
      </c>
      <c r="R530" s="8" t="n">
        <f aca="false">B530*(1+Inputs!$B$12)</f>
        <v>0.839960845783343</v>
      </c>
      <c r="S530" s="11" t="n">
        <f aca="false">IF(Q530,MIN(P530*Inputs!$B$3/(R530-AE529),P530*Inputs!$B$11/R530),0)</f>
        <v>0</v>
      </c>
      <c r="T530" s="11" t="n">
        <f aca="false">IF(Q530,S530,IF(M530,0,Y529))</f>
        <v>664.118972006065</v>
      </c>
      <c r="U530" s="8" t="n">
        <f aca="false">IF(Q530,AE529,AF529)</f>
        <v>0.771982232894536</v>
      </c>
      <c r="V530" s="9" t="b">
        <f aca="false">AND(T530&gt;0,D530&lt;=U530)</f>
        <v>0</v>
      </c>
      <c r="W530" s="10" t="n">
        <f aca="false">IF(V530,T530*(AK530-AB530)-Inputs!$B$9-T530*AD530*Inputs!$B$13*(A530-AC530),0)</f>
        <v>0</v>
      </c>
      <c r="X530" s="10" t="n">
        <f aca="false">P530-IF(Q530,Inputs!$B$9,0)+W530</f>
        <v>1015.3844066801</v>
      </c>
      <c r="Y530" s="11" t="n">
        <f aca="false">IF(V530,0,T530)</f>
        <v>664.118972006065</v>
      </c>
      <c r="Z530" s="9" t="b">
        <f aca="false">AND(Y530&gt;0,K530)</f>
        <v>0</v>
      </c>
      <c r="AA530" s="9" t="b">
        <f aca="false">AND(Y530=0,J530,ISNUMBER(L530))</f>
        <v>0</v>
      </c>
      <c r="AB530" s="8" t="n">
        <f aca="false">IF(Q530,R530,AB529)</f>
        <v>0.787286484836172</v>
      </c>
      <c r="AC530" s="12" t="n">
        <f aca="false">IF(Q530,A530,AC529)</f>
        <v>45226</v>
      </c>
      <c r="AD530" s="8" t="n">
        <f aca="false">IF(Q530,B530,AD529)</f>
        <v>0.787129059024367</v>
      </c>
      <c r="AE530" s="8" t="str">
        <f aca="false">IF(AA530,L530,"")</f>
        <v/>
      </c>
      <c r="AF530" s="8" t="n">
        <f aca="false">U530</f>
        <v>0.771982232894536</v>
      </c>
      <c r="AG530" s="2" t="n">
        <f aca="false">AG529+IF(Q530,1,0)</f>
        <v>3</v>
      </c>
      <c r="AH530" s="2" t="n">
        <f aca="false">AG529</f>
        <v>3</v>
      </c>
      <c r="AI530" s="10" t="n">
        <f aca="false">X530+Y530*(E530-AB530)-Y530*AD530*Inputs!$B$13*(A530-AC530)</f>
        <v>1043.66997492447</v>
      </c>
      <c r="AJ530" s="10" t="n">
        <v>0</v>
      </c>
      <c r="AK530" s="8" t="n">
        <f aca="false">IF(AND(B530&lt;=U530,NOT(Q530)),B530,U530)*(1-Inputs!$B$12)</f>
        <v>0.771827836447957</v>
      </c>
    </row>
    <row r="531" customFormat="false" ht="15" hidden="false" customHeight="false" outlineLevel="0" collapsed="false">
      <c r="A531" s="6" t="n">
        <v>45315</v>
      </c>
      <c r="B531" s="7" t="n">
        <v>0.842212883729362</v>
      </c>
      <c r="C531" s="7" t="n">
        <v>0.845689776709055</v>
      </c>
      <c r="D531" s="7" t="n">
        <v>0.840807326069234</v>
      </c>
      <c r="E531" s="7" t="n">
        <v>0.841245908054218</v>
      </c>
      <c r="F531" s="8" t="n">
        <f aca="true">IF(ROW()-2&gt;=Inputs!$B$4,AVERAGE(OFFSET(E531,1-Inputs!$B$4,0,Inputs!$B$4,1)),"")</f>
        <v>0.837009923225048</v>
      </c>
      <c r="G531" s="8" t="n">
        <f aca="true">IF(ROW()-2&gt;=Inputs!$B$5,AVERAGE(OFFSET(E531,1-Inputs!$B$5,0,Inputs!$B$5,1)),"")</f>
        <v>0.829633834112087</v>
      </c>
      <c r="H531" s="8" t="n">
        <f aca="false">MAX(C531-D531,ABS(C531-E530),ABS(D531-E530))</f>
        <v>0.00488245063982173</v>
      </c>
      <c r="I531" s="8" t="n">
        <f aca="true">IF(ROW()-2&lt;14,"",IF(ROW()-2=14,AVERAGE(OFFSET(H531,-13,0,14,1)),(I530*13+H531)/14))</f>
        <v>0.00852060015875715</v>
      </c>
      <c r="J531" s="9" t="b">
        <f aca="false">IF(AND(ISNUMBER(F531),ISNUMBER(G531),ISNUMBER(F530),ISNUMBER(G530)),AND(F531&gt;G531,F530&lt;=G530),FALSE())</f>
        <v>0</v>
      </c>
      <c r="K531" s="9" t="b">
        <f aca="false">IF(AND(ISNUMBER(F531),ISNUMBER(G531),ISNUMBER(F530),ISNUMBER(G530)),AND(F531&lt;G531,F530&gt;=G530),FALSE())</f>
        <v>0</v>
      </c>
      <c r="L531" s="8" t="n">
        <f aca="false">IF(ISNUMBER(I531),E531-Inputs!$B$6*I531,"")</f>
        <v>0.824204707736704</v>
      </c>
      <c r="M531" s="9" t="b">
        <f aca="false">AND(Y530&gt;0,Z530)</f>
        <v>0</v>
      </c>
      <c r="N531" s="8" t="n">
        <f aca="false">B531*(1-Inputs!$B$12)</f>
        <v>0.842044441152616</v>
      </c>
      <c r="O531" s="10" t="n">
        <f aca="false">IF(M531,Y530*(N531-AB530)-Inputs!$B$9-Y530*AD530*Inputs!$B$13*(A531-AC530),0)</f>
        <v>0</v>
      </c>
      <c r="P531" s="10" t="n">
        <f aca="false">X530+O531</f>
        <v>1015.3844066801</v>
      </c>
      <c r="Q531" s="9" t="b">
        <f aca="false">AND(IF(M531,0,Y530)=0,AA530,IF(ISNUMBER(AE530),B531&gt;AE530,FALSE()))</f>
        <v>0</v>
      </c>
      <c r="R531" s="8" t="n">
        <f aca="false">B531*(1+Inputs!$B$12)</f>
        <v>0.842381326306108</v>
      </c>
      <c r="S531" s="11" t="n">
        <f aca="false">IF(Q531,MIN(P531*Inputs!$B$3/(R531-AE530),P531*Inputs!$B$11/R531),0)</f>
        <v>0</v>
      </c>
      <c r="T531" s="11" t="n">
        <f aca="false">IF(Q531,S531,IF(M531,0,Y530))</f>
        <v>664.118972006065</v>
      </c>
      <c r="U531" s="8" t="n">
        <f aca="false">IF(Q531,AE530,AF530)</f>
        <v>0.771982232894536</v>
      </c>
      <c r="V531" s="9" t="b">
        <f aca="false">AND(T531&gt;0,D531&lt;=U531)</f>
        <v>0</v>
      </c>
      <c r="W531" s="10" t="n">
        <f aca="false">IF(V531,T531*(AK531-AB531)-Inputs!$B$9-T531*AD531*Inputs!$B$13*(A531-AC531),0)</f>
        <v>0</v>
      </c>
      <c r="X531" s="10" t="n">
        <f aca="false">P531-IF(Q531,Inputs!$B$9,0)+W531</f>
        <v>1015.3844066801</v>
      </c>
      <c r="Y531" s="11" t="n">
        <f aca="false">IF(V531,0,T531)</f>
        <v>664.118972006065</v>
      </c>
      <c r="Z531" s="9" t="b">
        <f aca="false">AND(Y531&gt;0,K531)</f>
        <v>0</v>
      </c>
      <c r="AA531" s="9" t="b">
        <f aca="false">AND(Y531=0,J531,ISNUMBER(L531))</f>
        <v>0</v>
      </c>
      <c r="AB531" s="8" t="n">
        <f aca="false">IF(Q531,R531,AB530)</f>
        <v>0.787286484836172</v>
      </c>
      <c r="AC531" s="12" t="n">
        <f aca="false">IF(Q531,A531,AC530)</f>
        <v>45226</v>
      </c>
      <c r="AD531" s="8" t="n">
        <f aca="false">IF(Q531,B531,AD530)</f>
        <v>0.787129059024367</v>
      </c>
      <c r="AE531" s="8" t="str">
        <f aca="false">IF(AA531,L531,"")</f>
        <v/>
      </c>
      <c r="AF531" s="8" t="n">
        <f aca="false">U531</f>
        <v>0.771982232894536</v>
      </c>
      <c r="AG531" s="2" t="n">
        <f aca="false">AG530+IF(Q531,1,0)</f>
        <v>3</v>
      </c>
      <c r="AH531" s="2" t="n">
        <f aca="false">AG530</f>
        <v>3</v>
      </c>
      <c r="AI531" s="10" t="n">
        <f aca="false">X531+Y531*(E531-AB531)-Y531*AD531*Inputs!$B$13*(A531-AC531)</f>
        <v>1042.93469604081</v>
      </c>
      <c r="AJ531" s="10" t="n">
        <v>0</v>
      </c>
      <c r="AK531" s="8" t="n">
        <f aca="false">IF(AND(B531&lt;=U531,NOT(Q531)),B531,U531)*(1-Inputs!$B$12)</f>
        <v>0.771827836447957</v>
      </c>
    </row>
    <row r="532" customFormat="false" ht="15" hidden="false" customHeight="false" outlineLevel="0" collapsed="false">
      <c r="A532" s="6" t="n">
        <v>45316</v>
      </c>
      <c r="B532" s="7" t="n">
        <v>0.841245908054218</v>
      </c>
      <c r="C532" s="7" t="n">
        <v>0.849226849213845</v>
      </c>
      <c r="D532" s="7" t="n">
        <v>0.839578504357582</v>
      </c>
      <c r="E532" s="7" t="n">
        <v>0.84495994872543</v>
      </c>
      <c r="F532" s="8" t="n">
        <f aca="true">IF(ROW()-2&gt;=Inputs!$B$4,AVERAGE(OFFSET(E532,1-Inputs!$B$4,0,Inputs!$B$4,1)),"")</f>
        <v>0.83802512091743</v>
      </c>
      <c r="G532" s="8" t="n">
        <f aca="true">IF(ROW()-2&gt;=Inputs!$B$5,AVERAGE(OFFSET(E532,1-Inputs!$B$5,0,Inputs!$B$5,1)),"")</f>
        <v>0.830153112048681</v>
      </c>
      <c r="H532" s="8" t="n">
        <f aca="false">MAX(C532-D532,ABS(C532-E531),ABS(D532-E531))</f>
        <v>0.00964834485626331</v>
      </c>
      <c r="I532" s="8" t="n">
        <f aca="true">IF(ROW()-2&lt;14,"",IF(ROW()-2=14,AVERAGE(OFFSET(H532,-13,0,14,1)),(I531*13+H532)/14))</f>
        <v>0.00860115335143616</v>
      </c>
      <c r="J532" s="9" t="b">
        <f aca="false">IF(AND(ISNUMBER(F532),ISNUMBER(G532),ISNUMBER(F531),ISNUMBER(G531)),AND(F532&gt;G532,F531&lt;=G531),FALSE())</f>
        <v>0</v>
      </c>
      <c r="K532" s="9" t="b">
        <f aca="false">IF(AND(ISNUMBER(F532),ISNUMBER(G532),ISNUMBER(F531),ISNUMBER(G531)),AND(F532&lt;G532,F531&gt;=G531),FALSE())</f>
        <v>0</v>
      </c>
      <c r="L532" s="8" t="n">
        <f aca="false">IF(ISNUMBER(I532),E532-Inputs!$B$6*I532,"")</f>
        <v>0.827757642022557</v>
      </c>
      <c r="M532" s="9" t="b">
        <f aca="false">AND(Y531&gt;0,Z531)</f>
        <v>0</v>
      </c>
      <c r="N532" s="8" t="n">
        <f aca="false">B532*(1-Inputs!$B$12)</f>
        <v>0.841077658872607</v>
      </c>
      <c r="O532" s="10" t="n">
        <f aca="false">IF(M532,Y531*(N532-AB531)-Inputs!$B$9-Y531*AD531*Inputs!$B$13*(A532-AC531),0)</f>
        <v>0</v>
      </c>
      <c r="P532" s="10" t="n">
        <f aca="false">X531+O532</f>
        <v>1015.3844066801</v>
      </c>
      <c r="Q532" s="9" t="b">
        <f aca="false">AND(IF(M532,0,Y531)=0,AA531,IF(ISNUMBER(AE531),B532&gt;AE531,FALSE()))</f>
        <v>0</v>
      </c>
      <c r="R532" s="8" t="n">
        <f aca="false">B532*(1+Inputs!$B$12)</f>
        <v>0.841414157235829</v>
      </c>
      <c r="S532" s="11" t="n">
        <f aca="false">IF(Q532,MIN(P532*Inputs!$B$3/(R532-AE531),P532*Inputs!$B$11/R532),0)</f>
        <v>0</v>
      </c>
      <c r="T532" s="11" t="n">
        <f aca="false">IF(Q532,S532,IF(M532,0,Y531))</f>
        <v>664.118972006065</v>
      </c>
      <c r="U532" s="8" t="n">
        <f aca="false">IF(Q532,AE531,AF531)</f>
        <v>0.771982232894536</v>
      </c>
      <c r="V532" s="9" t="b">
        <f aca="false">AND(T532&gt;0,D532&lt;=U532)</f>
        <v>0</v>
      </c>
      <c r="W532" s="10" t="n">
        <f aca="false">IF(V532,T532*(AK532-AB532)-Inputs!$B$9-T532*AD532*Inputs!$B$13*(A532-AC532),0)</f>
        <v>0</v>
      </c>
      <c r="X532" s="10" t="n">
        <f aca="false">P532-IF(Q532,Inputs!$B$9,0)+W532</f>
        <v>1015.3844066801</v>
      </c>
      <c r="Y532" s="11" t="n">
        <f aca="false">IF(V532,0,T532)</f>
        <v>664.118972006065</v>
      </c>
      <c r="Z532" s="9" t="b">
        <f aca="false">AND(Y532&gt;0,K532)</f>
        <v>0</v>
      </c>
      <c r="AA532" s="9" t="b">
        <f aca="false">AND(Y532=0,J532,ISNUMBER(L532))</f>
        <v>0</v>
      </c>
      <c r="AB532" s="8" t="n">
        <f aca="false">IF(Q532,R532,AB531)</f>
        <v>0.787286484836172</v>
      </c>
      <c r="AC532" s="12" t="n">
        <f aca="false">IF(Q532,A532,AC531)</f>
        <v>45226</v>
      </c>
      <c r="AD532" s="8" t="n">
        <f aca="false">IF(Q532,B532,AD531)</f>
        <v>0.787129059024367</v>
      </c>
      <c r="AE532" s="8" t="str">
        <f aca="false">IF(AA532,L532,"")</f>
        <v/>
      </c>
      <c r="AF532" s="8" t="n">
        <f aca="false">U532</f>
        <v>0.771982232894536</v>
      </c>
      <c r="AG532" s="2" t="n">
        <f aca="false">AG531+IF(Q532,1,0)</f>
        <v>3</v>
      </c>
      <c r="AH532" s="2" t="n">
        <f aca="false">AG531</f>
        <v>3</v>
      </c>
      <c r="AI532" s="10" t="n">
        <f aca="false">X532+Y532*(E532-AB532)-Y532*AD532*Inputs!$B$13*(A532-AC532)</f>
        <v>1045.30816892104</v>
      </c>
      <c r="AJ532" s="10" t="n">
        <v>0</v>
      </c>
      <c r="AK532" s="8" t="n">
        <f aca="false">IF(AND(B532&lt;=U532,NOT(Q532)),B532,U532)*(1-Inputs!$B$12)</f>
        <v>0.771827836447957</v>
      </c>
    </row>
    <row r="533" customFormat="false" ht="15" hidden="false" customHeight="false" outlineLevel="0" collapsed="false">
      <c r="A533" s="6" t="n">
        <v>45317</v>
      </c>
      <c r="B533" s="7" t="n">
        <v>0.84495994872543</v>
      </c>
      <c r="C533" s="7" t="n">
        <v>0.853500581101276</v>
      </c>
      <c r="D533" s="7" t="n">
        <v>0.839119882238621</v>
      </c>
      <c r="E533" s="7" t="n">
        <v>0.847514822428555</v>
      </c>
      <c r="F533" s="8" t="n">
        <f aca="true">IF(ROW()-2&gt;=Inputs!$B$4,AVERAGE(OFFSET(E533,1-Inputs!$B$4,0,Inputs!$B$4,1)),"")</f>
        <v>0.839381925007473</v>
      </c>
      <c r="G533" s="8" t="n">
        <f aca="true">IF(ROW()-2&gt;=Inputs!$B$5,AVERAGE(OFFSET(E533,1-Inputs!$B$5,0,Inputs!$B$5,1)),"")</f>
        <v>0.830744029176302</v>
      </c>
      <c r="H533" s="8" t="n">
        <f aca="false">MAX(C533-D533,ABS(C533-E532),ABS(D533-E532))</f>
        <v>0.0143806988626547</v>
      </c>
      <c r="I533" s="8" t="n">
        <f aca="true">IF(ROW()-2&lt;14,"",IF(ROW()-2=14,AVERAGE(OFFSET(H533,-13,0,14,1)),(I532*13+H533)/14))</f>
        <v>0.00901397803080891</v>
      </c>
      <c r="J533" s="9" t="b">
        <f aca="false">IF(AND(ISNUMBER(F533),ISNUMBER(G533),ISNUMBER(F532),ISNUMBER(G532)),AND(F533&gt;G533,F532&lt;=G532),FALSE())</f>
        <v>0</v>
      </c>
      <c r="K533" s="9" t="b">
        <f aca="false">IF(AND(ISNUMBER(F533),ISNUMBER(G533),ISNUMBER(F532),ISNUMBER(G532)),AND(F533&lt;G533,F532&gt;=G532),FALSE())</f>
        <v>0</v>
      </c>
      <c r="L533" s="8" t="n">
        <f aca="false">IF(ISNUMBER(I533),E533-Inputs!$B$6*I533,"")</f>
        <v>0.829486866366938</v>
      </c>
      <c r="M533" s="9" t="b">
        <f aca="false">AND(Y532&gt;0,Z532)</f>
        <v>0</v>
      </c>
      <c r="N533" s="8" t="n">
        <f aca="false">B533*(1-Inputs!$B$12)</f>
        <v>0.844790956735685</v>
      </c>
      <c r="O533" s="10" t="n">
        <f aca="false">IF(M533,Y532*(N533-AB532)-Inputs!$B$9-Y532*AD532*Inputs!$B$13*(A533-AC532),0)</f>
        <v>0</v>
      </c>
      <c r="P533" s="10" t="n">
        <f aca="false">X532+O533</f>
        <v>1015.3844066801</v>
      </c>
      <c r="Q533" s="9" t="b">
        <f aca="false">AND(IF(M533,0,Y532)=0,AA532,IF(ISNUMBER(AE532),B533&gt;AE532,FALSE()))</f>
        <v>0</v>
      </c>
      <c r="R533" s="8" t="n">
        <f aca="false">B533*(1+Inputs!$B$12)</f>
        <v>0.845128940715175</v>
      </c>
      <c r="S533" s="11" t="n">
        <f aca="false">IF(Q533,MIN(P533*Inputs!$B$3/(R533-AE532),P533*Inputs!$B$11/R533),0)</f>
        <v>0</v>
      </c>
      <c r="T533" s="11" t="n">
        <f aca="false">IF(Q533,S533,IF(M533,0,Y532))</f>
        <v>664.118972006065</v>
      </c>
      <c r="U533" s="8" t="n">
        <f aca="false">IF(Q533,AE532,AF532)</f>
        <v>0.771982232894536</v>
      </c>
      <c r="V533" s="9" t="b">
        <f aca="false">AND(T533&gt;0,D533&lt;=U533)</f>
        <v>0</v>
      </c>
      <c r="W533" s="10" t="n">
        <f aca="false">IF(V533,T533*(AK533-AB533)-Inputs!$B$9-T533*AD533*Inputs!$B$13*(A533-AC533),0)</f>
        <v>0</v>
      </c>
      <c r="X533" s="10" t="n">
        <f aca="false">P533-IF(Q533,Inputs!$B$9,0)+W533</f>
        <v>1015.3844066801</v>
      </c>
      <c r="Y533" s="11" t="n">
        <f aca="false">IF(V533,0,T533)</f>
        <v>664.118972006065</v>
      </c>
      <c r="Z533" s="9" t="b">
        <f aca="false">AND(Y533&gt;0,K533)</f>
        <v>0</v>
      </c>
      <c r="AA533" s="9" t="b">
        <f aca="false">AND(Y533=0,J533,ISNUMBER(L533))</f>
        <v>0</v>
      </c>
      <c r="AB533" s="8" t="n">
        <f aca="false">IF(Q533,R533,AB532)</f>
        <v>0.787286484836172</v>
      </c>
      <c r="AC533" s="12" t="n">
        <f aca="false">IF(Q533,A533,AC532)</f>
        <v>45226</v>
      </c>
      <c r="AD533" s="8" t="n">
        <f aca="false">IF(Q533,B533,AD532)</f>
        <v>0.787129059024367</v>
      </c>
      <c r="AE533" s="8" t="str">
        <f aca="false">IF(AA533,L533,"")</f>
        <v/>
      </c>
      <c r="AF533" s="8" t="n">
        <f aca="false">U533</f>
        <v>0.771982232894536</v>
      </c>
      <c r="AG533" s="2" t="n">
        <f aca="false">AG532+IF(Q533,1,0)</f>
        <v>3</v>
      </c>
      <c r="AH533" s="2" t="n">
        <f aca="false">AG532</f>
        <v>3</v>
      </c>
      <c r="AI533" s="10" t="n">
        <f aca="false">X533+Y533*(E533-AB533)-Y533*AD533*Inputs!$B$13*(A533-AC533)</f>
        <v>1046.91181702604</v>
      </c>
      <c r="AJ533" s="10" t="n">
        <v>0</v>
      </c>
      <c r="AK533" s="8" t="n">
        <f aca="false">IF(AND(B533&lt;=U533,NOT(Q533)),B533,U533)*(1-Inputs!$B$12)</f>
        <v>0.771827836447957</v>
      </c>
    </row>
    <row r="534" customFormat="false" ht="15" hidden="false" customHeight="false" outlineLevel="0" collapsed="false">
      <c r="A534" s="6" t="n">
        <v>45318</v>
      </c>
      <c r="B534" s="7" t="n">
        <v>0.847514822428555</v>
      </c>
      <c r="C534" s="7" t="n">
        <v>0.851608576356985</v>
      </c>
      <c r="D534" s="7" t="n">
        <v>0.842077590657059</v>
      </c>
      <c r="E534" s="7" t="n">
        <v>0.849219320934232</v>
      </c>
      <c r="F534" s="8" t="n">
        <f aca="true">IF(ROW()-2&gt;=Inputs!$B$4,AVERAGE(OFFSET(E534,1-Inputs!$B$4,0,Inputs!$B$4,1)),"")</f>
        <v>0.84027185571564</v>
      </c>
      <c r="G534" s="8" t="n">
        <f aca="true">IF(ROW()-2&gt;=Inputs!$B$5,AVERAGE(OFFSET(E534,1-Inputs!$B$5,0,Inputs!$B$5,1)),"")</f>
        <v>0.831257595590964</v>
      </c>
      <c r="H534" s="8" t="n">
        <f aca="false">MAX(C534-D534,ABS(C534-E533),ABS(D534-E533))</f>
        <v>0.00953098569992594</v>
      </c>
      <c r="I534" s="8" t="n">
        <f aca="true">IF(ROW()-2&lt;14,"",IF(ROW()-2=14,AVERAGE(OFFSET(H534,-13,0,14,1)),(I533*13+H534)/14))</f>
        <v>0.00905090715003156</v>
      </c>
      <c r="J534" s="9" t="b">
        <f aca="false">IF(AND(ISNUMBER(F534),ISNUMBER(G534),ISNUMBER(F533),ISNUMBER(G533)),AND(F534&gt;G534,F533&lt;=G533),FALSE())</f>
        <v>0</v>
      </c>
      <c r="K534" s="9" t="b">
        <f aca="false">IF(AND(ISNUMBER(F534),ISNUMBER(G534),ISNUMBER(F533),ISNUMBER(G533)),AND(F534&lt;G534,F533&gt;=G533),FALSE())</f>
        <v>0</v>
      </c>
      <c r="L534" s="8" t="n">
        <f aca="false">IF(ISNUMBER(I534),E534-Inputs!$B$6*I534,"")</f>
        <v>0.831117506634169</v>
      </c>
      <c r="M534" s="9" t="b">
        <f aca="false">AND(Y533&gt;0,Z533)</f>
        <v>0</v>
      </c>
      <c r="N534" s="8" t="n">
        <f aca="false">B534*(1-Inputs!$B$12)</f>
        <v>0.84734531946407</v>
      </c>
      <c r="O534" s="10" t="n">
        <f aca="false">IF(M534,Y533*(N534-AB533)-Inputs!$B$9-Y533*AD533*Inputs!$B$13*(A534-AC533),0)</f>
        <v>0</v>
      </c>
      <c r="P534" s="10" t="n">
        <f aca="false">X533+O534</f>
        <v>1015.3844066801</v>
      </c>
      <c r="Q534" s="9" t="b">
        <f aca="false">AND(IF(M534,0,Y533)=0,AA533,IF(ISNUMBER(AE533),B534&gt;AE533,FALSE()))</f>
        <v>0</v>
      </c>
      <c r="R534" s="8" t="n">
        <f aca="false">B534*(1+Inputs!$B$12)</f>
        <v>0.847684325393041</v>
      </c>
      <c r="S534" s="11" t="n">
        <f aca="false">IF(Q534,MIN(P534*Inputs!$B$3/(R534-AE533),P534*Inputs!$B$11/R534),0)</f>
        <v>0</v>
      </c>
      <c r="T534" s="11" t="n">
        <f aca="false">IF(Q534,S534,IF(M534,0,Y533))</f>
        <v>664.118972006065</v>
      </c>
      <c r="U534" s="8" t="n">
        <f aca="false">IF(Q534,AE533,AF533)</f>
        <v>0.771982232894536</v>
      </c>
      <c r="V534" s="9" t="b">
        <f aca="false">AND(T534&gt;0,D534&lt;=U534)</f>
        <v>0</v>
      </c>
      <c r="W534" s="10" t="n">
        <f aca="false">IF(V534,T534*(AK534-AB534)-Inputs!$B$9-T534*AD534*Inputs!$B$13*(A534-AC534),0)</f>
        <v>0</v>
      </c>
      <c r="X534" s="10" t="n">
        <f aca="false">P534-IF(Q534,Inputs!$B$9,0)+W534</f>
        <v>1015.3844066801</v>
      </c>
      <c r="Y534" s="11" t="n">
        <f aca="false">IF(V534,0,T534)</f>
        <v>664.118972006065</v>
      </c>
      <c r="Z534" s="9" t="b">
        <f aca="false">AND(Y534&gt;0,K534)</f>
        <v>0</v>
      </c>
      <c r="AA534" s="9" t="b">
        <f aca="false">AND(Y534=0,J534,ISNUMBER(L534))</f>
        <v>0</v>
      </c>
      <c r="AB534" s="8" t="n">
        <f aca="false">IF(Q534,R534,AB533)</f>
        <v>0.787286484836172</v>
      </c>
      <c r="AC534" s="12" t="n">
        <f aca="false">IF(Q534,A534,AC533)</f>
        <v>45226</v>
      </c>
      <c r="AD534" s="8" t="n">
        <f aca="false">IF(Q534,B534,AD533)</f>
        <v>0.787129059024367</v>
      </c>
      <c r="AE534" s="8" t="str">
        <f aca="false">IF(AA534,L534,"")</f>
        <v/>
      </c>
      <c r="AF534" s="8" t="n">
        <f aca="false">U534</f>
        <v>0.771982232894536</v>
      </c>
      <c r="AG534" s="2" t="n">
        <f aca="false">AG533+IF(Q534,1,0)</f>
        <v>3</v>
      </c>
      <c r="AH534" s="2" t="n">
        <f aca="false">AG533</f>
        <v>3</v>
      </c>
      <c r="AI534" s="10" t="n">
        <f aca="false">X534+Y534*(E534-AB534)-Y534*AD534*Inputs!$B$13*(A534-AC534)</f>
        <v>1047.95071482909</v>
      </c>
      <c r="AJ534" s="10" t="n">
        <v>0</v>
      </c>
      <c r="AK534" s="8" t="n">
        <f aca="false">IF(AND(B534&lt;=U534,NOT(Q534)),B534,U534)*(1-Inputs!$B$12)</f>
        <v>0.771827836447957</v>
      </c>
    </row>
    <row r="535" customFormat="false" ht="15" hidden="false" customHeight="false" outlineLevel="0" collapsed="false">
      <c r="A535" s="6" t="n">
        <v>45319</v>
      </c>
      <c r="B535" s="7" t="n">
        <v>0.849219320934232</v>
      </c>
      <c r="C535" s="7" t="n">
        <v>0.856598642418356</v>
      </c>
      <c r="D535" s="7" t="n">
        <v>0.846047813049019</v>
      </c>
      <c r="E535" s="7" t="n">
        <v>0.854893077351136</v>
      </c>
      <c r="F535" s="8" t="n">
        <f aca="true">IF(ROW()-2&gt;=Inputs!$B$4,AVERAGE(OFFSET(E535,1-Inputs!$B$4,0,Inputs!$B$4,1)),"")</f>
        <v>0.84118618838186</v>
      </c>
      <c r="G535" s="8" t="n">
        <f aca="true">IF(ROW()-2&gt;=Inputs!$B$5,AVERAGE(OFFSET(E535,1-Inputs!$B$5,0,Inputs!$B$5,1)),"")</f>
        <v>0.831910855179595</v>
      </c>
      <c r="H535" s="8" t="n">
        <f aca="false">MAX(C535-D535,ABS(C535-E534),ABS(D535-E534))</f>
        <v>0.0105508293693367</v>
      </c>
      <c r="I535" s="8" t="n">
        <f aca="true">IF(ROW()-2&lt;14,"",IF(ROW()-2=14,AVERAGE(OFFSET(H535,-13,0,14,1)),(I534*13+H535)/14))</f>
        <v>0.0091580444514105</v>
      </c>
      <c r="J535" s="9" t="b">
        <f aca="false">IF(AND(ISNUMBER(F535),ISNUMBER(G535),ISNUMBER(F534),ISNUMBER(G534)),AND(F535&gt;G535,F534&lt;=G534),FALSE())</f>
        <v>0</v>
      </c>
      <c r="K535" s="9" t="b">
        <f aca="false">IF(AND(ISNUMBER(F535),ISNUMBER(G535),ISNUMBER(F534),ISNUMBER(G534)),AND(F535&lt;G535,F534&gt;=G534),FALSE())</f>
        <v>0</v>
      </c>
      <c r="L535" s="8" t="n">
        <f aca="false">IF(ISNUMBER(I535),E535-Inputs!$B$6*I535,"")</f>
        <v>0.836576988448315</v>
      </c>
      <c r="M535" s="9" t="b">
        <f aca="false">AND(Y534&gt;0,Z534)</f>
        <v>0</v>
      </c>
      <c r="N535" s="8" t="n">
        <f aca="false">B535*(1-Inputs!$B$12)</f>
        <v>0.849049477070045</v>
      </c>
      <c r="O535" s="10" t="n">
        <f aca="false">IF(M535,Y534*(N535-AB534)-Inputs!$B$9-Y534*AD534*Inputs!$B$13*(A535-AC534),0)</f>
        <v>0</v>
      </c>
      <c r="P535" s="10" t="n">
        <f aca="false">X534+O535</f>
        <v>1015.3844066801</v>
      </c>
      <c r="Q535" s="9" t="b">
        <f aca="false">AND(IF(M535,0,Y534)=0,AA534,IF(ISNUMBER(AE534),B535&gt;AE534,FALSE()))</f>
        <v>0</v>
      </c>
      <c r="R535" s="8" t="n">
        <f aca="false">B535*(1+Inputs!$B$12)</f>
        <v>0.849389164798419</v>
      </c>
      <c r="S535" s="11" t="n">
        <f aca="false">IF(Q535,MIN(P535*Inputs!$B$3/(R535-AE534),P535*Inputs!$B$11/R535),0)</f>
        <v>0</v>
      </c>
      <c r="T535" s="11" t="n">
        <f aca="false">IF(Q535,S535,IF(M535,0,Y534))</f>
        <v>664.118972006065</v>
      </c>
      <c r="U535" s="8" t="n">
        <f aca="false">IF(Q535,AE534,AF534)</f>
        <v>0.771982232894536</v>
      </c>
      <c r="V535" s="9" t="b">
        <f aca="false">AND(T535&gt;0,D535&lt;=U535)</f>
        <v>0</v>
      </c>
      <c r="W535" s="10" t="n">
        <f aca="false">IF(V535,T535*(AK535-AB535)-Inputs!$B$9-T535*AD535*Inputs!$B$13*(A535-AC535),0)</f>
        <v>0</v>
      </c>
      <c r="X535" s="10" t="n">
        <f aca="false">P535-IF(Q535,Inputs!$B$9,0)+W535</f>
        <v>1015.3844066801</v>
      </c>
      <c r="Y535" s="11" t="n">
        <f aca="false">IF(V535,0,T535)</f>
        <v>664.118972006065</v>
      </c>
      <c r="Z535" s="9" t="b">
        <f aca="false">AND(Y535&gt;0,K535)</f>
        <v>0</v>
      </c>
      <c r="AA535" s="9" t="b">
        <f aca="false">AND(Y535=0,J535,ISNUMBER(L535))</f>
        <v>0</v>
      </c>
      <c r="AB535" s="8" t="n">
        <f aca="false">IF(Q535,R535,AB534)</f>
        <v>0.787286484836172</v>
      </c>
      <c r="AC535" s="12" t="n">
        <f aca="false">IF(Q535,A535,AC534)</f>
        <v>45226</v>
      </c>
      <c r="AD535" s="8" t="n">
        <f aca="false">IF(Q535,B535,AD534)</f>
        <v>0.787129059024367</v>
      </c>
      <c r="AE535" s="8" t="str">
        <f aca="false">IF(AA535,L535,"")</f>
        <v/>
      </c>
      <c r="AF535" s="8" t="n">
        <f aca="false">U535</f>
        <v>0.771982232894536</v>
      </c>
      <c r="AG535" s="2" t="n">
        <f aca="false">AG534+IF(Q535,1,0)</f>
        <v>3</v>
      </c>
      <c r="AH535" s="2" t="n">
        <f aca="false">AG534</f>
        <v>3</v>
      </c>
      <c r="AI535" s="10" t="n">
        <f aca="false">X535+Y535*(E535-AB535)-Y535*AD535*Inputs!$B$13*(A535-AC535)</f>
        <v>1051.62567211577</v>
      </c>
      <c r="AJ535" s="10" t="n">
        <v>0</v>
      </c>
      <c r="AK535" s="8" t="n">
        <f aca="false">IF(AND(B535&lt;=U535,NOT(Q535)),B535,U535)*(1-Inputs!$B$12)</f>
        <v>0.771827836447957</v>
      </c>
    </row>
    <row r="536" customFormat="false" ht="15" hidden="false" customHeight="false" outlineLevel="0" collapsed="false">
      <c r="A536" s="6" t="n">
        <v>45320</v>
      </c>
      <c r="B536" s="7" t="n">
        <v>0.854893077351136</v>
      </c>
      <c r="C536" s="7" t="n">
        <v>0.856129306850467</v>
      </c>
      <c r="D536" s="7" t="n">
        <v>0.848486773327598</v>
      </c>
      <c r="E536" s="7" t="n">
        <v>0.849047659166862</v>
      </c>
      <c r="F536" s="8" t="n">
        <f aca="true">IF(ROW()-2&gt;=Inputs!$B$4,AVERAGE(OFFSET(E536,1-Inputs!$B$4,0,Inputs!$B$4,1)),"")</f>
        <v>0.8414174381188</v>
      </c>
      <c r="G536" s="8" t="n">
        <f aca="true">IF(ROW()-2&gt;=Inputs!$B$5,AVERAGE(OFFSET(E536,1-Inputs!$B$5,0,Inputs!$B$5,1)),"")</f>
        <v>0.832318382351171</v>
      </c>
      <c r="H536" s="8" t="n">
        <f aca="false">MAX(C536-D536,ABS(C536-E535),ABS(D536-E535))</f>
        <v>0.00764253352286981</v>
      </c>
      <c r="I536" s="8" t="n">
        <f aca="true">IF(ROW()-2&lt;14,"",IF(ROW()-2=14,AVERAGE(OFFSET(H536,-13,0,14,1)),(I535*13+H536)/14))</f>
        <v>0.00904979367080045</v>
      </c>
      <c r="J536" s="9" t="b">
        <f aca="false">IF(AND(ISNUMBER(F536),ISNUMBER(G536),ISNUMBER(F535),ISNUMBER(G535)),AND(F536&gt;G536,F535&lt;=G535),FALSE())</f>
        <v>0</v>
      </c>
      <c r="K536" s="9" t="b">
        <f aca="false">IF(AND(ISNUMBER(F536),ISNUMBER(G536),ISNUMBER(F535),ISNUMBER(G535)),AND(F536&lt;G536,F535&gt;=G535),FALSE())</f>
        <v>0</v>
      </c>
      <c r="L536" s="8" t="n">
        <f aca="false">IF(ISNUMBER(I536),E536-Inputs!$B$6*I536,"")</f>
        <v>0.830948071825261</v>
      </c>
      <c r="M536" s="9" t="b">
        <f aca="false">AND(Y535&gt;0,Z535)</f>
        <v>0</v>
      </c>
      <c r="N536" s="8" t="n">
        <f aca="false">B536*(1-Inputs!$B$12)</f>
        <v>0.854722098735665</v>
      </c>
      <c r="O536" s="10" t="n">
        <f aca="false">IF(M536,Y535*(N536-AB535)-Inputs!$B$9-Y535*AD535*Inputs!$B$13*(A536-AC535),0)</f>
        <v>0</v>
      </c>
      <c r="P536" s="10" t="n">
        <f aca="false">X535+O536</f>
        <v>1015.3844066801</v>
      </c>
      <c r="Q536" s="9" t="b">
        <f aca="false">AND(IF(M536,0,Y535)=0,AA535,IF(ISNUMBER(AE535),B536&gt;AE535,FALSE()))</f>
        <v>0</v>
      </c>
      <c r="R536" s="8" t="n">
        <f aca="false">B536*(1+Inputs!$B$12)</f>
        <v>0.855064055966606</v>
      </c>
      <c r="S536" s="11" t="n">
        <f aca="false">IF(Q536,MIN(P536*Inputs!$B$3/(R536-AE535),P536*Inputs!$B$11/R536),0)</f>
        <v>0</v>
      </c>
      <c r="T536" s="11" t="n">
        <f aca="false">IF(Q536,S536,IF(M536,0,Y535))</f>
        <v>664.118972006065</v>
      </c>
      <c r="U536" s="8" t="n">
        <f aca="false">IF(Q536,AE535,AF535)</f>
        <v>0.771982232894536</v>
      </c>
      <c r="V536" s="9" t="b">
        <f aca="false">AND(T536&gt;0,D536&lt;=U536)</f>
        <v>0</v>
      </c>
      <c r="W536" s="10" t="n">
        <f aca="false">IF(V536,T536*(AK536-AB536)-Inputs!$B$9-T536*AD536*Inputs!$B$13*(A536-AC536),0)</f>
        <v>0</v>
      </c>
      <c r="X536" s="10" t="n">
        <f aca="false">P536-IF(Q536,Inputs!$B$9,0)+W536</f>
        <v>1015.3844066801</v>
      </c>
      <c r="Y536" s="11" t="n">
        <f aca="false">IF(V536,0,T536)</f>
        <v>664.118972006065</v>
      </c>
      <c r="Z536" s="9" t="b">
        <f aca="false">AND(Y536&gt;0,K536)</f>
        <v>0</v>
      </c>
      <c r="AA536" s="9" t="b">
        <f aca="false">AND(Y536=0,J536,ISNUMBER(L536))</f>
        <v>0</v>
      </c>
      <c r="AB536" s="8" t="n">
        <f aca="false">IF(Q536,R536,AB535)</f>
        <v>0.787286484836172</v>
      </c>
      <c r="AC536" s="12" t="n">
        <f aca="false">IF(Q536,A536,AC535)</f>
        <v>45226</v>
      </c>
      <c r="AD536" s="8" t="n">
        <f aca="false">IF(Q536,B536,AD535)</f>
        <v>0.787129059024367</v>
      </c>
      <c r="AE536" s="8" t="str">
        <f aca="false">IF(AA536,L536,"")</f>
        <v/>
      </c>
      <c r="AF536" s="8" t="n">
        <f aca="false">U536</f>
        <v>0.771982232894536</v>
      </c>
      <c r="AG536" s="2" t="n">
        <f aca="false">AG535+IF(Q536,1,0)</f>
        <v>3</v>
      </c>
      <c r="AH536" s="2" t="n">
        <f aca="false">AG535</f>
        <v>3</v>
      </c>
      <c r="AI536" s="10" t="n">
        <f aca="false">X536+Y536*(E536-AB536)-Y536*AD536*Inputs!$B$13*(A536-AC536)</f>
        <v>1047.65052700796</v>
      </c>
      <c r="AJ536" s="10" t="n">
        <v>0</v>
      </c>
      <c r="AK536" s="8" t="n">
        <f aca="false">IF(AND(B536&lt;=U536,NOT(Q536)),B536,U536)*(1-Inputs!$B$12)</f>
        <v>0.771827836447957</v>
      </c>
    </row>
    <row r="537" customFormat="false" ht="15" hidden="false" customHeight="false" outlineLevel="0" collapsed="false">
      <c r="A537" s="6" t="n">
        <v>45321</v>
      </c>
      <c r="B537" s="7" t="n">
        <v>0.849047659166862</v>
      </c>
      <c r="C537" s="7" t="n">
        <v>0.856756028203322</v>
      </c>
      <c r="D537" s="7" t="n">
        <v>0.844491629565933</v>
      </c>
      <c r="E537" s="7" t="n">
        <v>0.856232984835771</v>
      </c>
      <c r="F537" s="8" t="n">
        <f aca="true">IF(ROW()-2&gt;=Inputs!$B$4,AVERAGE(OFFSET(E537,1-Inputs!$B$4,0,Inputs!$B$4,1)),"")</f>
        <v>0.842274475545127</v>
      </c>
      <c r="G537" s="8" t="n">
        <f aca="true">IF(ROW()-2&gt;=Inputs!$B$5,AVERAGE(OFFSET(E537,1-Inputs!$B$5,0,Inputs!$B$5,1)),"")</f>
        <v>0.832856237916591</v>
      </c>
      <c r="H537" s="8" t="n">
        <f aca="false">MAX(C537-D537,ABS(C537-E536),ABS(D537-E536))</f>
        <v>0.0122643986373888</v>
      </c>
      <c r="I537" s="8" t="n">
        <f aca="true">IF(ROW()-2&lt;14,"",IF(ROW()-2=14,AVERAGE(OFFSET(H537,-13,0,14,1)),(I536*13+H537)/14))</f>
        <v>0.00927940831127105</v>
      </c>
      <c r="J537" s="9" t="b">
        <f aca="false">IF(AND(ISNUMBER(F537),ISNUMBER(G537),ISNUMBER(F536),ISNUMBER(G536)),AND(F537&gt;G537,F536&lt;=G536),FALSE())</f>
        <v>0</v>
      </c>
      <c r="K537" s="9" t="b">
        <f aca="false">IF(AND(ISNUMBER(F537),ISNUMBER(G537),ISNUMBER(F536),ISNUMBER(G536)),AND(F537&lt;G537,F536&gt;=G536),FALSE())</f>
        <v>0</v>
      </c>
      <c r="L537" s="8" t="n">
        <f aca="false">IF(ISNUMBER(I537),E537-Inputs!$B$6*I537,"")</f>
        <v>0.837674168213229</v>
      </c>
      <c r="M537" s="9" t="b">
        <f aca="false">AND(Y536&gt;0,Z536)</f>
        <v>0</v>
      </c>
      <c r="N537" s="8" t="n">
        <f aca="false">B537*(1-Inputs!$B$12)</f>
        <v>0.848877849635028</v>
      </c>
      <c r="O537" s="10" t="n">
        <f aca="false">IF(M537,Y536*(N537-AB536)-Inputs!$B$9-Y536*AD536*Inputs!$B$13*(A537-AC536),0)</f>
        <v>0</v>
      </c>
      <c r="P537" s="10" t="n">
        <f aca="false">X536+O537</f>
        <v>1015.3844066801</v>
      </c>
      <c r="Q537" s="9" t="b">
        <f aca="false">AND(IF(M537,0,Y536)=0,AA536,IF(ISNUMBER(AE536),B537&gt;AE536,FALSE()))</f>
        <v>0</v>
      </c>
      <c r="R537" s="8" t="n">
        <f aca="false">B537*(1+Inputs!$B$12)</f>
        <v>0.849217468698695</v>
      </c>
      <c r="S537" s="11" t="n">
        <f aca="false">IF(Q537,MIN(P537*Inputs!$B$3/(R537-AE536),P537*Inputs!$B$11/R537),0)</f>
        <v>0</v>
      </c>
      <c r="T537" s="11" t="n">
        <f aca="false">IF(Q537,S537,IF(M537,0,Y536))</f>
        <v>664.118972006065</v>
      </c>
      <c r="U537" s="8" t="n">
        <f aca="false">IF(Q537,AE536,AF536)</f>
        <v>0.771982232894536</v>
      </c>
      <c r="V537" s="9" t="b">
        <f aca="false">AND(T537&gt;0,D537&lt;=U537)</f>
        <v>0</v>
      </c>
      <c r="W537" s="10" t="n">
        <f aca="false">IF(V537,T537*(AK537-AB537)-Inputs!$B$9-T537*AD537*Inputs!$B$13*(A537-AC537),0)</f>
        <v>0</v>
      </c>
      <c r="X537" s="10" t="n">
        <f aca="false">P537-IF(Q537,Inputs!$B$9,0)+W537</f>
        <v>1015.3844066801</v>
      </c>
      <c r="Y537" s="11" t="n">
        <f aca="false">IF(V537,0,T537)</f>
        <v>664.118972006065</v>
      </c>
      <c r="Z537" s="9" t="b">
        <f aca="false">AND(Y537&gt;0,K537)</f>
        <v>0</v>
      </c>
      <c r="AA537" s="9" t="b">
        <f aca="false">AND(Y537=0,J537,ISNUMBER(L537))</f>
        <v>0</v>
      </c>
      <c r="AB537" s="8" t="n">
        <f aca="false">IF(Q537,R537,AB536)</f>
        <v>0.787286484836172</v>
      </c>
      <c r="AC537" s="12" t="n">
        <f aca="false">IF(Q537,A537,AC536)</f>
        <v>45226</v>
      </c>
      <c r="AD537" s="8" t="n">
        <f aca="false">IF(Q537,B537,AD536)</f>
        <v>0.787129059024367</v>
      </c>
      <c r="AE537" s="8" t="str">
        <f aca="false">IF(AA537,L537,"")</f>
        <v/>
      </c>
      <c r="AF537" s="8" t="n">
        <f aca="false">U537</f>
        <v>0.771982232894536</v>
      </c>
      <c r="AG537" s="2" t="n">
        <f aca="false">AG536+IF(Q537,1,0)</f>
        <v>3</v>
      </c>
      <c r="AH537" s="2" t="n">
        <f aca="false">AG536</f>
        <v>3</v>
      </c>
      <c r="AI537" s="10" t="n">
        <f aca="false">X537+Y537*(E537-AB537)-Y537*AD537*Inputs!$B$13*(A537-AC537)</f>
        <v>1052.3293461124</v>
      </c>
      <c r="AJ537" s="10" t="n">
        <v>0</v>
      </c>
      <c r="AK537" s="8" t="n">
        <f aca="false">IF(AND(B537&lt;=U537,NOT(Q537)),B537,U537)*(1-Inputs!$B$12)</f>
        <v>0.771827836447957</v>
      </c>
    </row>
    <row r="538" customFormat="false" ht="15" hidden="false" customHeight="false" outlineLevel="0" collapsed="false">
      <c r="A538" s="6" t="n">
        <v>45322</v>
      </c>
      <c r="B538" s="7" t="n">
        <v>0.856232984835771</v>
      </c>
      <c r="C538" s="7" t="n">
        <v>0.860817796710672</v>
      </c>
      <c r="D538" s="7" t="n">
        <v>0.849461397494648</v>
      </c>
      <c r="E538" s="7" t="n">
        <v>0.852698212237735</v>
      </c>
      <c r="F538" s="8" t="n">
        <f aca="true">IF(ROW()-2&gt;=Inputs!$B$4,AVERAGE(OFFSET(E538,1-Inputs!$B$4,0,Inputs!$B$4,1)),"")</f>
        <v>0.843277003557751</v>
      </c>
      <c r="G538" s="8" t="n">
        <f aca="true">IF(ROW()-2&gt;=Inputs!$B$5,AVERAGE(OFFSET(E538,1-Inputs!$B$5,0,Inputs!$B$5,1)),"")</f>
        <v>0.833450412809322</v>
      </c>
      <c r="H538" s="8" t="n">
        <f aca="false">MAX(C538-D538,ABS(C538-E537),ABS(D538-E537))</f>
        <v>0.0113563992160242</v>
      </c>
      <c r="I538" s="8" t="n">
        <f aca="true">IF(ROW()-2&lt;14,"",IF(ROW()-2=14,AVERAGE(OFFSET(H538,-13,0,14,1)),(I537*13+H538)/14))</f>
        <v>0.0094277648044677</v>
      </c>
      <c r="J538" s="9" t="b">
        <f aca="false">IF(AND(ISNUMBER(F538),ISNUMBER(G538),ISNUMBER(F537),ISNUMBER(G537)),AND(F538&gt;G538,F537&lt;=G537),FALSE())</f>
        <v>0</v>
      </c>
      <c r="K538" s="9" t="b">
        <f aca="false">IF(AND(ISNUMBER(F538),ISNUMBER(G538),ISNUMBER(F537),ISNUMBER(G537)),AND(F538&lt;G538,F537&gt;=G537),FALSE())</f>
        <v>0</v>
      </c>
      <c r="L538" s="8" t="n">
        <f aca="false">IF(ISNUMBER(I538),E538-Inputs!$B$6*I538,"")</f>
        <v>0.833842682628799</v>
      </c>
      <c r="M538" s="9" t="b">
        <f aca="false">AND(Y537&gt;0,Z537)</f>
        <v>0</v>
      </c>
      <c r="N538" s="8" t="n">
        <f aca="false">B538*(1-Inputs!$B$12)</f>
        <v>0.856061738238804</v>
      </c>
      <c r="O538" s="10" t="n">
        <f aca="false">IF(M538,Y537*(N538-AB537)-Inputs!$B$9-Y537*AD537*Inputs!$B$13*(A538-AC537),0)</f>
        <v>0</v>
      </c>
      <c r="P538" s="10" t="n">
        <f aca="false">X537+O538</f>
        <v>1015.3844066801</v>
      </c>
      <c r="Q538" s="9" t="b">
        <f aca="false">AND(IF(M538,0,Y537)=0,AA537,IF(ISNUMBER(AE537),B538&gt;AE537,FALSE()))</f>
        <v>0</v>
      </c>
      <c r="R538" s="8" t="n">
        <f aca="false">B538*(1+Inputs!$B$12)</f>
        <v>0.856404231432738</v>
      </c>
      <c r="S538" s="11" t="n">
        <f aca="false">IF(Q538,MIN(P538*Inputs!$B$3/(R538-AE537),P538*Inputs!$B$11/R538),0)</f>
        <v>0</v>
      </c>
      <c r="T538" s="11" t="n">
        <f aca="false">IF(Q538,S538,IF(M538,0,Y537))</f>
        <v>664.118972006065</v>
      </c>
      <c r="U538" s="8" t="n">
        <f aca="false">IF(Q538,AE537,AF537)</f>
        <v>0.771982232894536</v>
      </c>
      <c r="V538" s="9" t="b">
        <f aca="false">AND(T538&gt;0,D538&lt;=U538)</f>
        <v>0</v>
      </c>
      <c r="W538" s="10" t="n">
        <f aca="false">IF(V538,T538*(AK538-AB538)-Inputs!$B$9-T538*AD538*Inputs!$B$13*(A538-AC538),0)</f>
        <v>0</v>
      </c>
      <c r="X538" s="10" t="n">
        <f aca="false">P538-IF(Q538,Inputs!$B$9,0)+W538</f>
        <v>1015.3844066801</v>
      </c>
      <c r="Y538" s="11" t="n">
        <f aca="false">IF(V538,0,T538)</f>
        <v>664.118972006065</v>
      </c>
      <c r="Z538" s="9" t="b">
        <f aca="false">AND(Y538&gt;0,K538)</f>
        <v>0</v>
      </c>
      <c r="AA538" s="9" t="b">
        <f aca="false">AND(Y538=0,J538,ISNUMBER(L538))</f>
        <v>0</v>
      </c>
      <c r="AB538" s="8" t="n">
        <f aca="false">IF(Q538,R538,AB537)</f>
        <v>0.787286484836172</v>
      </c>
      <c r="AC538" s="12" t="n">
        <f aca="false">IF(Q538,A538,AC537)</f>
        <v>45226</v>
      </c>
      <c r="AD538" s="8" t="n">
        <f aca="false">IF(Q538,B538,AD537)</f>
        <v>0.787129059024367</v>
      </c>
      <c r="AE538" s="8" t="str">
        <f aca="false">IF(AA538,L538,"")</f>
        <v/>
      </c>
      <c r="AF538" s="8" t="n">
        <f aca="false">U538</f>
        <v>0.771982232894536</v>
      </c>
      <c r="AG538" s="2" t="n">
        <f aca="false">AG537+IF(Q538,1,0)</f>
        <v>3</v>
      </c>
      <c r="AH538" s="2" t="n">
        <f aca="false">AG537</f>
        <v>3</v>
      </c>
      <c r="AI538" s="10" t="n">
        <f aca="false">X538+Y538*(E538-AB538)-Y538*AD538*Inputs!$B$13*(A538-AC538)</f>
        <v>1049.888744576</v>
      </c>
      <c r="AJ538" s="10" t="n">
        <v>0</v>
      </c>
      <c r="AK538" s="8" t="n">
        <f aca="false">IF(AND(B538&lt;=U538,NOT(Q538)),B538,U538)*(1-Inputs!$B$12)</f>
        <v>0.771827836447957</v>
      </c>
    </row>
    <row r="539" customFormat="false" ht="15" hidden="false" customHeight="false" outlineLevel="0" collapsed="false">
      <c r="A539" s="6" t="n">
        <v>45323</v>
      </c>
      <c r="B539" s="7" t="n">
        <v>0.852698212237735</v>
      </c>
      <c r="C539" s="7" t="n">
        <v>0.857306004114426</v>
      </c>
      <c r="D539" s="7" t="n">
        <v>0.849497971258538</v>
      </c>
      <c r="E539" s="7" t="n">
        <v>0.856117994888806</v>
      </c>
      <c r="F539" s="8" t="n">
        <f aca="true">IF(ROW()-2&gt;=Inputs!$B$4,AVERAGE(OFFSET(E539,1-Inputs!$B$4,0,Inputs!$B$4,1)),"")</f>
        <v>0.84425348948643</v>
      </c>
      <c r="G539" s="8" t="n">
        <f aca="true">IF(ROW()-2&gt;=Inputs!$B$5,AVERAGE(OFFSET(E539,1-Inputs!$B$5,0,Inputs!$B$5,1)),"")</f>
        <v>0.834078370716674</v>
      </c>
      <c r="H539" s="8" t="n">
        <f aca="false">MAX(C539-D539,ABS(C539-E538),ABS(D539-E538))</f>
        <v>0.00780803285588705</v>
      </c>
      <c r="I539" s="8" t="n">
        <f aca="true">IF(ROW()-2&lt;14,"",IF(ROW()-2=14,AVERAGE(OFFSET(H539,-13,0,14,1)),(I538*13+H539)/14))</f>
        <v>0.00931206966528336</v>
      </c>
      <c r="J539" s="9" t="b">
        <f aca="false">IF(AND(ISNUMBER(F539),ISNUMBER(G539),ISNUMBER(F538),ISNUMBER(G538)),AND(F539&gt;G539,F538&lt;=G538),FALSE())</f>
        <v>0</v>
      </c>
      <c r="K539" s="9" t="b">
        <f aca="false">IF(AND(ISNUMBER(F539),ISNUMBER(G539),ISNUMBER(F538),ISNUMBER(G538)),AND(F539&lt;G539,F538&gt;=G538),FALSE())</f>
        <v>0</v>
      </c>
      <c r="L539" s="8" t="n">
        <f aca="false">IF(ISNUMBER(I539),E539-Inputs!$B$6*I539,"")</f>
        <v>0.837493855558239</v>
      </c>
      <c r="M539" s="9" t="b">
        <f aca="false">AND(Y538&gt;0,Z538)</f>
        <v>0</v>
      </c>
      <c r="N539" s="8" t="n">
        <f aca="false">B539*(1-Inputs!$B$12)</f>
        <v>0.852527672595287</v>
      </c>
      <c r="O539" s="10" t="n">
        <f aca="false">IF(M539,Y538*(N539-AB538)-Inputs!$B$9-Y538*AD538*Inputs!$B$13*(A539-AC538),0)</f>
        <v>0</v>
      </c>
      <c r="P539" s="10" t="n">
        <f aca="false">X538+O539</f>
        <v>1015.3844066801</v>
      </c>
      <c r="Q539" s="9" t="b">
        <f aca="false">AND(IF(M539,0,Y538)=0,AA538,IF(ISNUMBER(AE538),B539&gt;AE538,FALSE()))</f>
        <v>0</v>
      </c>
      <c r="R539" s="8" t="n">
        <f aca="false">B539*(1+Inputs!$B$12)</f>
        <v>0.852868751880182</v>
      </c>
      <c r="S539" s="11" t="n">
        <f aca="false">IF(Q539,MIN(P539*Inputs!$B$3/(R539-AE538),P539*Inputs!$B$11/R539),0)</f>
        <v>0</v>
      </c>
      <c r="T539" s="11" t="n">
        <f aca="false">IF(Q539,S539,IF(M539,0,Y538))</f>
        <v>664.118972006065</v>
      </c>
      <c r="U539" s="8" t="n">
        <f aca="false">IF(Q539,AE538,AF538)</f>
        <v>0.771982232894536</v>
      </c>
      <c r="V539" s="9" t="b">
        <f aca="false">AND(T539&gt;0,D539&lt;=U539)</f>
        <v>0</v>
      </c>
      <c r="W539" s="10" t="n">
        <f aca="false">IF(V539,T539*(AK539-AB539)-Inputs!$B$9-T539*AD539*Inputs!$B$13*(A539-AC539),0)</f>
        <v>0</v>
      </c>
      <c r="X539" s="10" t="n">
        <f aca="false">P539-IF(Q539,Inputs!$B$9,0)+W539</f>
        <v>1015.3844066801</v>
      </c>
      <c r="Y539" s="11" t="n">
        <f aca="false">IF(V539,0,T539)</f>
        <v>664.118972006065</v>
      </c>
      <c r="Z539" s="9" t="b">
        <f aca="false">AND(Y539&gt;0,K539)</f>
        <v>0</v>
      </c>
      <c r="AA539" s="9" t="b">
        <f aca="false">AND(Y539=0,J539,ISNUMBER(L539))</f>
        <v>0</v>
      </c>
      <c r="AB539" s="8" t="n">
        <f aca="false">IF(Q539,R539,AB538)</f>
        <v>0.787286484836172</v>
      </c>
      <c r="AC539" s="12" t="n">
        <f aca="false">IF(Q539,A539,AC538)</f>
        <v>45226</v>
      </c>
      <c r="AD539" s="8" t="n">
        <f aca="false">IF(Q539,B539,AD538)</f>
        <v>0.787129059024367</v>
      </c>
      <c r="AE539" s="8" t="str">
        <f aca="false">IF(AA539,L539,"")</f>
        <v/>
      </c>
      <c r="AF539" s="8" t="n">
        <f aca="false">U539</f>
        <v>0.771982232894536</v>
      </c>
      <c r="AG539" s="2" t="n">
        <f aca="false">AG538+IF(Q539,1,0)</f>
        <v>3</v>
      </c>
      <c r="AH539" s="2" t="n">
        <f aca="false">AG538</f>
        <v>3</v>
      </c>
      <c r="AI539" s="10" t="n">
        <f aca="false">X539+Y539*(E539-AB539)-Y539*AD539*Inputs!$B$13*(A539-AC539)</f>
        <v>1052.06679512239</v>
      </c>
      <c r="AJ539" s="10" t="n">
        <v>0</v>
      </c>
      <c r="AK539" s="8" t="n">
        <f aca="false">IF(AND(B539&lt;=U539,NOT(Q539)),B539,U539)*(1-Inputs!$B$12)</f>
        <v>0.771827836447957</v>
      </c>
    </row>
    <row r="540" customFormat="false" ht="15" hidden="false" customHeight="false" outlineLevel="0" collapsed="false">
      <c r="A540" s="6" t="n">
        <v>45324</v>
      </c>
      <c r="B540" s="7" t="n">
        <v>0.856117994888806</v>
      </c>
      <c r="C540" s="7" t="n">
        <v>0.865487866534372</v>
      </c>
      <c r="D540" s="7" t="n">
        <v>0.853005767245042</v>
      </c>
      <c r="E540" s="7" t="n">
        <v>0.860221058420727</v>
      </c>
      <c r="F540" s="8" t="n">
        <f aca="true">IF(ROW()-2&gt;=Inputs!$B$4,AVERAGE(OFFSET(E540,1-Inputs!$B$4,0,Inputs!$B$4,1)),"")</f>
        <v>0.845535098472503</v>
      </c>
      <c r="G540" s="8" t="n">
        <f aca="true">IF(ROW()-2&gt;=Inputs!$B$5,AVERAGE(OFFSET(E540,1-Inputs!$B$5,0,Inputs!$B$5,1)),"")</f>
        <v>0.834718693640091</v>
      </c>
      <c r="H540" s="8" t="n">
        <f aca="false">MAX(C540-D540,ABS(C540-E539),ABS(D540-E539))</f>
        <v>0.0124820992893301</v>
      </c>
      <c r="I540" s="8" t="n">
        <f aca="true">IF(ROW()-2&lt;14,"",IF(ROW()-2=14,AVERAGE(OFFSET(H540,-13,0,14,1)),(I539*13+H540)/14))</f>
        <v>0.00953850035271527</v>
      </c>
      <c r="J540" s="9" t="b">
        <f aca="false">IF(AND(ISNUMBER(F540),ISNUMBER(G540),ISNUMBER(F539),ISNUMBER(G539)),AND(F540&gt;G540,F539&lt;=G539),FALSE())</f>
        <v>0</v>
      </c>
      <c r="K540" s="9" t="b">
        <f aca="false">IF(AND(ISNUMBER(F540),ISNUMBER(G540),ISNUMBER(F539),ISNUMBER(G539)),AND(F540&lt;G540,F539&gt;=G539),FALSE())</f>
        <v>0</v>
      </c>
      <c r="L540" s="8" t="n">
        <f aca="false">IF(ISNUMBER(I540),E540-Inputs!$B$6*I540,"")</f>
        <v>0.841144057715296</v>
      </c>
      <c r="M540" s="9" t="b">
        <f aca="false">AND(Y539&gt;0,Z539)</f>
        <v>0</v>
      </c>
      <c r="N540" s="8" t="n">
        <f aca="false">B540*(1-Inputs!$B$12)</f>
        <v>0.855946771289828</v>
      </c>
      <c r="O540" s="10" t="n">
        <f aca="false">IF(M540,Y539*(N540-AB539)-Inputs!$B$9-Y539*AD539*Inputs!$B$13*(A540-AC539),0)</f>
        <v>0</v>
      </c>
      <c r="P540" s="10" t="n">
        <f aca="false">X539+O540</f>
        <v>1015.3844066801</v>
      </c>
      <c r="Q540" s="9" t="b">
        <f aca="false">AND(IF(M540,0,Y539)=0,AA539,IF(ISNUMBER(AE539),B540&gt;AE539,FALSE()))</f>
        <v>0</v>
      </c>
      <c r="R540" s="8" t="n">
        <f aca="false">B540*(1+Inputs!$B$12)</f>
        <v>0.856289218487783</v>
      </c>
      <c r="S540" s="11" t="n">
        <f aca="false">IF(Q540,MIN(P540*Inputs!$B$3/(R540-AE539),P540*Inputs!$B$11/R540),0)</f>
        <v>0</v>
      </c>
      <c r="T540" s="11" t="n">
        <f aca="false">IF(Q540,S540,IF(M540,0,Y539))</f>
        <v>664.118972006065</v>
      </c>
      <c r="U540" s="8" t="n">
        <f aca="false">IF(Q540,AE539,AF539)</f>
        <v>0.771982232894536</v>
      </c>
      <c r="V540" s="9" t="b">
        <f aca="false">AND(T540&gt;0,D540&lt;=U540)</f>
        <v>0</v>
      </c>
      <c r="W540" s="10" t="n">
        <f aca="false">IF(V540,T540*(AK540-AB540)-Inputs!$B$9-T540*AD540*Inputs!$B$13*(A540-AC540),0)</f>
        <v>0</v>
      </c>
      <c r="X540" s="10" t="n">
        <f aca="false">P540-IF(Q540,Inputs!$B$9,0)+W540</f>
        <v>1015.3844066801</v>
      </c>
      <c r="Y540" s="11" t="n">
        <f aca="false">IF(V540,0,T540)</f>
        <v>664.118972006065</v>
      </c>
      <c r="Z540" s="9" t="b">
        <f aca="false">AND(Y540&gt;0,K540)</f>
        <v>0</v>
      </c>
      <c r="AA540" s="9" t="b">
        <f aca="false">AND(Y540=0,J540,ISNUMBER(L540))</f>
        <v>0</v>
      </c>
      <c r="AB540" s="8" t="n">
        <f aca="false">IF(Q540,R540,AB539)</f>
        <v>0.787286484836172</v>
      </c>
      <c r="AC540" s="12" t="n">
        <f aca="false">IF(Q540,A540,AC539)</f>
        <v>45226</v>
      </c>
      <c r="AD540" s="8" t="n">
        <f aca="false">IF(Q540,B540,AD539)</f>
        <v>0.787129059024367</v>
      </c>
      <c r="AE540" s="8" t="str">
        <f aca="false">IF(AA540,L540,"")</f>
        <v/>
      </c>
      <c r="AF540" s="8" t="n">
        <f aca="false">U540</f>
        <v>0.771982232894536</v>
      </c>
      <c r="AG540" s="2" t="n">
        <f aca="false">AG539+IF(Q540,1,0)</f>
        <v>3</v>
      </c>
      <c r="AH540" s="2" t="n">
        <f aca="false">AG539</f>
        <v>3</v>
      </c>
      <c r="AI540" s="10" t="n">
        <f aca="false">X540+Y540*(E540-AB540)-Y540*AD540*Inputs!$B$13*(A540-AC540)</f>
        <v>1054.69862546496</v>
      </c>
      <c r="AJ540" s="10" t="n">
        <v>0</v>
      </c>
      <c r="AK540" s="8" t="n">
        <f aca="false">IF(AND(B540&lt;=U540,NOT(Q540)),B540,U540)*(1-Inputs!$B$12)</f>
        <v>0.771827836447957</v>
      </c>
    </row>
    <row r="541" customFormat="false" ht="15" hidden="false" customHeight="false" outlineLevel="0" collapsed="false">
      <c r="A541" s="6" t="n">
        <v>45325</v>
      </c>
      <c r="B541" s="7" t="n">
        <v>0.860221058420727</v>
      </c>
      <c r="C541" s="7" t="n">
        <v>0.865336298402359</v>
      </c>
      <c r="D541" s="7" t="n">
        <v>0.855474525179645</v>
      </c>
      <c r="E541" s="7" t="n">
        <v>0.859042572335041</v>
      </c>
      <c r="F541" s="8" t="n">
        <f aca="true">IF(ROW()-2&gt;=Inputs!$B$4,AVERAGE(OFFSET(E541,1-Inputs!$B$4,0,Inputs!$B$4,1)),"")</f>
        <v>0.846655354167433</v>
      </c>
      <c r="G541" s="8" t="n">
        <f aca="true">IF(ROW()-2&gt;=Inputs!$B$5,AVERAGE(OFFSET(E541,1-Inputs!$B$5,0,Inputs!$B$5,1)),"")</f>
        <v>0.835234717333969</v>
      </c>
      <c r="H541" s="8" t="n">
        <f aca="false">MAX(C541-D541,ABS(C541-E540),ABS(D541-E540))</f>
        <v>0.00986177322271331</v>
      </c>
      <c r="I541" s="8" t="n">
        <f aca="true">IF(ROW()-2&lt;14,"",IF(ROW()-2=14,AVERAGE(OFFSET(H541,-13,0,14,1)),(I540*13+H541)/14))</f>
        <v>0.00956159127200085</v>
      </c>
      <c r="J541" s="9" t="b">
        <f aca="false">IF(AND(ISNUMBER(F541),ISNUMBER(G541),ISNUMBER(F540),ISNUMBER(G540)),AND(F541&gt;G541,F540&lt;=G540),FALSE())</f>
        <v>0</v>
      </c>
      <c r="K541" s="9" t="b">
        <f aca="false">IF(AND(ISNUMBER(F541),ISNUMBER(G541),ISNUMBER(F540),ISNUMBER(G540)),AND(F541&lt;G541,F540&gt;=G540),FALSE())</f>
        <v>0</v>
      </c>
      <c r="L541" s="8" t="n">
        <f aca="false">IF(ISNUMBER(I541),E541-Inputs!$B$6*I541,"")</f>
        <v>0.839919389791039</v>
      </c>
      <c r="M541" s="9" t="b">
        <f aca="false">AND(Y540&gt;0,Z540)</f>
        <v>0</v>
      </c>
      <c r="N541" s="8" t="n">
        <f aca="false">B541*(1-Inputs!$B$12)</f>
        <v>0.860049014209043</v>
      </c>
      <c r="O541" s="10" t="n">
        <f aca="false">IF(M541,Y540*(N541-AB540)-Inputs!$B$9-Y540*AD540*Inputs!$B$13*(A541-AC540),0)</f>
        <v>0</v>
      </c>
      <c r="P541" s="10" t="n">
        <f aca="false">X540+O541</f>
        <v>1015.3844066801</v>
      </c>
      <c r="Q541" s="9" t="b">
        <f aca="false">AND(IF(M541,0,Y540)=0,AA540,IF(ISNUMBER(AE540),B541&gt;AE540,FALSE()))</f>
        <v>0</v>
      </c>
      <c r="R541" s="8" t="n">
        <f aca="false">B541*(1+Inputs!$B$12)</f>
        <v>0.860393102632411</v>
      </c>
      <c r="S541" s="11" t="n">
        <f aca="false">IF(Q541,MIN(P541*Inputs!$B$3/(R541-AE540),P541*Inputs!$B$11/R541),0)</f>
        <v>0</v>
      </c>
      <c r="T541" s="11" t="n">
        <f aca="false">IF(Q541,S541,IF(M541,0,Y540))</f>
        <v>664.118972006065</v>
      </c>
      <c r="U541" s="8" t="n">
        <f aca="false">IF(Q541,AE540,AF540)</f>
        <v>0.771982232894536</v>
      </c>
      <c r="V541" s="9" t="b">
        <f aca="false">AND(T541&gt;0,D541&lt;=U541)</f>
        <v>0</v>
      </c>
      <c r="W541" s="10" t="n">
        <f aca="false">IF(V541,T541*(AK541-AB541)-Inputs!$B$9-T541*AD541*Inputs!$B$13*(A541-AC541),0)</f>
        <v>0</v>
      </c>
      <c r="X541" s="10" t="n">
        <f aca="false">P541-IF(Q541,Inputs!$B$9,0)+W541</f>
        <v>1015.3844066801</v>
      </c>
      <c r="Y541" s="11" t="n">
        <f aca="false">IF(V541,0,T541)</f>
        <v>664.118972006065</v>
      </c>
      <c r="Z541" s="9" t="b">
        <f aca="false">AND(Y541&gt;0,K541)</f>
        <v>0</v>
      </c>
      <c r="AA541" s="9" t="b">
        <f aca="false">AND(Y541=0,J541,ISNUMBER(L541))</f>
        <v>0</v>
      </c>
      <c r="AB541" s="8" t="n">
        <f aca="false">IF(Q541,R541,AB540)</f>
        <v>0.787286484836172</v>
      </c>
      <c r="AC541" s="12" t="n">
        <f aca="false">IF(Q541,A541,AC540)</f>
        <v>45226</v>
      </c>
      <c r="AD541" s="8" t="n">
        <f aca="false">IF(Q541,B541,AD540)</f>
        <v>0.787129059024367</v>
      </c>
      <c r="AE541" s="8" t="str">
        <f aca="false">IF(AA541,L541,"")</f>
        <v/>
      </c>
      <c r="AF541" s="8" t="n">
        <f aca="false">U541</f>
        <v>0.771982232894536</v>
      </c>
      <c r="AG541" s="2" t="n">
        <f aca="false">AG540+IF(Q541,1,0)</f>
        <v>3</v>
      </c>
      <c r="AH541" s="2" t="n">
        <f aca="false">AG540</f>
        <v>3</v>
      </c>
      <c r="AI541" s="10" t="n">
        <f aca="false">X541+Y541*(E541-AB541)-Y541*AD541*Inputs!$B$13*(A541-AC541)</f>
        <v>1053.82287850488</v>
      </c>
      <c r="AJ541" s="10" t="n">
        <v>0</v>
      </c>
      <c r="AK541" s="8" t="n">
        <f aca="false">IF(AND(B541&lt;=U541,NOT(Q541)),B541,U541)*(1-Inputs!$B$12)</f>
        <v>0.771827836447957</v>
      </c>
    </row>
    <row r="542" customFormat="false" ht="15" hidden="false" customHeight="false" outlineLevel="0" collapsed="false">
      <c r="A542" s="6" t="n">
        <v>45326</v>
      </c>
      <c r="B542" s="7" t="n">
        <v>0.859042572335041</v>
      </c>
      <c r="C542" s="7" t="n">
        <v>0.863779566169983</v>
      </c>
      <c r="D542" s="7" t="n">
        <v>0.856030727349463</v>
      </c>
      <c r="E542" s="7" t="n">
        <v>0.86108629116748</v>
      </c>
      <c r="F542" s="8" t="n">
        <f aca="true">IF(ROW()-2&gt;=Inputs!$B$4,AVERAGE(OFFSET(E542,1-Inputs!$B$4,0,Inputs!$B$4,1)),"")</f>
        <v>0.848027792639891</v>
      </c>
      <c r="G542" s="8" t="n">
        <f aca="true">IF(ROW()-2&gt;=Inputs!$B$5,AVERAGE(OFFSET(E542,1-Inputs!$B$5,0,Inputs!$B$5,1)),"")</f>
        <v>0.835987619978936</v>
      </c>
      <c r="H542" s="8" t="n">
        <f aca="false">MAX(C542-D542,ABS(C542-E541),ABS(D542-E541))</f>
        <v>0.00774883882051969</v>
      </c>
      <c r="I542" s="8" t="n">
        <f aca="true">IF(ROW()-2&lt;14,"",IF(ROW()-2=14,AVERAGE(OFFSET(H542,-13,0,14,1)),(I541*13+H542)/14))</f>
        <v>0.0094321089540379</v>
      </c>
      <c r="J542" s="9" t="b">
        <f aca="false">IF(AND(ISNUMBER(F542),ISNUMBER(G542),ISNUMBER(F541),ISNUMBER(G541)),AND(F542&gt;G542,F541&lt;=G541),FALSE())</f>
        <v>0</v>
      </c>
      <c r="K542" s="9" t="b">
        <f aca="false">IF(AND(ISNUMBER(F542),ISNUMBER(G542),ISNUMBER(F541),ISNUMBER(G541)),AND(F542&lt;G542,F541&gt;=G541),FALSE())</f>
        <v>0</v>
      </c>
      <c r="L542" s="8" t="n">
        <f aca="false">IF(ISNUMBER(I542),E542-Inputs!$B$6*I542,"")</f>
        <v>0.842222073259404</v>
      </c>
      <c r="M542" s="9" t="b">
        <f aca="false">AND(Y541&gt;0,Z541)</f>
        <v>0</v>
      </c>
      <c r="N542" s="8" t="n">
        <f aca="false">B542*(1-Inputs!$B$12)</f>
        <v>0.858870763820574</v>
      </c>
      <c r="O542" s="10" t="n">
        <f aca="false">IF(M542,Y541*(N542-AB541)-Inputs!$B$9-Y541*AD541*Inputs!$B$13*(A542-AC541),0)</f>
        <v>0</v>
      </c>
      <c r="P542" s="10" t="n">
        <f aca="false">X541+O542</f>
        <v>1015.3844066801</v>
      </c>
      <c r="Q542" s="9" t="b">
        <f aca="false">AND(IF(M542,0,Y541)=0,AA541,IF(ISNUMBER(AE541),B542&gt;AE541,FALSE()))</f>
        <v>0</v>
      </c>
      <c r="R542" s="8" t="n">
        <f aca="false">B542*(1+Inputs!$B$12)</f>
        <v>0.859214380849508</v>
      </c>
      <c r="S542" s="11" t="n">
        <f aca="false">IF(Q542,MIN(P542*Inputs!$B$3/(R542-AE541),P542*Inputs!$B$11/R542),0)</f>
        <v>0</v>
      </c>
      <c r="T542" s="11" t="n">
        <f aca="false">IF(Q542,S542,IF(M542,0,Y541))</f>
        <v>664.118972006065</v>
      </c>
      <c r="U542" s="8" t="n">
        <f aca="false">IF(Q542,AE541,AF541)</f>
        <v>0.771982232894536</v>
      </c>
      <c r="V542" s="9" t="b">
        <f aca="false">AND(T542&gt;0,D542&lt;=U542)</f>
        <v>0</v>
      </c>
      <c r="W542" s="10" t="n">
        <f aca="false">IF(V542,T542*(AK542-AB542)-Inputs!$B$9-T542*AD542*Inputs!$B$13*(A542-AC542),0)</f>
        <v>0</v>
      </c>
      <c r="X542" s="10" t="n">
        <f aca="false">P542-IF(Q542,Inputs!$B$9,0)+W542</f>
        <v>1015.3844066801</v>
      </c>
      <c r="Y542" s="11" t="n">
        <f aca="false">IF(V542,0,T542)</f>
        <v>664.118972006065</v>
      </c>
      <c r="Z542" s="9" t="b">
        <f aca="false">AND(Y542&gt;0,K542)</f>
        <v>0</v>
      </c>
      <c r="AA542" s="9" t="b">
        <f aca="false">AND(Y542=0,J542,ISNUMBER(L542))</f>
        <v>0</v>
      </c>
      <c r="AB542" s="8" t="n">
        <f aca="false">IF(Q542,R542,AB541)</f>
        <v>0.787286484836172</v>
      </c>
      <c r="AC542" s="12" t="n">
        <f aca="false">IF(Q542,A542,AC541)</f>
        <v>45226</v>
      </c>
      <c r="AD542" s="8" t="n">
        <f aca="false">IF(Q542,B542,AD541)</f>
        <v>0.787129059024367</v>
      </c>
      <c r="AE542" s="8" t="str">
        <f aca="false">IF(AA542,L542,"")</f>
        <v/>
      </c>
      <c r="AF542" s="8" t="n">
        <f aca="false">U542</f>
        <v>0.771982232894536</v>
      </c>
      <c r="AG542" s="2" t="n">
        <f aca="false">AG541+IF(Q542,1,0)</f>
        <v>3</v>
      </c>
      <c r="AH542" s="2" t="n">
        <f aca="false">AG541</f>
        <v>3</v>
      </c>
      <c r="AI542" s="10" t="n">
        <f aca="false">X542+Y542*(E542-AB542)-Y542*AD542*Inputs!$B$13*(A542-AC542)</f>
        <v>1055.08705896263</v>
      </c>
      <c r="AJ542" s="10" t="n">
        <v>0</v>
      </c>
      <c r="AK542" s="8" t="n">
        <f aca="false">IF(AND(B542&lt;=U542,NOT(Q542)),B542,U542)*(1-Inputs!$B$12)</f>
        <v>0.771827836447957</v>
      </c>
    </row>
    <row r="543" customFormat="false" ht="15" hidden="false" customHeight="false" outlineLevel="0" collapsed="false">
      <c r="A543" s="6" t="n">
        <v>45327</v>
      </c>
      <c r="B543" s="7" t="n">
        <v>0.86108629116748</v>
      </c>
      <c r="C543" s="7" t="n">
        <v>0.8765904797561</v>
      </c>
      <c r="D543" s="7" t="n">
        <v>0.85578244510732</v>
      </c>
      <c r="E543" s="7" t="n">
        <v>0.870583097766497</v>
      </c>
      <c r="F543" s="8" t="n">
        <f aca="true">IF(ROW()-2&gt;=Inputs!$B$4,AVERAGE(OFFSET(E543,1-Inputs!$B$4,0,Inputs!$B$4,1)),"")</f>
        <v>0.849618156712462</v>
      </c>
      <c r="G543" s="8" t="n">
        <f aca="true">IF(ROW()-2&gt;=Inputs!$B$5,AVERAGE(OFFSET(E543,1-Inputs!$B$5,0,Inputs!$B$5,1)),"")</f>
        <v>0.836936258953109</v>
      </c>
      <c r="H543" s="8" t="n">
        <f aca="false">MAX(C543-D543,ABS(C543-E542),ABS(D543-E542))</f>
        <v>0.0208080346487798</v>
      </c>
      <c r="I543" s="8" t="n">
        <f aca="true">IF(ROW()-2&lt;14,"",IF(ROW()-2=14,AVERAGE(OFFSET(H543,-13,0,14,1)),(I542*13+H543)/14))</f>
        <v>0.0102446750750909</v>
      </c>
      <c r="J543" s="9" t="b">
        <f aca="false">IF(AND(ISNUMBER(F543),ISNUMBER(G543),ISNUMBER(F542),ISNUMBER(G542)),AND(F543&gt;G543,F542&lt;=G542),FALSE())</f>
        <v>0</v>
      </c>
      <c r="K543" s="9" t="b">
        <f aca="false">IF(AND(ISNUMBER(F543),ISNUMBER(G543),ISNUMBER(F542),ISNUMBER(G542)),AND(F543&lt;G543,F542&gt;=G542),FALSE())</f>
        <v>0</v>
      </c>
      <c r="L543" s="8" t="n">
        <f aca="false">IF(ISNUMBER(I543),E543-Inputs!$B$6*I543,"")</f>
        <v>0.850093747616315</v>
      </c>
      <c r="M543" s="9" t="b">
        <f aca="false">AND(Y542&gt;0,Z542)</f>
        <v>0</v>
      </c>
      <c r="N543" s="8" t="n">
        <f aca="false">B543*(1-Inputs!$B$12)</f>
        <v>0.860914073909246</v>
      </c>
      <c r="O543" s="10" t="n">
        <f aca="false">IF(M543,Y542*(N543-AB542)-Inputs!$B$9-Y542*AD542*Inputs!$B$13*(A543-AC542),0)</f>
        <v>0</v>
      </c>
      <c r="P543" s="10" t="n">
        <f aca="false">X542+O543</f>
        <v>1015.3844066801</v>
      </c>
      <c r="Q543" s="9" t="b">
        <f aca="false">AND(IF(M543,0,Y542)=0,AA542,IF(ISNUMBER(AE542),B543&gt;AE542,FALSE()))</f>
        <v>0</v>
      </c>
      <c r="R543" s="8" t="n">
        <f aca="false">B543*(1+Inputs!$B$12)</f>
        <v>0.861258508425713</v>
      </c>
      <c r="S543" s="11" t="n">
        <f aca="false">IF(Q543,MIN(P543*Inputs!$B$3/(R543-AE542),P543*Inputs!$B$11/R543),0)</f>
        <v>0</v>
      </c>
      <c r="T543" s="11" t="n">
        <f aca="false">IF(Q543,S543,IF(M543,0,Y542))</f>
        <v>664.118972006065</v>
      </c>
      <c r="U543" s="8" t="n">
        <f aca="false">IF(Q543,AE542,AF542)</f>
        <v>0.771982232894536</v>
      </c>
      <c r="V543" s="9" t="b">
        <f aca="false">AND(T543&gt;0,D543&lt;=U543)</f>
        <v>0</v>
      </c>
      <c r="W543" s="10" t="n">
        <f aca="false">IF(V543,T543*(AK543-AB543)-Inputs!$B$9-T543*AD543*Inputs!$B$13*(A543-AC543),0)</f>
        <v>0</v>
      </c>
      <c r="X543" s="10" t="n">
        <f aca="false">P543-IF(Q543,Inputs!$B$9,0)+W543</f>
        <v>1015.3844066801</v>
      </c>
      <c r="Y543" s="11" t="n">
        <f aca="false">IF(V543,0,T543)</f>
        <v>664.118972006065</v>
      </c>
      <c r="Z543" s="9" t="b">
        <f aca="false">AND(Y543&gt;0,K543)</f>
        <v>0</v>
      </c>
      <c r="AA543" s="9" t="b">
        <f aca="false">AND(Y543=0,J543,ISNUMBER(L543))</f>
        <v>0</v>
      </c>
      <c r="AB543" s="8" t="n">
        <f aca="false">IF(Q543,R543,AB542)</f>
        <v>0.787286484836172</v>
      </c>
      <c r="AC543" s="12" t="n">
        <f aca="false">IF(Q543,A543,AC542)</f>
        <v>45226</v>
      </c>
      <c r="AD543" s="8" t="n">
        <f aca="false">IF(Q543,B543,AD542)</f>
        <v>0.787129059024367</v>
      </c>
      <c r="AE543" s="8" t="str">
        <f aca="false">IF(AA543,L543,"")</f>
        <v/>
      </c>
      <c r="AF543" s="8" t="n">
        <f aca="false">U543</f>
        <v>0.771982232894536</v>
      </c>
      <c r="AG543" s="2" t="n">
        <f aca="false">AG542+IF(Q543,1,0)</f>
        <v>3</v>
      </c>
      <c r="AH543" s="2" t="n">
        <f aca="false">AG542</f>
        <v>3</v>
      </c>
      <c r="AI543" s="10" t="n">
        <f aca="false">X543+Y543*(E543-AB543)-Y543*AD543*Inputs!$B$13*(A543-AC543)</f>
        <v>1061.30097640618</v>
      </c>
      <c r="AJ543" s="10" t="n">
        <v>0</v>
      </c>
      <c r="AK543" s="8" t="n">
        <f aca="false">IF(AND(B543&lt;=U543,NOT(Q543)),B543,U543)*(1-Inputs!$B$12)</f>
        <v>0.771827836447957</v>
      </c>
    </row>
    <row r="544" customFormat="false" ht="15" hidden="false" customHeight="false" outlineLevel="0" collapsed="false">
      <c r="A544" s="6" t="n">
        <v>45328</v>
      </c>
      <c r="B544" s="7" t="n">
        <v>0.870583097766497</v>
      </c>
      <c r="C544" s="7" t="n">
        <v>0.875593516628483</v>
      </c>
      <c r="D544" s="7" t="n">
        <v>0.868107456117499</v>
      </c>
      <c r="E544" s="7" t="n">
        <v>0.870904762388785</v>
      </c>
      <c r="F544" s="8" t="n">
        <f aca="true">IF(ROW()-2&gt;=Inputs!$B$4,AVERAGE(OFFSET(E544,1-Inputs!$B$4,0,Inputs!$B$4,1)),"")</f>
        <v>0.851029747205544</v>
      </c>
      <c r="G544" s="8" t="n">
        <f aca="true">IF(ROW()-2&gt;=Inputs!$B$5,AVERAGE(OFFSET(E544,1-Inputs!$B$5,0,Inputs!$B$5,1)),"")</f>
        <v>0.837898071862544</v>
      </c>
      <c r="H544" s="8" t="n">
        <f aca="false">MAX(C544-D544,ABS(C544-E543),ABS(D544-E543))</f>
        <v>0.00748606051098388</v>
      </c>
      <c r="I544" s="8" t="n">
        <f aca="true">IF(ROW()-2&lt;14,"",IF(ROW()-2=14,AVERAGE(OFFSET(H544,-13,0,14,1)),(I543*13+H544)/14))</f>
        <v>0.0100476311776547</v>
      </c>
      <c r="J544" s="9" t="b">
        <f aca="false">IF(AND(ISNUMBER(F544),ISNUMBER(G544),ISNUMBER(F543),ISNUMBER(G543)),AND(F544&gt;G544,F543&lt;=G543),FALSE())</f>
        <v>0</v>
      </c>
      <c r="K544" s="9" t="b">
        <f aca="false">IF(AND(ISNUMBER(F544),ISNUMBER(G544),ISNUMBER(F543),ISNUMBER(G543)),AND(F544&lt;G544,F543&gt;=G543),FALSE())</f>
        <v>0</v>
      </c>
      <c r="L544" s="8" t="n">
        <f aca="false">IF(ISNUMBER(I544),E544-Inputs!$B$6*I544,"")</f>
        <v>0.850809500033475</v>
      </c>
      <c r="M544" s="9" t="b">
        <f aca="false">AND(Y543&gt;0,Z543)</f>
        <v>0</v>
      </c>
      <c r="N544" s="8" t="n">
        <f aca="false">B544*(1-Inputs!$B$12)</f>
        <v>0.870408981146944</v>
      </c>
      <c r="O544" s="10" t="n">
        <f aca="false">IF(M544,Y543*(N544-AB543)-Inputs!$B$9-Y543*AD543*Inputs!$B$13*(A544-AC543),0)</f>
        <v>0</v>
      </c>
      <c r="P544" s="10" t="n">
        <f aca="false">X543+O544</f>
        <v>1015.3844066801</v>
      </c>
      <c r="Q544" s="9" t="b">
        <f aca="false">AND(IF(M544,0,Y543)=0,AA543,IF(ISNUMBER(AE543),B544&gt;AE543,FALSE()))</f>
        <v>0</v>
      </c>
      <c r="R544" s="8" t="n">
        <f aca="false">B544*(1+Inputs!$B$12)</f>
        <v>0.87075721438605</v>
      </c>
      <c r="S544" s="11" t="n">
        <f aca="false">IF(Q544,MIN(P544*Inputs!$B$3/(R544-AE543),P544*Inputs!$B$11/R544),0)</f>
        <v>0</v>
      </c>
      <c r="T544" s="11" t="n">
        <f aca="false">IF(Q544,S544,IF(M544,0,Y543))</f>
        <v>664.118972006065</v>
      </c>
      <c r="U544" s="8" t="n">
        <f aca="false">IF(Q544,AE543,AF543)</f>
        <v>0.771982232894536</v>
      </c>
      <c r="V544" s="9" t="b">
        <f aca="false">AND(T544&gt;0,D544&lt;=U544)</f>
        <v>0</v>
      </c>
      <c r="W544" s="10" t="n">
        <f aca="false">IF(V544,T544*(AK544-AB544)-Inputs!$B$9-T544*AD544*Inputs!$B$13*(A544-AC544),0)</f>
        <v>0</v>
      </c>
      <c r="X544" s="10" t="n">
        <f aca="false">P544-IF(Q544,Inputs!$B$9,0)+W544</f>
        <v>1015.3844066801</v>
      </c>
      <c r="Y544" s="11" t="n">
        <f aca="false">IF(V544,0,T544)</f>
        <v>664.118972006065</v>
      </c>
      <c r="Z544" s="9" t="b">
        <f aca="false">AND(Y544&gt;0,K544)</f>
        <v>0</v>
      </c>
      <c r="AA544" s="9" t="b">
        <f aca="false">AND(Y544=0,J544,ISNUMBER(L544))</f>
        <v>0</v>
      </c>
      <c r="AB544" s="8" t="n">
        <f aca="false">IF(Q544,R544,AB543)</f>
        <v>0.787286484836172</v>
      </c>
      <c r="AC544" s="12" t="n">
        <f aca="false">IF(Q544,A544,AC543)</f>
        <v>45226</v>
      </c>
      <c r="AD544" s="8" t="n">
        <f aca="false">IF(Q544,B544,AD543)</f>
        <v>0.787129059024367</v>
      </c>
      <c r="AE544" s="8" t="str">
        <f aca="false">IF(AA544,L544,"")</f>
        <v/>
      </c>
      <c r="AF544" s="8" t="n">
        <f aca="false">U544</f>
        <v>0.771982232894536</v>
      </c>
      <c r="AG544" s="2" t="n">
        <f aca="false">AG543+IF(Q544,1,0)</f>
        <v>3</v>
      </c>
      <c r="AH544" s="2" t="n">
        <f aca="false">AG543</f>
        <v>3</v>
      </c>
      <c r="AI544" s="10" t="n">
        <f aca="false">X544+Y544*(E544-AB544)-Y544*AD544*Inputs!$B$13*(A544-AC544)</f>
        <v>1061.42150799214</v>
      </c>
      <c r="AJ544" s="10" t="n">
        <v>0</v>
      </c>
      <c r="AK544" s="8" t="n">
        <f aca="false">IF(AND(B544&lt;=U544,NOT(Q544)),B544,U544)*(1-Inputs!$B$12)</f>
        <v>0.771827836447957</v>
      </c>
    </row>
    <row r="545" customFormat="false" ht="15" hidden="false" customHeight="false" outlineLevel="0" collapsed="false">
      <c r="A545" s="6" t="n">
        <v>45329</v>
      </c>
      <c r="B545" s="7" t="n">
        <v>0.870904762388785</v>
      </c>
      <c r="C545" s="7" t="n">
        <v>0.871356563801336</v>
      </c>
      <c r="D545" s="7" t="n">
        <v>0.869748101495343</v>
      </c>
      <c r="E545" s="7" t="n">
        <v>0.870845141680878</v>
      </c>
      <c r="F545" s="8" t="n">
        <f aca="true">IF(ROW()-2&gt;=Inputs!$B$4,AVERAGE(OFFSET(E545,1-Inputs!$B$4,0,Inputs!$B$4,1)),"")</f>
        <v>0.852445345603655</v>
      </c>
      <c r="G545" s="8" t="n">
        <f aca="true">IF(ROW()-2&gt;=Inputs!$B$5,AVERAGE(OFFSET(E545,1-Inputs!$B$5,0,Inputs!$B$5,1)),"")</f>
        <v>0.838709930965387</v>
      </c>
      <c r="H545" s="8" t="n">
        <f aca="false">MAX(C545-D545,ABS(C545-E544),ABS(D545-E544))</f>
        <v>0.00160846230599321</v>
      </c>
      <c r="I545" s="8" t="n">
        <f aca="true">IF(ROW()-2&lt;14,"",IF(ROW()-2=14,AVERAGE(OFFSET(H545,-13,0,14,1)),(I544*13+H545)/14))</f>
        <v>0.00944483340110743</v>
      </c>
      <c r="J545" s="9" t="b">
        <f aca="false">IF(AND(ISNUMBER(F545),ISNUMBER(G545),ISNUMBER(F544),ISNUMBER(G544)),AND(F545&gt;G545,F544&lt;=G544),FALSE())</f>
        <v>0</v>
      </c>
      <c r="K545" s="9" t="b">
        <f aca="false">IF(AND(ISNUMBER(F545),ISNUMBER(G545),ISNUMBER(F544),ISNUMBER(G544)),AND(F545&lt;G545,F544&gt;=G544),FALSE())</f>
        <v>0</v>
      </c>
      <c r="L545" s="8" t="n">
        <f aca="false">IF(ISNUMBER(I545),E545-Inputs!$B$6*I545,"")</f>
        <v>0.851955474878663</v>
      </c>
      <c r="M545" s="9" t="b">
        <f aca="false">AND(Y544&gt;0,Z544)</f>
        <v>0</v>
      </c>
      <c r="N545" s="8" t="n">
        <f aca="false">B545*(1-Inputs!$B$12)</f>
        <v>0.870730581436307</v>
      </c>
      <c r="O545" s="10" t="n">
        <f aca="false">IF(M545,Y544*(N545-AB544)-Inputs!$B$9-Y544*AD544*Inputs!$B$13*(A545-AC544),0)</f>
        <v>0</v>
      </c>
      <c r="P545" s="10" t="n">
        <f aca="false">X544+O545</f>
        <v>1015.3844066801</v>
      </c>
      <c r="Q545" s="9" t="b">
        <f aca="false">AND(IF(M545,0,Y544)=0,AA544,IF(ISNUMBER(AE544),B545&gt;AE544,FALSE()))</f>
        <v>0</v>
      </c>
      <c r="R545" s="8" t="n">
        <f aca="false">B545*(1+Inputs!$B$12)</f>
        <v>0.871078943341263</v>
      </c>
      <c r="S545" s="11" t="n">
        <f aca="false">IF(Q545,MIN(P545*Inputs!$B$3/(R545-AE544),P545*Inputs!$B$11/R545),0)</f>
        <v>0</v>
      </c>
      <c r="T545" s="11" t="n">
        <f aca="false">IF(Q545,S545,IF(M545,0,Y544))</f>
        <v>664.118972006065</v>
      </c>
      <c r="U545" s="8" t="n">
        <f aca="false">IF(Q545,AE544,AF544)</f>
        <v>0.771982232894536</v>
      </c>
      <c r="V545" s="9" t="b">
        <f aca="false">AND(T545&gt;0,D545&lt;=U545)</f>
        <v>0</v>
      </c>
      <c r="W545" s="10" t="n">
        <f aca="false">IF(V545,T545*(AK545-AB545)-Inputs!$B$9-T545*AD545*Inputs!$B$13*(A545-AC545),0)</f>
        <v>0</v>
      </c>
      <c r="X545" s="10" t="n">
        <f aca="false">P545-IF(Q545,Inputs!$B$9,0)+W545</f>
        <v>1015.3844066801</v>
      </c>
      <c r="Y545" s="11" t="n">
        <f aca="false">IF(V545,0,T545)</f>
        <v>664.118972006065</v>
      </c>
      <c r="Z545" s="9" t="b">
        <f aca="false">AND(Y545&gt;0,K545)</f>
        <v>0</v>
      </c>
      <c r="AA545" s="9" t="b">
        <f aca="false">AND(Y545=0,J545,ISNUMBER(L545))</f>
        <v>0</v>
      </c>
      <c r="AB545" s="8" t="n">
        <f aca="false">IF(Q545,R545,AB544)</f>
        <v>0.787286484836172</v>
      </c>
      <c r="AC545" s="12" t="n">
        <f aca="false">IF(Q545,A545,AC544)</f>
        <v>45226</v>
      </c>
      <c r="AD545" s="8" t="n">
        <f aca="false">IF(Q545,B545,AD544)</f>
        <v>0.787129059024367</v>
      </c>
      <c r="AE545" s="8" t="str">
        <f aca="false">IF(AA545,L545,"")</f>
        <v/>
      </c>
      <c r="AF545" s="8" t="n">
        <f aca="false">U545</f>
        <v>0.771982232894536</v>
      </c>
      <c r="AG545" s="2" t="n">
        <f aca="false">AG544+IF(Q545,1,0)</f>
        <v>3</v>
      </c>
      <c r="AH545" s="2" t="n">
        <f aca="false">AG544</f>
        <v>3</v>
      </c>
      <c r="AI545" s="10" t="n">
        <f aca="false">X545+Y545*(E545-AB545)-Y545*AD545*Inputs!$B$13*(A545-AC545)</f>
        <v>1061.28882075657</v>
      </c>
      <c r="AJ545" s="10" t="n">
        <v>0</v>
      </c>
      <c r="AK545" s="8" t="n">
        <f aca="false">IF(AND(B545&lt;=U545,NOT(Q545)),B545,U545)*(1-Inputs!$B$12)</f>
        <v>0.771827836447957</v>
      </c>
    </row>
    <row r="546" customFormat="false" ht="15" hidden="false" customHeight="false" outlineLevel="0" collapsed="false">
      <c r="A546" s="6" t="n">
        <v>45330</v>
      </c>
      <c r="B546" s="7" t="n">
        <v>0.870845141680878</v>
      </c>
      <c r="C546" s="7" t="n">
        <v>0.874624105600112</v>
      </c>
      <c r="D546" s="7" t="n">
        <v>0.870438832326283</v>
      </c>
      <c r="E546" s="7" t="n">
        <v>0.874121316171813</v>
      </c>
      <c r="F546" s="8" t="n">
        <f aca="true">IF(ROW()-2&gt;=Inputs!$B$4,AVERAGE(OFFSET(E546,1-Inputs!$B$4,0,Inputs!$B$4,1)),"")</f>
        <v>0.853922229590097</v>
      </c>
      <c r="G546" s="8" t="n">
        <f aca="true">IF(ROW()-2&gt;=Inputs!$B$5,AVERAGE(OFFSET(E546,1-Inputs!$B$5,0,Inputs!$B$5,1)),"")</f>
        <v>0.839599430640543</v>
      </c>
      <c r="H546" s="8" t="n">
        <f aca="false">MAX(C546-D546,ABS(C546-E545),ABS(D546-E545))</f>
        <v>0.00418527327382956</v>
      </c>
      <c r="I546" s="8" t="n">
        <f aca="true">IF(ROW()-2&lt;14,"",IF(ROW()-2=14,AVERAGE(OFFSET(H546,-13,0,14,1)),(I545*13+H546)/14))</f>
        <v>0.0090691505348733</v>
      </c>
      <c r="J546" s="9" t="b">
        <f aca="false">IF(AND(ISNUMBER(F546),ISNUMBER(G546),ISNUMBER(F545),ISNUMBER(G545)),AND(F546&gt;G546,F545&lt;=G545),FALSE())</f>
        <v>0</v>
      </c>
      <c r="K546" s="9" t="b">
        <f aca="false">IF(AND(ISNUMBER(F546),ISNUMBER(G546),ISNUMBER(F545),ISNUMBER(G545)),AND(F546&lt;G546,F545&gt;=G545),FALSE())</f>
        <v>0</v>
      </c>
      <c r="L546" s="8" t="n">
        <f aca="false">IF(ISNUMBER(I546),E546-Inputs!$B$6*I546,"")</f>
        <v>0.855983015102066</v>
      </c>
      <c r="M546" s="9" t="b">
        <f aca="false">AND(Y545&gt;0,Z545)</f>
        <v>0</v>
      </c>
      <c r="N546" s="8" t="n">
        <f aca="false">B546*(1-Inputs!$B$12)</f>
        <v>0.870670972652542</v>
      </c>
      <c r="O546" s="10" t="n">
        <f aca="false">IF(M546,Y545*(N546-AB545)-Inputs!$B$9-Y545*AD545*Inputs!$B$13*(A546-AC545),0)</f>
        <v>0</v>
      </c>
      <c r="P546" s="10" t="n">
        <f aca="false">X545+O546</f>
        <v>1015.3844066801</v>
      </c>
      <c r="Q546" s="9" t="b">
        <f aca="false">AND(IF(M546,0,Y545)=0,AA545,IF(ISNUMBER(AE545),B546&gt;AE545,FALSE()))</f>
        <v>0</v>
      </c>
      <c r="R546" s="8" t="n">
        <f aca="false">B546*(1+Inputs!$B$12)</f>
        <v>0.871019310709214</v>
      </c>
      <c r="S546" s="11" t="n">
        <f aca="false">IF(Q546,MIN(P546*Inputs!$B$3/(R546-AE545),P546*Inputs!$B$11/R546),0)</f>
        <v>0</v>
      </c>
      <c r="T546" s="11" t="n">
        <f aca="false">IF(Q546,S546,IF(M546,0,Y545))</f>
        <v>664.118972006065</v>
      </c>
      <c r="U546" s="8" t="n">
        <f aca="false">IF(Q546,AE545,AF545)</f>
        <v>0.771982232894536</v>
      </c>
      <c r="V546" s="9" t="b">
        <f aca="false">AND(T546&gt;0,D546&lt;=U546)</f>
        <v>0</v>
      </c>
      <c r="W546" s="10" t="n">
        <f aca="false">IF(V546,T546*(AK546-AB546)-Inputs!$B$9-T546*AD546*Inputs!$B$13*(A546-AC546),0)</f>
        <v>0</v>
      </c>
      <c r="X546" s="10" t="n">
        <f aca="false">P546-IF(Q546,Inputs!$B$9,0)+W546</f>
        <v>1015.3844066801</v>
      </c>
      <c r="Y546" s="11" t="n">
        <f aca="false">IF(V546,0,T546)</f>
        <v>664.118972006065</v>
      </c>
      <c r="Z546" s="9" t="b">
        <f aca="false">AND(Y546&gt;0,K546)</f>
        <v>0</v>
      </c>
      <c r="AA546" s="9" t="b">
        <f aca="false">AND(Y546=0,J546,ISNUMBER(L546))</f>
        <v>0</v>
      </c>
      <c r="AB546" s="8" t="n">
        <f aca="false">IF(Q546,R546,AB545)</f>
        <v>0.787286484836172</v>
      </c>
      <c r="AC546" s="12" t="n">
        <f aca="false">IF(Q546,A546,AC545)</f>
        <v>45226</v>
      </c>
      <c r="AD546" s="8" t="n">
        <f aca="false">IF(Q546,B546,AD545)</f>
        <v>0.787129059024367</v>
      </c>
      <c r="AE546" s="8" t="str">
        <f aca="false">IF(AA546,L546,"")</f>
        <v/>
      </c>
      <c r="AF546" s="8" t="n">
        <f aca="false">U546</f>
        <v>0.771982232894536</v>
      </c>
      <c r="AG546" s="2" t="n">
        <f aca="false">AG545+IF(Q546,1,0)</f>
        <v>3</v>
      </c>
      <c r="AH546" s="2" t="n">
        <f aca="false">AG545</f>
        <v>3</v>
      </c>
      <c r="AI546" s="10" t="n">
        <f aca="false">X546+Y546*(E546-AB546)-Y546*AD546*Inputs!$B$13*(A546-AC546)</f>
        <v>1063.37149839928</v>
      </c>
      <c r="AJ546" s="10" t="n">
        <v>0</v>
      </c>
      <c r="AK546" s="8" t="n">
        <f aca="false">IF(AND(B546&lt;=U546,NOT(Q546)),B546,U546)*(1-Inputs!$B$12)</f>
        <v>0.771827836447957</v>
      </c>
    </row>
    <row r="547" customFormat="false" ht="15" hidden="false" customHeight="false" outlineLevel="0" collapsed="false">
      <c r="A547" s="6" t="n">
        <v>45331</v>
      </c>
      <c r="B547" s="7" t="n">
        <v>0.874121316171813</v>
      </c>
      <c r="C547" s="7" t="n">
        <v>0.875976577793986</v>
      </c>
      <c r="D547" s="7" t="n">
        <v>0.865917924276483</v>
      </c>
      <c r="E547" s="7" t="n">
        <v>0.869323155613541</v>
      </c>
      <c r="F547" s="8" t="n">
        <f aca="true">IF(ROW()-2&gt;=Inputs!$B$4,AVERAGE(OFFSET(E547,1-Inputs!$B$4,0,Inputs!$B$4,1)),"")</f>
        <v>0.855422386506864</v>
      </c>
      <c r="G547" s="8" t="n">
        <f aca="true">IF(ROW()-2&gt;=Inputs!$B$5,AVERAGE(OFFSET(E547,1-Inputs!$B$5,0,Inputs!$B$5,1)),"")</f>
        <v>0.840433850491005</v>
      </c>
      <c r="H547" s="8" t="n">
        <f aca="false">MAX(C547-D547,ABS(C547-E546),ABS(D547-E546))</f>
        <v>0.0100586535175026</v>
      </c>
      <c r="I547" s="8" t="n">
        <f aca="true">IF(ROW()-2&lt;14,"",IF(ROW()-2=14,AVERAGE(OFFSET(H547,-13,0,14,1)),(I546*13+H547)/14))</f>
        <v>0.00913982931934682</v>
      </c>
      <c r="J547" s="9" t="b">
        <f aca="false">IF(AND(ISNUMBER(F547),ISNUMBER(G547),ISNUMBER(F546),ISNUMBER(G546)),AND(F547&gt;G547,F546&lt;=G546),FALSE())</f>
        <v>0</v>
      </c>
      <c r="K547" s="9" t="b">
        <f aca="false">IF(AND(ISNUMBER(F547),ISNUMBER(G547),ISNUMBER(F546),ISNUMBER(G546)),AND(F547&lt;G547,F546&gt;=G546),FALSE())</f>
        <v>0</v>
      </c>
      <c r="L547" s="8" t="n">
        <f aca="false">IF(ISNUMBER(I547),E547-Inputs!$B$6*I547,"")</f>
        <v>0.851043496974847</v>
      </c>
      <c r="M547" s="9" t="b">
        <f aca="false">AND(Y546&gt;0,Z546)</f>
        <v>0</v>
      </c>
      <c r="N547" s="8" t="n">
        <f aca="false">B547*(1-Inputs!$B$12)</f>
        <v>0.873946491908579</v>
      </c>
      <c r="O547" s="10" t="n">
        <f aca="false">IF(M547,Y546*(N547-AB546)-Inputs!$B$9-Y546*AD546*Inputs!$B$13*(A547-AC546),0)</f>
        <v>0</v>
      </c>
      <c r="P547" s="10" t="n">
        <f aca="false">X546+O547</f>
        <v>1015.3844066801</v>
      </c>
      <c r="Q547" s="9" t="b">
        <f aca="false">AND(IF(M547,0,Y546)=0,AA546,IF(ISNUMBER(AE546),B547&gt;AE546,FALSE()))</f>
        <v>0</v>
      </c>
      <c r="R547" s="8" t="n">
        <f aca="false">B547*(1+Inputs!$B$12)</f>
        <v>0.874296140435047</v>
      </c>
      <c r="S547" s="11" t="n">
        <f aca="false">IF(Q547,MIN(P547*Inputs!$B$3/(R547-AE546),P547*Inputs!$B$11/R547),0)</f>
        <v>0</v>
      </c>
      <c r="T547" s="11" t="n">
        <f aca="false">IF(Q547,S547,IF(M547,0,Y546))</f>
        <v>664.118972006065</v>
      </c>
      <c r="U547" s="8" t="n">
        <f aca="false">IF(Q547,AE546,AF546)</f>
        <v>0.771982232894536</v>
      </c>
      <c r="V547" s="9" t="b">
        <f aca="false">AND(T547&gt;0,D547&lt;=U547)</f>
        <v>0</v>
      </c>
      <c r="W547" s="10" t="n">
        <f aca="false">IF(V547,T547*(AK547-AB547)-Inputs!$B$9-T547*AD547*Inputs!$B$13*(A547-AC547),0)</f>
        <v>0</v>
      </c>
      <c r="X547" s="10" t="n">
        <f aca="false">P547-IF(Q547,Inputs!$B$9,0)+W547</f>
        <v>1015.3844066801</v>
      </c>
      <c r="Y547" s="11" t="n">
        <f aca="false">IF(V547,0,T547)</f>
        <v>664.118972006065</v>
      </c>
      <c r="Z547" s="9" t="b">
        <f aca="false">AND(Y547&gt;0,K547)</f>
        <v>0</v>
      </c>
      <c r="AA547" s="9" t="b">
        <f aca="false">AND(Y547=0,J547,ISNUMBER(L547))</f>
        <v>0</v>
      </c>
      <c r="AB547" s="8" t="n">
        <f aca="false">IF(Q547,R547,AB546)</f>
        <v>0.787286484836172</v>
      </c>
      <c r="AC547" s="12" t="n">
        <f aca="false">IF(Q547,A547,AC546)</f>
        <v>45226</v>
      </c>
      <c r="AD547" s="8" t="n">
        <f aca="false">IF(Q547,B547,AD546)</f>
        <v>0.787129059024367</v>
      </c>
      <c r="AE547" s="8" t="str">
        <f aca="false">IF(AA547,L547,"")</f>
        <v/>
      </c>
      <c r="AF547" s="8" t="n">
        <f aca="false">U547</f>
        <v>0.771982232894536</v>
      </c>
      <c r="AG547" s="2" t="n">
        <f aca="false">AG546+IF(Q547,1,0)</f>
        <v>3</v>
      </c>
      <c r="AH547" s="2" t="n">
        <f aca="false">AG546</f>
        <v>3</v>
      </c>
      <c r="AI547" s="10" t="n">
        <f aca="false">X547+Y547*(E547-AB547)-Y547*AD547*Inputs!$B$13*(A547-AC547)</f>
        <v>1060.09185694947</v>
      </c>
      <c r="AJ547" s="10" t="n">
        <v>0</v>
      </c>
      <c r="AK547" s="8" t="n">
        <f aca="false">IF(AND(B547&lt;=U547,NOT(Q547)),B547,U547)*(1-Inputs!$B$12)</f>
        <v>0.771827836447957</v>
      </c>
    </row>
    <row r="548" customFormat="false" ht="15" hidden="false" customHeight="false" outlineLevel="0" collapsed="false">
      <c r="A548" s="6" t="n">
        <v>45332</v>
      </c>
      <c r="B548" s="7" t="n">
        <v>0.869323155613541</v>
      </c>
      <c r="C548" s="7" t="n">
        <v>0.87144750492828</v>
      </c>
      <c r="D548" s="7" t="n">
        <v>0.855350215940263</v>
      </c>
      <c r="E548" s="7" t="n">
        <v>0.857927561133967</v>
      </c>
      <c r="F548" s="8" t="n">
        <f aca="true">IF(ROW()-2&gt;=Inputs!$B$4,AVERAGE(OFFSET(E548,1-Inputs!$B$4,0,Inputs!$B$4,1)),"")</f>
        <v>0.856399532811837</v>
      </c>
      <c r="G548" s="8" t="n">
        <f aca="true">IF(ROW()-2&gt;=Inputs!$B$5,AVERAGE(OFFSET(E548,1-Inputs!$B$5,0,Inputs!$B$5,1)),"")</f>
        <v>0.840935838746184</v>
      </c>
      <c r="H548" s="8" t="n">
        <f aca="false">MAX(C548-D548,ABS(C548-E547),ABS(D548-E547))</f>
        <v>0.0160972889880177</v>
      </c>
      <c r="I548" s="8" t="n">
        <f aca="true">IF(ROW()-2&lt;14,"",IF(ROW()-2=14,AVERAGE(OFFSET(H548,-13,0,14,1)),(I547*13+H548)/14))</f>
        <v>0.00963679072425188</v>
      </c>
      <c r="J548" s="9" t="b">
        <f aca="false">IF(AND(ISNUMBER(F548),ISNUMBER(G548),ISNUMBER(F547),ISNUMBER(G547)),AND(F548&gt;G548,F547&lt;=G547),FALSE())</f>
        <v>0</v>
      </c>
      <c r="K548" s="9" t="b">
        <f aca="false">IF(AND(ISNUMBER(F548),ISNUMBER(G548),ISNUMBER(F547),ISNUMBER(G547)),AND(F548&lt;G548,F547&gt;=G547),FALSE())</f>
        <v>0</v>
      </c>
      <c r="L548" s="8" t="n">
        <f aca="false">IF(ISNUMBER(I548),E548-Inputs!$B$6*I548,"")</f>
        <v>0.838653979685463</v>
      </c>
      <c r="M548" s="9" t="b">
        <f aca="false">AND(Y547&gt;0,Z547)</f>
        <v>0</v>
      </c>
      <c r="N548" s="8" t="n">
        <f aca="false">B548*(1-Inputs!$B$12)</f>
        <v>0.869149290982418</v>
      </c>
      <c r="O548" s="10" t="n">
        <f aca="false">IF(M548,Y547*(N548-AB547)-Inputs!$B$9-Y547*AD547*Inputs!$B$13*(A548-AC547),0)</f>
        <v>0</v>
      </c>
      <c r="P548" s="10" t="n">
        <f aca="false">X547+O548</f>
        <v>1015.3844066801</v>
      </c>
      <c r="Q548" s="9" t="b">
        <f aca="false">AND(IF(M548,0,Y547)=0,AA547,IF(ISNUMBER(AE547),B548&gt;AE547,FALSE()))</f>
        <v>0</v>
      </c>
      <c r="R548" s="8" t="n">
        <f aca="false">B548*(1+Inputs!$B$12)</f>
        <v>0.869497020244664</v>
      </c>
      <c r="S548" s="11" t="n">
        <f aca="false">IF(Q548,MIN(P548*Inputs!$B$3/(R548-AE547),P548*Inputs!$B$11/R548),0)</f>
        <v>0</v>
      </c>
      <c r="T548" s="11" t="n">
        <f aca="false">IF(Q548,S548,IF(M548,0,Y547))</f>
        <v>664.118972006065</v>
      </c>
      <c r="U548" s="8" t="n">
        <f aca="false">IF(Q548,AE547,AF547)</f>
        <v>0.771982232894536</v>
      </c>
      <c r="V548" s="9" t="b">
        <f aca="false">AND(T548&gt;0,D548&lt;=U548)</f>
        <v>0</v>
      </c>
      <c r="W548" s="10" t="n">
        <f aca="false">IF(V548,T548*(AK548-AB548)-Inputs!$B$9-T548*AD548*Inputs!$B$13*(A548-AC548),0)</f>
        <v>0</v>
      </c>
      <c r="X548" s="10" t="n">
        <f aca="false">P548-IF(Q548,Inputs!$B$9,0)+W548</f>
        <v>1015.3844066801</v>
      </c>
      <c r="Y548" s="11" t="n">
        <f aca="false">IF(V548,0,T548)</f>
        <v>664.118972006065</v>
      </c>
      <c r="Z548" s="9" t="b">
        <f aca="false">AND(Y548&gt;0,K548)</f>
        <v>0</v>
      </c>
      <c r="AA548" s="9" t="b">
        <f aca="false">AND(Y548=0,J548,ISNUMBER(L548))</f>
        <v>0</v>
      </c>
      <c r="AB548" s="8" t="n">
        <f aca="false">IF(Q548,R548,AB547)</f>
        <v>0.787286484836172</v>
      </c>
      <c r="AC548" s="12" t="n">
        <f aca="false">IF(Q548,A548,AC547)</f>
        <v>45226</v>
      </c>
      <c r="AD548" s="8" t="n">
        <f aca="false">IF(Q548,B548,AD547)</f>
        <v>0.787129059024367</v>
      </c>
      <c r="AE548" s="8" t="str">
        <f aca="false">IF(AA548,L548,"")</f>
        <v/>
      </c>
      <c r="AF548" s="8" t="n">
        <f aca="false">U548</f>
        <v>0.771982232894536</v>
      </c>
      <c r="AG548" s="2" t="n">
        <f aca="false">AG547+IF(Q548,1,0)</f>
        <v>3</v>
      </c>
      <c r="AH548" s="2" t="n">
        <f aca="false">AG547</f>
        <v>3</v>
      </c>
      <c r="AI548" s="10" t="n">
        <f aca="false">X548+Y548*(E548-AB548)-Y548*AD548*Inputs!$B$13*(A548-AC548)</f>
        <v>1052.43073446598</v>
      </c>
      <c r="AJ548" s="10" t="n">
        <v>0</v>
      </c>
      <c r="AK548" s="8" t="n">
        <f aca="false">IF(AND(B548&lt;=U548,NOT(Q548)),B548,U548)*(1-Inputs!$B$12)</f>
        <v>0.771827836447957</v>
      </c>
    </row>
    <row r="549" customFormat="false" ht="15" hidden="false" customHeight="false" outlineLevel="0" collapsed="false">
      <c r="A549" s="6" t="n">
        <v>45333</v>
      </c>
      <c r="B549" s="7" t="n">
        <v>0.857927561133967</v>
      </c>
      <c r="C549" s="7" t="n">
        <v>0.866841056421352</v>
      </c>
      <c r="D549" s="7" t="n">
        <v>0.855216515153614</v>
      </c>
      <c r="E549" s="7" t="n">
        <v>0.865556347263934</v>
      </c>
      <c r="F549" s="8" t="n">
        <f aca="true">IF(ROW()-2&gt;=Inputs!$B$4,AVERAGE(OFFSET(E549,1-Inputs!$B$4,0,Inputs!$B$4,1)),"")</f>
        <v>0.857687705814738</v>
      </c>
      <c r="G549" s="8" t="n">
        <f aca="true">IF(ROW()-2&gt;=Inputs!$B$5,AVERAGE(OFFSET(E549,1-Inputs!$B$5,0,Inputs!$B$5,1)),"")</f>
        <v>0.841581184014767</v>
      </c>
      <c r="H549" s="8" t="n">
        <f aca="false">MAX(C549-D549,ABS(C549-E548),ABS(D549-E548))</f>
        <v>0.0116245412677373</v>
      </c>
      <c r="I549" s="8" t="n">
        <f aca="true">IF(ROW()-2&lt;14,"",IF(ROW()-2=14,AVERAGE(OFFSET(H549,-13,0,14,1)),(I548*13+H549)/14))</f>
        <v>0.00977877290592941</v>
      </c>
      <c r="J549" s="9" t="b">
        <f aca="false">IF(AND(ISNUMBER(F549),ISNUMBER(G549),ISNUMBER(F548),ISNUMBER(G548)),AND(F549&gt;G549,F548&lt;=G548),FALSE())</f>
        <v>0</v>
      </c>
      <c r="K549" s="9" t="b">
        <f aca="false">IF(AND(ISNUMBER(F549),ISNUMBER(G549),ISNUMBER(F548),ISNUMBER(G548)),AND(F549&lt;G549,F548&gt;=G548),FALSE())</f>
        <v>0</v>
      </c>
      <c r="L549" s="8" t="n">
        <f aca="false">IF(ISNUMBER(I549),E549-Inputs!$B$6*I549,"")</f>
        <v>0.845998801452075</v>
      </c>
      <c r="M549" s="9" t="b">
        <f aca="false">AND(Y548&gt;0,Z548)</f>
        <v>0</v>
      </c>
      <c r="N549" s="8" t="n">
        <f aca="false">B549*(1-Inputs!$B$12)</f>
        <v>0.85775597562174</v>
      </c>
      <c r="O549" s="10" t="n">
        <f aca="false">IF(M549,Y548*(N549-AB548)-Inputs!$B$9-Y548*AD548*Inputs!$B$13*(A549-AC548),0)</f>
        <v>0</v>
      </c>
      <c r="P549" s="10" t="n">
        <f aca="false">X548+O549</f>
        <v>1015.3844066801</v>
      </c>
      <c r="Q549" s="9" t="b">
        <f aca="false">AND(IF(M549,0,Y548)=0,AA548,IF(ISNUMBER(AE548),B549&gt;AE548,FALSE()))</f>
        <v>0</v>
      </c>
      <c r="R549" s="8" t="n">
        <f aca="false">B549*(1+Inputs!$B$12)</f>
        <v>0.858099146646194</v>
      </c>
      <c r="S549" s="11" t="n">
        <f aca="false">IF(Q549,MIN(P549*Inputs!$B$3/(R549-AE548),P549*Inputs!$B$11/R549),0)</f>
        <v>0</v>
      </c>
      <c r="T549" s="11" t="n">
        <f aca="false">IF(Q549,S549,IF(M549,0,Y548))</f>
        <v>664.118972006065</v>
      </c>
      <c r="U549" s="8" t="n">
        <f aca="false">IF(Q549,AE548,AF548)</f>
        <v>0.771982232894536</v>
      </c>
      <c r="V549" s="9" t="b">
        <f aca="false">AND(T549&gt;0,D549&lt;=U549)</f>
        <v>0</v>
      </c>
      <c r="W549" s="10" t="n">
        <f aca="false">IF(V549,T549*(AK549-AB549)-Inputs!$B$9-T549*AD549*Inputs!$B$13*(A549-AC549),0)</f>
        <v>0</v>
      </c>
      <c r="X549" s="10" t="n">
        <f aca="false">P549-IF(Q549,Inputs!$B$9,0)+W549</f>
        <v>1015.3844066801</v>
      </c>
      <c r="Y549" s="11" t="n">
        <f aca="false">IF(V549,0,T549)</f>
        <v>664.118972006065</v>
      </c>
      <c r="Z549" s="9" t="b">
        <f aca="false">AND(Y549&gt;0,K549)</f>
        <v>0</v>
      </c>
      <c r="AA549" s="9" t="b">
        <f aca="false">AND(Y549=0,J549,ISNUMBER(L549))</f>
        <v>0</v>
      </c>
      <c r="AB549" s="8" t="n">
        <f aca="false">IF(Q549,R549,AB548)</f>
        <v>0.787286484836172</v>
      </c>
      <c r="AC549" s="12" t="n">
        <f aca="false">IF(Q549,A549,AC548)</f>
        <v>45226</v>
      </c>
      <c r="AD549" s="8" t="n">
        <f aca="false">IF(Q549,B549,AD548)</f>
        <v>0.787129059024367</v>
      </c>
      <c r="AE549" s="8" t="str">
        <f aca="false">IF(AA549,L549,"")</f>
        <v/>
      </c>
      <c r="AF549" s="8" t="n">
        <f aca="false">U549</f>
        <v>0.771982232894536</v>
      </c>
      <c r="AG549" s="2" t="n">
        <f aca="false">AG548+IF(Q549,1,0)</f>
        <v>3</v>
      </c>
      <c r="AH549" s="2" t="n">
        <f aca="false">AG548</f>
        <v>3</v>
      </c>
      <c r="AI549" s="10" t="n">
        <f aca="false">X549+Y549*(E549-AB549)-Y549*AD549*Inputs!$B$13*(A549-AC549)</f>
        <v>1057.40406407594</v>
      </c>
      <c r="AJ549" s="10" t="n">
        <v>0</v>
      </c>
      <c r="AK549" s="8" t="n">
        <f aca="false">IF(AND(B549&lt;=U549,NOT(Q549)),B549,U549)*(1-Inputs!$B$12)</f>
        <v>0.771827836447957</v>
      </c>
    </row>
    <row r="550" customFormat="false" ht="15" hidden="false" customHeight="false" outlineLevel="0" collapsed="false">
      <c r="A550" s="6" t="n">
        <v>45334</v>
      </c>
      <c r="B550" s="7" t="n">
        <v>0.865556347263934</v>
      </c>
      <c r="C550" s="7" t="n">
        <v>0.866943172900123</v>
      </c>
      <c r="D550" s="7" t="n">
        <v>0.859468553159347</v>
      </c>
      <c r="E550" s="7" t="n">
        <v>0.861301401418144</v>
      </c>
      <c r="F550" s="8" t="n">
        <f aca="true">IF(ROW()-2&gt;=Inputs!$B$4,AVERAGE(OFFSET(E550,1-Inputs!$B$4,0,Inputs!$B$4,1)),"")</f>
        <v>0.858642131699178</v>
      </c>
      <c r="G550" s="8" t="n">
        <f aca="true">IF(ROW()-2&gt;=Inputs!$B$5,AVERAGE(OFFSET(E550,1-Inputs!$B$5,0,Inputs!$B$5,1)),"")</f>
        <v>0.842281396674984</v>
      </c>
      <c r="H550" s="8" t="n">
        <f aca="false">MAX(C550-D550,ABS(C550-E549),ABS(D550-E549))</f>
        <v>0.00747461974077612</v>
      </c>
      <c r="I550" s="8" t="n">
        <f aca="true">IF(ROW()-2&lt;14,"",IF(ROW()-2=14,AVERAGE(OFFSET(H550,-13,0,14,1)),(I549*13+H550)/14))</f>
        <v>0.00961419053698989</v>
      </c>
      <c r="J550" s="9" t="b">
        <f aca="false">IF(AND(ISNUMBER(F550),ISNUMBER(G550),ISNUMBER(F549),ISNUMBER(G549)),AND(F550&gt;G550,F549&lt;=G549),FALSE())</f>
        <v>0</v>
      </c>
      <c r="K550" s="9" t="b">
        <f aca="false">IF(AND(ISNUMBER(F550),ISNUMBER(G550),ISNUMBER(F549),ISNUMBER(G549)),AND(F550&lt;G550,F549&gt;=G549),FALSE())</f>
        <v>0</v>
      </c>
      <c r="L550" s="8" t="n">
        <f aca="false">IF(ISNUMBER(I550),E550-Inputs!$B$6*I550,"")</f>
        <v>0.842073020344164</v>
      </c>
      <c r="M550" s="9" t="b">
        <f aca="false">AND(Y549&gt;0,Z549)</f>
        <v>0</v>
      </c>
      <c r="N550" s="8" t="n">
        <f aca="false">B550*(1-Inputs!$B$12)</f>
        <v>0.865383235994481</v>
      </c>
      <c r="O550" s="10" t="n">
        <f aca="false">IF(M550,Y549*(N550-AB549)-Inputs!$B$9-Y549*AD549*Inputs!$B$13*(A550-AC549),0)</f>
        <v>0</v>
      </c>
      <c r="P550" s="10" t="n">
        <f aca="false">X549+O550</f>
        <v>1015.3844066801</v>
      </c>
      <c r="Q550" s="9" t="b">
        <f aca="false">AND(IF(M550,0,Y549)=0,AA549,IF(ISNUMBER(AE549),B550&gt;AE549,FALSE()))</f>
        <v>0</v>
      </c>
      <c r="R550" s="8" t="n">
        <f aca="false">B550*(1+Inputs!$B$12)</f>
        <v>0.865729458533387</v>
      </c>
      <c r="S550" s="11" t="n">
        <f aca="false">IF(Q550,MIN(P550*Inputs!$B$3/(R550-AE549),P550*Inputs!$B$11/R550),0)</f>
        <v>0</v>
      </c>
      <c r="T550" s="11" t="n">
        <f aca="false">IF(Q550,S550,IF(M550,0,Y549))</f>
        <v>664.118972006065</v>
      </c>
      <c r="U550" s="8" t="n">
        <f aca="false">IF(Q550,AE549,AF549)</f>
        <v>0.771982232894536</v>
      </c>
      <c r="V550" s="9" t="b">
        <f aca="false">AND(T550&gt;0,D550&lt;=U550)</f>
        <v>0</v>
      </c>
      <c r="W550" s="10" t="n">
        <f aca="false">IF(V550,T550*(AK550-AB550)-Inputs!$B$9-T550*AD550*Inputs!$B$13*(A550-AC550),0)</f>
        <v>0</v>
      </c>
      <c r="X550" s="10" t="n">
        <f aca="false">P550-IF(Q550,Inputs!$B$9,0)+W550</f>
        <v>1015.3844066801</v>
      </c>
      <c r="Y550" s="11" t="n">
        <f aca="false">IF(V550,0,T550)</f>
        <v>664.118972006065</v>
      </c>
      <c r="Z550" s="9" t="b">
        <f aca="false">AND(Y550&gt;0,K550)</f>
        <v>0</v>
      </c>
      <c r="AA550" s="9" t="b">
        <f aca="false">AND(Y550=0,J550,ISNUMBER(L550))</f>
        <v>0</v>
      </c>
      <c r="AB550" s="8" t="n">
        <f aca="false">IF(Q550,R550,AB549)</f>
        <v>0.787286484836172</v>
      </c>
      <c r="AC550" s="12" t="n">
        <f aca="false">IF(Q550,A550,AC549)</f>
        <v>45226</v>
      </c>
      <c r="AD550" s="8" t="n">
        <f aca="false">IF(Q550,B550,AD549)</f>
        <v>0.787129059024367</v>
      </c>
      <c r="AE550" s="8" t="str">
        <f aca="false">IF(AA550,L550,"")</f>
        <v/>
      </c>
      <c r="AF550" s="8" t="n">
        <f aca="false">U550</f>
        <v>0.771982232894536</v>
      </c>
      <c r="AG550" s="2" t="n">
        <f aca="false">AG549+IF(Q550,1,0)</f>
        <v>3</v>
      </c>
      <c r="AH550" s="2" t="n">
        <f aca="false">AG549</f>
        <v>3</v>
      </c>
      <c r="AI550" s="10" t="n">
        <f aca="false">X550+Y550*(E550-AB550)-Y550*AD550*Inputs!$B$13*(A550-AC550)</f>
        <v>1054.48518182257</v>
      </c>
      <c r="AJ550" s="10" t="n">
        <v>0</v>
      </c>
      <c r="AK550" s="8" t="n">
        <f aca="false">IF(AND(B550&lt;=U550,NOT(Q550)),B550,U550)*(1-Inputs!$B$12)</f>
        <v>0.771827836447957</v>
      </c>
    </row>
    <row r="551" customFormat="false" ht="15" hidden="false" customHeight="false" outlineLevel="0" collapsed="false">
      <c r="A551" s="6" t="n">
        <v>45335</v>
      </c>
      <c r="B551" s="7" t="n">
        <v>0.861301401418144</v>
      </c>
      <c r="C551" s="7" t="n">
        <v>0.864295424399645</v>
      </c>
      <c r="D551" s="7" t="n">
        <v>0.851730308952569</v>
      </c>
      <c r="E551" s="7" t="n">
        <v>0.856928085164372</v>
      </c>
      <c r="F551" s="8" t="n">
        <f aca="true">IF(ROW()-2&gt;=Inputs!$B$4,AVERAGE(OFFSET(E551,1-Inputs!$B$4,0,Inputs!$B$4,1)),"")</f>
        <v>0.859426240554685</v>
      </c>
      <c r="G551" s="8" t="n">
        <f aca="true">IF(ROW()-2&gt;=Inputs!$B$5,AVERAGE(OFFSET(E551,1-Inputs!$B$5,0,Inputs!$B$5,1)),"")</f>
        <v>0.842921211935583</v>
      </c>
      <c r="H551" s="8" t="n">
        <f aca="false">MAX(C551-D551,ABS(C551-E550),ABS(D551-E550))</f>
        <v>0.0125651154470758</v>
      </c>
      <c r="I551" s="8" t="n">
        <f aca="true">IF(ROW()-2&lt;14,"",IF(ROW()-2=14,AVERAGE(OFFSET(H551,-13,0,14,1)),(I550*13+H551)/14))</f>
        <v>0.00982497088771031</v>
      </c>
      <c r="J551" s="9" t="b">
        <f aca="false">IF(AND(ISNUMBER(F551),ISNUMBER(G551),ISNUMBER(F550),ISNUMBER(G550)),AND(F551&gt;G551,F550&lt;=G550),FALSE())</f>
        <v>0</v>
      </c>
      <c r="K551" s="9" t="b">
        <f aca="false">IF(AND(ISNUMBER(F551),ISNUMBER(G551),ISNUMBER(F550),ISNUMBER(G550)),AND(F551&lt;G551,F550&gt;=G550),FALSE())</f>
        <v>0</v>
      </c>
      <c r="L551" s="8" t="n">
        <f aca="false">IF(ISNUMBER(I551),E551-Inputs!$B$6*I551,"")</f>
        <v>0.837278143388952</v>
      </c>
      <c r="M551" s="9" t="b">
        <f aca="false">AND(Y550&gt;0,Z550)</f>
        <v>0</v>
      </c>
      <c r="N551" s="8" t="n">
        <f aca="false">B551*(1-Inputs!$B$12)</f>
        <v>0.86112914113786</v>
      </c>
      <c r="O551" s="10" t="n">
        <f aca="false">IF(M551,Y550*(N551-AB550)-Inputs!$B$9-Y550*AD550*Inputs!$B$13*(A551-AC550),0)</f>
        <v>0</v>
      </c>
      <c r="P551" s="10" t="n">
        <f aca="false">X550+O551</f>
        <v>1015.3844066801</v>
      </c>
      <c r="Q551" s="9" t="b">
        <f aca="false">AND(IF(M551,0,Y550)=0,AA550,IF(ISNUMBER(AE550),B551&gt;AE550,FALSE()))</f>
        <v>0</v>
      </c>
      <c r="R551" s="8" t="n">
        <f aca="false">B551*(1+Inputs!$B$12)</f>
        <v>0.861473661698427</v>
      </c>
      <c r="S551" s="11" t="n">
        <f aca="false">IF(Q551,MIN(P551*Inputs!$B$3/(R551-AE550),P551*Inputs!$B$11/R551),0)</f>
        <v>0</v>
      </c>
      <c r="T551" s="11" t="n">
        <f aca="false">IF(Q551,S551,IF(M551,0,Y550))</f>
        <v>664.118972006065</v>
      </c>
      <c r="U551" s="8" t="n">
        <f aca="false">IF(Q551,AE550,AF550)</f>
        <v>0.771982232894536</v>
      </c>
      <c r="V551" s="9" t="b">
        <f aca="false">AND(T551&gt;0,D551&lt;=U551)</f>
        <v>0</v>
      </c>
      <c r="W551" s="10" t="n">
        <f aca="false">IF(V551,T551*(AK551-AB551)-Inputs!$B$9-T551*AD551*Inputs!$B$13*(A551-AC551),0)</f>
        <v>0</v>
      </c>
      <c r="X551" s="10" t="n">
        <f aca="false">P551-IF(Q551,Inputs!$B$9,0)+W551</f>
        <v>1015.3844066801</v>
      </c>
      <c r="Y551" s="11" t="n">
        <f aca="false">IF(V551,0,T551)</f>
        <v>664.118972006065</v>
      </c>
      <c r="Z551" s="9" t="b">
        <f aca="false">AND(Y551&gt;0,K551)</f>
        <v>0</v>
      </c>
      <c r="AA551" s="9" t="b">
        <f aca="false">AND(Y551=0,J551,ISNUMBER(L551))</f>
        <v>0</v>
      </c>
      <c r="AB551" s="8" t="n">
        <f aca="false">IF(Q551,R551,AB550)</f>
        <v>0.787286484836172</v>
      </c>
      <c r="AC551" s="12" t="n">
        <f aca="false">IF(Q551,A551,AC550)</f>
        <v>45226</v>
      </c>
      <c r="AD551" s="8" t="n">
        <f aca="false">IF(Q551,B551,AD550)</f>
        <v>0.787129059024367</v>
      </c>
      <c r="AE551" s="8" t="str">
        <f aca="false">IF(AA551,L551,"")</f>
        <v/>
      </c>
      <c r="AF551" s="8" t="n">
        <f aca="false">U551</f>
        <v>0.771982232894536</v>
      </c>
      <c r="AG551" s="2" t="n">
        <f aca="false">AG550+IF(Q551,1,0)</f>
        <v>3</v>
      </c>
      <c r="AH551" s="2" t="n">
        <f aca="false">AG550</f>
        <v>3</v>
      </c>
      <c r="AI551" s="10" t="n">
        <f aca="false">X551+Y551*(E551-AB551)-Y551*AD551*Inputs!$B$13*(A551-AC551)</f>
        <v>1051.48768753553</v>
      </c>
      <c r="AJ551" s="10" t="n">
        <v>0</v>
      </c>
      <c r="AK551" s="8" t="n">
        <f aca="false">IF(AND(B551&lt;=U551,NOT(Q551)),B551,U551)*(1-Inputs!$B$12)</f>
        <v>0.771827836447957</v>
      </c>
    </row>
    <row r="552" customFormat="false" ht="15" hidden="false" customHeight="false" outlineLevel="0" collapsed="false">
      <c r="A552" s="6" t="n">
        <v>45336</v>
      </c>
      <c r="B552" s="7" t="n">
        <v>0.856928085164372</v>
      </c>
      <c r="C552" s="7" t="n">
        <v>0.864558204227909</v>
      </c>
      <c r="D552" s="7" t="n">
        <v>0.85454512416874</v>
      </c>
      <c r="E552" s="7" t="n">
        <v>0.861067904285502</v>
      </c>
      <c r="F552" s="8" t="n">
        <f aca="true">IF(ROW()-2&gt;=Inputs!$B$4,AVERAGE(OFFSET(E552,1-Inputs!$B$4,0,Inputs!$B$4,1)),"")</f>
        <v>0.860231638332689</v>
      </c>
      <c r="G552" s="8" t="n">
        <f aca="true">IF(ROW()-2&gt;=Inputs!$B$5,AVERAGE(OFFSET(E552,1-Inputs!$B$5,0,Inputs!$B$5,1)),"")</f>
        <v>0.843755119622133</v>
      </c>
      <c r="H552" s="8" t="n">
        <f aca="false">MAX(C552-D552,ABS(C552-E551),ABS(D552-E551))</f>
        <v>0.0100130800591696</v>
      </c>
      <c r="I552" s="8" t="n">
        <f aca="true">IF(ROW()-2&lt;14,"",IF(ROW()-2=14,AVERAGE(OFFSET(H552,-13,0,14,1)),(I551*13+H552)/14))</f>
        <v>0.00983840725710026</v>
      </c>
      <c r="J552" s="9" t="b">
        <f aca="false">IF(AND(ISNUMBER(F552),ISNUMBER(G552),ISNUMBER(F551),ISNUMBER(G551)),AND(F552&gt;G552,F551&lt;=G551),FALSE())</f>
        <v>0</v>
      </c>
      <c r="K552" s="9" t="b">
        <f aca="false">IF(AND(ISNUMBER(F552),ISNUMBER(G552),ISNUMBER(F551),ISNUMBER(G551)),AND(F552&lt;G552,F551&gt;=G551),FALSE())</f>
        <v>0</v>
      </c>
      <c r="L552" s="8" t="n">
        <f aca="false">IF(ISNUMBER(I552),E552-Inputs!$B$6*I552,"")</f>
        <v>0.841391089771302</v>
      </c>
      <c r="M552" s="9" t="b">
        <f aca="false">AND(Y551&gt;0,Z551)</f>
        <v>0</v>
      </c>
      <c r="N552" s="8" t="n">
        <f aca="false">B552*(1-Inputs!$B$12)</f>
        <v>0.856756699547339</v>
      </c>
      <c r="O552" s="10" t="n">
        <f aca="false">IF(M552,Y551*(N552-AB551)-Inputs!$B$9-Y551*AD551*Inputs!$B$13*(A552-AC551),0)</f>
        <v>0</v>
      </c>
      <c r="P552" s="10" t="n">
        <f aca="false">X551+O552</f>
        <v>1015.3844066801</v>
      </c>
      <c r="Q552" s="9" t="b">
        <f aca="false">AND(IF(M552,0,Y551)=0,AA551,IF(ISNUMBER(AE551),B552&gt;AE551,FALSE()))</f>
        <v>0</v>
      </c>
      <c r="R552" s="8" t="n">
        <f aca="false">B552*(1+Inputs!$B$12)</f>
        <v>0.857099470781405</v>
      </c>
      <c r="S552" s="11" t="n">
        <f aca="false">IF(Q552,MIN(P552*Inputs!$B$3/(R552-AE551),P552*Inputs!$B$11/R552),0)</f>
        <v>0</v>
      </c>
      <c r="T552" s="11" t="n">
        <f aca="false">IF(Q552,S552,IF(M552,0,Y551))</f>
        <v>664.118972006065</v>
      </c>
      <c r="U552" s="8" t="n">
        <f aca="false">IF(Q552,AE551,AF551)</f>
        <v>0.771982232894536</v>
      </c>
      <c r="V552" s="9" t="b">
        <f aca="false">AND(T552&gt;0,D552&lt;=U552)</f>
        <v>0</v>
      </c>
      <c r="W552" s="10" t="n">
        <f aca="false">IF(V552,T552*(AK552-AB552)-Inputs!$B$9-T552*AD552*Inputs!$B$13*(A552-AC552),0)</f>
        <v>0</v>
      </c>
      <c r="X552" s="10" t="n">
        <f aca="false">P552-IF(Q552,Inputs!$B$9,0)+W552</f>
        <v>1015.3844066801</v>
      </c>
      <c r="Y552" s="11" t="n">
        <f aca="false">IF(V552,0,T552)</f>
        <v>664.118972006065</v>
      </c>
      <c r="Z552" s="9" t="b">
        <f aca="false">AND(Y552&gt;0,K552)</f>
        <v>0</v>
      </c>
      <c r="AA552" s="9" t="b">
        <f aca="false">AND(Y552=0,J552,ISNUMBER(L552))</f>
        <v>0</v>
      </c>
      <c r="AB552" s="8" t="n">
        <f aca="false">IF(Q552,R552,AB551)</f>
        <v>0.787286484836172</v>
      </c>
      <c r="AC552" s="12" t="n">
        <f aca="false">IF(Q552,A552,AC551)</f>
        <v>45226</v>
      </c>
      <c r="AD552" s="8" t="n">
        <f aca="false">IF(Q552,B552,AD551)</f>
        <v>0.787129059024367</v>
      </c>
      <c r="AE552" s="8" t="str">
        <f aca="false">IF(AA552,L552,"")</f>
        <v/>
      </c>
      <c r="AF552" s="8" t="n">
        <f aca="false">U552</f>
        <v>0.771982232894536</v>
      </c>
      <c r="AG552" s="2" t="n">
        <f aca="false">AG551+IF(Q552,1,0)</f>
        <v>3</v>
      </c>
      <c r="AH552" s="2" t="n">
        <f aca="false">AG551</f>
        <v>3</v>
      </c>
      <c r="AI552" s="10" t="n">
        <f aca="false">X552+Y552*(E552-AB552)-Y552*AD552*Inputs!$B$13*(A552-AC552)</f>
        <v>1054.14392796222</v>
      </c>
      <c r="AJ552" s="10" t="n">
        <v>0</v>
      </c>
      <c r="AK552" s="8" t="n">
        <f aca="false">IF(AND(B552&lt;=U552,NOT(Q552)),B552,U552)*(1-Inputs!$B$12)</f>
        <v>0.771827836447957</v>
      </c>
    </row>
    <row r="553" customFormat="false" ht="15" hidden="false" customHeight="false" outlineLevel="0" collapsed="false">
      <c r="A553" s="6" t="n">
        <v>45337</v>
      </c>
      <c r="B553" s="7" t="n">
        <v>0.861067904285502</v>
      </c>
      <c r="C553" s="7" t="n">
        <v>0.863248385132243</v>
      </c>
      <c r="D553" s="7" t="n">
        <v>0.859110924385289</v>
      </c>
      <c r="E553" s="7" t="n">
        <v>0.860033662684593</v>
      </c>
      <c r="F553" s="8" t="n">
        <f aca="true">IF(ROW()-2&gt;=Inputs!$B$4,AVERAGE(OFFSET(E553,1-Inputs!$B$4,0,Inputs!$B$4,1)),"")</f>
        <v>0.860857580345491</v>
      </c>
      <c r="G553" s="8" t="n">
        <f aca="true">IF(ROW()-2&gt;=Inputs!$B$5,AVERAGE(OFFSET(E553,1-Inputs!$B$5,0,Inputs!$B$5,1)),"")</f>
        <v>0.844643547354714</v>
      </c>
      <c r="H553" s="8" t="n">
        <f aca="false">MAX(C553-D553,ABS(C553-E552),ABS(D553-E552))</f>
        <v>0.00413746074695442</v>
      </c>
      <c r="I553" s="8" t="n">
        <f aca="true">IF(ROW()-2&lt;14,"",IF(ROW()-2=14,AVERAGE(OFFSET(H553,-13,0,14,1)),(I552*13+H553)/14))</f>
        <v>0.00943119679208984</v>
      </c>
      <c r="J553" s="9" t="b">
        <f aca="false">IF(AND(ISNUMBER(F553),ISNUMBER(G553),ISNUMBER(F552),ISNUMBER(G552)),AND(F553&gt;G553,F552&lt;=G552),FALSE())</f>
        <v>0</v>
      </c>
      <c r="K553" s="9" t="b">
        <f aca="false">IF(AND(ISNUMBER(F553),ISNUMBER(G553),ISNUMBER(F552),ISNUMBER(G552)),AND(F553&lt;G553,F552&gt;=G552),FALSE())</f>
        <v>0</v>
      </c>
      <c r="L553" s="8" t="n">
        <f aca="false">IF(ISNUMBER(I553),E553-Inputs!$B$6*I553,"")</f>
        <v>0.841171269100413</v>
      </c>
      <c r="M553" s="9" t="b">
        <f aca="false">AND(Y552&gt;0,Z552)</f>
        <v>0</v>
      </c>
      <c r="N553" s="8" t="n">
        <f aca="false">B553*(1-Inputs!$B$12)</f>
        <v>0.860895690704645</v>
      </c>
      <c r="O553" s="10" t="n">
        <f aca="false">IF(M553,Y552*(N553-AB552)-Inputs!$B$9-Y552*AD552*Inputs!$B$13*(A553-AC552),0)</f>
        <v>0</v>
      </c>
      <c r="P553" s="10" t="n">
        <f aca="false">X552+O553</f>
        <v>1015.3844066801</v>
      </c>
      <c r="Q553" s="9" t="b">
        <f aca="false">AND(IF(M553,0,Y552)=0,AA552,IF(ISNUMBER(AE552),B553&gt;AE552,FALSE()))</f>
        <v>0</v>
      </c>
      <c r="R553" s="8" t="n">
        <f aca="false">B553*(1+Inputs!$B$12)</f>
        <v>0.86124011786636</v>
      </c>
      <c r="S553" s="11" t="n">
        <f aca="false">IF(Q553,MIN(P553*Inputs!$B$3/(R553-AE552),P553*Inputs!$B$11/R553),0)</f>
        <v>0</v>
      </c>
      <c r="T553" s="11" t="n">
        <f aca="false">IF(Q553,S553,IF(M553,0,Y552))</f>
        <v>664.118972006065</v>
      </c>
      <c r="U553" s="8" t="n">
        <f aca="false">IF(Q553,AE552,AF552)</f>
        <v>0.771982232894536</v>
      </c>
      <c r="V553" s="9" t="b">
        <f aca="false">AND(T553&gt;0,D553&lt;=U553)</f>
        <v>0</v>
      </c>
      <c r="W553" s="10" t="n">
        <f aca="false">IF(V553,T553*(AK553-AB553)-Inputs!$B$9-T553*AD553*Inputs!$B$13*(A553-AC553),0)</f>
        <v>0</v>
      </c>
      <c r="X553" s="10" t="n">
        <f aca="false">P553-IF(Q553,Inputs!$B$9,0)+W553</f>
        <v>1015.3844066801</v>
      </c>
      <c r="Y553" s="11" t="n">
        <f aca="false">IF(V553,0,T553)</f>
        <v>664.118972006065</v>
      </c>
      <c r="Z553" s="9" t="b">
        <f aca="false">AND(Y553&gt;0,K553)</f>
        <v>0</v>
      </c>
      <c r="AA553" s="9" t="b">
        <f aca="false">AND(Y553=0,J553,ISNUMBER(L553))</f>
        <v>0</v>
      </c>
      <c r="AB553" s="8" t="n">
        <f aca="false">IF(Q553,R553,AB552)</f>
        <v>0.787286484836172</v>
      </c>
      <c r="AC553" s="12" t="n">
        <f aca="false">IF(Q553,A553,AC552)</f>
        <v>45226</v>
      </c>
      <c r="AD553" s="8" t="n">
        <f aca="false">IF(Q553,B553,AD552)</f>
        <v>0.787129059024367</v>
      </c>
      <c r="AE553" s="8" t="str">
        <f aca="false">IF(AA553,L553,"")</f>
        <v/>
      </c>
      <c r="AF553" s="8" t="n">
        <f aca="false">U553</f>
        <v>0.771982232894536</v>
      </c>
      <c r="AG553" s="2" t="n">
        <f aca="false">AG552+IF(Q553,1,0)</f>
        <v>3</v>
      </c>
      <c r="AH553" s="2" t="n">
        <f aca="false">AG552</f>
        <v>3</v>
      </c>
      <c r="AI553" s="10" t="n">
        <f aca="false">X553+Y553*(E553-AB553)-Y553*AD553*Inputs!$B$13*(A553-AC553)</f>
        <v>1053.3639765011</v>
      </c>
      <c r="AJ553" s="10" t="n">
        <v>0</v>
      </c>
      <c r="AK553" s="8" t="n">
        <f aca="false">IF(AND(B553&lt;=U553,NOT(Q553)),B553,U553)*(1-Inputs!$B$12)</f>
        <v>0.771827836447957</v>
      </c>
    </row>
    <row r="554" customFormat="false" ht="15" hidden="false" customHeight="false" outlineLevel="0" collapsed="false">
      <c r="A554" s="6" t="n">
        <v>45338</v>
      </c>
      <c r="B554" s="7" t="n">
        <v>0.860033662684593</v>
      </c>
      <c r="C554" s="7" t="n">
        <v>0.862888232987471</v>
      </c>
      <c r="D554" s="7" t="n">
        <v>0.859338992059311</v>
      </c>
      <c r="E554" s="7" t="n">
        <v>0.862863543946993</v>
      </c>
      <c r="F554" s="8" t="n">
        <f aca="true">IF(ROW()-2&gt;=Inputs!$B$4,AVERAGE(OFFSET(E554,1-Inputs!$B$4,0,Inputs!$B$4,1)),"")</f>
        <v>0.861539791496129</v>
      </c>
      <c r="G554" s="8" t="n">
        <f aca="true">IF(ROW()-2&gt;=Inputs!$B$5,AVERAGE(OFFSET(E554,1-Inputs!$B$5,0,Inputs!$B$5,1)),"")</f>
        <v>0.845620940229627</v>
      </c>
      <c r="H554" s="8" t="n">
        <f aca="false">MAX(C554-D554,ABS(C554-E553),ABS(D554-E553))</f>
        <v>0.00354924092815967</v>
      </c>
      <c r="I554" s="8" t="n">
        <f aca="true">IF(ROW()-2&lt;14,"",IF(ROW()-2=14,AVERAGE(OFFSET(H554,-13,0,14,1)),(I553*13+H554)/14))</f>
        <v>0.0090110570875234</v>
      </c>
      <c r="J554" s="9" t="b">
        <f aca="false">IF(AND(ISNUMBER(F554),ISNUMBER(G554),ISNUMBER(F553),ISNUMBER(G553)),AND(F554&gt;G554,F553&lt;=G553),FALSE())</f>
        <v>0</v>
      </c>
      <c r="K554" s="9" t="b">
        <f aca="false">IF(AND(ISNUMBER(F554),ISNUMBER(G554),ISNUMBER(F553),ISNUMBER(G553)),AND(F554&lt;G554,F553&gt;=G553),FALSE())</f>
        <v>0</v>
      </c>
      <c r="L554" s="8" t="n">
        <f aca="false">IF(ISNUMBER(I554),E554-Inputs!$B$6*I554,"")</f>
        <v>0.844841429771946</v>
      </c>
      <c r="M554" s="9" t="b">
        <f aca="false">AND(Y553&gt;0,Z553)</f>
        <v>0</v>
      </c>
      <c r="N554" s="8" t="n">
        <f aca="false">B554*(1-Inputs!$B$12)</f>
        <v>0.859861655952056</v>
      </c>
      <c r="O554" s="10" t="n">
        <f aca="false">IF(M554,Y553*(N554-AB553)-Inputs!$B$9-Y553*AD553*Inputs!$B$13*(A554-AC553),0)</f>
        <v>0</v>
      </c>
      <c r="P554" s="10" t="n">
        <f aca="false">X553+O554</f>
        <v>1015.3844066801</v>
      </c>
      <c r="Q554" s="9" t="b">
        <f aca="false">AND(IF(M554,0,Y553)=0,AA553,IF(ISNUMBER(AE553),B554&gt;AE553,FALSE()))</f>
        <v>0</v>
      </c>
      <c r="R554" s="8" t="n">
        <f aca="false">B554*(1+Inputs!$B$12)</f>
        <v>0.86020566941713</v>
      </c>
      <c r="S554" s="11" t="n">
        <f aca="false">IF(Q554,MIN(P554*Inputs!$B$3/(R554-AE553),P554*Inputs!$B$11/R554),0)</f>
        <v>0</v>
      </c>
      <c r="T554" s="11" t="n">
        <f aca="false">IF(Q554,S554,IF(M554,0,Y553))</f>
        <v>664.118972006065</v>
      </c>
      <c r="U554" s="8" t="n">
        <f aca="false">IF(Q554,AE553,AF553)</f>
        <v>0.771982232894536</v>
      </c>
      <c r="V554" s="9" t="b">
        <f aca="false">AND(T554&gt;0,D554&lt;=U554)</f>
        <v>0</v>
      </c>
      <c r="W554" s="10" t="n">
        <f aca="false">IF(V554,T554*(AK554-AB554)-Inputs!$B$9-T554*AD554*Inputs!$B$13*(A554-AC554),0)</f>
        <v>0</v>
      </c>
      <c r="X554" s="10" t="n">
        <f aca="false">P554-IF(Q554,Inputs!$B$9,0)+W554</f>
        <v>1015.3844066801</v>
      </c>
      <c r="Y554" s="11" t="n">
        <f aca="false">IF(V554,0,T554)</f>
        <v>664.118972006065</v>
      </c>
      <c r="Z554" s="9" t="b">
        <f aca="false">AND(Y554&gt;0,K554)</f>
        <v>0</v>
      </c>
      <c r="AA554" s="9" t="b">
        <f aca="false">AND(Y554=0,J554,ISNUMBER(L554))</f>
        <v>0</v>
      </c>
      <c r="AB554" s="8" t="n">
        <f aca="false">IF(Q554,R554,AB553)</f>
        <v>0.787286484836172</v>
      </c>
      <c r="AC554" s="12" t="n">
        <f aca="false">IF(Q554,A554,AC553)</f>
        <v>45226</v>
      </c>
      <c r="AD554" s="8" t="n">
        <f aca="false">IF(Q554,B554,AD553)</f>
        <v>0.787129059024367</v>
      </c>
      <c r="AE554" s="8" t="str">
        <f aca="false">IF(AA554,L554,"")</f>
        <v/>
      </c>
      <c r="AF554" s="8" t="n">
        <f aca="false">U554</f>
        <v>0.771982232894536</v>
      </c>
      <c r="AG554" s="2" t="n">
        <f aca="false">AG553+IF(Q554,1,0)</f>
        <v>3</v>
      </c>
      <c r="AH554" s="2" t="n">
        <f aca="false">AG553</f>
        <v>3</v>
      </c>
      <c r="AI554" s="10" t="n">
        <f aca="false">X554+Y554*(E554-AB554)-Y554*AD554*Inputs!$B$13*(A554-AC554)</f>
        <v>1055.15026234366</v>
      </c>
      <c r="AJ554" s="10" t="n">
        <v>0</v>
      </c>
      <c r="AK554" s="8" t="n">
        <f aca="false">IF(AND(B554&lt;=U554,NOT(Q554)),B554,U554)*(1-Inputs!$B$12)</f>
        <v>0.771827836447957</v>
      </c>
    </row>
    <row r="555" customFormat="false" ht="15" hidden="false" customHeight="false" outlineLevel="0" collapsed="false">
      <c r="A555" s="6" t="n">
        <v>45339</v>
      </c>
      <c r="B555" s="7" t="n">
        <v>0.862863543946993</v>
      </c>
      <c r="C555" s="7" t="n">
        <v>0.865131228134141</v>
      </c>
      <c r="D555" s="7" t="n">
        <v>0.858752892977194</v>
      </c>
      <c r="E555" s="7" t="n">
        <v>0.863485851354574</v>
      </c>
      <c r="F555" s="8" t="n">
        <f aca="true">IF(ROW()-2&gt;=Inputs!$B$4,AVERAGE(OFFSET(E555,1-Inputs!$B$4,0,Inputs!$B$4,1)),"")</f>
        <v>0.861969430196301</v>
      </c>
      <c r="G555" s="8" t="n">
        <f aca="true">IF(ROW()-2&gt;=Inputs!$B$5,AVERAGE(OFFSET(E555,1-Inputs!$B$5,0,Inputs!$B$5,1)),"")</f>
        <v>0.846542476863109</v>
      </c>
      <c r="H555" s="8" t="n">
        <f aca="false">MAX(C555-D555,ABS(C555-E554),ABS(D555-E554))</f>
        <v>0.00637833515694697</v>
      </c>
      <c r="I555" s="8" t="n">
        <f aca="true">IF(ROW()-2&lt;14,"",IF(ROW()-2=14,AVERAGE(OFFSET(H555,-13,0,14,1)),(I554*13+H555)/14))</f>
        <v>0.00882300552105365</v>
      </c>
      <c r="J555" s="9" t="b">
        <f aca="false">IF(AND(ISNUMBER(F555),ISNUMBER(G555),ISNUMBER(F554),ISNUMBER(G554)),AND(F555&gt;G555,F554&lt;=G554),FALSE())</f>
        <v>0</v>
      </c>
      <c r="K555" s="9" t="b">
        <f aca="false">IF(AND(ISNUMBER(F555),ISNUMBER(G555),ISNUMBER(F554),ISNUMBER(G554)),AND(F555&lt;G555,F554&gt;=G554),FALSE())</f>
        <v>0</v>
      </c>
      <c r="L555" s="8" t="n">
        <f aca="false">IF(ISNUMBER(I555),E555-Inputs!$B$6*I555,"")</f>
        <v>0.845839840312467</v>
      </c>
      <c r="M555" s="9" t="b">
        <f aca="false">AND(Y554&gt;0,Z554)</f>
        <v>0</v>
      </c>
      <c r="N555" s="8" t="n">
        <f aca="false">B555*(1-Inputs!$B$12)</f>
        <v>0.862690971238204</v>
      </c>
      <c r="O555" s="10" t="n">
        <f aca="false">IF(M555,Y554*(N555-AB554)-Inputs!$B$9-Y554*AD554*Inputs!$B$13*(A555-AC554),0)</f>
        <v>0</v>
      </c>
      <c r="P555" s="10" t="n">
        <f aca="false">X554+O555</f>
        <v>1015.3844066801</v>
      </c>
      <c r="Q555" s="9" t="b">
        <f aca="false">AND(IF(M555,0,Y554)=0,AA554,IF(ISNUMBER(AE554),B555&gt;AE554,FALSE()))</f>
        <v>0</v>
      </c>
      <c r="R555" s="8" t="n">
        <f aca="false">B555*(1+Inputs!$B$12)</f>
        <v>0.863036116655782</v>
      </c>
      <c r="S555" s="11" t="n">
        <f aca="false">IF(Q555,MIN(P555*Inputs!$B$3/(R555-AE554),P555*Inputs!$B$11/R555),0)</f>
        <v>0</v>
      </c>
      <c r="T555" s="11" t="n">
        <f aca="false">IF(Q555,S555,IF(M555,0,Y554))</f>
        <v>664.118972006065</v>
      </c>
      <c r="U555" s="8" t="n">
        <f aca="false">IF(Q555,AE554,AF554)</f>
        <v>0.771982232894536</v>
      </c>
      <c r="V555" s="9" t="b">
        <f aca="false">AND(T555&gt;0,D555&lt;=U555)</f>
        <v>0</v>
      </c>
      <c r="W555" s="10" t="n">
        <f aca="false">IF(V555,T555*(AK555-AB555)-Inputs!$B$9-T555*AD555*Inputs!$B$13*(A555-AC555),0)</f>
        <v>0</v>
      </c>
      <c r="X555" s="10" t="n">
        <f aca="false">P555-IF(Q555,Inputs!$B$9,0)+W555</f>
        <v>1015.3844066801</v>
      </c>
      <c r="Y555" s="11" t="n">
        <f aca="false">IF(V555,0,T555)</f>
        <v>664.118972006065</v>
      </c>
      <c r="Z555" s="9" t="b">
        <f aca="false">AND(Y555&gt;0,K555)</f>
        <v>0</v>
      </c>
      <c r="AA555" s="9" t="b">
        <f aca="false">AND(Y555=0,J555,ISNUMBER(L555))</f>
        <v>0</v>
      </c>
      <c r="AB555" s="8" t="n">
        <f aca="false">IF(Q555,R555,AB554)</f>
        <v>0.787286484836172</v>
      </c>
      <c r="AC555" s="12" t="n">
        <f aca="false">IF(Q555,A555,AC554)</f>
        <v>45226</v>
      </c>
      <c r="AD555" s="8" t="n">
        <f aca="false">IF(Q555,B555,AD554)</f>
        <v>0.787129059024367</v>
      </c>
      <c r="AE555" s="8" t="str">
        <f aca="false">IF(AA555,L555,"")</f>
        <v/>
      </c>
      <c r="AF555" s="8" t="n">
        <f aca="false">U555</f>
        <v>0.771982232894536</v>
      </c>
      <c r="AG555" s="2" t="n">
        <f aca="false">AG554+IF(Q555,1,0)</f>
        <v>3</v>
      </c>
      <c r="AH555" s="2" t="n">
        <f aca="false">AG554</f>
        <v>3</v>
      </c>
      <c r="AI555" s="10" t="n">
        <f aca="false">X555+Y555*(E555-AB555)-Y555*AD555*Inputs!$B$13*(A555-AC555)</f>
        <v>1055.47045650713</v>
      </c>
      <c r="AJ555" s="10" t="n">
        <v>0</v>
      </c>
      <c r="AK555" s="8" t="n">
        <f aca="false">IF(AND(B555&lt;=U555,NOT(Q555)),B555,U555)*(1-Inputs!$B$12)</f>
        <v>0.771827836447957</v>
      </c>
    </row>
    <row r="556" customFormat="false" ht="15" hidden="false" customHeight="false" outlineLevel="0" collapsed="false">
      <c r="A556" s="6" t="n">
        <v>45340</v>
      </c>
      <c r="B556" s="7" t="n">
        <v>0.863485851354574</v>
      </c>
      <c r="C556" s="7" t="n">
        <v>0.866032104868393</v>
      </c>
      <c r="D556" s="7" t="n">
        <v>0.863062665919369</v>
      </c>
      <c r="E556" s="7" t="n">
        <v>0.864265346523515</v>
      </c>
      <c r="F556" s="8" t="n">
        <f aca="true">IF(ROW()-2&gt;=Inputs!$B$4,AVERAGE(OFFSET(E556,1-Inputs!$B$4,0,Inputs!$B$4,1)),"")</f>
        <v>0.862730314564133</v>
      </c>
      <c r="G556" s="8" t="n">
        <f aca="true">IF(ROW()-2&gt;=Inputs!$B$5,AVERAGE(OFFSET(E556,1-Inputs!$B$5,0,Inputs!$B$5,1)),"")</f>
        <v>0.847321157041442</v>
      </c>
      <c r="H556" s="8" t="n">
        <f aca="false">MAX(C556-D556,ABS(C556-E555),ABS(D556-E555))</f>
        <v>0.00296943894902457</v>
      </c>
      <c r="I556" s="8" t="n">
        <f aca="true">IF(ROW()-2&lt;14,"",IF(ROW()-2=14,AVERAGE(OFFSET(H556,-13,0,14,1)),(I555*13+H556)/14))</f>
        <v>0.00840489362305157</v>
      </c>
      <c r="J556" s="9" t="b">
        <f aca="false">IF(AND(ISNUMBER(F556),ISNUMBER(G556),ISNUMBER(F555),ISNUMBER(G555)),AND(F556&gt;G556,F555&lt;=G555),FALSE())</f>
        <v>0</v>
      </c>
      <c r="K556" s="9" t="b">
        <f aca="false">IF(AND(ISNUMBER(F556),ISNUMBER(G556),ISNUMBER(F555),ISNUMBER(G555)),AND(F556&lt;G556,F555&gt;=G555),FALSE())</f>
        <v>0</v>
      </c>
      <c r="L556" s="8" t="n">
        <f aca="false">IF(ISNUMBER(I556),E556-Inputs!$B$6*I556,"")</f>
        <v>0.847455559277412</v>
      </c>
      <c r="M556" s="9" t="b">
        <f aca="false">AND(Y555&gt;0,Z555)</f>
        <v>0</v>
      </c>
      <c r="N556" s="8" t="n">
        <f aca="false">B556*(1-Inputs!$B$12)</f>
        <v>0.863313154184303</v>
      </c>
      <c r="O556" s="10" t="n">
        <f aca="false">IF(M556,Y555*(N556-AB555)-Inputs!$B$9-Y555*AD555*Inputs!$B$13*(A556-AC555),0)</f>
        <v>0</v>
      </c>
      <c r="P556" s="10" t="n">
        <f aca="false">X555+O556</f>
        <v>1015.3844066801</v>
      </c>
      <c r="Q556" s="9" t="b">
        <f aca="false">AND(IF(M556,0,Y555)=0,AA555,IF(ISNUMBER(AE555),B556&gt;AE555,FALSE()))</f>
        <v>0</v>
      </c>
      <c r="R556" s="8" t="n">
        <f aca="false">B556*(1+Inputs!$B$12)</f>
        <v>0.863658548524845</v>
      </c>
      <c r="S556" s="11" t="n">
        <f aca="false">IF(Q556,MIN(P556*Inputs!$B$3/(R556-AE555),P556*Inputs!$B$11/R556),0)</f>
        <v>0</v>
      </c>
      <c r="T556" s="11" t="n">
        <f aca="false">IF(Q556,S556,IF(M556,0,Y555))</f>
        <v>664.118972006065</v>
      </c>
      <c r="U556" s="8" t="n">
        <f aca="false">IF(Q556,AE555,AF555)</f>
        <v>0.771982232894536</v>
      </c>
      <c r="V556" s="9" t="b">
        <f aca="false">AND(T556&gt;0,D556&lt;=U556)</f>
        <v>0</v>
      </c>
      <c r="W556" s="10" t="n">
        <f aca="false">IF(V556,T556*(AK556-AB556)-Inputs!$B$9-T556*AD556*Inputs!$B$13*(A556-AC556),0)</f>
        <v>0</v>
      </c>
      <c r="X556" s="10" t="n">
        <f aca="false">P556-IF(Q556,Inputs!$B$9,0)+W556</f>
        <v>1015.3844066801</v>
      </c>
      <c r="Y556" s="11" t="n">
        <f aca="false">IF(V556,0,T556)</f>
        <v>664.118972006065</v>
      </c>
      <c r="Z556" s="9" t="b">
        <f aca="false">AND(Y556&gt;0,K556)</f>
        <v>0</v>
      </c>
      <c r="AA556" s="9" t="b">
        <f aca="false">AND(Y556=0,J556,ISNUMBER(L556))</f>
        <v>0</v>
      </c>
      <c r="AB556" s="8" t="n">
        <f aca="false">IF(Q556,R556,AB555)</f>
        <v>0.787286484836172</v>
      </c>
      <c r="AC556" s="12" t="n">
        <f aca="false">IF(Q556,A556,AC555)</f>
        <v>45226</v>
      </c>
      <c r="AD556" s="8" t="n">
        <f aca="false">IF(Q556,B556,AD555)</f>
        <v>0.787129059024367</v>
      </c>
      <c r="AE556" s="8" t="str">
        <f aca="false">IF(AA556,L556,"")</f>
        <v/>
      </c>
      <c r="AF556" s="8" t="n">
        <f aca="false">U556</f>
        <v>0.771982232894536</v>
      </c>
      <c r="AG556" s="2" t="n">
        <f aca="false">AG555+IF(Q556,1,0)</f>
        <v>3</v>
      </c>
      <c r="AH556" s="2" t="n">
        <f aca="false">AG555</f>
        <v>3</v>
      </c>
      <c r="AI556" s="10" t="n">
        <f aca="false">X556+Y556*(E556-AB556)-Y556*AD556*Inputs!$B$13*(A556-AC556)</f>
        <v>1055.89504204508</v>
      </c>
      <c r="AJ556" s="10" t="n">
        <v>0</v>
      </c>
      <c r="AK556" s="8" t="n">
        <f aca="false">IF(AND(B556&lt;=U556,NOT(Q556)),B556,U556)*(1-Inputs!$B$12)</f>
        <v>0.771827836447957</v>
      </c>
    </row>
    <row r="557" customFormat="false" ht="15" hidden="false" customHeight="false" outlineLevel="0" collapsed="false">
      <c r="A557" s="6" t="n">
        <v>45341</v>
      </c>
      <c r="B557" s="7" t="n">
        <v>0.864265346523515</v>
      </c>
      <c r="C557" s="7" t="n">
        <v>0.86852273139763</v>
      </c>
      <c r="D557" s="7" t="n">
        <v>0.863639711788607</v>
      </c>
      <c r="E557" s="7" t="n">
        <v>0.865829740803703</v>
      </c>
      <c r="F557" s="8" t="n">
        <f aca="true">IF(ROW()-2&gt;=Inputs!$B$4,AVERAGE(OFFSET(E557,1-Inputs!$B$4,0,Inputs!$B$4,1)),"")</f>
        <v>0.86321015236253</v>
      </c>
      <c r="G557" s="8" t="n">
        <f aca="true">IF(ROW()-2&gt;=Inputs!$B$5,AVERAGE(OFFSET(E557,1-Inputs!$B$5,0,Inputs!$B$5,1)),"")</f>
        <v>0.848281906882259</v>
      </c>
      <c r="H557" s="8" t="n">
        <f aca="false">MAX(C557-D557,ABS(C557-E556),ABS(D557-E556))</f>
        <v>0.00488301960902227</v>
      </c>
      <c r="I557" s="8" t="n">
        <f aca="true">IF(ROW()-2&lt;14,"",IF(ROW()-2=14,AVERAGE(OFFSET(H557,-13,0,14,1)),(I556*13+H557)/14))</f>
        <v>0.00815333119347805</v>
      </c>
      <c r="J557" s="9" t="b">
        <f aca="false">IF(AND(ISNUMBER(F557),ISNUMBER(G557),ISNUMBER(F556),ISNUMBER(G556)),AND(F557&gt;G557,F556&lt;=G556),FALSE())</f>
        <v>0</v>
      </c>
      <c r="K557" s="9" t="b">
        <f aca="false">IF(AND(ISNUMBER(F557),ISNUMBER(G557),ISNUMBER(F556),ISNUMBER(G556)),AND(F557&lt;G557,F556&gt;=G556),FALSE())</f>
        <v>0</v>
      </c>
      <c r="L557" s="8" t="n">
        <f aca="false">IF(ISNUMBER(I557),E557-Inputs!$B$6*I557,"")</f>
        <v>0.849523078416747</v>
      </c>
      <c r="M557" s="9" t="b">
        <f aca="false">AND(Y556&gt;0,Z556)</f>
        <v>0</v>
      </c>
      <c r="N557" s="8" t="n">
        <f aca="false">B557*(1-Inputs!$B$12)</f>
        <v>0.86409249345421</v>
      </c>
      <c r="O557" s="10" t="n">
        <f aca="false">IF(M557,Y556*(N557-AB556)-Inputs!$B$9-Y556*AD556*Inputs!$B$13*(A557-AC556),0)</f>
        <v>0</v>
      </c>
      <c r="P557" s="10" t="n">
        <f aca="false">X556+O557</f>
        <v>1015.3844066801</v>
      </c>
      <c r="Q557" s="9" t="b">
        <f aca="false">AND(IF(M557,0,Y556)=0,AA556,IF(ISNUMBER(AE556),B557&gt;AE556,FALSE()))</f>
        <v>0</v>
      </c>
      <c r="R557" s="8" t="n">
        <f aca="false">B557*(1+Inputs!$B$12)</f>
        <v>0.86443819959282</v>
      </c>
      <c r="S557" s="11" t="n">
        <f aca="false">IF(Q557,MIN(P557*Inputs!$B$3/(R557-AE556),P557*Inputs!$B$11/R557),0)</f>
        <v>0</v>
      </c>
      <c r="T557" s="11" t="n">
        <f aca="false">IF(Q557,S557,IF(M557,0,Y556))</f>
        <v>664.118972006065</v>
      </c>
      <c r="U557" s="8" t="n">
        <f aca="false">IF(Q557,AE556,AF556)</f>
        <v>0.771982232894536</v>
      </c>
      <c r="V557" s="9" t="b">
        <f aca="false">AND(T557&gt;0,D557&lt;=U557)</f>
        <v>0</v>
      </c>
      <c r="W557" s="10" t="n">
        <f aca="false">IF(V557,T557*(AK557-AB557)-Inputs!$B$9-T557*AD557*Inputs!$B$13*(A557-AC557),0)</f>
        <v>0</v>
      </c>
      <c r="X557" s="10" t="n">
        <f aca="false">P557-IF(Q557,Inputs!$B$9,0)+W557</f>
        <v>1015.3844066801</v>
      </c>
      <c r="Y557" s="11" t="n">
        <f aca="false">IF(V557,0,T557)</f>
        <v>664.118972006065</v>
      </c>
      <c r="Z557" s="9" t="b">
        <f aca="false">AND(Y557&gt;0,K557)</f>
        <v>0</v>
      </c>
      <c r="AA557" s="9" t="b">
        <f aca="false">AND(Y557=0,J557,ISNUMBER(L557))</f>
        <v>0</v>
      </c>
      <c r="AB557" s="8" t="n">
        <f aca="false">IF(Q557,R557,AB556)</f>
        <v>0.787286484836172</v>
      </c>
      <c r="AC557" s="12" t="n">
        <f aca="false">IF(Q557,A557,AC556)</f>
        <v>45226</v>
      </c>
      <c r="AD557" s="8" t="n">
        <f aca="false">IF(Q557,B557,AD556)</f>
        <v>0.787129059024367</v>
      </c>
      <c r="AE557" s="8" t="str">
        <f aca="false">IF(AA557,L557,"")</f>
        <v/>
      </c>
      <c r="AF557" s="8" t="n">
        <f aca="false">U557</f>
        <v>0.771982232894536</v>
      </c>
      <c r="AG557" s="2" t="n">
        <f aca="false">AG556+IF(Q557,1,0)</f>
        <v>3</v>
      </c>
      <c r="AH557" s="2" t="n">
        <f aca="false">AG556</f>
        <v>3</v>
      </c>
      <c r="AI557" s="10" t="n">
        <f aca="false">X557+Y557*(E557-AB557)-Y557*AD557*Inputs!$B$13*(A557-AC557)</f>
        <v>1056.84089397393</v>
      </c>
      <c r="AJ557" s="10" t="n">
        <v>0</v>
      </c>
      <c r="AK557" s="8" t="n">
        <f aca="false">IF(AND(B557&lt;=U557,NOT(Q557)),B557,U557)*(1-Inputs!$B$12)</f>
        <v>0.771827836447957</v>
      </c>
    </row>
    <row r="558" customFormat="false" ht="15" hidden="false" customHeight="false" outlineLevel="0" collapsed="false">
      <c r="A558" s="6" t="n">
        <v>45342</v>
      </c>
      <c r="B558" s="7" t="n">
        <v>0.865829740803703</v>
      </c>
      <c r="C558" s="7" t="n">
        <v>0.868480255879803</v>
      </c>
      <c r="D558" s="7" t="n">
        <v>0.86391300880296</v>
      </c>
      <c r="E558" s="7" t="n">
        <v>0.86469635157417</v>
      </c>
      <c r="F558" s="8" t="n">
        <f aca="true">IF(ROW()-2&gt;=Inputs!$B$4,AVERAGE(OFFSET(E558,1-Inputs!$B$4,0,Inputs!$B$4,1)),"")</f>
        <v>0.863810059329352</v>
      </c>
      <c r="G558" s="8" t="n">
        <f aca="true">IF(ROW()-2&gt;=Inputs!$B$5,AVERAGE(OFFSET(E558,1-Inputs!$B$5,0,Inputs!$B$5,1)),"")</f>
        <v>0.849199089548972</v>
      </c>
      <c r="H558" s="8" t="n">
        <f aca="false">MAX(C558-D558,ABS(C558-E557),ABS(D558-E557))</f>
        <v>0.00456724707684375</v>
      </c>
      <c r="I558" s="8" t="n">
        <f aca="true">IF(ROW()-2&lt;14,"",IF(ROW()-2=14,AVERAGE(OFFSET(H558,-13,0,14,1)),(I557*13+H558)/14))</f>
        <v>0.00789718232800417</v>
      </c>
      <c r="J558" s="9" t="b">
        <f aca="false">IF(AND(ISNUMBER(F558),ISNUMBER(G558),ISNUMBER(F557),ISNUMBER(G557)),AND(F558&gt;G558,F557&lt;=G557),FALSE())</f>
        <v>0</v>
      </c>
      <c r="K558" s="9" t="b">
        <f aca="false">IF(AND(ISNUMBER(F558),ISNUMBER(G558),ISNUMBER(F557),ISNUMBER(G557)),AND(F558&lt;G558,F557&gt;=G557),FALSE())</f>
        <v>0</v>
      </c>
      <c r="L558" s="8" t="n">
        <f aca="false">IF(ISNUMBER(I558),E558-Inputs!$B$6*I558,"")</f>
        <v>0.848901986918162</v>
      </c>
      <c r="M558" s="9" t="b">
        <f aca="false">AND(Y557&gt;0,Z557)</f>
        <v>0</v>
      </c>
      <c r="N558" s="8" t="n">
        <f aca="false">B558*(1-Inputs!$B$12)</f>
        <v>0.865656574855543</v>
      </c>
      <c r="O558" s="10" t="n">
        <f aca="false">IF(M558,Y557*(N558-AB557)-Inputs!$B$9-Y557*AD557*Inputs!$B$13*(A558-AC557),0)</f>
        <v>0</v>
      </c>
      <c r="P558" s="10" t="n">
        <f aca="false">X557+O558</f>
        <v>1015.3844066801</v>
      </c>
      <c r="Q558" s="9" t="b">
        <f aca="false">AND(IF(M558,0,Y557)=0,AA557,IF(ISNUMBER(AE557),B558&gt;AE557,FALSE()))</f>
        <v>0</v>
      </c>
      <c r="R558" s="8" t="n">
        <f aca="false">B558*(1+Inputs!$B$12)</f>
        <v>0.866002906751864</v>
      </c>
      <c r="S558" s="11" t="n">
        <f aca="false">IF(Q558,MIN(P558*Inputs!$B$3/(R558-AE557),P558*Inputs!$B$11/R558),0)</f>
        <v>0</v>
      </c>
      <c r="T558" s="11" t="n">
        <f aca="false">IF(Q558,S558,IF(M558,0,Y557))</f>
        <v>664.118972006065</v>
      </c>
      <c r="U558" s="8" t="n">
        <f aca="false">IF(Q558,AE557,AF557)</f>
        <v>0.771982232894536</v>
      </c>
      <c r="V558" s="9" t="b">
        <f aca="false">AND(T558&gt;0,D558&lt;=U558)</f>
        <v>0</v>
      </c>
      <c r="W558" s="10" t="n">
        <f aca="false">IF(V558,T558*(AK558-AB558)-Inputs!$B$9-T558*AD558*Inputs!$B$13*(A558-AC558),0)</f>
        <v>0</v>
      </c>
      <c r="X558" s="10" t="n">
        <f aca="false">P558-IF(Q558,Inputs!$B$9,0)+W558</f>
        <v>1015.3844066801</v>
      </c>
      <c r="Y558" s="11" t="n">
        <f aca="false">IF(V558,0,T558)</f>
        <v>664.118972006065</v>
      </c>
      <c r="Z558" s="9" t="b">
        <f aca="false">AND(Y558&gt;0,K558)</f>
        <v>0</v>
      </c>
      <c r="AA558" s="9" t="b">
        <f aca="false">AND(Y558=0,J558,ISNUMBER(L558))</f>
        <v>0</v>
      </c>
      <c r="AB558" s="8" t="n">
        <f aca="false">IF(Q558,R558,AB557)</f>
        <v>0.787286484836172</v>
      </c>
      <c r="AC558" s="12" t="n">
        <f aca="false">IF(Q558,A558,AC557)</f>
        <v>45226</v>
      </c>
      <c r="AD558" s="8" t="n">
        <f aca="false">IF(Q558,B558,AD557)</f>
        <v>0.787129059024367</v>
      </c>
      <c r="AE558" s="8" t="str">
        <f aca="false">IF(AA558,L558,"")</f>
        <v/>
      </c>
      <c r="AF558" s="8" t="n">
        <f aca="false">U558</f>
        <v>0.771982232894536</v>
      </c>
      <c r="AG558" s="2" t="n">
        <f aca="false">AG557+IF(Q558,1,0)</f>
        <v>3</v>
      </c>
      <c r="AH558" s="2" t="n">
        <f aca="false">AG557</f>
        <v>3</v>
      </c>
      <c r="AI558" s="10" t="n">
        <f aca="false">X558+Y558*(E558-AB558)-Y558*AD558*Inputs!$B$13*(A558-AC558)</f>
        <v>1055.9950966916</v>
      </c>
      <c r="AJ558" s="10" t="n">
        <v>0</v>
      </c>
      <c r="AK558" s="8" t="n">
        <f aca="false">IF(AND(B558&lt;=U558,NOT(Q558)),B558,U558)*(1-Inputs!$B$12)</f>
        <v>0.771827836447957</v>
      </c>
    </row>
    <row r="559" customFormat="false" ht="15" hidden="false" customHeight="false" outlineLevel="0" collapsed="false">
      <c r="A559" s="6" t="n">
        <v>45343</v>
      </c>
      <c r="B559" s="7" t="n">
        <v>0.86469635157417</v>
      </c>
      <c r="C559" s="7" t="n">
        <v>0.876606215426379</v>
      </c>
      <c r="D559" s="7" t="n">
        <v>0.863362624065201</v>
      </c>
      <c r="E559" s="7" t="n">
        <v>0.875642132411566</v>
      </c>
      <c r="F559" s="8" t="n">
        <f aca="true">IF(ROW()-2&gt;=Inputs!$B$4,AVERAGE(OFFSET(E559,1-Inputs!$B$4,0,Inputs!$B$4,1)),"")</f>
        <v>0.86478626620549</v>
      </c>
      <c r="G559" s="8" t="n">
        <f aca="true">IF(ROW()-2&gt;=Inputs!$B$5,AVERAGE(OFFSET(E559,1-Inputs!$B$5,0,Inputs!$B$5,1)),"")</f>
        <v>0.850122499696284</v>
      </c>
      <c r="H559" s="8" t="n">
        <f aca="false">MAX(C559-D559,ABS(C559-E558),ABS(D559-E558))</f>
        <v>0.013243591361178</v>
      </c>
      <c r="I559" s="8" t="n">
        <f aca="true">IF(ROW()-2&lt;14,"",IF(ROW()-2=14,AVERAGE(OFFSET(H559,-13,0,14,1)),(I558*13+H559)/14))</f>
        <v>0.00827906868751659</v>
      </c>
      <c r="J559" s="9" t="b">
        <f aca="false">IF(AND(ISNUMBER(F559),ISNUMBER(G559),ISNUMBER(F558),ISNUMBER(G558)),AND(F559&gt;G559,F558&lt;=G558),FALSE())</f>
        <v>0</v>
      </c>
      <c r="K559" s="9" t="b">
        <f aca="false">IF(AND(ISNUMBER(F559),ISNUMBER(G559),ISNUMBER(F558),ISNUMBER(G558)),AND(F559&lt;G559,F558&gt;=G558),FALSE())</f>
        <v>0</v>
      </c>
      <c r="L559" s="8" t="n">
        <f aca="false">IF(ISNUMBER(I559),E559-Inputs!$B$6*I559,"")</f>
        <v>0.859083995036532</v>
      </c>
      <c r="M559" s="9" t="b">
        <f aca="false">AND(Y558&gt;0,Z558)</f>
        <v>0</v>
      </c>
      <c r="N559" s="8" t="n">
        <f aca="false">B559*(1-Inputs!$B$12)</f>
        <v>0.864523412303855</v>
      </c>
      <c r="O559" s="10" t="n">
        <f aca="false">IF(M559,Y558*(N559-AB558)-Inputs!$B$9-Y558*AD558*Inputs!$B$13*(A559-AC558),0)</f>
        <v>0</v>
      </c>
      <c r="P559" s="10" t="n">
        <f aca="false">X558+O559</f>
        <v>1015.3844066801</v>
      </c>
      <c r="Q559" s="9" t="b">
        <f aca="false">AND(IF(M559,0,Y558)=0,AA558,IF(ISNUMBER(AE558),B559&gt;AE558,FALSE()))</f>
        <v>0</v>
      </c>
      <c r="R559" s="8" t="n">
        <f aca="false">B559*(1+Inputs!$B$12)</f>
        <v>0.864869290844485</v>
      </c>
      <c r="S559" s="11" t="n">
        <f aca="false">IF(Q559,MIN(P559*Inputs!$B$3/(R559-AE558),P559*Inputs!$B$11/R559),0)</f>
        <v>0</v>
      </c>
      <c r="T559" s="11" t="n">
        <f aca="false">IF(Q559,S559,IF(M559,0,Y558))</f>
        <v>664.118972006065</v>
      </c>
      <c r="U559" s="8" t="n">
        <f aca="false">IF(Q559,AE558,AF558)</f>
        <v>0.771982232894536</v>
      </c>
      <c r="V559" s="9" t="b">
        <f aca="false">AND(T559&gt;0,D559&lt;=U559)</f>
        <v>0</v>
      </c>
      <c r="W559" s="10" t="n">
        <f aca="false">IF(V559,T559*(AK559-AB559)-Inputs!$B$9-T559*AD559*Inputs!$B$13*(A559-AC559),0)</f>
        <v>0</v>
      </c>
      <c r="X559" s="10" t="n">
        <f aca="false">P559-IF(Q559,Inputs!$B$9,0)+W559</f>
        <v>1015.3844066801</v>
      </c>
      <c r="Y559" s="11" t="n">
        <f aca="false">IF(V559,0,T559)</f>
        <v>664.118972006065</v>
      </c>
      <c r="Z559" s="9" t="b">
        <f aca="false">AND(Y559&gt;0,K559)</f>
        <v>0</v>
      </c>
      <c r="AA559" s="9" t="b">
        <f aca="false">AND(Y559=0,J559,ISNUMBER(L559))</f>
        <v>0</v>
      </c>
      <c r="AB559" s="8" t="n">
        <f aca="false">IF(Q559,R559,AB558)</f>
        <v>0.787286484836172</v>
      </c>
      <c r="AC559" s="12" t="n">
        <f aca="false">IF(Q559,A559,AC558)</f>
        <v>45226</v>
      </c>
      <c r="AD559" s="8" t="n">
        <f aca="false">IF(Q559,B559,AD558)</f>
        <v>0.787129059024367</v>
      </c>
      <c r="AE559" s="8" t="str">
        <f aca="false">IF(AA559,L559,"")</f>
        <v/>
      </c>
      <c r="AF559" s="8" t="n">
        <f aca="false">U559</f>
        <v>0.771982232894536</v>
      </c>
      <c r="AG559" s="2" t="n">
        <f aca="false">AG558+IF(Q559,1,0)</f>
        <v>3</v>
      </c>
      <c r="AH559" s="2" t="n">
        <f aca="false">AG558</f>
        <v>3</v>
      </c>
      <c r="AI559" s="10" t="n">
        <f aca="false">X559+Y559*(E559-AB559)-Y559*AD559*Inputs!$B$13*(A559-AC559)</f>
        <v>1063.17130541681</v>
      </c>
      <c r="AJ559" s="10" t="n">
        <v>0</v>
      </c>
      <c r="AK559" s="8" t="n">
        <f aca="false">IF(AND(B559&lt;=U559,NOT(Q559)),B559,U559)*(1-Inputs!$B$12)</f>
        <v>0.771827836447957</v>
      </c>
    </row>
    <row r="560" customFormat="false" ht="15" hidden="false" customHeight="false" outlineLevel="0" collapsed="false">
      <c r="A560" s="6" t="n">
        <v>45344</v>
      </c>
      <c r="B560" s="7" t="n">
        <v>0.875642132411566</v>
      </c>
      <c r="C560" s="7" t="n">
        <v>0.87568224518574</v>
      </c>
      <c r="D560" s="7" t="n">
        <v>0.867615726204788</v>
      </c>
      <c r="E560" s="7" t="n">
        <v>0.86838860898956</v>
      </c>
      <c r="F560" s="8" t="n">
        <f aca="true">IF(ROW()-2&gt;=Inputs!$B$4,AVERAGE(OFFSET(E560,1-Inputs!$B$4,0,Inputs!$B$4,1)),"")</f>
        <v>0.865194643733931</v>
      </c>
      <c r="G560" s="8" t="n">
        <f aca="true">IF(ROW()-2&gt;=Inputs!$B$5,AVERAGE(OFFSET(E560,1-Inputs!$B$5,0,Inputs!$B$5,1)),"")</f>
        <v>0.850908980239022</v>
      </c>
      <c r="H560" s="8" t="n">
        <f aca="false">MAX(C560-D560,ABS(C560-E559),ABS(D560-E559))</f>
        <v>0.00806651898095245</v>
      </c>
      <c r="I560" s="8" t="n">
        <f aca="true">IF(ROW()-2&lt;14,"",IF(ROW()-2=14,AVERAGE(OFFSET(H560,-13,0,14,1)),(I559*13+H560)/14))</f>
        <v>0.00826388656561915</v>
      </c>
      <c r="J560" s="9" t="b">
        <f aca="false">IF(AND(ISNUMBER(F560),ISNUMBER(G560),ISNUMBER(F559),ISNUMBER(G559)),AND(F560&gt;G560,F559&lt;=G559),FALSE())</f>
        <v>0</v>
      </c>
      <c r="K560" s="9" t="b">
        <f aca="false">IF(AND(ISNUMBER(F560),ISNUMBER(G560),ISNUMBER(F559),ISNUMBER(G559)),AND(F560&lt;G560,F559&gt;=G559),FALSE())</f>
        <v>0</v>
      </c>
      <c r="L560" s="8" t="n">
        <f aca="false">IF(ISNUMBER(I560),E560-Inputs!$B$6*I560,"")</f>
        <v>0.851860835858322</v>
      </c>
      <c r="M560" s="9" t="b">
        <f aca="false">AND(Y559&gt;0,Z559)</f>
        <v>0</v>
      </c>
      <c r="N560" s="8" t="n">
        <f aca="false">B560*(1-Inputs!$B$12)</f>
        <v>0.875467003985083</v>
      </c>
      <c r="O560" s="10" t="n">
        <f aca="false">IF(M560,Y559*(N560-AB559)-Inputs!$B$9-Y559*AD559*Inputs!$B$13*(A560-AC559),0)</f>
        <v>0</v>
      </c>
      <c r="P560" s="10" t="n">
        <f aca="false">X559+O560</f>
        <v>1015.3844066801</v>
      </c>
      <c r="Q560" s="9" t="b">
        <f aca="false">AND(IF(M560,0,Y559)=0,AA559,IF(ISNUMBER(AE559),B560&gt;AE559,FALSE()))</f>
        <v>0</v>
      </c>
      <c r="R560" s="8" t="n">
        <f aca="false">B560*(1+Inputs!$B$12)</f>
        <v>0.875817260838048</v>
      </c>
      <c r="S560" s="11" t="n">
        <f aca="false">IF(Q560,MIN(P560*Inputs!$B$3/(R560-AE559),P560*Inputs!$B$11/R560),0)</f>
        <v>0</v>
      </c>
      <c r="T560" s="11" t="n">
        <f aca="false">IF(Q560,S560,IF(M560,0,Y559))</f>
        <v>664.118972006065</v>
      </c>
      <c r="U560" s="8" t="n">
        <f aca="false">IF(Q560,AE559,AF559)</f>
        <v>0.771982232894536</v>
      </c>
      <c r="V560" s="9" t="b">
        <f aca="false">AND(T560&gt;0,D560&lt;=U560)</f>
        <v>0</v>
      </c>
      <c r="W560" s="10" t="n">
        <f aca="false">IF(V560,T560*(AK560-AB560)-Inputs!$B$9-T560*AD560*Inputs!$B$13*(A560-AC560),0)</f>
        <v>0</v>
      </c>
      <c r="X560" s="10" t="n">
        <f aca="false">P560-IF(Q560,Inputs!$B$9,0)+W560</f>
        <v>1015.3844066801</v>
      </c>
      <c r="Y560" s="11" t="n">
        <f aca="false">IF(V560,0,T560)</f>
        <v>664.118972006065</v>
      </c>
      <c r="Z560" s="9" t="b">
        <f aca="false">AND(Y560&gt;0,K560)</f>
        <v>0</v>
      </c>
      <c r="AA560" s="9" t="b">
        <f aca="false">AND(Y560=0,J560,ISNUMBER(L560))</f>
        <v>0</v>
      </c>
      <c r="AB560" s="8" t="n">
        <f aca="false">IF(Q560,R560,AB559)</f>
        <v>0.787286484836172</v>
      </c>
      <c r="AC560" s="12" t="n">
        <f aca="false">IF(Q560,A560,AC559)</f>
        <v>45226</v>
      </c>
      <c r="AD560" s="8" t="n">
        <f aca="false">IF(Q560,B560,AD559)</f>
        <v>0.787129059024367</v>
      </c>
      <c r="AE560" s="8" t="str">
        <f aca="false">IF(AA560,L560,"")</f>
        <v/>
      </c>
      <c r="AF560" s="8" t="n">
        <f aca="false">U560</f>
        <v>0.771982232894536</v>
      </c>
      <c r="AG560" s="2" t="n">
        <f aca="false">AG559+IF(Q560,1,0)</f>
        <v>3</v>
      </c>
      <c r="AH560" s="2" t="n">
        <f aca="false">AG559</f>
        <v>3</v>
      </c>
      <c r="AI560" s="10" t="n">
        <f aca="false">X560+Y560*(E560-AB560)-Y560*AD560*Inputs!$B$13*(A560-AC560)</f>
        <v>1058.26101090604</v>
      </c>
      <c r="AJ560" s="10" t="n">
        <v>0</v>
      </c>
      <c r="AK560" s="8" t="n">
        <f aca="false">IF(AND(B560&lt;=U560,NOT(Q560)),B560,U560)*(1-Inputs!$B$12)</f>
        <v>0.771827836447957</v>
      </c>
    </row>
    <row r="561" customFormat="false" ht="15" hidden="false" customHeight="false" outlineLevel="0" collapsed="false">
      <c r="A561" s="6" t="n">
        <v>45345</v>
      </c>
      <c r="B561" s="7" t="n">
        <v>0.86838860898956</v>
      </c>
      <c r="C561" s="7" t="n">
        <v>0.870129368344545</v>
      </c>
      <c r="D561" s="7" t="n">
        <v>0.86665191495069</v>
      </c>
      <c r="E561" s="7" t="n">
        <v>0.868674751324974</v>
      </c>
      <c r="F561" s="8" t="n">
        <f aca="true">IF(ROW()-2&gt;=Inputs!$B$4,AVERAGE(OFFSET(E561,1-Inputs!$B$4,0,Inputs!$B$4,1)),"")</f>
        <v>0.865676252683428</v>
      </c>
      <c r="G561" s="8" t="n">
        <f aca="true">IF(ROW()-2&gt;=Inputs!$B$5,AVERAGE(OFFSET(E561,1-Inputs!$B$5,0,Inputs!$B$5,1)),"")</f>
        <v>0.851673423389876</v>
      </c>
      <c r="H561" s="8" t="n">
        <f aca="false">MAX(C561-D561,ABS(C561-E560),ABS(D561-E560))</f>
        <v>0.0034774533938543</v>
      </c>
      <c r="I561" s="8" t="n">
        <f aca="true">IF(ROW()-2&lt;14,"",IF(ROW()-2=14,AVERAGE(OFFSET(H561,-13,0,14,1)),(I560*13+H561)/14))</f>
        <v>0.00792199848192166</v>
      </c>
      <c r="J561" s="9" t="b">
        <f aca="false">IF(AND(ISNUMBER(F561),ISNUMBER(G561),ISNUMBER(F560),ISNUMBER(G560)),AND(F561&gt;G561,F560&lt;=G560),FALSE())</f>
        <v>0</v>
      </c>
      <c r="K561" s="9" t="b">
        <f aca="false">IF(AND(ISNUMBER(F561),ISNUMBER(G561),ISNUMBER(F560),ISNUMBER(G560)),AND(F561&lt;G561,F560&gt;=G560),FALSE())</f>
        <v>0</v>
      </c>
      <c r="L561" s="8" t="n">
        <f aca="false">IF(ISNUMBER(I561),E561-Inputs!$B$6*I561,"")</f>
        <v>0.852830754361131</v>
      </c>
      <c r="M561" s="9" t="b">
        <f aca="false">AND(Y560&gt;0,Z560)</f>
        <v>0</v>
      </c>
      <c r="N561" s="8" t="n">
        <f aca="false">B561*(1-Inputs!$B$12)</f>
        <v>0.868214931267762</v>
      </c>
      <c r="O561" s="10" t="n">
        <f aca="false">IF(M561,Y560*(N561-AB560)-Inputs!$B$9-Y560*AD560*Inputs!$B$13*(A561-AC560),0)</f>
        <v>0</v>
      </c>
      <c r="P561" s="10" t="n">
        <f aca="false">X560+O561</f>
        <v>1015.3844066801</v>
      </c>
      <c r="Q561" s="9" t="b">
        <f aca="false">AND(IF(M561,0,Y560)=0,AA560,IF(ISNUMBER(AE560),B561&gt;AE560,FALSE()))</f>
        <v>0</v>
      </c>
      <c r="R561" s="8" t="n">
        <f aca="false">B561*(1+Inputs!$B$12)</f>
        <v>0.868562286711358</v>
      </c>
      <c r="S561" s="11" t="n">
        <f aca="false">IF(Q561,MIN(P561*Inputs!$B$3/(R561-AE560),P561*Inputs!$B$11/R561),0)</f>
        <v>0</v>
      </c>
      <c r="T561" s="11" t="n">
        <f aca="false">IF(Q561,S561,IF(M561,0,Y560))</f>
        <v>664.118972006065</v>
      </c>
      <c r="U561" s="8" t="n">
        <f aca="false">IF(Q561,AE560,AF560)</f>
        <v>0.771982232894536</v>
      </c>
      <c r="V561" s="9" t="b">
        <f aca="false">AND(T561&gt;0,D561&lt;=U561)</f>
        <v>0</v>
      </c>
      <c r="W561" s="10" t="n">
        <f aca="false">IF(V561,T561*(AK561-AB561)-Inputs!$B$9-T561*AD561*Inputs!$B$13*(A561-AC561),0)</f>
        <v>0</v>
      </c>
      <c r="X561" s="10" t="n">
        <f aca="false">P561-IF(Q561,Inputs!$B$9,0)+W561</f>
        <v>1015.3844066801</v>
      </c>
      <c r="Y561" s="11" t="n">
        <f aca="false">IF(V561,0,T561)</f>
        <v>664.118972006065</v>
      </c>
      <c r="Z561" s="9" t="b">
        <f aca="false">AND(Y561&gt;0,K561)</f>
        <v>0</v>
      </c>
      <c r="AA561" s="9" t="b">
        <f aca="false">AND(Y561=0,J561,ISNUMBER(L561))</f>
        <v>0</v>
      </c>
      <c r="AB561" s="8" t="n">
        <f aca="false">IF(Q561,R561,AB560)</f>
        <v>0.787286484836172</v>
      </c>
      <c r="AC561" s="12" t="n">
        <f aca="false">IF(Q561,A561,AC560)</f>
        <v>45226</v>
      </c>
      <c r="AD561" s="8" t="n">
        <f aca="false">IF(Q561,B561,AD560)</f>
        <v>0.787129059024367</v>
      </c>
      <c r="AE561" s="8" t="str">
        <f aca="false">IF(AA561,L561,"")</f>
        <v/>
      </c>
      <c r="AF561" s="8" t="n">
        <f aca="false">U561</f>
        <v>0.771982232894536</v>
      </c>
      <c r="AG561" s="2" t="n">
        <f aca="false">AG560+IF(Q561,1,0)</f>
        <v>3</v>
      </c>
      <c r="AH561" s="2" t="n">
        <f aca="false">AG560</f>
        <v>3</v>
      </c>
      <c r="AI561" s="10" t="n">
        <f aca="false">X561+Y561*(E561-AB561)-Y561*AD561*Inputs!$B$13*(A561-AC561)</f>
        <v>1058.35795146736</v>
      </c>
      <c r="AJ561" s="10" t="n">
        <v>0</v>
      </c>
      <c r="AK561" s="8" t="n">
        <f aca="false">IF(AND(B561&lt;=U561,NOT(Q561)),B561,U561)*(1-Inputs!$B$12)</f>
        <v>0.771827836447957</v>
      </c>
    </row>
    <row r="562" customFormat="false" ht="15" hidden="false" customHeight="false" outlineLevel="0" collapsed="false">
      <c r="A562" s="6" t="n">
        <v>45346</v>
      </c>
      <c r="B562" s="7" t="n">
        <v>0.868674751324974</v>
      </c>
      <c r="C562" s="7" t="n">
        <v>0.870759767724124</v>
      </c>
      <c r="D562" s="7" t="n">
        <v>0.862182416059217</v>
      </c>
      <c r="E562" s="7" t="n">
        <v>0.863766128911788</v>
      </c>
      <c r="F562" s="8" t="n">
        <f aca="true">IF(ROW()-2&gt;=Inputs!$B$4,AVERAGE(OFFSET(E562,1-Inputs!$B$4,0,Inputs!$B$4,1)),"")</f>
        <v>0.865810244570644</v>
      </c>
      <c r="G562" s="8" t="n">
        <f aca="true">IF(ROW()-2&gt;=Inputs!$B$5,AVERAGE(OFFSET(E562,1-Inputs!$B$5,0,Inputs!$B$5,1)),"")</f>
        <v>0.852455626070556</v>
      </c>
      <c r="H562" s="8" t="n">
        <f aca="false">MAX(C562-D562,ABS(C562-E561),ABS(D562-E561))</f>
        <v>0.00857735166490681</v>
      </c>
      <c r="I562" s="8" t="n">
        <f aca="true">IF(ROW()-2&lt;14,"",IF(ROW()-2=14,AVERAGE(OFFSET(H562,-13,0,14,1)),(I561*13+H562)/14))</f>
        <v>0.00796880942356346</v>
      </c>
      <c r="J562" s="9" t="b">
        <f aca="false">IF(AND(ISNUMBER(F562),ISNUMBER(G562),ISNUMBER(F561),ISNUMBER(G561)),AND(F562&gt;G562,F561&lt;=G561),FALSE())</f>
        <v>0</v>
      </c>
      <c r="K562" s="9" t="b">
        <f aca="false">IF(AND(ISNUMBER(F562),ISNUMBER(G562),ISNUMBER(F561),ISNUMBER(G561)),AND(F562&lt;G562,F561&gt;=G561),FALSE())</f>
        <v>0</v>
      </c>
      <c r="L562" s="8" t="n">
        <f aca="false">IF(ISNUMBER(I562),E562-Inputs!$B$6*I562,"")</f>
        <v>0.847828510064661</v>
      </c>
      <c r="M562" s="9" t="b">
        <f aca="false">AND(Y561&gt;0,Z561)</f>
        <v>0</v>
      </c>
      <c r="N562" s="8" t="n">
        <f aca="false">B562*(1-Inputs!$B$12)</f>
        <v>0.868501016374709</v>
      </c>
      <c r="O562" s="10" t="n">
        <f aca="false">IF(M562,Y561*(N562-AB561)-Inputs!$B$9-Y561*AD561*Inputs!$B$13*(A562-AC561),0)</f>
        <v>0</v>
      </c>
      <c r="P562" s="10" t="n">
        <f aca="false">X561+O562</f>
        <v>1015.3844066801</v>
      </c>
      <c r="Q562" s="9" t="b">
        <f aca="false">AND(IF(M562,0,Y561)=0,AA561,IF(ISNUMBER(AE561),B562&gt;AE561,FALSE()))</f>
        <v>0</v>
      </c>
      <c r="R562" s="8" t="n">
        <f aca="false">B562*(1+Inputs!$B$12)</f>
        <v>0.868848486275239</v>
      </c>
      <c r="S562" s="11" t="n">
        <f aca="false">IF(Q562,MIN(P562*Inputs!$B$3/(R562-AE561),P562*Inputs!$B$11/R562),0)</f>
        <v>0</v>
      </c>
      <c r="T562" s="11" t="n">
        <f aca="false">IF(Q562,S562,IF(M562,0,Y561))</f>
        <v>664.118972006065</v>
      </c>
      <c r="U562" s="8" t="n">
        <f aca="false">IF(Q562,AE561,AF561)</f>
        <v>0.771982232894536</v>
      </c>
      <c r="V562" s="9" t="b">
        <f aca="false">AND(T562&gt;0,D562&lt;=U562)</f>
        <v>0</v>
      </c>
      <c r="W562" s="10" t="n">
        <f aca="false">IF(V562,T562*(AK562-AB562)-Inputs!$B$9-T562*AD562*Inputs!$B$13*(A562-AC562),0)</f>
        <v>0</v>
      </c>
      <c r="X562" s="10" t="n">
        <f aca="false">P562-IF(Q562,Inputs!$B$9,0)+W562</f>
        <v>1015.3844066801</v>
      </c>
      <c r="Y562" s="11" t="n">
        <f aca="false">IF(V562,0,T562)</f>
        <v>664.118972006065</v>
      </c>
      <c r="Z562" s="9" t="b">
        <f aca="false">AND(Y562&gt;0,K562)</f>
        <v>0</v>
      </c>
      <c r="AA562" s="9" t="b">
        <f aca="false">AND(Y562=0,J562,ISNUMBER(L562))</f>
        <v>0</v>
      </c>
      <c r="AB562" s="8" t="n">
        <f aca="false">IF(Q562,R562,AB561)</f>
        <v>0.787286484836172</v>
      </c>
      <c r="AC562" s="12" t="n">
        <f aca="false">IF(Q562,A562,AC561)</f>
        <v>45226</v>
      </c>
      <c r="AD562" s="8" t="n">
        <f aca="false">IF(Q562,B562,AD561)</f>
        <v>0.787129059024367</v>
      </c>
      <c r="AE562" s="8" t="str">
        <f aca="false">IF(AA562,L562,"")</f>
        <v/>
      </c>
      <c r="AF562" s="8" t="n">
        <f aca="false">U562</f>
        <v>0.771982232894536</v>
      </c>
      <c r="AG562" s="2" t="n">
        <f aca="false">AG561+IF(Q562,1,0)</f>
        <v>3</v>
      </c>
      <c r="AH562" s="2" t="n">
        <f aca="false">AG561</f>
        <v>3</v>
      </c>
      <c r="AI562" s="10" t="n">
        <f aca="false">X562+Y562*(E562-AB562)-Y562*AD562*Inputs!$B$13*(A562-AC562)</f>
        <v>1055.00495020403</v>
      </c>
      <c r="AJ562" s="10" t="n">
        <v>0</v>
      </c>
      <c r="AK562" s="8" t="n">
        <f aca="false">IF(AND(B562&lt;=U562,NOT(Q562)),B562,U562)*(1-Inputs!$B$12)</f>
        <v>0.771827836447957</v>
      </c>
    </row>
    <row r="563" customFormat="false" ht="15" hidden="false" customHeight="false" outlineLevel="0" collapsed="false">
      <c r="A563" s="6" t="n">
        <v>45347</v>
      </c>
      <c r="B563" s="7" t="n">
        <v>0.863766128911788</v>
      </c>
      <c r="C563" s="7" t="n">
        <v>0.869747158792913</v>
      </c>
      <c r="D563" s="7" t="n">
        <v>0.858919647390792</v>
      </c>
      <c r="E563" s="7" t="n">
        <v>0.859657894277456</v>
      </c>
      <c r="F563" s="8" t="n">
        <f aca="true">IF(ROW()-2&gt;=Inputs!$B$4,AVERAGE(OFFSET(E563,1-Inputs!$B$4,0,Inputs!$B$4,1)),"")</f>
        <v>0.865263984396192</v>
      </c>
      <c r="G563" s="8" t="n">
        <f aca="true">IF(ROW()-2&gt;=Inputs!$B$5,AVERAGE(OFFSET(E563,1-Inputs!$B$5,0,Inputs!$B$5,1)),"")</f>
        <v>0.853241209143552</v>
      </c>
      <c r="H563" s="8" t="n">
        <f aca="false">MAX(C563-D563,ABS(C563-E562),ABS(D563-E562))</f>
        <v>0.0108275114021209</v>
      </c>
      <c r="I563" s="8" t="n">
        <f aca="true">IF(ROW()-2&lt;14,"",IF(ROW()-2=14,AVERAGE(OFFSET(H563,-13,0,14,1)),(I562*13+H563)/14))</f>
        <v>0.00817300242203185</v>
      </c>
      <c r="J563" s="9" t="b">
        <f aca="false">IF(AND(ISNUMBER(F563),ISNUMBER(G563),ISNUMBER(F562),ISNUMBER(G562)),AND(F563&gt;G563,F562&lt;=G562),FALSE())</f>
        <v>0</v>
      </c>
      <c r="K563" s="9" t="b">
        <f aca="false">IF(AND(ISNUMBER(F563),ISNUMBER(G563),ISNUMBER(F562),ISNUMBER(G562)),AND(F563&lt;G563,F562&gt;=G562),FALSE())</f>
        <v>0</v>
      </c>
      <c r="L563" s="8" t="n">
        <f aca="false">IF(ISNUMBER(I563),E563-Inputs!$B$6*I563,"")</f>
        <v>0.843311889433393</v>
      </c>
      <c r="M563" s="9" t="b">
        <f aca="false">AND(Y562&gt;0,Z562)</f>
        <v>0</v>
      </c>
      <c r="N563" s="8" t="n">
        <f aca="false">B563*(1-Inputs!$B$12)</f>
        <v>0.863593375686006</v>
      </c>
      <c r="O563" s="10" t="n">
        <f aca="false">IF(M563,Y562*(N563-AB562)-Inputs!$B$9-Y562*AD562*Inputs!$B$13*(A563-AC562),0)</f>
        <v>0</v>
      </c>
      <c r="P563" s="10" t="n">
        <f aca="false">X562+O563</f>
        <v>1015.3844066801</v>
      </c>
      <c r="Q563" s="9" t="b">
        <f aca="false">AND(IF(M563,0,Y562)=0,AA562,IF(ISNUMBER(AE562),B563&gt;AE562,FALSE()))</f>
        <v>0</v>
      </c>
      <c r="R563" s="8" t="n">
        <f aca="false">B563*(1+Inputs!$B$12)</f>
        <v>0.86393888213757</v>
      </c>
      <c r="S563" s="11" t="n">
        <f aca="false">IF(Q563,MIN(P563*Inputs!$B$3/(R563-AE562),P563*Inputs!$B$11/R563),0)</f>
        <v>0</v>
      </c>
      <c r="T563" s="11" t="n">
        <f aca="false">IF(Q563,S563,IF(M563,0,Y562))</f>
        <v>664.118972006065</v>
      </c>
      <c r="U563" s="8" t="n">
        <f aca="false">IF(Q563,AE562,AF562)</f>
        <v>0.771982232894536</v>
      </c>
      <c r="V563" s="9" t="b">
        <f aca="false">AND(T563&gt;0,D563&lt;=U563)</f>
        <v>0</v>
      </c>
      <c r="W563" s="10" t="n">
        <f aca="false">IF(V563,T563*(AK563-AB563)-Inputs!$B$9-T563*AD563*Inputs!$B$13*(A563-AC563),0)</f>
        <v>0</v>
      </c>
      <c r="X563" s="10" t="n">
        <f aca="false">P563-IF(Q563,Inputs!$B$9,0)+W563</f>
        <v>1015.3844066801</v>
      </c>
      <c r="Y563" s="11" t="n">
        <f aca="false">IF(V563,0,T563)</f>
        <v>664.118972006065</v>
      </c>
      <c r="Z563" s="9" t="b">
        <f aca="false">AND(Y563&gt;0,K563)</f>
        <v>0</v>
      </c>
      <c r="AA563" s="9" t="b">
        <f aca="false">AND(Y563=0,J563,ISNUMBER(L563))</f>
        <v>0</v>
      </c>
      <c r="AB563" s="8" t="n">
        <f aca="false">IF(Q563,R563,AB562)</f>
        <v>0.787286484836172</v>
      </c>
      <c r="AC563" s="12" t="n">
        <f aca="false">IF(Q563,A563,AC562)</f>
        <v>45226</v>
      </c>
      <c r="AD563" s="8" t="n">
        <f aca="false">IF(Q563,B563,AD562)</f>
        <v>0.787129059024367</v>
      </c>
      <c r="AE563" s="8" t="str">
        <f aca="false">IF(AA563,L563,"")</f>
        <v/>
      </c>
      <c r="AF563" s="8" t="n">
        <f aca="false">U563</f>
        <v>0.771982232894536</v>
      </c>
      <c r="AG563" s="2" t="n">
        <f aca="false">AG562+IF(Q563,1,0)</f>
        <v>3</v>
      </c>
      <c r="AH563" s="2" t="n">
        <f aca="false">AG562</f>
        <v>3</v>
      </c>
      <c r="AI563" s="10" t="n">
        <f aca="false">X563+Y563*(E563-AB563)-Y563*AD563*Inputs!$B$13*(A563-AC563)</f>
        <v>1052.18350164959</v>
      </c>
      <c r="AJ563" s="10" t="n">
        <v>0</v>
      </c>
      <c r="AK563" s="8" t="n">
        <f aca="false">IF(AND(B563&lt;=U563,NOT(Q563)),B563,U563)*(1-Inputs!$B$12)</f>
        <v>0.771827836447957</v>
      </c>
    </row>
    <row r="564" customFormat="false" ht="15" hidden="false" customHeight="false" outlineLevel="0" collapsed="false">
      <c r="A564" s="6" t="n">
        <v>45348</v>
      </c>
      <c r="B564" s="7" t="n">
        <v>0.859657894277456</v>
      </c>
      <c r="C564" s="7" t="n">
        <v>0.86270042003362</v>
      </c>
      <c r="D564" s="7" t="n">
        <v>0.855917428077808</v>
      </c>
      <c r="E564" s="7" t="n">
        <v>0.858227357667739</v>
      </c>
      <c r="F564" s="8" t="n">
        <f aca="true">IF(ROW()-2&gt;=Inputs!$B$4,AVERAGE(OFFSET(E564,1-Inputs!$B$4,0,Inputs!$B$4,1)),"")</f>
        <v>0.864630114160139</v>
      </c>
      <c r="G564" s="8" t="n">
        <f aca="true">IF(ROW()-2&gt;=Inputs!$B$5,AVERAGE(OFFSET(E564,1-Inputs!$B$5,0,Inputs!$B$5,1)),"")</f>
        <v>0.853777342161488</v>
      </c>
      <c r="H564" s="8" t="n">
        <f aca="false">MAX(C564-D564,ABS(C564-E563),ABS(D564-E563))</f>
        <v>0.00678299195581167</v>
      </c>
      <c r="I564" s="8" t="n">
        <f aca="true">IF(ROW()-2&lt;14,"",IF(ROW()-2=14,AVERAGE(OFFSET(H564,-13,0,14,1)),(I563*13+H564)/14))</f>
        <v>0.00807371596015898</v>
      </c>
      <c r="J564" s="9" t="b">
        <f aca="false">IF(AND(ISNUMBER(F564),ISNUMBER(G564),ISNUMBER(F563),ISNUMBER(G563)),AND(F564&gt;G564,F563&lt;=G563),FALSE())</f>
        <v>0</v>
      </c>
      <c r="K564" s="9" t="b">
        <f aca="false">IF(AND(ISNUMBER(F564),ISNUMBER(G564),ISNUMBER(F563),ISNUMBER(G563)),AND(F564&lt;G564,F563&gt;=G563),FALSE())</f>
        <v>0</v>
      </c>
      <c r="L564" s="8" t="n">
        <f aca="false">IF(ISNUMBER(I564),E564-Inputs!$B$6*I564,"")</f>
        <v>0.842079925747421</v>
      </c>
      <c r="M564" s="9" t="b">
        <f aca="false">AND(Y563&gt;0,Z563)</f>
        <v>0</v>
      </c>
      <c r="N564" s="8" t="n">
        <f aca="false">B564*(1-Inputs!$B$12)</f>
        <v>0.859485962698601</v>
      </c>
      <c r="O564" s="10" t="n">
        <f aca="false">IF(M564,Y563*(N564-AB563)-Inputs!$B$9-Y563*AD563*Inputs!$B$13*(A564-AC563),0)</f>
        <v>0</v>
      </c>
      <c r="P564" s="10" t="n">
        <f aca="false">X563+O564</f>
        <v>1015.3844066801</v>
      </c>
      <c r="Q564" s="9" t="b">
        <f aca="false">AND(IF(M564,0,Y563)=0,AA563,IF(ISNUMBER(AE563),B564&gt;AE563,FALSE()))</f>
        <v>0</v>
      </c>
      <c r="R564" s="8" t="n">
        <f aca="false">B564*(1+Inputs!$B$12)</f>
        <v>0.859829825856312</v>
      </c>
      <c r="S564" s="11" t="n">
        <f aca="false">IF(Q564,MIN(P564*Inputs!$B$3/(R564-AE563),P564*Inputs!$B$11/R564),0)</f>
        <v>0</v>
      </c>
      <c r="T564" s="11" t="n">
        <f aca="false">IF(Q564,S564,IF(M564,0,Y563))</f>
        <v>664.118972006065</v>
      </c>
      <c r="U564" s="8" t="n">
        <f aca="false">IF(Q564,AE563,AF563)</f>
        <v>0.771982232894536</v>
      </c>
      <c r="V564" s="9" t="b">
        <f aca="false">AND(T564&gt;0,D564&lt;=U564)</f>
        <v>0</v>
      </c>
      <c r="W564" s="10" t="n">
        <f aca="false">IF(V564,T564*(AK564-AB564)-Inputs!$B$9-T564*AD564*Inputs!$B$13*(A564-AC564),0)</f>
        <v>0</v>
      </c>
      <c r="X564" s="10" t="n">
        <f aca="false">P564-IF(Q564,Inputs!$B$9,0)+W564</f>
        <v>1015.3844066801</v>
      </c>
      <c r="Y564" s="11" t="n">
        <f aca="false">IF(V564,0,T564)</f>
        <v>664.118972006065</v>
      </c>
      <c r="Z564" s="9" t="b">
        <f aca="false">AND(Y564&gt;0,K564)</f>
        <v>0</v>
      </c>
      <c r="AA564" s="9" t="b">
        <f aca="false">AND(Y564=0,J564,ISNUMBER(L564))</f>
        <v>0</v>
      </c>
      <c r="AB564" s="8" t="n">
        <f aca="false">IF(Q564,R564,AB563)</f>
        <v>0.787286484836172</v>
      </c>
      <c r="AC564" s="12" t="n">
        <f aca="false">IF(Q564,A564,AC563)</f>
        <v>45226</v>
      </c>
      <c r="AD564" s="8" t="n">
        <f aca="false">IF(Q564,B564,AD563)</f>
        <v>0.787129059024367</v>
      </c>
      <c r="AE564" s="8" t="str">
        <f aca="false">IF(AA564,L564,"")</f>
        <v/>
      </c>
      <c r="AF564" s="8" t="n">
        <f aca="false">U564</f>
        <v>0.771982232894536</v>
      </c>
      <c r="AG564" s="2" t="n">
        <f aca="false">AG563+IF(Q564,1,0)</f>
        <v>3</v>
      </c>
      <c r="AH564" s="2" t="n">
        <f aca="false">AG563</f>
        <v>3</v>
      </c>
      <c r="AI564" s="10" t="n">
        <f aca="false">X564+Y564*(E564-AB564)-Y564*AD564*Inputs!$B$13*(A564-AC564)</f>
        <v>1051.1403631546</v>
      </c>
      <c r="AJ564" s="10" t="n">
        <v>0</v>
      </c>
      <c r="AK564" s="8" t="n">
        <f aca="false">IF(AND(B564&lt;=U564,NOT(Q564)),B564,U564)*(1-Inputs!$B$12)</f>
        <v>0.771827836447957</v>
      </c>
    </row>
    <row r="565" customFormat="false" ht="15" hidden="false" customHeight="false" outlineLevel="0" collapsed="false">
      <c r="A565" s="6" t="n">
        <v>45349</v>
      </c>
      <c r="B565" s="7" t="n">
        <v>0.858227357667739</v>
      </c>
      <c r="C565" s="7" t="n">
        <v>0.861752931339866</v>
      </c>
      <c r="D565" s="7" t="n">
        <v>0.857982116765507</v>
      </c>
      <c r="E565" s="7" t="n">
        <v>0.8592751112266</v>
      </c>
      <c r="F565" s="8" t="n">
        <f aca="true">IF(ROW()-2&gt;=Inputs!$B$4,AVERAGE(OFFSET(E565,1-Inputs!$B$4,0,Inputs!$B$4,1)),"")</f>
        <v>0.864051612637425</v>
      </c>
      <c r="G565" s="8" t="n">
        <f aca="true">IF(ROW()-2&gt;=Inputs!$B$5,AVERAGE(OFFSET(E565,1-Inputs!$B$5,0,Inputs!$B$5,1)),"")</f>
        <v>0.854230715905486</v>
      </c>
      <c r="H565" s="8" t="n">
        <f aca="false">MAX(C565-D565,ABS(C565-E564),ABS(D565-E564))</f>
        <v>0.00377081457435868</v>
      </c>
      <c r="I565" s="8" t="n">
        <f aca="true">IF(ROW()-2&lt;14,"",IF(ROW()-2=14,AVERAGE(OFFSET(H565,-13,0,14,1)),(I564*13+H565)/14))</f>
        <v>0.00776636586117324</v>
      </c>
      <c r="J565" s="9" t="b">
        <f aca="false">IF(AND(ISNUMBER(F565),ISNUMBER(G565),ISNUMBER(F564),ISNUMBER(G564)),AND(F565&gt;G565,F564&lt;=G564),FALSE())</f>
        <v>0</v>
      </c>
      <c r="K565" s="9" t="b">
        <f aca="false">IF(AND(ISNUMBER(F565),ISNUMBER(G565),ISNUMBER(F564),ISNUMBER(G564)),AND(F565&lt;G565,F564&gt;=G564),FALSE())</f>
        <v>0</v>
      </c>
      <c r="L565" s="8" t="n">
        <f aca="false">IF(ISNUMBER(I565),E565-Inputs!$B$6*I565,"")</f>
        <v>0.843742379504254</v>
      </c>
      <c r="M565" s="9" t="b">
        <f aca="false">AND(Y564&gt;0,Z564)</f>
        <v>0</v>
      </c>
      <c r="N565" s="8" t="n">
        <f aca="false">B565*(1-Inputs!$B$12)</f>
        <v>0.858055712196206</v>
      </c>
      <c r="O565" s="10" t="n">
        <f aca="false">IF(M565,Y564*(N565-AB564)-Inputs!$B$9-Y564*AD564*Inputs!$B$13*(A565-AC564),0)</f>
        <v>0</v>
      </c>
      <c r="P565" s="10" t="n">
        <f aca="false">X564+O565</f>
        <v>1015.3844066801</v>
      </c>
      <c r="Q565" s="9" t="b">
        <f aca="false">AND(IF(M565,0,Y564)=0,AA564,IF(ISNUMBER(AE564),B565&gt;AE564,FALSE()))</f>
        <v>0</v>
      </c>
      <c r="R565" s="8" t="n">
        <f aca="false">B565*(1+Inputs!$B$12)</f>
        <v>0.858399003139273</v>
      </c>
      <c r="S565" s="11" t="n">
        <f aca="false">IF(Q565,MIN(P565*Inputs!$B$3/(R565-AE564),P565*Inputs!$B$11/R565),0)</f>
        <v>0</v>
      </c>
      <c r="T565" s="11" t="n">
        <f aca="false">IF(Q565,S565,IF(M565,0,Y564))</f>
        <v>664.118972006065</v>
      </c>
      <c r="U565" s="8" t="n">
        <f aca="false">IF(Q565,AE564,AF564)</f>
        <v>0.771982232894536</v>
      </c>
      <c r="V565" s="9" t="b">
        <f aca="false">AND(T565&gt;0,D565&lt;=U565)</f>
        <v>0</v>
      </c>
      <c r="W565" s="10" t="n">
        <f aca="false">IF(V565,T565*(AK565-AB565)-Inputs!$B$9-T565*AD565*Inputs!$B$13*(A565-AC565),0)</f>
        <v>0</v>
      </c>
      <c r="X565" s="10" t="n">
        <f aca="false">P565-IF(Q565,Inputs!$B$9,0)+W565</f>
        <v>1015.3844066801</v>
      </c>
      <c r="Y565" s="11" t="n">
        <f aca="false">IF(V565,0,T565)</f>
        <v>664.118972006065</v>
      </c>
      <c r="Z565" s="9" t="b">
        <f aca="false">AND(Y565&gt;0,K565)</f>
        <v>0</v>
      </c>
      <c r="AA565" s="9" t="b">
        <f aca="false">AND(Y565=0,J565,ISNUMBER(L565))</f>
        <v>0</v>
      </c>
      <c r="AB565" s="8" t="n">
        <f aca="false">IF(Q565,R565,AB564)</f>
        <v>0.787286484836172</v>
      </c>
      <c r="AC565" s="12" t="n">
        <f aca="false">IF(Q565,A565,AC564)</f>
        <v>45226</v>
      </c>
      <c r="AD565" s="8" t="n">
        <f aca="false">IF(Q565,B565,AD564)</f>
        <v>0.787129059024367</v>
      </c>
      <c r="AE565" s="8" t="str">
        <f aca="false">IF(AA565,L565,"")</f>
        <v/>
      </c>
      <c r="AF565" s="8" t="n">
        <f aca="false">U565</f>
        <v>0.771982232894536</v>
      </c>
      <c r="AG565" s="2" t="n">
        <f aca="false">AG564+IF(Q565,1,0)</f>
        <v>3</v>
      </c>
      <c r="AH565" s="2" t="n">
        <f aca="false">AG564</f>
        <v>3</v>
      </c>
      <c r="AI565" s="10" t="n">
        <f aca="false">X565+Y565*(E565-AB565)-Y565*AD565*Inputs!$B$13*(A565-AC565)</f>
        <v>1051.7431041787</v>
      </c>
      <c r="AJ565" s="10" t="n">
        <v>0</v>
      </c>
      <c r="AK565" s="8" t="n">
        <f aca="false">IF(AND(B565&lt;=U565,NOT(Q565)),B565,U565)*(1-Inputs!$B$12)</f>
        <v>0.771827836447957</v>
      </c>
    </row>
    <row r="566" customFormat="false" ht="15" hidden="false" customHeight="false" outlineLevel="0" collapsed="false">
      <c r="A566" s="6" t="n">
        <v>45350</v>
      </c>
      <c r="B566" s="7" t="n">
        <v>0.8592751112266</v>
      </c>
      <c r="C566" s="7" t="n">
        <v>0.867482402268199</v>
      </c>
      <c r="D566" s="7" t="n">
        <v>0.856367509013374</v>
      </c>
      <c r="E566" s="7" t="n">
        <v>0.864921823387543</v>
      </c>
      <c r="F566" s="8" t="n">
        <f aca="true">IF(ROW()-2&gt;=Inputs!$B$4,AVERAGE(OFFSET(E566,1-Inputs!$B$4,0,Inputs!$B$4,1)),"")</f>
        <v>0.863591637998212</v>
      </c>
      <c r="G566" s="8" t="n">
        <f aca="true">IF(ROW()-2&gt;=Inputs!$B$5,AVERAGE(OFFSET(E566,1-Inputs!$B$5,0,Inputs!$B$5,1)),"")</f>
        <v>0.854640699084675</v>
      </c>
      <c r="H566" s="8" t="n">
        <f aca="false">MAX(C566-D566,ABS(C566-E565),ABS(D566-E565))</f>
        <v>0.0111148932548256</v>
      </c>
      <c r="I566" s="8" t="n">
        <f aca="true">IF(ROW()-2&lt;14,"",IF(ROW()-2=14,AVERAGE(OFFSET(H566,-13,0,14,1)),(I565*13+H566)/14))</f>
        <v>0.00800554638929127</v>
      </c>
      <c r="J566" s="9" t="b">
        <f aca="false">IF(AND(ISNUMBER(F566),ISNUMBER(G566),ISNUMBER(F565),ISNUMBER(G565)),AND(F566&gt;G566,F565&lt;=G565),FALSE())</f>
        <v>0</v>
      </c>
      <c r="K566" s="9" t="b">
        <f aca="false">IF(AND(ISNUMBER(F566),ISNUMBER(G566),ISNUMBER(F565),ISNUMBER(G565)),AND(F566&lt;G566,F565&gt;=G565),FALSE())</f>
        <v>0</v>
      </c>
      <c r="L566" s="8" t="n">
        <f aca="false">IF(ISNUMBER(I566),E566-Inputs!$B$6*I566,"")</f>
        <v>0.84891073060896</v>
      </c>
      <c r="M566" s="9" t="b">
        <f aca="false">AND(Y565&gt;0,Z565)</f>
        <v>0</v>
      </c>
      <c r="N566" s="8" t="n">
        <f aca="false">B566*(1-Inputs!$B$12)</f>
        <v>0.859103256204355</v>
      </c>
      <c r="O566" s="10" t="n">
        <f aca="false">IF(M566,Y565*(N566-AB565)-Inputs!$B$9-Y565*AD565*Inputs!$B$13*(A566-AC565),0)</f>
        <v>0</v>
      </c>
      <c r="P566" s="10" t="n">
        <f aca="false">X565+O566</f>
        <v>1015.3844066801</v>
      </c>
      <c r="Q566" s="9" t="b">
        <f aca="false">AND(IF(M566,0,Y565)=0,AA565,IF(ISNUMBER(AE565),B566&gt;AE565,FALSE()))</f>
        <v>0</v>
      </c>
      <c r="R566" s="8" t="n">
        <f aca="false">B566*(1+Inputs!$B$12)</f>
        <v>0.859446966248846</v>
      </c>
      <c r="S566" s="11" t="n">
        <f aca="false">IF(Q566,MIN(P566*Inputs!$B$3/(R566-AE565),P566*Inputs!$B$11/R566),0)</f>
        <v>0</v>
      </c>
      <c r="T566" s="11" t="n">
        <f aca="false">IF(Q566,S566,IF(M566,0,Y565))</f>
        <v>664.118972006065</v>
      </c>
      <c r="U566" s="8" t="n">
        <f aca="false">IF(Q566,AE565,AF565)</f>
        <v>0.771982232894536</v>
      </c>
      <c r="V566" s="9" t="b">
        <f aca="false">AND(T566&gt;0,D566&lt;=U566)</f>
        <v>0</v>
      </c>
      <c r="W566" s="10" t="n">
        <f aca="false">IF(V566,T566*(AK566-AB566)-Inputs!$B$9-T566*AD566*Inputs!$B$13*(A566-AC566),0)</f>
        <v>0</v>
      </c>
      <c r="X566" s="10" t="n">
        <f aca="false">P566-IF(Q566,Inputs!$B$9,0)+W566</f>
        <v>1015.3844066801</v>
      </c>
      <c r="Y566" s="11" t="n">
        <f aca="false">IF(V566,0,T566)</f>
        <v>664.118972006065</v>
      </c>
      <c r="Z566" s="9" t="b">
        <f aca="false">AND(Y566&gt;0,K566)</f>
        <v>0</v>
      </c>
      <c r="AA566" s="9" t="b">
        <f aca="false">AND(Y566=0,J566,ISNUMBER(L566))</f>
        <v>0</v>
      </c>
      <c r="AB566" s="8" t="n">
        <f aca="false">IF(Q566,R566,AB565)</f>
        <v>0.787286484836172</v>
      </c>
      <c r="AC566" s="12" t="n">
        <f aca="false">IF(Q566,A566,AC565)</f>
        <v>45226</v>
      </c>
      <c r="AD566" s="8" t="n">
        <f aca="false">IF(Q566,B566,AD565)</f>
        <v>0.787129059024367</v>
      </c>
      <c r="AE566" s="8" t="str">
        <f aca="false">IF(AA566,L566,"")</f>
        <v/>
      </c>
      <c r="AF566" s="8" t="n">
        <f aca="false">U566</f>
        <v>0.771982232894536</v>
      </c>
      <c r="AG566" s="2" t="n">
        <f aca="false">AG565+IF(Q566,1,0)</f>
        <v>3</v>
      </c>
      <c r="AH566" s="2" t="n">
        <f aca="false">AG565</f>
        <v>3</v>
      </c>
      <c r="AI566" s="10" t="n">
        <f aca="false">X566+Y566*(E566-AB566)-Y566*AD566*Inputs!$B$13*(A566-AC566)</f>
        <v>1055.40010086192</v>
      </c>
      <c r="AJ566" s="10" t="n">
        <v>0</v>
      </c>
      <c r="AK566" s="8" t="n">
        <f aca="false">IF(AND(B566&lt;=U566,NOT(Q566)),B566,U566)*(1-Inputs!$B$12)</f>
        <v>0.771827836447957</v>
      </c>
    </row>
    <row r="567" customFormat="false" ht="15" hidden="false" customHeight="false" outlineLevel="0" collapsed="false">
      <c r="A567" s="6" t="n">
        <v>45351</v>
      </c>
      <c r="B567" s="7" t="n">
        <v>0.864921823387543</v>
      </c>
      <c r="C567" s="7" t="n">
        <v>0.866216385407936</v>
      </c>
      <c r="D567" s="7" t="n">
        <v>0.855236127658166</v>
      </c>
      <c r="E567" s="7" t="n">
        <v>0.855545650965309</v>
      </c>
      <c r="F567" s="8" t="n">
        <f aca="true">IF(ROW()-2&gt;=Inputs!$B$4,AVERAGE(OFFSET(E567,1-Inputs!$B$4,0,Inputs!$B$4,1)),"")</f>
        <v>0.8629027627658</v>
      </c>
      <c r="G567" s="8" t="n">
        <f aca="true">IF(ROW()-2&gt;=Inputs!$B$5,AVERAGE(OFFSET(E567,1-Inputs!$B$5,0,Inputs!$B$5,1)),"")</f>
        <v>0.854969767377797</v>
      </c>
      <c r="H567" s="8" t="n">
        <f aca="false">MAX(C567-D567,ABS(C567-E566),ABS(D567-E566))</f>
        <v>0.0109802577497701</v>
      </c>
      <c r="I567" s="8" t="n">
        <f aca="true">IF(ROW()-2&lt;14,"",IF(ROW()-2=14,AVERAGE(OFFSET(H567,-13,0,14,1)),(I566*13+H567)/14))</f>
        <v>0.00821802577218261</v>
      </c>
      <c r="J567" s="9" t="b">
        <f aca="false">IF(AND(ISNUMBER(F567),ISNUMBER(G567),ISNUMBER(F566),ISNUMBER(G566)),AND(F567&gt;G567,F566&lt;=G566),FALSE())</f>
        <v>0</v>
      </c>
      <c r="K567" s="9" t="b">
        <f aca="false">IF(AND(ISNUMBER(F567),ISNUMBER(G567),ISNUMBER(F566),ISNUMBER(G566)),AND(F567&lt;G567,F566&gt;=G566),FALSE())</f>
        <v>0</v>
      </c>
      <c r="L567" s="8" t="n">
        <f aca="false">IF(ISNUMBER(I567),E567-Inputs!$B$6*I567,"")</f>
        <v>0.839109599420944</v>
      </c>
      <c r="M567" s="9" t="b">
        <f aca="false">AND(Y566&gt;0,Z566)</f>
        <v>0</v>
      </c>
      <c r="N567" s="8" t="n">
        <f aca="false">B567*(1-Inputs!$B$12)</f>
        <v>0.864748839022866</v>
      </c>
      <c r="O567" s="10" t="n">
        <f aca="false">IF(M567,Y566*(N567-AB566)-Inputs!$B$9-Y566*AD566*Inputs!$B$13*(A567-AC566),0)</f>
        <v>0</v>
      </c>
      <c r="P567" s="10" t="n">
        <f aca="false">X566+O567</f>
        <v>1015.3844066801</v>
      </c>
      <c r="Q567" s="9" t="b">
        <f aca="false">AND(IF(M567,0,Y566)=0,AA566,IF(ISNUMBER(AE566),B567&gt;AE566,FALSE()))</f>
        <v>0</v>
      </c>
      <c r="R567" s="8" t="n">
        <f aca="false">B567*(1+Inputs!$B$12)</f>
        <v>0.865094807752221</v>
      </c>
      <c r="S567" s="11" t="n">
        <f aca="false">IF(Q567,MIN(P567*Inputs!$B$3/(R567-AE566),P567*Inputs!$B$11/R567),0)</f>
        <v>0</v>
      </c>
      <c r="T567" s="11" t="n">
        <f aca="false">IF(Q567,S567,IF(M567,0,Y566))</f>
        <v>664.118972006065</v>
      </c>
      <c r="U567" s="8" t="n">
        <f aca="false">IF(Q567,AE566,AF566)</f>
        <v>0.771982232894536</v>
      </c>
      <c r="V567" s="9" t="b">
        <f aca="false">AND(T567&gt;0,D567&lt;=U567)</f>
        <v>0</v>
      </c>
      <c r="W567" s="10" t="n">
        <f aca="false">IF(V567,T567*(AK567-AB567)-Inputs!$B$9-T567*AD567*Inputs!$B$13*(A567-AC567),0)</f>
        <v>0</v>
      </c>
      <c r="X567" s="10" t="n">
        <f aca="false">P567-IF(Q567,Inputs!$B$9,0)+W567</f>
        <v>1015.3844066801</v>
      </c>
      <c r="Y567" s="11" t="n">
        <f aca="false">IF(V567,0,T567)</f>
        <v>664.118972006065</v>
      </c>
      <c r="Z567" s="9" t="b">
        <f aca="false">AND(Y567&gt;0,K567)</f>
        <v>0</v>
      </c>
      <c r="AA567" s="9" t="b">
        <f aca="false">AND(Y567=0,J567,ISNUMBER(L567))</f>
        <v>0</v>
      </c>
      <c r="AB567" s="8" t="n">
        <f aca="false">IF(Q567,R567,AB566)</f>
        <v>0.787286484836172</v>
      </c>
      <c r="AC567" s="12" t="n">
        <f aca="false">IF(Q567,A567,AC566)</f>
        <v>45226</v>
      </c>
      <c r="AD567" s="8" t="n">
        <f aca="false">IF(Q567,B567,AD566)</f>
        <v>0.787129059024367</v>
      </c>
      <c r="AE567" s="8" t="str">
        <f aca="false">IF(AA567,L567,"")</f>
        <v/>
      </c>
      <c r="AF567" s="8" t="n">
        <f aca="false">U567</f>
        <v>0.771982232894536</v>
      </c>
      <c r="AG567" s="2" t="n">
        <f aca="false">AG566+IF(Q567,1,0)</f>
        <v>3</v>
      </c>
      <c r="AH567" s="2" t="n">
        <f aca="false">AG566</f>
        <v>3</v>
      </c>
      <c r="AI567" s="10" t="n">
        <f aca="false">X567+Y567*(E567-AB567)-Y567*AD567*Inputs!$B$13*(A567-AC567)</f>
        <v>1049.08011487919</v>
      </c>
      <c r="AJ567" s="10" t="n">
        <v>0</v>
      </c>
      <c r="AK567" s="8" t="n">
        <f aca="false">IF(AND(B567&lt;=U567,NOT(Q567)),B567,U567)*(1-Inputs!$B$12)</f>
        <v>0.771827836447957</v>
      </c>
    </row>
    <row r="568" customFormat="false" ht="15" hidden="false" customHeight="false" outlineLevel="0" collapsed="false">
      <c r="A568" s="6" t="n">
        <v>45352</v>
      </c>
      <c r="B568" s="7" t="n">
        <v>0.855545650965309</v>
      </c>
      <c r="C568" s="7" t="n">
        <v>0.857066873056127</v>
      </c>
      <c r="D568" s="7" t="n">
        <v>0.853394541902133</v>
      </c>
      <c r="E568" s="7" t="n">
        <v>0.855181636057447</v>
      </c>
      <c r="F568" s="8" t="n">
        <f aca="true">IF(ROW()-2&gt;=Inputs!$B$4,AVERAGE(OFFSET(E568,1-Inputs!$B$4,0,Inputs!$B$4,1)),"")</f>
        <v>0.862765466511974</v>
      </c>
      <c r="G568" s="8" t="n">
        <f aca="true">IF(ROW()-2&gt;=Inputs!$B$5,AVERAGE(OFFSET(E568,1-Inputs!$B$5,0,Inputs!$B$5,1)),"")</f>
        <v>0.855420447059241</v>
      </c>
      <c r="H568" s="8" t="n">
        <f aca="false">MAX(C568-D568,ABS(C568-E567),ABS(D568-E567))</f>
        <v>0.00367233115399479</v>
      </c>
      <c r="I568" s="8" t="n">
        <f aca="true">IF(ROW()-2&lt;14,"",IF(ROW()-2=14,AVERAGE(OFFSET(H568,-13,0,14,1)),(I567*13+H568)/14))</f>
        <v>0.00789333329945491</v>
      </c>
      <c r="J568" s="9" t="b">
        <f aca="false">IF(AND(ISNUMBER(F568),ISNUMBER(G568),ISNUMBER(F567),ISNUMBER(G567)),AND(F568&gt;G568,F567&lt;=G567),FALSE())</f>
        <v>0</v>
      </c>
      <c r="K568" s="9" t="b">
        <f aca="false">IF(AND(ISNUMBER(F568),ISNUMBER(G568),ISNUMBER(F567),ISNUMBER(G567)),AND(F568&lt;G568,F567&gt;=G567),FALSE())</f>
        <v>0</v>
      </c>
      <c r="L568" s="8" t="n">
        <f aca="false">IF(ISNUMBER(I568),E568-Inputs!$B$6*I568,"")</f>
        <v>0.839394969458537</v>
      </c>
      <c r="M568" s="9" t="b">
        <f aca="false">AND(Y567&gt;0,Z567)</f>
        <v>0</v>
      </c>
      <c r="N568" s="8" t="n">
        <f aca="false">B568*(1-Inputs!$B$12)</f>
        <v>0.855374541835116</v>
      </c>
      <c r="O568" s="10" t="n">
        <f aca="false">IF(M568,Y567*(N568-AB567)-Inputs!$B$9-Y567*AD567*Inputs!$B$13*(A568-AC567),0)</f>
        <v>0</v>
      </c>
      <c r="P568" s="10" t="n">
        <f aca="false">X567+O568</f>
        <v>1015.3844066801</v>
      </c>
      <c r="Q568" s="9" t="b">
        <f aca="false">AND(IF(M568,0,Y567)=0,AA567,IF(ISNUMBER(AE567),B568&gt;AE567,FALSE()))</f>
        <v>0</v>
      </c>
      <c r="R568" s="8" t="n">
        <f aca="false">B568*(1+Inputs!$B$12)</f>
        <v>0.855716760095502</v>
      </c>
      <c r="S568" s="11" t="n">
        <f aca="false">IF(Q568,MIN(P568*Inputs!$B$3/(R568-AE567),P568*Inputs!$B$11/R568),0)</f>
        <v>0</v>
      </c>
      <c r="T568" s="11" t="n">
        <f aca="false">IF(Q568,S568,IF(M568,0,Y567))</f>
        <v>664.118972006065</v>
      </c>
      <c r="U568" s="8" t="n">
        <f aca="false">IF(Q568,AE567,AF567)</f>
        <v>0.771982232894536</v>
      </c>
      <c r="V568" s="9" t="b">
        <f aca="false">AND(T568&gt;0,D568&lt;=U568)</f>
        <v>0</v>
      </c>
      <c r="W568" s="10" t="n">
        <f aca="false">IF(V568,T568*(AK568-AB568)-Inputs!$B$9-T568*AD568*Inputs!$B$13*(A568-AC568),0)</f>
        <v>0</v>
      </c>
      <c r="X568" s="10" t="n">
        <f aca="false">P568-IF(Q568,Inputs!$B$9,0)+W568</f>
        <v>1015.3844066801</v>
      </c>
      <c r="Y568" s="11" t="n">
        <f aca="false">IF(V568,0,T568)</f>
        <v>664.118972006065</v>
      </c>
      <c r="Z568" s="9" t="b">
        <f aca="false">AND(Y568&gt;0,K568)</f>
        <v>0</v>
      </c>
      <c r="AA568" s="9" t="b">
        <f aca="false">AND(Y568=0,J568,ISNUMBER(L568))</f>
        <v>0</v>
      </c>
      <c r="AB568" s="8" t="n">
        <f aca="false">IF(Q568,R568,AB567)</f>
        <v>0.787286484836172</v>
      </c>
      <c r="AC568" s="12" t="n">
        <f aca="false">IF(Q568,A568,AC567)</f>
        <v>45226</v>
      </c>
      <c r="AD568" s="8" t="n">
        <f aca="false">IF(Q568,B568,AD567)</f>
        <v>0.787129059024367</v>
      </c>
      <c r="AE568" s="8" t="str">
        <f aca="false">IF(AA568,L568,"")</f>
        <v/>
      </c>
      <c r="AF568" s="8" t="n">
        <f aca="false">U568</f>
        <v>0.771982232894536</v>
      </c>
      <c r="AG568" s="2" t="n">
        <f aca="false">AG567+IF(Q568,1,0)</f>
        <v>3</v>
      </c>
      <c r="AH568" s="2" t="n">
        <f aca="false">AG567</f>
        <v>3</v>
      </c>
      <c r="AI568" s="10" t="n">
        <f aca="false">X568+Y568*(E568-AB568)-Y568*AD568*Inputs!$B$13*(A568-AC568)</f>
        <v>1048.74527368046</v>
      </c>
      <c r="AJ568" s="10" t="n">
        <v>0</v>
      </c>
      <c r="AK568" s="8" t="n">
        <f aca="false">IF(AND(B568&lt;=U568,NOT(Q568)),B568,U568)*(1-Inputs!$B$12)</f>
        <v>0.771827836447957</v>
      </c>
    </row>
    <row r="569" customFormat="false" ht="15" hidden="false" customHeight="false" outlineLevel="0" collapsed="false">
      <c r="A569" s="6" t="n">
        <v>45353</v>
      </c>
      <c r="B569" s="7" t="n">
        <v>0.855181636057447</v>
      </c>
      <c r="C569" s="7" t="n">
        <v>0.855696712815009</v>
      </c>
      <c r="D569" s="7" t="n">
        <v>0.846252175508285</v>
      </c>
      <c r="E569" s="7" t="n">
        <v>0.850611644945535</v>
      </c>
      <c r="F569" s="8" t="n">
        <f aca="true">IF(ROW()-2&gt;=Inputs!$B$4,AVERAGE(OFFSET(E569,1-Inputs!$B$4,0,Inputs!$B$4,1)),"")</f>
        <v>0.862018231396054</v>
      </c>
      <c r="G569" s="8" t="n">
        <f aca="true">IF(ROW()-2&gt;=Inputs!$B$5,AVERAGE(OFFSET(E569,1-Inputs!$B$5,0,Inputs!$B$5,1)),"")</f>
        <v>0.855700914431847</v>
      </c>
      <c r="H569" s="8" t="n">
        <f aca="false">MAX(C569-D569,ABS(C569-E568),ABS(D569-E568))</f>
        <v>0.00944453730672379</v>
      </c>
      <c r="I569" s="8" t="n">
        <f aca="true">IF(ROW()-2&lt;14,"",IF(ROW()-2=14,AVERAGE(OFFSET(H569,-13,0,14,1)),(I568*13+H569)/14))</f>
        <v>0.0080041335856884</v>
      </c>
      <c r="J569" s="9" t="b">
        <f aca="false">IF(AND(ISNUMBER(F569),ISNUMBER(G569),ISNUMBER(F568),ISNUMBER(G568)),AND(F569&gt;G569,F568&lt;=G568),FALSE())</f>
        <v>0</v>
      </c>
      <c r="K569" s="9" t="b">
        <f aca="false">IF(AND(ISNUMBER(F569),ISNUMBER(G569),ISNUMBER(F568),ISNUMBER(G568)),AND(F569&lt;G569,F568&gt;=G568),FALSE())</f>
        <v>0</v>
      </c>
      <c r="L569" s="8" t="n">
        <f aca="false">IF(ISNUMBER(I569),E569-Inputs!$B$6*I569,"")</f>
        <v>0.834603377774158</v>
      </c>
      <c r="M569" s="9" t="b">
        <f aca="false">AND(Y568&gt;0,Z568)</f>
        <v>0</v>
      </c>
      <c r="N569" s="8" t="n">
        <f aca="false">B569*(1-Inputs!$B$12)</f>
        <v>0.855010599730236</v>
      </c>
      <c r="O569" s="10" t="n">
        <f aca="false">IF(M569,Y568*(N569-AB568)-Inputs!$B$9-Y568*AD568*Inputs!$B$13*(A569-AC568),0)</f>
        <v>0</v>
      </c>
      <c r="P569" s="10" t="n">
        <f aca="false">X568+O569</f>
        <v>1015.3844066801</v>
      </c>
      <c r="Q569" s="9" t="b">
        <f aca="false">AND(IF(M569,0,Y568)=0,AA568,IF(ISNUMBER(AE568),B569&gt;AE568,FALSE()))</f>
        <v>0</v>
      </c>
      <c r="R569" s="8" t="n">
        <f aca="false">B569*(1+Inputs!$B$12)</f>
        <v>0.855352672384659</v>
      </c>
      <c r="S569" s="11" t="n">
        <f aca="false">IF(Q569,MIN(P569*Inputs!$B$3/(R569-AE568),P569*Inputs!$B$11/R569),0)</f>
        <v>0</v>
      </c>
      <c r="T569" s="11" t="n">
        <f aca="false">IF(Q569,S569,IF(M569,0,Y568))</f>
        <v>664.118972006065</v>
      </c>
      <c r="U569" s="8" t="n">
        <f aca="false">IF(Q569,AE568,AF568)</f>
        <v>0.771982232894536</v>
      </c>
      <c r="V569" s="9" t="b">
        <f aca="false">AND(T569&gt;0,D569&lt;=U569)</f>
        <v>0</v>
      </c>
      <c r="W569" s="10" t="n">
        <f aca="false">IF(V569,T569*(AK569-AB569)-Inputs!$B$9-T569*AD569*Inputs!$B$13*(A569-AC569),0)</f>
        <v>0</v>
      </c>
      <c r="X569" s="10" t="n">
        <f aca="false">P569-IF(Q569,Inputs!$B$9,0)+W569</f>
        <v>1015.3844066801</v>
      </c>
      <c r="Y569" s="11" t="n">
        <f aca="false">IF(V569,0,T569)</f>
        <v>664.118972006065</v>
      </c>
      <c r="Z569" s="9" t="b">
        <f aca="false">AND(Y569&gt;0,K569)</f>
        <v>0</v>
      </c>
      <c r="AA569" s="9" t="b">
        <f aca="false">AND(Y569=0,J569,ISNUMBER(L569))</f>
        <v>0</v>
      </c>
      <c r="AB569" s="8" t="n">
        <f aca="false">IF(Q569,R569,AB568)</f>
        <v>0.787286484836172</v>
      </c>
      <c r="AC569" s="12" t="n">
        <f aca="false">IF(Q569,A569,AC568)</f>
        <v>45226</v>
      </c>
      <c r="AD569" s="8" t="n">
        <f aca="false">IF(Q569,B569,AD568)</f>
        <v>0.787129059024367</v>
      </c>
      <c r="AE569" s="8" t="str">
        <f aca="false">IF(AA569,L569,"")</f>
        <v/>
      </c>
      <c r="AF569" s="8" t="n">
        <f aca="false">U569</f>
        <v>0.771982232894536</v>
      </c>
      <c r="AG569" s="2" t="n">
        <f aca="false">AG568+IF(Q569,1,0)</f>
        <v>3</v>
      </c>
      <c r="AH569" s="2" t="n">
        <f aca="false">AG568</f>
        <v>3</v>
      </c>
      <c r="AI569" s="10" t="n">
        <f aca="false">X569+Y569*(E569-AB569)-Y569*AD569*Inputs!$B$13*(A569-AC569)</f>
        <v>1045.61716388882</v>
      </c>
      <c r="AJ569" s="10" t="n">
        <v>0</v>
      </c>
      <c r="AK569" s="8" t="n">
        <f aca="false">IF(AND(B569&lt;=U569,NOT(Q569)),B569,U569)*(1-Inputs!$B$12)</f>
        <v>0.771827836447957</v>
      </c>
    </row>
    <row r="570" customFormat="false" ht="15" hidden="false" customHeight="false" outlineLevel="0" collapsed="false">
      <c r="A570" s="6" t="n">
        <v>45354</v>
      </c>
      <c r="B570" s="7" t="n">
        <v>0.850611644945535</v>
      </c>
      <c r="C570" s="7" t="n">
        <v>0.852614007783945</v>
      </c>
      <c r="D570" s="7" t="n">
        <v>0.841766166857263</v>
      </c>
      <c r="E570" s="7" t="n">
        <v>0.84637513539364</v>
      </c>
      <c r="F570" s="8" t="n">
        <f aca="true">IF(ROW()-2&gt;=Inputs!$B$4,AVERAGE(OFFSET(E570,1-Inputs!$B$4,0,Inputs!$B$4,1)),"")</f>
        <v>0.861271918094829</v>
      </c>
      <c r="G570" s="8" t="n">
        <f aca="true">IF(ROW()-2&gt;=Inputs!$B$5,AVERAGE(OFFSET(E570,1-Inputs!$B$5,0,Inputs!$B$5,1)),"")</f>
        <v>0.855936639565735</v>
      </c>
      <c r="H570" s="8" t="n">
        <f aca="false">MAX(C570-D570,ABS(C570-E569),ABS(D570-E569))</f>
        <v>0.0108478409266821</v>
      </c>
      <c r="I570" s="8" t="n">
        <f aca="true">IF(ROW()-2&lt;14,"",IF(ROW()-2=14,AVERAGE(OFFSET(H570,-13,0,14,1)),(I569*13+H570)/14))</f>
        <v>0.00820725553861653</v>
      </c>
      <c r="J570" s="9" t="b">
        <f aca="false">IF(AND(ISNUMBER(F570),ISNUMBER(G570),ISNUMBER(F569),ISNUMBER(G569)),AND(F570&gt;G570,F569&lt;=G569),FALSE())</f>
        <v>0</v>
      </c>
      <c r="K570" s="9" t="b">
        <f aca="false">IF(AND(ISNUMBER(F570),ISNUMBER(G570),ISNUMBER(F569),ISNUMBER(G569)),AND(F570&lt;G570,F569&gt;=G569),FALSE())</f>
        <v>0</v>
      </c>
      <c r="L570" s="8" t="n">
        <f aca="false">IF(ISNUMBER(I570),E570-Inputs!$B$6*I570,"")</f>
        <v>0.829960624316407</v>
      </c>
      <c r="M570" s="9" t="b">
        <f aca="false">AND(Y569&gt;0,Z569)</f>
        <v>0</v>
      </c>
      <c r="N570" s="8" t="n">
        <f aca="false">B570*(1-Inputs!$B$12)</f>
        <v>0.850441522616546</v>
      </c>
      <c r="O570" s="10" t="n">
        <f aca="false">IF(M570,Y569*(N570-AB569)-Inputs!$B$9-Y569*AD569*Inputs!$B$13*(A570-AC569),0)</f>
        <v>0</v>
      </c>
      <c r="P570" s="10" t="n">
        <f aca="false">X569+O570</f>
        <v>1015.3844066801</v>
      </c>
      <c r="Q570" s="9" t="b">
        <f aca="false">AND(IF(M570,0,Y569)=0,AA569,IF(ISNUMBER(AE569),B570&gt;AE569,FALSE()))</f>
        <v>0</v>
      </c>
      <c r="R570" s="8" t="n">
        <f aca="false">B570*(1+Inputs!$B$12)</f>
        <v>0.850781767274524</v>
      </c>
      <c r="S570" s="11" t="n">
        <f aca="false">IF(Q570,MIN(P570*Inputs!$B$3/(R570-AE569),P570*Inputs!$B$11/R570),0)</f>
        <v>0</v>
      </c>
      <c r="T570" s="11" t="n">
        <f aca="false">IF(Q570,S570,IF(M570,0,Y569))</f>
        <v>664.118972006065</v>
      </c>
      <c r="U570" s="8" t="n">
        <f aca="false">IF(Q570,AE569,AF569)</f>
        <v>0.771982232894536</v>
      </c>
      <c r="V570" s="9" t="b">
        <f aca="false">AND(T570&gt;0,D570&lt;=U570)</f>
        <v>0</v>
      </c>
      <c r="W570" s="10" t="n">
        <f aca="false">IF(V570,T570*(AK570-AB570)-Inputs!$B$9-T570*AD570*Inputs!$B$13*(A570-AC570),0)</f>
        <v>0</v>
      </c>
      <c r="X570" s="10" t="n">
        <f aca="false">P570-IF(Q570,Inputs!$B$9,0)+W570</f>
        <v>1015.3844066801</v>
      </c>
      <c r="Y570" s="11" t="n">
        <f aca="false">IF(V570,0,T570)</f>
        <v>664.118972006065</v>
      </c>
      <c r="Z570" s="9" t="b">
        <f aca="false">AND(Y570&gt;0,K570)</f>
        <v>0</v>
      </c>
      <c r="AA570" s="9" t="b">
        <f aca="false">AND(Y570=0,J570,ISNUMBER(L570))</f>
        <v>0</v>
      </c>
      <c r="AB570" s="8" t="n">
        <f aca="false">IF(Q570,R570,AB569)</f>
        <v>0.787286484836172</v>
      </c>
      <c r="AC570" s="12" t="n">
        <f aca="false">IF(Q570,A570,AC569)</f>
        <v>45226</v>
      </c>
      <c r="AD570" s="8" t="n">
        <f aca="false">IF(Q570,B570,AD569)</f>
        <v>0.787129059024367</v>
      </c>
      <c r="AE570" s="8" t="str">
        <f aca="false">IF(AA570,L570,"")</f>
        <v/>
      </c>
      <c r="AF570" s="8" t="n">
        <f aca="false">U570</f>
        <v>0.771982232894536</v>
      </c>
      <c r="AG570" s="2" t="n">
        <f aca="false">AG569+IF(Q570,1,0)</f>
        <v>3</v>
      </c>
      <c r="AH570" s="2" t="n">
        <f aca="false">AG569</f>
        <v>3</v>
      </c>
      <c r="AI570" s="10" t="n">
        <f aca="false">X570+Y570*(E570-AB570)-Y570*AD570*Inputs!$B$13*(A570-AC570)</f>
        <v>1042.71052552799</v>
      </c>
      <c r="AJ570" s="10" t="n">
        <v>0</v>
      </c>
      <c r="AK570" s="8" t="n">
        <f aca="false">IF(AND(B570&lt;=U570,NOT(Q570)),B570,U570)*(1-Inputs!$B$12)</f>
        <v>0.771827836447957</v>
      </c>
    </row>
    <row r="571" customFormat="false" ht="15" hidden="false" customHeight="false" outlineLevel="0" collapsed="false">
      <c r="A571" s="6" t="n">
        <v>45355</v>
      </c>
      <c r="B571" s="7" t="n">
        <v>0.84637513539364</v>
      </c>
      <c r="C571" s="7" t="n">
        <v>0.849652574337059</v>
      </c>
      <c r="D571" s="7" t="n">
        <v>0.841928011565908</v>
      </c>
      <c r="E571" s="7" t="n">
        <v>0.847940799177288</v>
      </c>
      <c r="F571" s="8" t="n">
        <f aca="true">IF(ROW()-2&gt;=Inputs!$B$4,AVERAGE(OFFSET(E571,1-Inputs!$B$4,0,Inputs!$B$4,1)),"")</f>
        <v>0.860822553795475</v>
      </c>
      <c r="G571" s="8" t="n">
        <f aca="true">IF(ROW()-2&gt;=Inputs!$B$5,AVERAGE(OFFSET(E571,1-Inputs!$B$5,0,Inputs!$B$5,1)),"")</f>
        <v>0.856162706380551</v>
      </c>
      <c r="H571" s="8" t="n">
        <f aca="false">MAX(C571-D571,ABS(C571-E570),ABS(D571-E570))</f>
        <v>0.00772456277115097</v>
      </c>
      <c r="I571" s="8" t="n">
        <f aca="true">IF(ROW()-2&lt;14,"",IF(ROW()-2=14,AVERAGE(OFFSET(H571,-13,0,14,1)),(I570*13+H571)/14))</f>
        <v>0.00817277748379756</v>
      </c>
      <c r="J571" s="9" t="b">
        <f aca="false">IF(AND(ISNUMBER(F571),ISNUMBER(G571),ISNUMBER(F570),ISNUMBER(G570)),AND(F571&gt;G571,F570&lt;=G570),FALSE())</f>
        <v>0</v>
      </c>
      <c r="K571" s="9" t="b">
        <f aca="false">IF(AND(ISNUMBER(F571),ISNUMBER(G571),ISNUMBER(F570),ISNUMBER(G570)),AND(F571&lt;G571,F570&gt;=G570),FALSE())</f>
        <v>0</v>
      </c>
      <c r="L571" s="8" t="n">
        <f aca="false">IF(ISNUMBER(I571),E571-Inputs!$B$6*I571,"")</f>
        <v>0.831595244209693</v>
      </c>
      <c r="M571" s="9" t="b">
        <f aca="false">AND(Y570&gt;0,Z570)</f>
        <v>0</v>
      </c>
      <c r="N571" s="8" t="n">
        <f aca="false">B571*(1-Inputs!$B$12)</f>
        <v>0.846205860366562</v>
      </c>
      <c r="O571" s="10" t="n">
        <f aca="false">IF(M571,Y570*(N571-AB570)-Inputs!$B$9-Y570*AD570*Inputs!$B$13*(A571-AC570),0)</f>
        <v>0</v>
      </c>
      <c r="P571" s="10" t="n">
        <f aca="false">X570+O571</f>
        <v>1015.3844066801</v>
      </c>
      <c r="Q571" s="9" t="b">
        <f aca="false">AND(IF(M571,0,Y570)=0,AA570,IF(ISNUMBER(AE570),B571&gt;AE570,FALSE()))</f>
        <v>0</v>
      </c>
      <c r="R571" s="8" t="n">
        <f aca="false">B571*(1+Inputs!$B$12)</f>
        <v>0.846544410420719</v>
      </c>
      <c r="S571" s="11" t="n">
        <f aca="false">IF(Q571,MIN(P571*Inputs!$B$3/(R571-AE570),P571*Inputs!$B$11/R571),0)</f>
        <v>0</v>
      </c>
      <c r="T571" s="11" t="n">
        <f aca="false">IF(Q571,S571,IF(M571,0,Y570))</f>
        <v>664.118972006065</v>
      </c>
      <c r="U571" s="8" t="n">
        <f aca="false">IF(Q571,AE570,AF570)</f>
        <v>0.771982232894536</v>
      </c>
      <c r="V571" s="9" t="b">
        <f aca="false">AND(T571&gt;0,D571&lt;=U571)</f>
        <v>0</v>
      </c>
      <c r="W571" s="10" t="n">
        <f aca="false">IF(V571,T571*(AK571-AB571)-Inputs!$B$9-T571*AD571*Inputs!$B$13*(A571-AC571),0)</f>
        <v>0</v>
      </c>
      <c r="X571" s="10" t="n">
        <f aca="false">P571-IF(Q571,Inputs!$B$9,0)+W571</f>
        <v>1015.3844066801</v>
      </c>
      <c r="Y571" s="11" t="n">
        <f aca="false">IF(V571,0,T571)</f>
        <v>664.118972006065</v>
      </c>
      <c r="Z571" s="9" t="b">
        <f aca="false">AND(Y571&gt;0,K571)</f>
        <v>0</v>
      </c>
      <c r="AA571" s="9" t="b">
        <f aca="false">AND(Y571=0,J571,ISNUMBER(L571))</f>
        <v>0</v>
      </c>
      <c r="AB571" s="8" t="n">
        <f aca="false">IF(Q571,R571,AB570)</f>
        <v>0.787286484836172</v>
      </c>
      <c r="AC571" s="12" t="n">
        <f aca="false">IF(Q571,A571,AC570)</f>
        <v>45226</v>
      </c>
      <c r="AD571" s="8" t="n">
        <f aca="false">IF(Q571,B571,AD570)</f>
        <v>0.787129059024367</v>
      </c>
      <c r="AE571" s="8" t="str">
        <f aca="false">IF(AA571,L571,"")</f>
        <v/>
      </c>
      <c r="AF571" s="8" t="n">
        <f aca="false">U571</f>
        <v>0.771982232894536</v>
      </c>
      <c r="AG571" s="2" t="n">
        <f aca="false">AG570+IF(Q571,1,0)</f>
        <v>3</v>
      </c>
      <c r="AH571" s="2" t="n">
        <f aca="false">AG570</f>
        <v>3</v>
      </c>
      <c r="AI571" s="10" t="n">
        <f aca="false">X571+Y571*(E571-AB571)-Y571*AD571*Inputs!$B$13*(A571-AC571)</f>
        <v>1043.65722055817</v>
      </c>
      <c r="AJ571" s="10" t="n">
        <v>0</v>
      </c>
      <c r="AK571" s="8" t="n">
        <f aca="false">IF(AND(B571&lt;=U571,NOT(Q571)),B571,U571)*(1-Inputs!$B$12)</f>
        <v>0.771827836447957</v>
      </c>
    </row>
    <row r="572" customFormat="false" ht="15" hidden="false" customHeight="false" outlineLevel="0" collapsed="false">
      <c r="A572" s="6" t="n">
        <v>45356</v>
      </c>
      <c r="B572" s="7" t="n">
        <v>0.847940799177288</v>
      </c>
      <c r="C572" s="7" t="n">
        <v>0.856231457004594</v>
      </c>
      <c r="D572" s="7" t="n">
        <v>0.843439760039626</v>
      </c>
      <c r="E572" s="7" t="n">
        <v>0.850869140699417</v>
      </c>
      <c r="F572" s="8" t="n">
        <f aca="true">IF(ROW()-2&gt;=Inputs!$B$4,AVERAGE(OFFSET(E572,1-Inputs!$B$4,0,Inputs!$B$4,1)),"")</f>
        <v>0.860312615616171</v>
      </c>
      <c r="G572" s="8" t="n">
        <f aca="true">IF(ROW()-2&gt;=Inputs!$B$5,AVERAGE(OFFSET(E572,1-Inputs!$B$5,0,Inputs!$B$5,1)),"")</f>
        <v>0.856507338760173</v>
      </c>
      <c r="H572" s="8" t="n">
        <f aca="false">MAX(C572-D572,ABS(C572-E571),ABS(D572-E571))</f>
        <v>0.0127916969649677</v>
      </c>
      <c r="I572" s="8" t="n">
        <f aca="true">IF(ROW()-2&lt;14,"",IF(ROW()-2=14,AVERAGE(OFFSET(H572,-13,0,14,1)),(I571*13+H572)/14))</f>
        <v>0.00850270030388114</v>
      </c>
      <c r="J572" s="9" t="b">
        <f aca="false">IF(AND(ISNUMBER(F572),ISNUMBER(G572),ISNUMBER(F571),ISNUMBER(G571)),AND(F572&gt;G572,F571&lt;=G571),FALSE())</f>
        <v>0</v>
      </c>
      <c r="K572" s="9" t="b">
        <f aca="false">IF(AND(ISNUMBER(F572),ISNUMBER(G572),ISNUMBER(F571),ISNUMBER(G571)),AND(F572&lt;G572,F571&gt;=G571),FALSE())</f>
        <v>0</v>
      </c>
      <c r="L572" s="8" t="n">
        <f aca="false">IF(ISNUMBER(I572),E572-Inputs!$B$6*I572,"")</f>
        <v>0.833863740091655</v>
      </c>
      <c r="M572" s="9" t="b">
        <f aca="false">AND(Y571&gt;0,Z571)</f>
        <v>0</v>
      </c>
      <c r="N572" s="8" t="n">
        <f aca="false">B572*(1-Inputs!$B$12)</f>
        <v>0.847771211017452</v>
      </c>
      <c r="O572" s="10" t="n">
        <f aca="false">IF(M572,Y571*(N572-AB571)-Inputs!$B$9-Y571*AD571*Inputs!$B$13*(A572-AC571),0)</f>
        <v>0</v>
      </c>
      <c r="P572" s="10" t="n">
        <f aca="false">X571+O572</f>
        <v>1015.3844066801</v>
      </c>
      <c r="Q572" s="9" t="b">
        <f aca="false">AND(IF(M572,0,Y571)=0,AA571,IF(ISNUMBER(AE571),B572&gt;AE571,FALSE()))</f>
        <v>0</v>
      </c>
      <c r="R572" s="8" t="n">
        <f aca="false">B572*(1+Inputs!$B$12)</f>
        <v>0.848110387337123</v>
      </c>
      <c r="S572" s="11" t="n">
        <f aca="false">IF(Q572,MIN(P572*Inputs!$B$3/(R572-AE571),P572*Inputs!$B$11/R572),0)</f>
        <v>0</v>
      </c>
      <c r="T572" s="11" t="n">
        <f aca="false">IF(Q572,S572,IF(M572,0,Y571))</f>
        <v>664.118972006065</v>
      </c>
      <c r="U572" s="8" t="n">
        <f aca="false">IF(Q572,AE571,AF571)</f>
        <v>0.771982232894536</v>
      </c>
      <c r="V572" s="9" t="b">
        <f aca="false">AND(T572&gt;0,D572&lt;=U572)</f>
        <v>0</v>
      </c>
      <c r="W572" s="10" t="n">
        <f aca="false">IF(V572,T572*(AK572-AB572)-Inputs!$B$9-T572*AD572*Inputs!$B$13*(A572-AC572),0)</f>
        <v>0</v>
      </c>
      <c r="X572" s="10" t="n">
        <f aca="false">P572-IF(Q572,Inputs!$B$9,0)+W572</f>
        <v>1015.3844066801</v>
      </c>
      <c r="Y572" s="11" t="n">
        <f aca="false">IF(V572,0,T572)</f>
        <v>664.118972006065</v>
      </c>
      <c r="Z572" s="9" t="b">
        <f aca="false">AND(Y572&gt;0,K572)</f>
        <v>0</v>
      </c>
      <c r="AA572" s="9" t="b">
        <f aca="false">AND(Y572=0,J572,ISNUMBER(L572))</f>
        <v>0</v>
      </c>
      <c r="AB572" s="8" t="n">
        <f aca="false">IF(Q572,R572,AB571)</f>
        <v>0.787286484836172</v>
      </c>
      <c r="AC572" s="12" t="n">
        <f aca="false">IF(Q572,A572,AC571)</f>
        <v>45226</v>
      </c>
      <c r="AD572" s="8" t="n">
        <f aca="false">IF(Q572,B572,AD571)</f>
        <v>0.787129059024367</v>
      </c>
      <c r="AE572" s="8" t="str">
        <f aca="false">IF(AA572,L572,"")</f>
        <v/>
      </c>
      <c r="AF572" s="8" t="n">
        <f aca="false">U572</f>
        <v>0.771982232894536</v>
      </c>
      <c r="AG572" s="2" t="n">
        <f aca="false">AG571+IF(Q572,1,0)</f>
        <v>3</v>
      </c>
      <c r="AH572" s="2" t="n">
        <f aca="false">AG571</f>
        <v>3</v>
      </c>
      <c r="AI572" s="10" t="n">
        <f aca="false">X572+Y572*(E572-AB572)-Y572*AD572*Inputs!$B$13*(A572-AC572)</f>
        <v>1045.50889572721</v>
      </c>
      <c r="AJ572" s="10" t="n">
        <v>0</v>
      </c>
      <c r="AK572" s="8" t="n">
        <f aca="false">IF(AND(B572&lt;=U572,NOT(Q572)),B572,U572)*(1-Inputs!$B$12)</f>
        <v>0.771827836447957</v>
      </c>
    </row>
    <row r="573" customFormat="false" ht="15" hidden="false" customHeight="false" outlineLevel="0" collapsed="false">
      <c r="A573" s="6" t="n">
        <v>45357</v>
      </c>
      <c r="B573" s="7" t="n">
        <v>0.850869140699417</v>
      </c>
      <c r="C573" s="7" t="n">
        <v>0.854577729384269</v>
      </c>
      <c r="D573" s="7" t="n">
        <v>0.847891228479485</v>
      </c>
      <c r="E573" s="7" t="n">
        <v>0.851320831042086</v>
      </c>
      <c r="F573" s="8" t="n">
        <f aca="true">IF(ROW()-2&gt;=Inputs!$B$4,AVERAGE(OFFSET(E573,1-Inputs!$B$4,0,Inputs!$B$4,1)),"")</f>
        <v>0.859876974034045</v>
      </c>
      <c r="G573" s="8" t="n">
        <f aca="true">IF(ROW()-2&gt;=Inputs!$B$5,AVERAGE(OFFSET(E573,1-Inputs!$B$5,0,Inputs!$B$5,1)),"")</f>
        <v>0.856758239054713</v>
      </c>
      <c r="H573" s="8" t="n">
        <f aca="false">MAX(C573-D573,ABS(C573-E572),ABS(D573-E572))</f>
        <v>0.00668650090478462</v>
      </c>
      <c r="I573" s="8" t="n">
        <f aca="true">IF(ROW()-2&lt;14,"",IF(ROW()-2=14,AVERAGE(OFFSET(H573,-13,0,14,1)),(I572*13+H573)/14))</f>
        <v>0.00837297177537425</v>
      </c>
      <c r="J573" s="9" t="b">
        <f aca="false">IF(AND(ISNUMBER(F573),ISNUMBER(G573),ISNUMBER(F572),ISNUMBER(G572)),AND(F573&gt;G573,F572&lt;=G572),FALSE())</f>
        <v>0</v>
      </c>
      <c r="K573" s="9" t="b">
        <f aca="false">IF(AND(ISNUMBER(F573),ISNUMBER(G573),ISNUMBER(F572),ISNUMBER(G572)),AND(F573&lt;G573,F572&gt;=G572),FALSE())</f>
        <v>0</v>
      </c>
      <c r="L573" s="8" t="n">
        <f aca="false">IF(ISNUMBER(I573),E573-Inputs!$B$6*I573,"")</f>
        <v>0.834574887491337</v>
      </c>
      <c r="M573" s="9" t="b">
        <f aca="false">AND(Y572&gt;0,Z572)</f>
        <v>0</v>
      </c>
      <c r="N573" s="8" t="n">
        <f aca="false">B573*(1-Inputs!$B$12)</f>
        <v>0.850698966871277</v>
      </c>
      <c r="O573" s="10" t="n">
        <f aca="false">IF(M573,Y572*(N573-AB572)-Inputs!$B$9-Y572*AD572*Inputs!$B$13*(A573-AC572),0)</f>
        <v>0</v>
      </c>
      <c r="P573" s="10" t="n">
        <f aca="false">X572+O573</f>
        <v>1015.3844066801</v>
      </c>
      <c r="Q573" s="9" t="b">
        <f aca="false">AND(IF(M573,0,Y572)=0,AA572,IF(ISNUMBER(AE572),B573&gt;AE572,FALSE()))</f>
        <v>0</v>
      </c>
      <c r="R573" s="8" t="n">
        <f aca="false">B573*(1+Inputs!$B$12)</f>
        <v>0.851039314527557</v>
      </c>
      <c r="S573" s="11" t="n">
        <f aca="false">IF(Q573,MIN(P573*Inputs!$B$3/(R573-AE572),P573*Inputs!$B$11/R573),0)</f>
        <v>0</v>
      </c>
      <c r="T573" s="11" t="n">
        <f aca="false">IF(Q573,S573,IF(M573,0,Y572))</f>
        <v>664.118972006065</v>
      </c>
      <c r="U573" s="8" t="n">
        <f aca="false">IF(Q573,AE572,AF572)</f>
        <v>0.771982232894536</v>
      </c>
      <c r="V573" s="9" t="b">
        <f aca="false">AND(T573&gt;0,D573&lt;=U573)</f>
        <v>0</v>
      </c>
      <c r="W573" s="10" t="n">
        <f aca="false">IF(V573,T573*(AK573-AB573)-Inputs!$B$9-T573*AD573*Inputs!$B$13*(A573-AC573),0)</f>
        <v>0</v>
      </c>
      <c r="X573" s="10" t="n">
        <f aca="false">P573-IF(Q573,Inputs!$B$9,0)+W573</f>
        <v>1015.3844066801</v>
      </c>
      <c r="Y573" s="11" t="n">
        <f aca="false">IF(V573,0,T573)</f>
        <v>664.118972006065</v>
      </c>
      <c r="Z573" s="9" t="b">
        <f aca="false">AND(Y573&gt;0,K573)</f>
        <v>0</v>
      </c>
      <c r="AA573" s="9" t="b">
        <f aca="false">AND(Y573=0,J573,ISNUMBER(L573))</f>
        <v>0</v>
      </c>
      <c r="AB573" s="8" t="n">
        <f aca="false">IF(Q573,R573,AB572)</f>
        <v>0.787286484836172</v>
      </c>
      <c r="AC573" s="12" t="n">
        <f aca="false">IF(Q573,A573,AC572)</f>
        <v>45226</v>
      </c>
      <c r="AD573" s="8" t="n">
        <f aca="false">IF(Q573,B573,AD572)</f>
        <v>0.787129059024367</v>
      </c>
      <c r="AE573" s="8" t="str">
        <f aca="false">IF(AA573,L573,"")</f>
        <v/>
      </c>
      <c r="AF573" s="8" t="n">
        <f aca="false">U573</f>
        <v>0.771982232894536</v>
      </c>
      <c r="AG573" s="2" t="n">
        <f aca="false">AG572+IF(Q573,1,0)</f>
        <v>3</v>
      </c>
      <c r="AH573" s="2" t="n">
        <f aca="false">AG572</f>
        <v>3</v>
      </c>
      <c r="AI573" s="10" t="n">
        <f aca="false">X573+Y573*(E573-AB573)-Y573*AD573*Inputs!$B$13*(A573-AC573)</f>
        <v>1045.71577986092</v>
      </c>
      <c r="AJ573" s="10" t="n">
        <v>0</v>
      </c>
      <c r="AK573" s="8" t="n">
        <f aca="false">IF(AND(B573&lt;=U573,NOT(Q573)),B573,U573)*(1-Inputs!$B$12)</f>
        <v>0.771827836447957</v>
      </c>
    </row>
    <row r="574" customFormat="false" ht="15" hidden="false" customHeight="false" outlineLevel="0" collapsed="false">
      <c r="A574" s="6" t="n">
        <v>45358</v>
      </c>
      <c r="B574" s="7" t="n">
        <v>0.851320831042086</v>
      </c>
      <c r="C574" s="7" t="n">
        <v>0.85885209763361</v>
      </c>
      <c r="D574" s="7" t="n">
        <v>0.849635632736557</v>
      </c>
      <c r="E574" s="7" t="n">
        <v>0.85770487009989</v>
      </c>
      <c r="F574" s="8" t="n">
        <f aca="true">IF(ROW()-2&gt;=Inputs!$B$4,AVERAGE(OFFSET(E574,1-Inputs!$B$4,0,Inputs!$B$4,1)),"")</f>
        <v>0.85961904034169</v>
      </c>
      <c r="G574" s="8" t="n">
        <f aca="true">IF(ROW()-2&gt;=Inputs!$B$5,AVERAGE(OFFSET(E574,1-Inputs!$B$5,0,Inputs!$B$5,1)),"")</f>
        <v>0.857058877406168</v>
      </c>
      <c r="H574" s="8" t="n">
        <f aca="false">MAX(C574-D574,ABS(C574-E573),ABS(D574-E573))</f>
        <v>0.00921646489705286</v>
      </c>
      <c r="I574" s="8" t="n">
        <f aca="true">IF(ROW()-2&lt;14,"",IF(ROW()-2=14,AVERAGE(OFFSET(H574,-13,0,14,1)),(I573*13+H574)/14))</f>
        <v>0.00843322128406558</v>
      </c>
      <c r="J574" s="9" t="b">
        <f aca="false">IF(AND(ISNUMBER(F574),ISNUMBER(G574),ISNUMBER(F573),ISNUMBER(G573)),AND(F574&gt;G574,F573&lt;=G573),FALSE())</f>
        <v>0</v>
      </c>
      <c r="K574" s="9" t="b">
        <f aca="false">IF(AND(ISNUMBER(F574),ISNUMBER(G574),ISNUMBER(F573),ISNUMBER(G573)),AND(F574&lt;G574,F573&gt;=G573),FALSE())</f>
        <v>0</v>
      </c>
      <c r="L574" s="8" t="n">
        <f aca="false">IF(ISNUMBER(I574),E574-Inputs!$B$6*I574,"")</f>
        <v>0.840838427531759</v>
      </c>
      <c r="M574" s="9" t="b">
        <f aca="false">AND(Y573&gt;0,Z573)</f>
        <v>0</v>
      </c>
      <c r="N574" s="8" t="n">
        <f aca="false">B574*(1-Inputs!$B$12)</f>
        <v>0.851150566875877</v>
      </c>
      <c r="O574" s="10" t="n">
        <f aca="false">IF(M574,Y573*(N574-AB573)-Inputs!$B$9-Y573*AD573*Inputs!$B$13*(A574-AC573),0)</f>
        <v>0</v>
      </c>
      <c r="P574" s="10" t="n">
        <f aca="false">X573+O574</f>
        <v>1015.3844066801</v>
      </c>
      <c r="Q574" s="9" t="b">
        <f aca="false">AND(IF(M574,0,Y573)=0,AA573,IF(ISNUMBER(AE573),B574&gt;AE573,FALSE()))</f>
        <v>0</v>
      </c>
      <c r="R574" s="8" t="n">
        <f aca="false">B574*(1+Inputs!$B$12)</f>
        <v>0.851491095208294</v>
      </c>
      <c r="S574" s="11" t="n">
        <f aca="false">IF(Q574,MIN(P574*Inputs!$B$3/(R574-AE573),P574*Inputs!$B$11/R574),0)</f>
        <v>0</v>
      </c>
      <c r="T574" s="11" t="n">
        <f aca="false">IF(Q574,S574,IF(M574,0,Y573))</f>
        <v>664.118972006065</v>
      </c>
      <c r="U574" s="8" t="n">
        <f aca="false">IF(Q574,AE573,AF573)</f>
        <v>0.771982232894536</v>
      </c>
      <c r="V574" s="9" t="b">
        <f aca="false">AND(T574&gt;0,D574&lt;=U574)</f>
        <v>0</v>
      </c>
      <c r="W574" s="10" t="n">
        <f aca="false">IF(V574,T574*(AK574-AB574)-Inputs!$B$9-T574*AD574*Inputs!$B$13*(A574-AC574),0)</f>
        <v>0</v>
      </c>
      <c r="X574" s="10" t="n">
        <f aca="false">P574-IF(Q574,Inputs!$B$9,0)+W574</f>
        <v>1015.3844066801</v>
      </c>
      <c r="Y574" s="11" t="n">
        <f aca="false">IF(V574,0,T574)</f>
        <v>664.118972006065</v>
      </c>
      <c r="Z574" s="9" t="b">
        <f aca="false">AND(Y574&gt;0,K574)</f>
        <v>0</v>
      </c>
      <c r="AA574" s="9" t="b">
        <f aca="false">AND(Y574=0,J574,ISNUMBER(L574))</f>
        <v>0</v>
      </c>
      <c r="AB574" s="8" t="n">
        <f aca="false">IF(Q574,R574,AB573)</f>
        <v>0.787286484836172</v>
      </c>
      <c r="AC574" s="12" t="n">
        <f aca="false">IF(Q574,A574,AC573)</f>
        <v>45226</v>
      </c>
      <c r="AD574" s="8" t="n">
        <f aca="false">IF(Q574,B574,AD573)</f>
        <v>0.787129059024367</v>
      </c>
      <c r="AE574" s="8" t="str">
        <f aca="false">IF(AA574,L574,"")</f>
        <v/>
      </c>
      <c r="AF574" s="8" t="n">
        <f aca="false">U574</f>
        <v>0.771982232894536</v>
      </c>
      <c r="AG574" s="2" t="n">
        <f aca="false">AG573+IF(Q574,1,0)</f>
        <v>3</v>
      </c>
      <c r="AH574" s="2" t="n">
        <f aca="false">AG573</f>
        <v>3</v>
      </c>
      <c r="AI574" s="10" t="n">
        <f aca="false">X574+Y574*(E574-AB574)-Y574*AD574*Inputs!$B$13*(A574-AC574)</f>
        <v>1049.86244932491</v>
      </c>
      <c r="AJ574" s="10" t="n">
        <v>0</v>
      </c>
      <c r="AK574" s="8" t="n">
        <f aca="false">IF(AND(B574&lt;=U574,NOT(Q574)),B574,U574)*(1-Inputs!$B$12)</f>
        <v>0.771827836447957</v>
      </c>
    </row>
    <row r="575" customFormat="false" ht="15" hidden="false" customHeight="false" outlineLevel="0" collapsed="false">
      <c r="A575" s="6" t="n">
        <v>45359</v>
      </c>
      <c r="B575" s="7" t="n">
        <v>0.85770487009989</v>
      </c>
      <c r="C575" s="7" t="n">
        <v>0.858775726654576</v>
      </c>
      <c r="D575" s="7" t="n">
        <v>0.856718223231565</v>
      </c>
      <c r="E575" s="7" t="n">
        <v>0.858435282899331</v>
      </c>
      <c r="F575" s="8" t="n">
        <f aca="true">IF(ROW()-2&gt;=Inputs!$B$4,AVERAGE(OFFSET(E575,1-Inputs!$B$4,0,Inputs!$B$4,1)),"")</f>
        <v>0.859366511918928</v>
      </c>
      <c r="G575" s="8" t="n">
        <f aca="true">IF(ROW()-2&gt;=Inputs!$B$5,AVERAGE(OFFSET(E575,1-Inputs!$B$5,0,Inputs!$B$5,1)),"")</f>
        <v>0.857376919589782</v>
      </c>
      <c r="H575" s="8" t="n">
        <f aca="false">MAX(C575-D575,ABS(C575-E574),ABS(D575-E574))</f>
        <v>0.00205750342301014</v>
      </c>
      <c r="I575" s="8" t="n">
        <f aca="true">IF(ROW()-2&lt;14,"",IF(ROW()-2=14,AVERAGE(OFFSET(H575,-13,0,14,1)),(I574*13+H575)/14))</f>
        <v>0.00797781286541876</v>
      </c>
      <c r="J575" s="9" t="b">
        <f aca="false">IF(AND(ISNUMBER(F575),ISNUMBER(G575),ISNUMBER(F574),ISNUMBER(G574)),AND(F575&gt;G575,F574&lt;=G574),FALSE())</f>
        <v>0</v>
      </c>
      <c r="K575" s="9" t="b">
        <f aca="false">IF(AND(ISNUMBER(F575),ISNUMBER(G575),ISNUMBER(F574),ISNUMBER(G574)),AND(F575&lt;G575,F574&gt;=G574),FALSE())</f>
        <v>0</v>
      </c>
      <c r="L575" s="8" t="n">
        <f aca="false">IF(ISNUMBER(I575),E575-Inputs!$B$6*I575,"")</f>
        <v>0.842479657168493</v>
      </c>
      <c r="M575" s="9" t="b">
        <f aca="false">AND(Y574&gt;0,Z574)</f>
        <v>0</v>
      </c>
      <c r="N575" s="8" t="n">
        <f aca="false">B575*(1-Inputs!$B$12)</f>
        <v>0.85753332912587</v>
      </c>
      <c r="O575" s="10" t="n">
        <f aca="false">IF(M575,Y574*(N575-AB574)-Inputs!$B$9-Y574*AD574*Inputs!$B$13*(A575-AC574),0)</f>
        <v>0</v>
      </c>
      <c r="P575" s="10" t="n">
        <f aca="false">X574+O575</f>
        <v>1015.3844066801</v>
      </c>
      <c r="Q575" s="9" t="b">
        <f aca="false">AND(IF(M575,0,Y574)=0,AA574,IF(ISNUMBER(AE574),B575&gt;AE574,FALSE()))</f>
        <v>0</v>
      </c>
      <c r="R575" s="8" t="n">
        <f aca="false">B575*(1+Inputs!$B$12)</f>
        <v>0.85787641107391</v>
      </c>
      <c r="S575" s="11" t="n">
        <f aca="false">IF(Q575,MIN(P575*Inputs!$B$3/(R575-AE574),P575*Inputs!$B$11/R575),0)</f>
        <v>0</v>
      </c>
      <c r="T575" s="11" t="n">
        <f aca="false">IF(Q575,S575,IF(M575,0,Y574))</f>
        <v>664.118972006065</v>
      </c>
      <c r="U575" s="8" t="n">
        <f aca="false">IF(Q575,AE574,AF574)</f>
        <v>0.771982232894536</v>
      </c>
      <c r="V575" s="9" t="b">
        <f aca="false">AND(T575&gt;0,D575&lt;=U575)</f>
        <v>0</v>
      </c>
      <c r="W575" s="10" t="n">
        <f aca="false">IF(V575,T575*(AK575-AB575)-Inputs!$B$9-T575*AD575*Inputs!$B$13*(A575-AC575),0)</f>
        <v>0</v>
      </c>
      <c r="X575" s="10" t="n">
        <f aca="false">P575-IF(Q575,Inputs!$B$9,0)+W575</f>
        <v>1015.3844066801</v>
      </c>
      <c r="Y575" s="11" t="n">
        <f aca="false">IF(V575,0,T575)</f>
        <v>664.118972006065</v>
      </c>
      <c r="Z575" s="9" t="b">
        <f aca="false">AND(Y575&gt;0,K575)</f>
        <v>0</v>
      </c>
      <c r="AA575" s="9" t="b">
        <f aca="false">AND(Y575=0,J575,ISNUMBER(L575))</f>
        <v>0</v>
      </c>
      <c r="AB575" s="8" t="n">
        <f aca="false">IF(Q575,R575,AB574)</f>
        <v>0.787286484836172</v>
      </c>
      <c r="AC575" s="12" t="n">
        <f aca="false">IF(Q575,A575,AC574)</f>
        <v>45226</v>
      </c>
      <c r="AD575" s="8" t="n">
        <f aca="false">IF(Q575,B575,AD574)</f>
        <v>0.787129059024367</v>
      </c>
      <c r="AE575" s="8" t="str">
        <f aca="false">IF(AA575,L575,"")</f>
        <v/>
      </c>
      <c r="AF575" s="8" t="n">
        <f aca="false">U575</f>
        <v>0.771982232894536</v>
      </c>
      <c r="AG575" s="2" t="n">
        <f aca="false">AG574+IF(Q575,1,0)</f>
        <v>3</v>
      </c>
      <c r="AH575" s="2" t="n">
        <f aca="false">AG574</f>
        <v>3</v>
      </c>
      <c r="AI575" s="10" t="n">
        <f aca="false">X575+Y575*(E575-AB575)-Y575*AD575*Inputs!$B$13*(A575-AC575)</f>
        <v>1050.25443833009</v>
      </c>
      <c r="AJ575" s="10" t="n">
        <v>0</v>
      </c>
      <c r="AK575" s="8" t="n">
        <f aca="false">IF(AND(B575&lt;=U575,NOT(Q575)),B575,U575)*(1-Inputs!$B$12)</f>
        <v>0.771827836447957</v>
      </c>
    </row>
    <row r="576" customFormat="false" ht="15" hidden="false" customHeight="false" outlineLevel="0" collapsed="false">
      <c r="A576" s="6" t="n">
        <v>45360</v>
      </c>
      <c r="B576" s="7" t="n">
        <v>0.858435282899331</v>
      </c>
      <c r="C576" s="7" t="n">
        <v>0.860935387184509</v>
      </c>
      <c r="D576" s="7" t="n">
        <v>0.855187377133656</v>
      </c>
      <c r="E576" s="7" t="n">
        <v>0.85992854559386</v>
      </c>
      <c r="F576" s="8" t="n">
        <f aca="true">IF(ROW()-2&gt;=Inputs!$B$4,AVERAGE(OFFSET(E576,1-Inputs!$B$4,0,Inputs!$B$4,1)),"")</f>
        <v>0.859149671872445</v>
      </c>
      <c r="G576" s="8" t="n">
        <f aca="true">IF(ROW()-2&gt;=Inputs!$B$5,AVERAGE(OFFSET(E576,1-Inputs!$B$5,0,Inputs!$B$5,1)),"")</f>
        <v>0.8576838177728</v>
      </c>
      <c r="H576" s="8" t="n">
        <f aca="false">MAX(C576-D576,ABS(C576-E575),ABS(D576-E575))</f>
        <v>0.00574801005085257</v>
      </c>
      <c r="I576" s="8" t="n">
        <f aca="true">IF(ROW()-2&lt;14,"",IF(ROW()-2=14,AVERAGE(OFFSET(H576,-13,0,14,1)),(I575*13+H576)/14))</f>
        <v>0.00781854123580689</v>
      </c>
      <c r="J576" s="9" t="b">
        <f aca="false">IF(AND(ISNUMBER(F576),ISNUMBER(G576),ISNUMBER(F575),ISNUMBER(G575)),AND(F576&gt;G576,F575&lt;=G575),FALSE())</f>
        <v>0</v>
      </c>
      <c r="K576" s="9" t="b">
        <f aca="false">IF(AND(ISNUMBER(F576),ISNUMBER(G576),ISNUMBER(F575),ISNUMBER(G575)),AND(F576&lt;G576,F575&gt;=G575),FALSE())</f>
        <v>0</v>
      </c>
      <c r="L576" s="8" t="n">
        <f aca="false">IF(ISNUMBER(I576),E576-Inputs!$B$6*I576,"")</f>
        <v>0.844291463122247</v>
      </c>
      <c r="M576" s="9" t="b">
        <f aca="false">AND(Y575&gt;0,Z575)</f>
        <v>0</v>
      </c>
      <c r="N576" s="8" t="n">
        <f aca="false">B576*(1-Inputs!$B$12)</f>
        <v>0.858263595842751</v>
      </c>
      <c r="O576" s="10" t="n">
        <f aca="false">IF(M576,Y575*(N576-AB575)-Inputs!$B$9-Y575*AD575*Inputs!$B$13*(A576-AC575),0)</f>
        <v>0</v>
      </c>
      <c r="P576" s="10" t="n">
        <f aca="false">X575+O576</f>
        <v>1015.3844066801</v>
      </c>
      <c r="Q576" s="9" t="b">
        <f aca="false">AND(IF(M576,0,Y575)=0,AA575,IF(ISNUMBER(AE575),B576&gt;AE575,FALSE()))</f>
        <v>0</v>
      </c>
      <c r="R576" s="8" t="n">
        <f aca="false">B576*(1+Inputs!$B$12)</f>
        <v>0.858606969955911</v>
      </c>
      <c r="S576" s="11" t="n">
        <f aca="false">IF(Q576,MIN(P576*Inputs!$B$3/(R576-AE575),P576*Inputs!$B$11/R576),0)</f>
        <v>0</v>
      </c>
      <c r="T576" s="11" t="n">
        <f aca="false">IF(Q576,S576,IF(M576,0,Y575))</f>
        <v>664.118972006065</v>
      </c>
      <c r="U576" s="8" t="n">
        <f aca="false">IF(Q576,AE575,AF575)</f>
        <v>0.771982232894536</v>
      </c>
      <c r="V576" s="9" t="b">
        <f aca="false">AND(T576&gt;0,D576&lt;=U576)</f>
        <v>0</v>
      </c>
      <c r="W576" s="10" t="n">
        <f aca="false">IF(V576,T576*(AK576-AB576)-Inputs!$B$9-T576*AD576*Inputs!$B$13*(A576-AC576),0)</f>
        <v>0</v>
      </c>
      <c r="X576" s="10" t="n">
        <f aca="false">P576-IF(Q576,Inputs!$B$9,0)+W576</f>
        <v>1015.3844066801</v>
      </c>
      <c r="Y576" s="11" t="n">
        <f aca="false">IF(V576,0,T576)</f>
        <v>664.118972006065</v>
      </c>
      <c r="Z576" s="9" t="b">
        <f aca="false">AND(Y576&gt;0,K576)</f>
        <v>0</v>
      </c>
      <c r="AA576" s="9" t="b">
        <f aca="false">AND(Y576=0,J576,ISNUMBER(L576))</f>
        <v>0</v>
      </c>
      <c r="AB576" s="8" t="n">
        <f aca="false">IF(Q576,R576,AB575)</f>
        <v>0.787286484836172</v>
      </c>
      <c r="AC576" s="12" t="n">
        <f aca="false">IF(Q576,A576,AC575)</f>
        <v>45226</v>
      </c>
      <c r="AD576" s="8" t="n">
        <f aca="false">IF(Q576,B576,AD575)</f>
        <v>0.787129059024367</v>
      </c>
      <c r="AE576" s="8" t="str">
        <f aca="false">IF(AA576,L576,"")</f>
        <v/>
      </c>
      <c r="AF576" s="8" t="n">
        <f aca="false">U576</f>
        <v>0.771982232894536</v>
      </c>
      <c r="AG576" s="2" t="n">
        <f aca="false">AG575+IF(Q576,1,0)</f>
        <v>3</v>
      </c>
      <c r="AH576" s="2" t="n">
        <f aca="false">AG575</f>
        <v>3</v>
      </c>
      <c r="AI576" s="10" t="n">
        <f aca="false">X576+Y576*(E576-AB576)-Y576*AD576*Inputs!$B$13*(A576-AC576)</f>
        <v>1051.15305042339</v>
      </c>
      <c r="AJ576" s="10" t="n">
        <v>0</v>
      </c>
      <c r="AK576" s="8" t="n">
        <f aca="false">IF(AND(B576&lt;=U576,NOT(Q576)),B576,U576)*(1-Inputs!$B$12)</f>
        <v>0.771827836447957</v>
      </c>
    </row>
    <row r="577" customFormat="false" ht="15" hidden="false" customHeight="false" outlineLevel="0" collapsed="false">
      <c r="A577" s="6" t="n">
        <v>45361</v>
      </c>
      <c r="B577" s="7" t="n">
        <v>0.85992854559386</v>
      </c>
      <c r="C577" s="7" t="n">
        <v>0.861395881665955</v>
      </c>
      <c r="D577" s="7" t="n">
        <v>0.857189180595954</v>
      </c>
      <c r="E577" s="7" t="n">
        <v>0.857450962882429</v>
      </c>
      <c r="F577" s="8" t="n">
        <f aca="true">IF(ROW()-2&gt;=Inputs!$B$4,AVERAGE(OFFSET(E577,1-Inputs!$B$4,0,Inputs!$B$4,1)),"")</f>
        <v>0.858730732976381</v>
      </c>
      <c r="G577" s="8" t="n">
        <f aca="true">IF(ROW()-2&gt;=Inputs!$B$5,AVERAGE(OFFSET(E577,1-Inputs!$B$5,0,Inputs!$B$5,1)),"")</f>
        <v>0.858046436684884</v>
      </c>
      <c r="H577" s="8" t="n">
        <f aca="false">MAX(C577-D577,ABS(C577-E576),ABS(D577-E576))</f>
        <v>0.00420670107000143</v>
      </c>
      <c r="I577" s="8" t="n">
        <f aca="true">IF(ROW()-2&lt;14,"",IF(ROW()-2=14,AVERAGE(OFFSET(H577,-13,0,14,1)),(I576*13+H577)/14))</f>
        <v>0.00756055265253507</v>
      </c>
      <c r="J577" s="9" t="b">
        <f aca="false">IF(AND(ISNUMBER(F577),ISNUMBER(G577),ISNUMBER(F576),ISNUMBER(G576)),AND(F577&gt;G577,F576&lt;=G576),FALSE())</f>
        <v>0</v>
      </c>
      <c r="K577" s="9" t="b">
        <f aca="false">IF(AND(ISNUMBER(F577),ISNUMBER(G577),ISNUMBER(F576),ISNUMBER(G576)),AND(F577&lt;G577,F576&gt;=G576),FALSE())</f>
        <v>0</v>
      </c>
      <c r="L577" s="8" t="n">
        <f aca="false">IF(ISNUMBER(I577),E577-Inputs!$B$6*I577,"")</f>
        <v>0.842329857577359</v>
      </c>
      <c r="M577" s="9" t="b">
        <f aca="false">AND(Y576&gt;0,Z576)</f>
        <v>0</v>
      </c>
      <c r="N577" s="8" t="n">
        <f aca="false">B577*(1-Inputs!$B$12)</f>
        <v>0.859756559884742</v>
      </c>
      <c r="O577" s="10" t="n">
        <f aca="false">IF(M577,Y576*(N577-AB576)-Inputs!$B$9-Y576*AD576*Inputs!$B$13*(A577-AC576),0)</f>
        <v>0</v>
      </c>
      <c r="P577" s="10" t="n">
        <f aca="false">X576+O577</f>
        <v>1015.3844066801</v>
      </c>
      <c r="Q577" s="9" t="b">
        <f aca="false">AND(IF(M577,0,Y576)=0,AA576,IF(ISNUMBER(AE576),B577&gt;AE576,FALSE()))</f>
        <v>0</v>
      </c>
      <c r="R577" s="8" t="n">
        <f aca="false">B577*(1+Inputs!$B$12)</f>
        <v>0.860100531302979</v>
      </c>
      <c r="S577" s="11" t="n">
        <f aca="false">IF(Q577,MIN(P577*Inputs!$B$3/(R577-AE576),P577*Inputs!$B$11/R577),0)</f>
        <v>0</v>
      </c>
      <c r="T577" s="11" t="n">
        <f aca="false">IF(Q577,S577,IF(M577,0,Y576))</f>
        <v>664.118972006065</v>
      </c>
      <c r="U577" s="8" t="n">
        <f aca="false">IF(Q577,AE576,AF576)</f>
        <v>0.771982232894536</v>
      </c>
      <c r="V577" s="9" t="b">
        <f aca="false">AND(T577&gt;0,D577&lt;=U577)</f>
        <v>0</v>
      </c>
      <c r="W577" s="10" t="n">
        <f aca="false">IF(V577,T577*(AK577-AB577)-Inputs!$B$9-T577*AD577*Inputs!$B$13*(A577-AC577),0)</f>
        <v>0</v>
      </c>
      <c r="X577" s="10" t="n">
        <f aca="false">P577-IF(Q577,Inputs!$B$9,0)+W577</f>
        <v>1015.3844066801</v>
      </c>
      <c r="Y577" s="11" t="n">
        <f aca="false">IF(V577,0,T577)</f>
        <v>664.118972006065</v>
      </c>
      <c r="Z577" s="9" t="b">
        <f aca="false">AND(Y577&gt;0,K577)</f>
        <v>0</v>
      </c>
      <c r="AA577" s="9" t="b">
        <f aca="false">AND(Y577=0,J577,ISNUMBER(L577))</f>
        <v>0</v>
      </c>
      <c r="AB577" s="8" t="n">
        <f aca="false">IF(Q577,R577,AB576)</f>
        <v>0.787286484836172</v>
      </c>
      <c r="AC577" s="12" t="n">
        <f aca="false">IF(Q577,A577,AC576)</f>
        <v>45226</v>
      </c>
      <c r="AD577" s="8" t="n">
        <f aca="false">IF(Q577,B577,AD576)</f>
        <v>0.787129059024367</v>
      </c>
      <c r="AE577" s="8" t="str">
        <f aca="false">IF(AA577,L577,"")</f>
        <v/>
      </c>
      <c r="AF577" s="8" t="n">
        <f aca="false">U577</f>
        <v>0.771982232894536</v>
      </c>
      <c r="AG577" s="2" t="n">
        <f aca="false">AG576+IF(Q577,1,0)</f>
        <v>3</v>
      </c>
      <c r="AH577" s="2" t="n">
        <f aca="false">AG576</f>
        <v>3</v>
      </c>
      <c r="AI577" s="10" t="n">
        <f aca="false">X577+Y577*(E577-AB577)-Y577*AD577*Inputs!$B$13*(A577-AC577)</f>
        <v>1049.41454874769</v>
      </c>
      <c r="AJ577" s="10" t="n">
        <v>0</v>
      </c>
      <c r="AK577" s="8" t="n">
        <f aca="false">IF(AND(B577&lt;=U577,NOT(Q577)),B577,U577)*(1-Inputs!$B$12)</f>
        <v>0.771827836447957</v>
      </c>
    </row>
    <row r="578" customFormat="false" ht="15" hidden="false" customHeight="false" outlineLevel="0" collapsed="false">
      <c r="A578" s="6" t="n">
        <v>45362</v>
      </c>
      <c r="B578" s="7" t="n">
        <v>0.857450962882429</v>
      </c>
      <c r="C578" s="7" t="n">
        <v>0.865172105339019</v>
      </c>
      <c r="D578" s="7" t="n">
        <v>0.855911377024299</v>
      </c>
      <c r="E578" s="7" t="n">
        <v>0.860804060830062</v>
      </c>
      <c r="F578" s="8" t="n">
        <f aca="true">IF(ROW()-2&gt;=Inputs!$B$4,AVERAGE(OFFSET(E578,1-Inputs!$B$4,0,Inputs!$B$4,1)),"")</f>
        <v>0.858536118439176</v>
      </c>
      <c r="G578" s="8" t="n">
        <f aca="true">IF(ROW()-2&gt;=Inputs!$B$5,AVERAGE(OFFSET(E578,1-Inputs!$B$5,0,Inputs!$B$5,1)),"")</f>
        <v>0.858494825200795</v>
      </c>
      <c r="H578" s="8" t="n">
        <f aca="false">MAX(C578-D578,ABS(C578-E577),ABS(D578-E577))</f>
        <v>0.00926072831471958</v>
      </c>
      <c r="I578" s="8" t="n">
        <f aca="true">IF(ROW()-2&lt;14,"",IF(ROW()-2=14,AVERAGE(OFFSET(H578,-13,0,14,1)),(I577*13+H578)/14))</f>
        <v>0.00768199377126254</v>
      </c>
      <c r="J578" s="9" t="b">
        <f aca="false">IF(AND(ISNUMBER(F578),ISNUMBER(G578),ISNUMBER(F577),ISNUMBER(G577)),AND(F578&gt;G578,F577&lt;=G577),FALSE())</f>
        <v>0</v>
      </c>
      <c r="K578" s="9" t="b">
        <f aca="false">IF(AND(ISNUMBER(F578),ISNUMBER(G578),ISNUMBER(F577),ISNUMBER(G577)),AND(F578&lt;G578,F577&gt;=G577),FALSE())</f>
        <v>0</v>
      </c>
      <c r="L578" s="8" t="n">
        <f aca="false">IF(ISNUMBER(I578),E578-Inputs!$B$6*I578,"")</f>
        <v>0.845440073287537</v>
      </c>
      <c r="M578" s="9" t="b">
        <f aca="false">AND(Y577&gt;0,Z577)</f>
        <v>0</v>
      </c>
      <c r="N578" s="8" t="n">
        <f aca="false">B578*(1-Inputs!$B$12)</f>
        <v>0.857279472689852</v>
      </c>
      <c r="O578" s="10" t="n">
        <f aca="false">IF(M578,Y577*(N578-AB577)-Inputs!$B$9-Y577*AD577*Inputs!$B$13*(A578-AC577),0)</f>
        <v>0</v>
      </c>
      <c r="P578" s="10" t="n">
        <f aca="false">X577+O578</f>
        <v>1015.3844066801</v>
      </c>
      <c r="Q578" s="9" t="b">
        <f aca="false">AND(IF(M578,0,Y577)=0,AA577,IF(ISNUMBER(AE577),B578&gt;AE577,FALSE()))</f>
        <v>0</v>
      </c>
      <c r="R578" s="8" t="n">
        <f aca="false">B578*(1+Inputs!$B$12)</f>
        <v>0.857622453075005</v>
      </c>
      <c r="S578" s="11" t="n">
        <f aca="false">IF(Q578,MIN(P578*Inputs!$B$3/(R578-AE577),P578*Inputs!$B$11/R578),0)</f>
        <v>0</v>
      </c>
      <c r="T578" s="11" t="n">
        <f aca="false">IF(Q578,S578,IF(M578,0,Y577))</f>
        <v>664.118972006065</v>
      </c>
      <c r="U578" s="8" t="n">
        <f aca="false">IF(Q578,AE577,AF577)</f>
        <v>0.771982232894536</v>
      </c>
      <c r="V578" s="9" t="b">
        <f aca="false">AND(T578&gt;0,D578&lt;=U578)</f>
        <v>0</v>
      </c>
      <c r="W578" s="10" t="n">
        <f aca="false">IF(V578,T578*(AK578-AB578)-Inputs!$B$9-T578*AD578*Inputs!$B$13*(A578-AC578),0)</f>
        <v>0</v>
      </c>
      <c r="X578" s="10" t="n">
        <f aca="false">P578-IF(Q578,Inputs!$B$9,0)+W578</f>
        <v>1015.3844066801</v>
      </c>
      <c r="Y578" s="11" t="n">
        <f aca="false">IF(V578,0,T578)</f>
        <v>664.118972006065</v>
      </c>
      <c r="Z578" s="9" t="b">
        <f aca="false">AND(Y578&gt;0,K578)</f>
        <v>0</v>
      </c>
      <c r="AA578" s="9" t="b">
        <f aca="false">AND(Y578=0,J578,ISNUMBER(L578))</f>
        <v>0</v>
      </c>
      <c r="AB578" s="8" t="n">
        <f aca="false">IF(Q578,R578,AB577)</f>
        <v>0.787286484836172</v>
      </c>
      <c r="AC578" s="12" t="n">
        <f aca="false">IF(Q578,A578,AC577)</f>
        <v>45226</v>
      </c>
      <c r="AD578" s="8" t="n">
        <f aca="false">IF(Q578,B578,AD577)</f>
        <v>0.787129059024367</v>
      </c>
      <c r="AE578" s="8" t="str">
        <f aca="false">IF(AA578,L578,"")</f>
        <v/>
      </c>
      <c r="AF578" s="8" t="n">
        <f aca="false">U578</f>
        <v>0.771982232894536</v>
      </c>
      <c r="AG578" s="2" t="n">
        <f aca="false">AG577+IF(Q578,1,0)</f>
        <v>3</v>
      </c>
      <c r="AH578" s="2" t="n">
        <f aca="false">AG577</f>
        <v>3</v>
      </c>
      <c r="AI578" s="10" t="n">
        <f aca="false">X578+Y578*(E578-AB578)-Y578*AD578*Inputs!$B$13*(A578-AC578)</f>
        <v>1051.54831271738</v>
      </c>
      <c r="AJ578" s="10" t="n">
        <v>0</v>
      </c>
      <c r="AK578" s="8" t="n">
        <f aca="false">IF(AND(B578&lt;=U578,NOT(Q578)),B578,U578)*(1-Inputs!$B$12)</f>
        <v>0.771827836447957</v>
      </c>
    </row>
    <row r="579" customFormat="false" ht="15" hidden="false" customHeight="false" outlineLevel="0" collapsed="false">
      <c r="A579" s="6" t="n">
        <v>45363</v>
      </c>
      <c r="B579" s="7" t="n">
        <v>0.860804060830062</v>
      </c>
      <c r="C579" s="7" t="n">
        <v>0.86523653226992</v>
      </c>
      <c r="D579" s="7" t="n">
        <v>0.854847876287831</v>
      </c>
      <c r="E579" s="7" t="n">
        <v>0.860966517418089</v>
      </c>
      <c r="F579" s="8" t="n">
        <f aca="true">IF(ROW()-2&gt;=Inputs!$B$4,AVERAGE(OFFSET(E579,1-Inputs!$B$4,0,Inputs!$B$4,1)),"")</f>
        <v>0.857802337689502</v>
      </c>
      <c r="G579" s="8" t="n">
        <f aca="true">IF(ROW()-2&gt;=Inputs!$B$5,AVERAGE(OFFSET(E579,1-Inputs!$B$5,0,Inputs!$B$5,1)),"")</f>
        <v>0.858918297805039</v>
      </c>
      <c r="H579" s="8" t="n">
        <f aca="false">MAX(C579-D579,ABS(C579-E578),ABS(D579-E578))</f>
        <v>0.0103886559820888</v>
      </c>
      <c r="I579" s="8" t="n">
        <f aca="true">IF(ROW()-2&lt;14,"",IF(ROW()-2=14,AVERAGE(OFFSET(H579,-13,0,14,1)),(I578*13+H579)/14))</f>
        <v>0.00787532678632156</v>
      </c>
      <c r="J579" s="9" t="b">
        <f aca="false">IF(AND(ISNUMBER(F579),ISNUMBER(G579),ISNUMBER(F578),ISNUMBER(G578)),AND(F579&gt;G579,F578&lt;=G578),FALSE())</f>
        <v>0</v>
      </c>
      <c r="K579" s="9" t="b">
        <f aca="false">IF(AND(ISNUMBER(F579),ISNUMBER(G579),ISNUMBER(F578),ISNUMBER(G578)),AND(F579&lt;G579,F578&gt;=G578),FALSE())</f>
        <v>1</v>
      </c>
      <c r="L579" s="8" t="n">
        <f aca="false">IF(ISNUMBER(I579),E579-Inputs!$B$6*I579,"")</f>
        <v>0.845215863845445</v>
      </c>
      <c r="M579" s="9" t="b">
        <f aca="false">AND(Y578&gt;0,Z578)</f>
        <v>0</v>
      </c>
      <c r="N579" s="8" t="n">
        <f aca="false">B579*(1-Inputs!$B$12)</f>
        <v>0.860631900017896</v>
      </c>
      <c r="O579" s="10" t="n">
        <f aca="false">IF(M579,Y578*(N579-AB578)-Inputs!$B$9-Y578*AD578*Inputs!$B$13*(A579-AC578),0)</f>
        <v>0</v>
      </c>
      <c r="P579" s="10" t="n">
        <f aca="false">X578+O579</f>
        <v>1015.3844066801</v>
      </c>
      <c r="Q579" s="9" t="b">
        <f aca="false">AND(IF(M579,0,Y578)=0,AA578,IF(ISNUMBER(AE578),B579&gt;AE578,FALSE()))</f>
        <v>0</v>
      </c>
      <c r="R579" s="8" t="n">
        <f aca="false">B579*(1+Inputs!$B$12)</f>
        <v>0.860976221642228</v>
      </c>
      <c r="S579" s="11" t="n">
        <f aca="false">IF(Q579,MIN(P579*Inputs!$B$3/(R579-AE578),P579*Inputs!$B$11/R579),0)</f>
        <v>0</v>
      </c>
      <c r="T579" s="11" t="n">
        <f aca="false">IF(Q579,S579,IF(M579,0,Y578))</f>
        <v>664.118972006065</v>
      </c>
      <c r="U579" s="8" t="n">
        <f aca="false">IF(Q579,AE578,AF578)</f>
        <v>0.771982232894536</v>
      </c>
      <c r="V579" s="9" t="b">
        <f aca="false">AND(T579&gt;0,D579&lt;=U579)</f>
        <v>0</v>
      </c>
      <c r="W579" s="10" t="n">
        <f aca="false">IF(V579,T579*(AK579-AB579)-Inputs!$B$9-T579*AD579*Inputs!$B$13*(A579-AC579),0)</f>
        <v>0</v>
      </c>
      <c r="X579" s="10" t="n">
        <f aca="false">P579-IF(Q579,Inputs!$B$9,0)+W579</f>
        <v>1015.3844066801</v>
      </c>
      <c r="Y579" s="11" t="n">
        <f aca="false">IF(V579,0,T579)</f>
        <v>664.118972006065</v>
      </c>
      <c r="Z579" s="9" t="b">
        <f aca="false">AND(Y579&gt;0,K579)</f>
        <v>1</v>
      </c>
      <c r="AA579" s="9" t="b">
        <f aca="false">AND(Y579=0,J579,ISNUMBER(L579))</f>
        <v>0</v>
      </c>
      <c r="AB579" s="8" t="n">
        <f aca="false">IF(Q579,R579,AB578)</f>
        <v>0.787286484836172</v>
      </c>
      <c r="AC579" s="12" t="n">
        <f aca="false">IF(Q579,A579,AC578)</f>
        <v>45226</v>
      </c>
      <c r="AD579" s="8" t="n">
        <f aca="false">IF(Q579,B579,AD578)</f>
        <v>0.787129059024367</v>
      </c>
      <c r="AE579" s="8" t="str">
        <f aca="false">IF(AA579,L579,"")</f>
        <v/>
      </c>
      <c r="AF579" s="8" t="n">
        <f aca="false">U579</f>
        <v>0.771982232894536</v>
      </c>
      <c r="AG579" s="2" t="n">
        <f aca="false">AG578+IF(Q579,1,0)</f>
        <v>3</v>
      </c>
      <c r="AH579" s="2" t="n">
        <f aca="false">AG578</f>
        <v>3</v>
      </c>
      <c r="AI579" s="10" t="n">
        <f aca="false">X579+Y579*(E579-AB579)-Y579*AD579*Inputs!$B$13*(A579-AC579)</f>
        <v>1051.5631112273</v>
      </c>
      <c r="AJ579" s="10" t="n">
        <v>0</v>
      </c>
      <c r="AK579" s="8" t="n">
        <f aca="false">IF(AND(B579&lt;=U579,NOT(Q579)),B579,U579)*(1-Inputs!$B$12)</f>
        <v>0.771827836447957</v>
      </c>
    </row>
    <row r="580" customFormat="false" ht="15" hidden="false" customHeight="false" outlineLevel="0" collapsed="false">
      <c r="A580" s="6" t="n">
        <v>45364</v>
      </c>
      <c r="B580" s="7" t="n">
        <v>0.860966517418089</v>
      </c>
      <c r="C580" s="7" t="n">
        <v>0.864854555522182</v>
      </c>
      <c r="D580" s="7" t="n">
        <v>0.859475318389317</v>
      </c>
      <c r="E580" s="7" t="n">
        <v>0.864425057757329</v>
      </c>
      <c r="F580" s="8" t="n">
        <f aca="true">IF(ROW()-2&gt;=Inputs!$B$4,AVERAGE(OFFSET(E580,1-Inputs!$B$4,0,Inputs!$B$4,1)),"")</f>
        <v>0.857604160127891</v>
      </c>
      <c r="G580" s="8" t="n">
        <f aca="true">IF(ROW()-2&gt;=Inputs!$B$5,AVERAGE(OFFSET(E580,1-Inputs!$B$5,0,Inputs!$B$5,1)),"")</f>
        <v>0.859362541285598</v>
      </c>
      <c r="H580" s="8" t="n">
        <f aca="false">MAX(C580-D580,ABS(C580-E579),ABS(D580-E579))</f>
        <v>0.00537923713286481</v>
      </c>
      <c r="I580" s="8" t="n">
        <f aca="true">IF(ROW()-2&lt;14,"",IF(ROW()-2=14,AVERAGE(OFFSET(H580,-13,0,14,1)),(I579*13+H580)/14))</f>
        <v>0.0076970346682175</v>
      </c>
      <c r="J580" s="9" t="b">
        <f aca="false">IF(AND(ISNUMBER(F580),ISNUMBER(G580),ISNUMBER(F579),ISNUMBER(G579)),AND(F580&gt;G580,F579&lt;=G579),FALSE())</f>
        <v>0</v>
      </c>
      <c r="K580" s="9" t="b">
        <f aca="false">IF(AND(ISNUMBER(F580),ISNUMBER(G580),ISNUMBER(F579),ISNUMBER(G579)),AND(F580&lt;G580,F579&gt;=G579),FALSE())</f>
        <v>0</v>
      </c>
      <c r="L580" s="8" t="n">
        <f aca="false">IF(ISNUMBER(I580),E580-Inputs!$B$6*I580,"")</f>
        <v>0.849030988420894</v>
      </c>
      <c r="M580" s="9" t="b">
        <f aca="false">AND(Y579&gt;0,Z579)</f>
        <v>1</v>
      </c>
      <c r="N580" s="8" t="n">
        <f aca="false">B580*(1-Inputs!$B$12)</f>
        <v>0.860794324114605</v>
      </c>
      <c r="O580" s="10" t="n">
        <f aca="false">IF(M580,Y579*(N580-AB579)-Inputs!$B$9-Y579*AD579*Inputs!$B$13*(A580-AC579),0)</f>
        <v>34.9712557151779</v>
      </c>
      <c r="P580" s="10" t="n">
        <f aca="false">X579+O580</f>
        <v>1050.35566239527</v>
      </c>
      <c r="Q580" s="9" t="b">
        <f aca="false">AND(IF(M580,0,Y579)=0,AA579,IF(ISNUMBER(AE579),B580&gt;AE579,FALSE()))</f>
        <v>0</v>
      </c>
      <c r="R580" s="8" t="n">
        <f aca="false">B580*(1+Inputs!$B$12)</f>
        <v>0.861138710721572</v>
      </c>
      <c r="S580" s="11" t="n">
        <f aca="false">IF(Q580,MIN(P580*Inputs!$B$3/(R580-AE579),P580*Inputs!$B$11/R580),0)</f>
        <v>0</v>
      </c>
      <c r="T580" s="11" t="n">
        <f aca="false">IF(Q580,S580,IF(M580,0,Y579))</f>
        <v>0</v>
      </c>
      <c r="U580" s="8" t="n">
        <f aca="false">IF(Q580,AE579,AF579)</f>
        <v>0.771982232894536</v>
      </c>
      <c r="V580" s="9" t="b">
        <f aca="false">AND(T580&gt;0,D580&lt;=U580)</f>
        <v>0</v>
      </c>
      <c r="W580" s="10" t="n">
        <f aca="false">IF(V580,T580*(AK580-AB580)-Inputs!$B$9-T580*AD580*Inputs!$B$13*(A580-AC580),0)</f>
        <v>0</v>
      </c>
      <c r="X580" s="10" t="n">
        <f aca="false">P580-IF(Q580,Inputs!$B$9,0)+W580</f>
        <v>1050.35566239527</v>
      </c>
      <c r="Y580" s="11" t="n">
        <f aca="false">IF(V580,0,T580)</f>
        <v>0</v>
      </c>
      <c r="Z580" s="9" t="b">
        <f aca="false">AND(Y580&gt;0,K580)</f>
        <v>0</v>
      </c>
      <c r="AA580" s="9" t="b">
        <f aca="false">AND(Y580=0,J580,ISNUMBER(L580))</f>
        <v>0</v>
      </c>
      <c r="AB580" s="8" t="n">
        <f aca="false">IF(Q580,R580,AB579)</f>
        <v>0.787286484836172</v>
      </c>
      <c r="AC580" s="12" t="n">
        <f aca="false">IF(Q580,A580,AC579)</f>
        <v>45226</v>
      </c>
      <c r="AD580" s="8" t="n">
        <f aca="false">IF(Q580,B580,AD579)</f>
        <v>0.787129059024367</v>
      </c>
      <c r="AE580" s="8" t="str">
        <f aca="false">IF(AA580,L580,"")</f>
        <v/>
      </c>
      <c r="AF580" s="8" t="n">
        <f aca="false">U580</f>
        <v>0.771982232894536</v>
      </c>
      <c r="AG580" s="2" t="n">
        <f aca="false">AG579+IF(Q580,1,0)</f>
        <v>3</v>
      </c>
      <c r="AH580" s="2" t="n">
        <f aca="false">AG579</f>
        <v>3</v>
      </c>
      <c r="AI580" s="10" t="n">
        <f aca="false">X580+Y580*(E580-AB580)-Y580*AD580*Inputs!$B$13*(A580-AC580)</f>
        <v>1050.35566239527</v>
      </c>
      <c r="AJ580" s="10" t="n">
        <v>0</v>
      </c>
      <c r="AK580" s="8" t="n">
        <f aca="false">IF(AND(B580&lt;=U580,NOT(Q580)),B580,U580)*(1-Inputs!$B$12)</f>
        <v>0.771827836447957</v>
      </c>
    </row>
    <row r="581" customFormat="false" ht="15" hidden="false" customHeight="false" outlineLevel="0" collapsed="false">
      <c r="A581" s="6" t="n">
        <v>45365</v>
      </c>
      <c r="B581" s="7" t="n">
        <v>0.864425057757329</v>
      </c>
      <c r="C581" s="7" t="n">
        <v>0.866483149859063</v>
      </c>
      <c r="D581" s="7" t="n">
        <v>0.862347583435258</v>
      </c>
      <c r="E581" s="7" t="n">
        <v>0.863861270062657</v>
      </c>
      <c r="F581" s="8" t="n">
        <f aca="true">IF(ROW()-2&gt;=Inputs!$B$4,AVERAGE(OFFSET(E581,1-Inputs!$B$4,0,Inputs!$B$4,1)),"")</f>
        <v>0.857363486064775</v>
      </c>
      <c r="G581" s="8" t="n">
        <f aca="true">IF(ROW()-2&gt;=Inputs!$B$5,AVERAGE(OFFSET(E581,1-Inputs!$B$5,0,Inputs!$B$5,1)),"")</f>
        <v>0.859814848525767</v>
      </c>
      <c r="H581" s="8" t="n">
        <f aca="false">MAX(C581-D581,ABS(C581-E580),ABS(D581-E580))</f>
        <v>0.00413556642380453</v>
      </c>
      <c r="I581" s="8" t="n">
        <f aca="true">IF(ROW()-2&lt;14,"",IF(ROW()-2=14,AVERAGE(OFFSET(H581,-13,0,14,1)),(I580*13+H581)/14))</f>
        <v>0.00744264407933086</v>
      </c>
      <c r="J581" s="9" t="b">
        <f aca="false">IF(AND(ISNUMBER(F581),ISNUMBER(G581),ISNUMBER(F580),ISNUMBER(G580)),AND(F581&gt;G581,F580&lt;=G580),FALSE())</f>
        <v>0</v>
      </c>
      <c r="K581" s="9" t="b">
        <f aca="false">IF(AND(ISNUMBER(F581),ISNUMBER(G581),ISNUMBER(F580),ISNUMBER(G580)),AND(F581&lt;G581,F580&gt;=G580),FALSE())</f>
        <v>0</v>
      </c>
      <c r="L581" s="8" t="n">
        <f aca="false">IF(ISNUMBER(I581),E581-Inputs!$B$6*I581,"")</f>
        <v>0.848975981903996</v>
      </c>
      <c r="M581" s="9" t="b">
        <f aca="false">AND(Y580&gt;0,Z580)</f>
        <v>0</v>
      </c>
      <c r="N581" s="8" t="n">
        <f aca="false">B581*(1-Inputs!$B$12)</f>
        <v>0.864252172745778</v>
      </c>
      <c r="O581" s="10" t="n">
        <f aca="false">IF(M581,Y580*(N581-AB580)-Inputs!$B$9-Y580*AD580*Inputs!$B$13*(A581-AC580),0)</f>
        <v>0</v>
      </c>
      <c r="P581" s="10" t="n">
        <f aca="false">X580+O581</f>
        <v>1050.35566239527</v>
      </c>
      <c r="Q581" s="9" t="b">
        <f aca="false">AND(IF(M581,0,Y580)=0,AA580,IF(ISNUMBER(AE580),B581&gt;AE580,FALSE()))</f>
        <v>0</v>
      </c>
      <c r="R581" s="8" t="n">
        <f aca="false">B581*(1+Inputs!$B$12)</f>
        <v>0.864597942768881</v>
      </c>
      <c r="S581" s="11" t="n">
        <f aca="false">IF(Q581,MIN(P581*Inputs!$B$3/(R581-AE580),P581*Inputs!$B$11/R581),0)</f>
        <v>0</v>
      </c>
      <c r="T581" s="11" t="n">
        <f aca="false">IF(Q581,S581,IF(M581,0,Y580))</f>
        <v>0</v>
      </c>
      <c r="U581" s="8" t="n">
        <f aca="false">IF(Q581,AE580,AF580)</f>
        <v>0.771982232894536</v>
      </c>
      <c r="V581" s="9" t="b">
        <f aca="false">AND(T581&gt;0,D581&lt;=U581)</f>
        <v>0</v>
      </c>
      <c r="W581" s="10" t="n">
        <f aca="false">IF(V581,T581*(AK581-AB581)-Inputs!$B$9-T581*AD581*Inputs!$B$13*(A581-AC581),0)</f>
        <v>0</v>
      </c>
      <c r="X581" s="10" t="n">
        <f aca="false">P581-IF(Q581,Inputs!$B$9,0)+W581</f>
        <v>1050.35566239527</v>
      </c>
      <c r="Y581" s="11" t="n">
        <f aca="false">IF(V581,0,T581)</f>
        <v>0</v>
      </c>
      <c r="Z581" s="9" t="b">
        <f aca="false">AND(Y581&gt;0,K581)</f>
        <v>0</v>
      </c>
      <c r="AA581" s="9" t="b">
        <f aca="false">AND(Y581=0,J581,ISNUMBER(L581))</f>
        <v>0</v>
      </c>
      <c r="AB581" s="8" t="n">
        <f aca="false">IF(Q581,R581,AB580)</f>
        <v>0.787286484836172</v>
      </c>
      <c r="AC581" s="12" t="n">
        <f aca="false">IF(Q581,A581,AC580)</f>
        <v>45226</v>
      </c>
      <c r="AD581" s="8" t="n">
        <f aca="false">IF(Q581,B581,AD580)</f>
        <v>0.787129059024367</v>
      </c>
      <c r="AE581" s="8" t="str">
        <f aca="false">IF(AA581,L581,"")</f>
        <v/>
      </c>
      <c r="AF581" s="8" t="n">
        <f aca="false">U581</f>
        <v>0.771982232894536</v>
      </c>
      <c r="AG581" s="2" t="n">
        <f aca="false">AG580+IF(Q581,1,0)</f>
        <v>3</v>
      </c>
      <c r="AH581" s="2" t="n">
        <f aca="false">AG580</f>
        <v>3</v>
      </c>
      <c r="AI581" s="10" t="n">
        <f aca="false">X581+Y581*(E581-AB581)-Y581*AD581*Inputs!$B$13*(A581-AC581)</f>
        <v>1050.35566239527</v>
      </c>
      <c r="AJ581" s="10" t="n">
        <v>0</v>
      </c>
      <c r="AK581" s="8" t="n">
        <f aca="false">IF(AND(B581&lt;=U581,NOT(Q581)),B581,U581)*(1-Inputs!$B$12)</f>
        <v>0.771827836447957</v>
      </c>
    </row>
    <row r="582" customFormat="false" ht="15" hidden="false" customHeight="false" outlineLevel="0" collapsed="false">
      <c r="A582" s="6" t="n">
        <v>45366</v>
      </c>
      <c r="B582" s="7" t="n">
        <v>0.863861270062657</v>
      </c>
      <c r="C582" s="7" t="n">
        <v>0.875593802027973</v>
      </c>
      <c r="D582" s="7" t="n">
        <v>0.861374888062448</v>
      </c>
      <c r="E582" s="7" t="n">
        <v>0.872485940172221</v>
      </c>
      <c r="F582" s="8" t="n">
        <f aca="true">IF(ROW()-2&gt;=Inputs!$B$4,AVERAGE(OFFSET(E582,1-Inputs!$B$4,0,Inputs!$B$4,1)),"")</f>
        <v>0.857799476627796</v>
      </c>
      <c r="G582" s="8" t="n">
        <f aca="true">IF(ROW()-2&gt;=Inputs!$B$5,AVERAGE(OFFSET(E582,1-Inputs!$B$5,0,Inputs!$B$5,1)),"")</f>
        <v>0.860365368354703</v>
      </c>
      <c r="H582" s="8" t="n">
        <f aca="false">MAX(C582-D582,ABS(C582-E581),ABS(D582-E581))</f>
        <v>0.0142189139655249</v>
      </c>
      <c r="I582" s="8" t="n">
        <f aca="true">IF(ROW()-2&lt;14,"",IF(ROW()-2=14,AVERAGE(OFFSET(H582,-13,0,14,1)),(I581*13+H582)/14))</f>
        <v>0.00792666335691615</v>
      </c>
      <c r="J582" s="9" t="b">
        <f aca="false">IF(AND(ISNUMBER(F582),ISNUMBER(G582),ISNUMBER(F581),ISNUMBER(G581)),AND(F582&gt;G582,F581&lt;=G581),FALSE())</f>
        <v>0</v>
      </c>
      <c r="K582" s="9" t="b">
        <f aca="false">IF(AND(ISNUMBER(F582),ISNUMBER(G582),ISNUMBER(F581),ISNUMBER(G581)),AND(F582&lt;G582,F581&gt;=G581),FALSE())</f>
        <v>0</v>
      </c>
      <c r="L582" s="8" t="n">
        <f aca="false">IF(ISNUMBER(I582),E582-Inputs!$B$6*I582,"")</f>
        <v>0.856632613458389</v>
      </c>
      <c r="M582" s="9" t="b">
        <f aca="false">AND(Y581&gt;0,Z581)</f>
        <v>0</v>
      </c>
      <c r="N582" s="8" t="n">
        <f aca="false">B582*(1-Inputs!$B$12)</f>
        <v>0.863688497808645</v>
      </c>
      <c r="O582" s="10" t="n">
        <f aca="false">IF(M582,Y581*(N582-AB581)-Inputs!$B$9-Y581*AD581*Inputs!$B$13*(A582-AC581),0)</f>
        <v>0</v>
      </c>
      <c r="P582" s="10" t="n">
        <f aca="false">X581+O582</f>
        <v>1050.35566239527</v>
      </c>
      <c r="Q582" s="9" t="b">
        <f aca="false">AND(IF(M582,0,Y581)=0,AA581,IF(ISNUMBER(AE581),B582&gt;AE581,FALSE()))</f>
        <v>0</v>
      </c>
      <c r="R582" s="8" t="n">
        <f aca="false">B582*(1+Inputs!$B$12)</f>
        <v>0.86403404231667</v>
      </c>
      <c r="S582" s="11" t="n">
        <f aca="false">IF(Q582,MIN(P582*Inputs!$B$3/(R582-AE581),P582*Inputs!$B$11/R582),0)</f>
        <v>0</v>
      </c>
      <c r="T582" s="11" t="n">
        <f aca="false">IF(Q582,S582,IF(M582,0,Y581))</f>
        <v>0</v>
      </c>
      <c r="U582" s="8" t="n">
        <f aca="false">IF(Q582,AE581,AF581)</f>
        <v>0.771982232894536</v>
      </c>
      <c r="V582" s="9" t="b">
        <f aca="false">AND(T582&gt;0,D582&lt;=U582)</f>
        <v>0</v>
      </c>
      <c r="W582" s="10" t="n">
        <f aca="false">IF(V582,T582*(AK582-AB582)-Inputs!$B$9-T582*AD582*Inputs!$B$13*(A582-AC582),0)</f>
        <v>0</v>
      </c>
      <c r="X582" s="10" t="n">
        <f aca="false">P582-IF(Q582,Inputs!$B$9,0)+W582</f>
        <v>1050.35566239527</v>
      </c>
      <c r="Y582" s="11" t="n">
        <f aca="false">IF(V582,0,T582)</f>
        <v>0</v>
      </c>
      <c r="Z582" s="9" t="b">
        <f aca="false">AND(Y582&gt;0,K582)</f>
        <v>0</v>
      </c>
      <c r="AA582" s="9" t="b">
        <f aca="false">AND(Y582=0,J582,ISNUMBER(L582))</f>
        <v>0</v>
      </c>
      <c r="AB582" s="8" t="n">
        <f aca="false">IF(Q582,R582,AB581)</f>
        <v>0.787286484836172</v>
      </c>
      <c r="AC582" s="12" t="n">
        <f aca="false">IF(Q582,A582,AC581)</f>
        <v>45226</v>
      </c>
      <c r="AD582" s="8" t="n">
        <f aca="false">IF(Q582,B582,AD581)</f>
        <v>0.787129059024367</v>
      </c>
      <c r="AE582" s="8" t="str">
        <f aca="false">IF(AA582,L582,"")</f>
        <v/>
      </c>
      <c r="AF582" s="8" t="n">
        <f aca="false">U582</f>
        <v>0.771982232894536</v>
      </c>
      <c r="AG582" s="2" t="n">
        <f aca="false">AG581+IF(Q582,1,0)</f>
        <v>3</v>
      </c>
      <c r="AH582" s="2" t="n">
        <f aca="false">AG581</f>
        <v>3</v>
      </c>
      <c r="AI582" s="10" t="n">
        <f aca="false">X582+Y582*(E582-AB582)-Y582*AD582*Inputs!$B$13*(A582-AC582)</f>
        <v>1050.35566239527</v>
      </c>
      <c r="AJ582" s="10" t="n">
        <v>0</v>
      </c>
      <c r="AK582" s="8" t="n">
        <f aca="false">IF(AND(B582&lt;=U582,NOT(Q582)),B582,U582)*(1-Inputs!$B$12)</f>
        <v>0.771827836447957</v>
      </c>
    </row>
    <row r="583" customFormat="false" ht="15" hidden="false" customHeight="false" outlineLevel="0" collapsed="false">
      <c r="A583" s="6" t="n">
        <v>45367</v>
      </c>
      <c r="B583" s="7" t="n">
        <v>0.872485940172221</v>
      </c>
      <c r="C583" s="7" t="n">
        <v>0.877894533722177</v>
      </c>
      <c r="D583" s="7" t="n">
        <v>0.8624586087838</v>
      </c>
      <c r="E583" s="7" t="n">
        <v>0.864004571750737</v>
      </c>
      <c r="F583" s="8" t="n">
        <f aca="true">IF(ROW()-2&gt;=Inputs!$B$4,AVERAGE(OFFSET(E583,1-Inputs!$B$4,0,Inputs!$B$4,1)),"")</f>
        <v>0.85801681050146</v>
      </c>
      <c r="G583" s="8" t="n">
        <f aca="true">IF(ROW()-2&gt;=Inputs!$B$5,AVERAGE(OFFSET(E583,1-Inputs!$B$5,0,Inputs!$B$5,1)),"")</f>
        <v>0.860695163341146</v>
      </c>
      <c r="H583" s="8" t="n">
        <f aca="false">MAX(C583-D583,ABS(C583-E582),ABS(D583-E582))</f>
        <v>0.0154359249383771</v>
      </c>
      <c r="I583" s="8" t="n">
        <f aca="true">IF(ROW()-2&lt;14,"",IF(ROW()-2=14,AVERAGE(OFFSET(H583,-13,0,14,1)),(I582*13+H583)/14))</f>
        <v>0.00846303918416336</v>
      </c>
      <c r="J583" s="9" t="b">
        <f aca="false">IF(AND(ISNUMBER(F583),ISNUMBER(G583),ISNUMBER(F582),ISNUMBER(G582)),AND(F583&gt;G583,F582&lt;=G582),FALSE())</f>
        <v>0</v>
      </c>
      <c r="K583" s="9" t="b">
        <f aca="false">IF(AND(ISNUMBER(F583),ISNUMBER(G583),ISNUMBER(F582),ISNUMBER(G582)),AND(F583&lt;G583,F582&gt;=G582),FALSE())</f>
        <v>0</v>
      </c>
      <c r="L583" s="8" t="n">
        <f aca="false">IF(ISNUMBER(I583),E583-Inputs!$B$6*I583,"")</f>
        <v>0.84707849338241</v>
      </c>
      <c r="M583" s="9" t="b">
        <f aca="false">AND(Y582&gt;0,Z582)</f>
        <v>0</v>
      </c>
      <c r="N583" s="8" t="n">
        <f aca="false">B583*(1-Inputs!$B$12)</f>
        <v>0.872311442984187</v>
      </c>
      <c r="O583" s="10" t="n">
        <f aca="false">IF(M583,Y582*(N583-AB582)-Inputs!$B$9-Y582*AD582*Inputs!$B$13*(A583-AC582),0)</f>
        <v>0</v>
      </c>
      <c r="P583" s="10" t="n">
        <f aca="false">X582+O583</f>
        <v>1050.35566239527</v>
      </c>
      <c r="Q583" s="9" t="b">
        <f aca="false">AND(IF(M583,0,Y582)=0,AA582,IF(ISNUMBER(AE582),B583&gt;AE582,FALSE()))</f>
        <v>0</v>
      </c>
      <c r="R583" s="8" t="n">
        <f aca="false">B583*(1+Inputs!$B$12)</f>
        <v>0.872660437360256</v>
      </c>
      <c r="S583" s="11" t="n">
        <f aca="false">IF(Q583,MIN(P583*Inputs!$B$3/(R583-AE582),P583*Inputs!$B$11/R583),0)</f>
        <v>0</v>
      </c>
      <c r="T583" s="11" t="n">
        <f aca="false">IF(Q583,S583,IF(M583,0,Y582))</f>
        <v>0</v>
      </c>
      <c r="U583" s="8" t="n">
        <f aca="false">IF(Q583,AE582,AF582)</f>
        <v>0.771982232894536</v>
      </c>
      <c r="V583" s="9" t="b">
        <f aca="false">AND(T583&gt;0,D583&lt;=U583)</f>
        <v>0</v>
      </c>
      <c r="W583" s="10" t="n">
        <f aca="false">IF(V583,T583*(AK583-AB583)-Inputs!$B$9-T583*AD583*Inputs!$B$13*(A583-AC583),0)</f>
        <v>0</v>
      </c>
      <c r="X583" s="10" t="n">
        <f aca="false">P583-IF(Q583,Inputs!$B$9,0)+W583</f>
        <v>1050.35566239527</v>
      </c>
      <c r="Y583" s="11" t="n">
        <f aca="false">IF(V583,0,T583)</f>
        <v>0</v>
      </c>
      <c r="Z583" s="9" t="b">
        <f aca="false">AND(Y583&gt;0,K583)</f>
        <v>0</v>
      </c>
      <c r="AA583" s="9" t="b">
        <f aca="false">AND(Y583=0,J583,ISNUMBER(L583))</f>
        <v>0</v>
      </c>
      <c r="AB583" s="8" t="n">
        <f aca="false">IF(Q583,R583,AB582)</f>
        <v>0.787286484836172</v>
      </c>
      <c r="AC583" s="12" t="n">
        <f aca="false">IF(Q583,A583,AC582)</f>
        <v>45226</v>
      </c>
      <c r="AD583" s="8" t="n">
        <f aca="false">IF(Q583,B583,AD582)</f>
        <v>0.787129059024367</v>
      </c>
      <c r="AE583" s="8" t="str">
        <f aca="false">IF(AA583,L583,"")</f>
        <v/>
      </c>
      <c r="AF583" s="8" t="n">
        <f aca="false">U583</f>
        <v>0.771982232894536</v>
      </c>
      <c r="AG583" s="2" t="n">
        <f aca="false">AG582+IF(Q583,1,0)</f>
        <v>3</v>
      </c>
      <c r="AH583" s="2" t="n">
        <f aca="false">AG582</f>
        <v>3</v>
      </c>
      <c r="AI583" s="10" t="n">
        <f aca="false">X583+Y583*(E583-AB583)-Y583*AD583*Inputs!$B$13*(A583-AC583)</f>
        <v>1050.35566239527</v>
      </c>
      <c r="AJ583" s="10" t="n">
        <v>0</v>
      </c>
      <c r="AK583" s="8" t="n">
        <f aca="false">IF(AND(B583&lt;=U583,NOT(Q583)),B583,U583)*(1-Inputs!$B$12)</f>
        <v>0.771827836447957</v>
      </c>
    </row>
    <row r="584" customFormat="false" ht="15" hidden="false" customHeight="false" outlineLevel="0" collapsed="false">
      <c r="A584" s="6" t="n">
        <v>45368</v>
      </c>
      <c r="B584" s="7" t="n">
        <v>0.864004571750737</v>
      </c>
      <c r="C584" s="7" t="n">
        <v>0.872604780761568</v>
      </c>
      <c r="D584" s="7" t="n">
        <v>0.861081713543103</v>
      </c>
      <c r="E584" s="7" t="n">
        <v>0.870690256285991</v>
      </c>
      <c r="F584" s="8" t="n">
        <f aca="true">IF(ROW()-2&gt;=Inputs!$B$4,AVERAGE(OFFSET(E584,1-Inputs!$B$4,0,Inputs!$B$4,1)),"")</f>
        <v>0.858639955432373</v>
      </c>
      <c r="G584" s="8" t="n">
        <f aca="true">IF(ROW()-2&gt;=Inputs!$B$5,AVERAGE(OFFSET(E584,1-Inputs!$B$5,0,Inputs!$B$5,1)),"")</f>
        <v>0.861124582048182</v>
      </c>
      <c r="H584" s="8" t="n">
        <f aca="false">MAX(C584-D584,ABS(C584-E583),ABS(D584-E583))</f>
        <v>0.0115230672184657</v>
      </c>
      <c r="I584" s="8" t="n">
        <f aca="true">IF(ROW()-2&lt;14,"",IF(ROW()-2=14,AVERAGE(OFFSET(H584,-13,0,14,1)),(I583*13+H584)/14))</f>
        <v>0.00868161261518496</v>
      </c>
      <c r="J584" s="9" t="b">
        <f aca="false">IF(AND(ISNUMBER(F584),ISNUMBER(G584),ISNUMBER(F583),ISNUMBER(G583)),AND(F584&gt;G584,F583&lt;=G583),FALSE())</f>
        <v>0</v>
      </c>
      <c r="K584" s="9" t="b">
        <f aca="false">IF(AND(ISNUMBER(F584),ISNUMBER(G584),ISNUMBER(F583),ISNUMBER(G583)),AND(F584&lt;G584,F583&gt;=G583),FALSE())</f>
        <v>0</v>
      </c>
      <c r="L584" s="8" t="n">
        <f aca="false">IF(ISNUMBER(I584),E584-Inputs!$B$6*I584,"")</f>
        <v>0.853327031055621</v>
      </c>
      <c r="M584" s="9" t="b">
        <f aca="false">AND(Y583&gt;0,Z583)</f>
        <v>0</v>
      </c>
      <c r="N584" s="8" t="n">
        <f aca="false">B584*(1-Inputs!$B$12)</f>
        <v>0.863831770836387</v>
      </c>
      <c r="O584" s="10" t="n">
        <f aca="false">IF(M584,Y583*(N584-AB583)-Inputs!$B$9-Y583*AD583*Inputs!$B$13*(A584-AC583),0)</f>
        <v>0</v>
      </c>
      <c r="P584" s="10" t="n">
        <f aca="false">X583+O584</f>
        <v>1050.35566239527</v>
      </c>
      <c r="Q584" s="9" t="b">
        <f aca="false">AND(IF(M584,0,Y583)=0,AA583,IF(ISNUMBER(AE583),B584&gt;AE583,FALSE()))</f>
        <v>0</v>
      </c>
      <c r="R584" s="8" t="n">
        <f aca="false">B584*(1+Inputs!$B$12)</f>
        <v>0.864177372665087</v>
      </c>
      <c r="S584" s="11" t="n">
        <f aca="false">IF(Q584,MIN(P584*Inputs!$B$3/(R584-AE583),P584*Inputs!$B$11/R584),0)</f>
        <v>0</v>
      </c>
      <c r="T584" s="11" t="n">
        <f aca="false">IF(Q584,S584,IF(M584,0,Y583))</f>
        <v>0</v>
      </c>
      <c r="U584" s="8" t="n">
        <f aca="false">IF(Q584,AE583,AF583)</f>
        <v>0.771982232894536</v>
      </c>
      <c r="V584" s="9" t="b">
        <f aca="false">AND(T584&gt;0,D584&lt;=U584)</f>
        <v>0</v>
      </c>
      <c r="W584" s="10" t="n">
        <f aca="false">IF(V584,T584*(AK584-AB584)-Inputs!$B$9-T584*AD584*Inputs!$B$13*(A584-AC584),0)</f>
        <v>0</v>
      </c>
      <c r="X584" s="10" t="n">
        <f aca="false">P584-IF(Q584,Inputs!$B$9,0)+W584</f>
        <v>1050.35566239527</v>
      </c>
      <c r="Y584" s="11" t="n">
        <f aca="false">IF(V584,0,T584)</f>
        <v>0</v>
      </c>
      <c r="Z584" s="9" t="b">
        <f aca="false">AND(Y584&gt;0,K584)</f>
        <v>0</v>
      </c>
      <c r="AA584" s="9" t="b">
        <f aca="false">AND(Y584=0,J584,ISNUMBER(L584))</f>
        <v>0</v>
      </c>
      <c r="AB584" s="8" t="n">
        <f aca="false">IF(Q584,R584,AB583)</f>
        <v>0.787286484836172</v>
      </c>
      <c r="AC584" s="12" t="n">
        <f aca="false">IF(Q584,A584,AC583)</f>
        <v>45226</v>
      </c>
      <c r="AD584" s="8" t="n">
        <f aca="false">IF(Q584,B584,AD583)</f>
        <v>0.787129059024367</v>
      </c>
      <c r="AE584" s="8" t="str">
        <f aca="false">IF(AA584,L584,"")</f>
        <v/>
      </c>
      <c r="AF584" s="8" t="n">
        <f aca="false">U584</f>
        <v>0.771982232894536</v>
      </c>
      <c r="AG584" s="2" t="n">
        <f aca="false">AG583+IF(Q584,1,0)</f>
        <v>3</v>
      </c>
      <c r="AH584" s="2" t="n">
        <f aca="false">AG583</f>
        <v>3</v>
      </c>
      <c r="AI584" s="10" t="n">
        <f aca="false">X584+Y584*(E584-AB584)-Y584*AD584*Inputs!$B$13*(A584-AC584)</f>
        <v>1050.35566239527</v>
      </c>
      <c r="AJ584" s="10" t="n">
        <v>0</v>
      </c>
      <c r="AK584" s="8" t="n">
        <f aca="false">IF(AND(B584&lt;=U584,NOT(Q584)),B584,U584)*(1-Inputs!$B$12)</f>
        <v>0.771827836447957</v>
      </c>
    </row>
    <row r="585" customFormat="false" ht="15" hidden="false" customHeight="false" outlineLevel="0" collapsed="false">
      <c r="A585" s="6" t="n">
        <v>45369</v>
      </c>
      <c r="B585" s="7" t="n">
        <v>0.870690256285991</v>
      </c>
      <c r="C585" s="7" t="n">
        <v>0.872240527611199</v>
      </c>
      <c r="D585" s="7" t="n">
        <v>0.862548583811496</v>
      </c>
      <c r="E585" s="7" t="n">
        <v>0.866353901751691</v>
      </c>
      <c r="F585" s="8" t="n">
        <f aca="true">IF(ROW()-2&gt;=Inputs!$B$4,AVERAGE(OFFSET(E585,1-Inputs!$B$4,0,Inputs!$B$4,1)),"")</f>
        <v>0.858993894958628</v>
      </c>
      <c r="G585" s="8" t="n">
        <f aca="true">IF(ROW()-2&gt;=Inputs!$B$5,AVERAGE(OFFSET(E585,1-Inputs!$B$5,0,Inputs!$B$5,1)),"")</f>
        <v>0.861353798536193</v>
      </c>
      <c r="H585" s="8" t="n">
        <f aca="false">MAX(C585-D585,ABS(C585-E584),ABS(D585-E584))</f>
        <v>0.00969194379970295</v>
      </c>
      <c r="I585" s="8" t="n">
        <f aca="true">IF(ROW()-2&lt;14,"",IF(ROW()-2=14,AVERAGE(OFFSET(H585,-13,0,14,1)),(I584*13+H585)/14))</f>
        <v>0.00875377912836482</v>
      </c>
      <c r="J585" s="9" t="b">
        <f aca="false">IF(AND(ISNUMBER(F585),ISNUMBER(G585),ISNUMBER(F584),ISNUMBER(G584)),AND(F585&gt;G585,F584&lt;=G584),FALSE())</f>
        <v>0</v>
      </c>
      <c r="K585" s="9" t="b">
        <f aca="false">IF(AND(ISNUMBER(F585),ISNUMBER(G585),ISNUMBER(F584),ISNUMBER(G584)),AND(F585&lt;G585,F584&gt;=G584),FALSE())</f>
        <v>0</v>
      </c>
      <c r="L585" s="8" t="n">
        <f aca="false">IF(ISNUMBER(I585),E585-Inputs!$B$6*I585,"")</f>
        <v>0.848846343494961</v>
      </c>
      <c r="M585" s="9" t="b">
        <f aca="false">AND(Y584&gt;0,Z584)</f>
        <v>0</v>
      </c>
      <c r="N585" s="8" t="n">
        <f aca="false">B585*(1-Inputs!$B$12)</f>
        <v>0.870516118234734</v>
      </c>
      <c r="O585" s="10" t="n">
        <f aca="false">IF(M585,Y584*(N585-AB584)-Inputs!$B$9-Y584*AD584*Inputs!$B$13*(A585-AC584),0)</f>
        <v>0</v>
      </c>
      <c r="P585" s="10" t="n">
        <f aca="false">X584+O585</f>
        <v>1050.35566239527</v>
      </c>
      <c r="Q585" s="9" t="b">
        <f aca="false">AND(IF(M585,0,Y584)=0,AA584,IF(ISNUMBER(AE584),B585&gt;AE584,FALSE()))</f>
        <v>0</v>
      </c>
      <c r="R585" s="8" t="n">
        <f aca="false">B585*(1+Inputs!$B$12)</f>
        <v>0.870864394337249</v>
      </c>
      <c r="S585" s="11" t="n">
        <f aca="false">IF(Q585,MIN(P585*Inputs!$B$3/(R585-AE584),P585*Inputs!$B$11/R585),0)</f>
        <v>0</v>
      </c>
      <c r="T585" s="11" t="n">
        <f aca="false">IF(Q585,S585,IF(M585,0,Y584))</f>
        <v>0</v>
      </c>
      <c r="U585" s="8" t="n">
        <f aca="false">IF(Q585,AE584,AF584)</f>
        <v>0.771982232894536</v>
      </c>
      <c r="V585" s="9" t="b">
        <f aca="false">AND(T585&gt;0,D585&lt;=U585)</f>
        <v>0</v>
      </c>
      <c r="W585" s="10" t="n">
        <f aca="false">IF(V585,T585*(AK585-AB585)-Inputs!$B$9-T585*AD585*Inputs!$B$13*(A585-AC585),0)</f>
        <v>0</v>
      </c>
      <c r="X585" s="10" t="n">
        <f aca="false">P585-IF(Q585,Inputs!$B$9,0)+W585</f>
        <v>1050.35566239527</v>
      </c>
      <c r="Y585" s="11" t="n">
        <f aca="false">IF(V585,0,T585)</f>
        <v>0</v>
      </c>
      <c r="Z585" s="9" t="b">
        <f aca="false">AND(Y585&gt;0,K585)</f>
        <v>0</v>
      </c>
      <c r="AA585" s="9" t="b">
        <f aca="false">AND(Y585=0,J585,ISNUMBER(L585))</f>
        <v>0</v>
      </c>
      <c r="AB585" s="8" t="n">
        <f aca="false">IF(Q585,R585,AB584)</f>
        <v>0.787286484836172</v>
      </c>
      <c r="AC585" s="12" t="n">
        <f aca="false">IF(Q585,A585,AC584)</f>
        <v>45226</v>
      </c>
      <c r="AD585" s="8" t="n">
        <f aca="false">IF(Q585,B585,AD584)</f>
        <v>0.787129059024367</v>
      </c>
      <c r="AE585" s="8" t="str">
        <f aca="false">IF(AA585,L585,"")</f>
        <v/>
      </c>
      <c r="AF585" s="8" t="n">
        <f aca="false">U585</f>
        <v>0.771982232894536</v>
      </c>
      <c r="AG585" s="2" t="n">
        <f aca="false">AG584+IF(Q585,1,0)</f>
        <v>3</v>
      </c>
      <c r="AH585" s="2" t="n">
        <f aca="false">AG584</f>
        <v>3</v>
      </c>
      <c r="AI585" s="10" t="n">
        <f aca="false">X585+Y585*(E585-AB585)-Y585*AD585*Inputs!$B$13*(A585-AC585)</f>
        <v>1050.35566239527</v>
      </c>
      <c r="AJ585" s="10" t="n">
        <v>0</v>
      </c>
      <c r="AK585" s="8" t="n">
        <f aca="false">IF(AND(B585&lt;=U585,NOT(Q585)),B585,U585)*(1-Inputs!$B$12)</f>
        <v>0.771827836447957</v>
      </c>
    </row>
    <row r="586" customFormat="false" ht="15" hidden="false" customHeight="false" outlineLevel="0" collapsed="false">
      <c r="A586" s="6" t="n">
        <v>45370</v>
      </c>
      <c r="B586" s="7" t="n">
        <v>0.866353901751691</v>
      </c>
      <c r="C586" s="7" t="n">
        <v>0.872863955012291</v>
      </c>
      <c r="D586" s="7" t="n">
        <v>0.863064020325324</v>
      </c>
      <c r="E586" s="7" t="n">
        <v>0.871463756030066</v>
      </c>
      <c r="F586" s="8" t="n">
        <f aca="true">IF(ROW()-2&gt;=Inputs!$B$4,AVERAGE(OFFSET(E586,1-Inputs!$B$4,0,Inputs!$B$4,1)),"")</f>
        <v>0.859320991590754</v>
      </c>
      <c r="G586" s="8" t="n">
        <f aca="true">IF(ROW()-2&gt;=Inputs!$B$5,AVERAGE(OFFSET(E586,1-Inputs!$B$5,0,Inputs!$B$5,1)),"")</f>
        <v>0.861802120473457</v>
      </c>
      <c r="H586" s="8" t="n">
        <f aca="false">MAX(C586-D586,ABS(C586-E585),ABS(D586-E585))</f>
        <v>0.00979993468696694</v>
      </c>
      <c r="I586" s="8" t="n">
        <f aca="true">IF(ROW()-2&lt;14,"",IF(ROW()-2=14,AVERAGE(OFFSET(H586,-13,0,14,1)),(I585*13+H586)/14))</f>
        <v>0.00882850452540782</v>
      </c>
      <c r="J586" s="9" t="b">
        <f aca="false">IF(AND(ISNUMBER(F586),ISNUMBER(G586),ISNUMBER(F585),ISNUMBER(G585)),AND(F586&gt;G586,F585&lt;=G585),FALSE())</f>
        <v>0</v>
      </c>
      <c r="K586" s="9" t="b">
        <f aca="false">IF(AND(ISNUMBER(F586),ISNUMBER(G586),ISNUMBER(F585),ISNUMBER(G585)),AND(F586&lt;G586,F585&gt;=G585),FALSE())</f>
        <v>0</v>
      </c>
      <c r="L586" s="8" t="n">
        <f aca="false">IF(ISNUMBER(I586),E586-Inputs!$B$6*I586,"")</f>
        <v>0.85380674697925</v>
      </c>
      <c r="M586" s="9" t="b">
        <f aca="false">AND(Y585&gt;0,Z585)</f>
        <v>0</v>
      </c>
      <c r="N586" s="8" t="n">
        <f aca="false">B586*(1-Inputs!$B$12)</f>
        <v>0.866180630971341</v>
      </c>
      <c r="O586" s="10" t="n">
        <f aca="false">IF(M586,Y585*(N586-AB585)-Inputs!$B$9-Y585*AD585*Inputs!$B$13*(A586-AC585),0)</f>
        <v>0</v>
      </c>
      <c r="P586" s="10" t="n">
        <f aca="false">X585+O586</f>
        <v>1050.35566239527</v>
      </c>
      <c r="Q586" s="9" t="b">
        <f aca="false">AND(IF(M586,0,Y585)=0,AA585,IF(ISNUMBER(AE585),B586&gt;AE585,FALSE()))</f>
        <v>0</v>
      </c>
      <c r="R586" s="8" t="n">
        <f aca="false">B586*(1+Inputs!$B$12)</f>
        <v>0.866527172532041</v>
      </c>
      <c r="S586" s="11" t="n">
        <f aca="false">IF(Q586,MIN(P586*Inputs!$B$3/(R586-AE585),P586*Inputs!$B$11/R586),0)</f>
        <v>0</v>
      </c>
      <c r="T586" s="11" t="n">
        <f aca="false">IF(Q586,S586,IF(M586,0,Y585))</f>
        <v>0</v>
      </c>
      <c r="U586" s="8" t="n">
        <f aca="false">IF(Q586,AE585,AF585)</f>
        <v>0.771982232894536</v>
      </c>
      <c r="V586" s="9" t="b">
        <f aca="false">AND(T586&gt;0,D586&lt;=U586)</f>
        <v>0</v>
      </c>
      <c r="W586" s="10" t="n">
        <f aca="false">IF(V586,T586*(AK586-AB586)-Inputs!$B$9-T586*AD586*Inputs!$B$13*(A586-AC586),0)</f>
        <v>0</v>
      </c>
      <c r="X586" s="10" t="n">
        <f aca="false">P586-IF(Q586,Inputs!$B$9,0)+W586</f>
        <v>1050.35566239527</v>
      </c>
      <c r="Y586" s="11" t="n">
        <f aca="false">IF(V586,0,T586)</f>
        <v>0</v>
      </c>
      <c r="Z586" s="9" t="b">
        <f aca="false">AND(Y586&gt;0,K586)</f>
        <v>0</v>
      </c>
      <c r="AA586" s="9" t="b">
        <f aca="false">AND(Y586=0,J586,ISNUMBER(L586))</f>
        <v>0</v>
      </c>
      <c r="AB586" s="8" t="n">
        <f aca="false">IF(Q586,R586,AB585)</f>
        <v>0.787286484836172</v>
      </c>
      <c r="AC586" s="12" t="n">
        <f aca="false">IF(Q586,A586,AC585)</f>
        <v>45226</v>
      </c>
      <c r="AD586" s="8" t="n">
        <f aca="false">IF(Q586,B586,AD585)</f>
        <v>0.787129059024367</v>
      </c>
      <c r="AE586" s="8" t="str">
        <f aca="false">IF(AA586,L586,"")</f>
        <v/>
      </c>
      <c r="AF586" s="8" t="n">
        <f aca="false">U586</f>
        <v>0.771982232894536</v>
      </c>
      <c r="AG586" s="2" t="n">
        <f aca="false">AG585+IF(Q586,1,0)</f>
        <v>3</v>
      </c>
      <c r="AH586" s="2" t="n">
        <f aca="false">AG585</f>
        <v>3</v>
      </c>
      <c r="AI586" s="10" t="n">
        <f aca="false">X586+Y586*(E586-AB586)-Y586*AD586*Inputs!$B$13*(A586-AC586)</f>
        <v>1050.35566239527</v>
      </c>
      <c r="AJ586" s="10" t="n">
        <v>0</v>
      </c>
      <c r="AK586" s="8" t="n">
        <f aca="false">IF(AND(B586&lt;=U586,NOT(Q586)),B586,U586)*(1-Inputs!$B$12)</f>
        <v>0.771827836447957</v>
      </c>
    </row>
    <row r="587" customFormat="false" ht="15" hidden="false" customHeight="false" outlineLevel="0" collapsed="false">
      <c r="A587" s="6" t="n">
        <v>45371</v>
      </c>
      <c r="B587" s="7" t="n">
        <v>0.871463756030066</v>
      </c>
      <c r="C587" s="7" t="n">
        <v>0.874224292953114</v>
      </c>
      <c r="D587" s="7" t="n">
        <v>0.866724047812277</v>
      </c>
      <c r="E587" s="7" t="n">
        <v>0.869421245527654</v>
      </c>
      <c r="F587" s="8" t="n">
        <f aca="true">IF(ROW()-2&gt;=Inputs!$B$4,AVERAGE(OFFSET(E587,1-Inputs!$B$4,0,Inputs!$B$4,1)),"")</f>
        <v>0.860014771318871</v>
      </c>
      <c r="G587" s="8" t="n">
        <f aca="true">IF(ROW()-2&gt;=Inputs!$B$5,AVERAGE(OFFSET(E587,1-Inputs!$B$5,0,Inputs!$B$5,1)),"")</f>
        <v>0.862065885687295</v>
      </c>
      <c r="H587" s="8" t="n">
        <f aca="false">MAX(C587-D587,ABS(C587-E586),ABS(D587-E586))</f>
        <v>0.00750024514083703</v>
      </c>
      <c r="I587" s="8" t="n">
        <f aca="true">IF(ROW()-2&lt;14,"",IF(ROW()-2=14,AVERAGE(OFFSET(H587,-13,0,14,1)),(I586*13+H587)/14))</f>
        <v>0.00873362885508134</v>
      </c>
      <c r="J587" s="9" t="b">
        <f aca="false">IF(AND(ISNUMBER(F587),ISNUMBER(G587),ISNUMBER(F586),ISNUMBER(G586)),AND(F587&gt;G587,F586&lt;=G586),FALSE())</f>
        <v>0</v>
      </c>
      <c r="K587" s="9" t="b">
        <f aca="false">IF(AND(ISNUMBER(F587),ISNUMBER(G587),ISNUMBER(F586),ISNUMBER(G586)),AND(F587&lt;G587,F586&gt;=G586),FALSE())</f>
        <v>0</v>
      </c>
      <c r="L587" s="8" t="n">
        <f aca="false">IF(ISNUMBER(I587),E587-Inputs!$B$6*I587,"")</f>
        <v>0.851953987817491</v>
      </c>
      <c r="M587" s="9" t="b">
        <f aca="false">AND(Y586&gt;0,Z586)</f>
        <v>0</v>
      </c>
      <c r="N587" s="8" t="n">
        <f aca="false">B587*(1-Inputs!$B$12)</f>
        <v>0.87128946327886</v>
      </c>
      <c r="O587" s="10" t="n">
        <f aca="false">IF(M587,Y586*(N587-AB586)-Inputs!$B$9-Y586*AD586*Inputs!$B$13*(A587-AC586),0)</f>
        <v>0</v>
      </c>
      <c r="P587" s="10" t="n">
        <f aca="false">X586+O587</f>
        <v>1050.35566239527</v>
      </c>
      <c r="Q587" s="9" t="b">
        <f aca="false">AND(IF(M587,0,Y586)=0,AA586,IF(ISNUMBER(AE586),B587&gt;AE586,FALSE()))</f>
        <v>0</v>
      </c>
      <c r="R587" s="8" t="n">
        <f aca="false">B587*(1+Inputs!$B$12)</f>
        <v>0.871638048781272</v>
      </c>
      <c r="S587" s="11" t="n">
        <f aca="false">IF(Q587,MIN(P587*Inputs!$B$3/(R587-AE586),P587*Inputs!$B$11/R587),0)</f>
        <v>0</v>
      </c>
      <c r="T587" s="11" t="n">
        <f aca="false">IF(Q587,S587,IF(M587,0,Y586))</f>
        <v>0</v>
      </c>
      <c r="U587" s="8" t="n">
        <f aca="false">IF(Q587,AE586,AF586)</f>
        <v>0.771982232894536</v>
      </c>
      <c r="V587" s="9" t="b">
        <f aca="false">AND(T587&gt;0,D587&lt;=U587)</f>
        <v>0</v>
      </c>
      <c r="W587" s="10" t="n">
        <f aca="false">IF(V587,T587*(AK587-AB587)-Inputs!$B$9-T587*AD587*Inputs!$B$13*(A587-AC587),0)</f>
        <v>0</v>
      </c>
      <c r="X587" s="10" t="n">
        <f aca="false">P587-IF(Q587,Inputs!$B$9,0)+W587</f>
        <v>1050.35566239527</v>
      </c>
      <c r="Y587" s="11" t="n">
        <f aca="false">IF(V587,0,T587)</f>
        <v>0</v>
      </c>
      <c r="Z587" s="9" t="b">
        <f aca="false">AND(Y587&gt;0,K587)</f>
        <v>0</v>
      </c>
      <c r="AA587" s="9" t="b">
        <f aca="false">AND(Y587=0,J587,ISNUMBER(L587))</f>
        <v>0</v>
      </c>
      <c r="AB587" s="8" t="n">
        <f aca="false">IF(Q587,R587,AB586)</f>
        <v>0.787286484836172</v>
      </c>
      <c r="AC587" s="12" t="n">
        <f aca="false">IF(Q587,A587,AC586)</f>
        <v>45226</v>
      </c>
      <c r="AD587" s="8" t="n">
        <f aca="false">IF(Q587,B587,AD586)</f>
        <v>0.787129059024367</v>
      </c>
      <c r="AE587" s="8" t="str">
        <f aca="false">IF(AA587,L587,"")</f>
        <v/>
      </c>
      <c r="AF587" s="8" t="n">
        <f aca="false">U587</f>
        <v>0.771982232894536</v>
      </c>
      <c r="AG587" s="2" t="n">
        <f aca="false">AG586+IF(Q587,1,0)</f>
        <v>3</v>
      </c>
      <c r="AH587" s="2" t="n">
        <f aca="false">AG586</f>
        <v>3</v>
      </c>
      <c r="AI587" s="10" t="n">
        <f aca="false">X587+Y587*(E587-AB587)-Y587*AD587*Inputs!$B$13*(A587-AC587)</f>
        <v>1050.35566239527</v>
      </c>
      <c r="AJ587" s="10" t="n">
        <v>0</v>
      </c>
      <c r="AK587" s="8" t="n">
        <f aca="false">IF(AND(B587&lt;=U587,NOT(Q587)),B587,U587)*(1-Inputs!$B$12)</f>
        <v>0.771827836447957</v>
      </c>
    </row>
    <row r="588" customFormat="false" ht="15" hidden="false" customHeight="false" outlineLevel="0" collapsed="false">
      <c r="A588" s="6" t="n">
        <v>45372</v>
      </c>
      <c r="B588" s="7" t="n">
        <v>0.869421245527654</v>
      </c>
      <c r="C588" s="7" t="n">
        <v>0.87188528979911</v>
      </c>
      <c r="D588" s="7" t="n">
        <v>0.86892447309583</v>
      </c>
      <c r="E588" s="7" t="n">
        <v>0.870964281900955</v>
      </c>
      <c r="F588" s="8" t="n">
        <f aca="true">IF(ROW()-2&gt;=Inputs!$B$4,AVERAGE(OFFSET(E588,1-Inputs!$B$4,0,Inputs!$B$4,1)),"")</f>
        <v>0.860803903611046</v>
      </c>
      <c r="G588" s="8" t="n">
        <f aca="true">IF(ROW()-2&gt;=Inputs!$B$5,AVERAGE(OFFSET(E588,1-Inputs!$B$5,0,Inputs!$B$5,1)),"")</f>
        <v>0.862431207080559</v>
      </c>
      <c r="H588" s="8" t="n">
        <f aca="false">MAX(C588-D588,ABS(C588-E587),ABS(D588-E587))</f>
        <v>0.00296081670327963</v>
      </c>
      <c r="I588" s="8" t="n">
        <f aca="true">IF(ROW()-2&lt;14,"",IF(ROW()-2=14,AVERAGE(OFFSET(H588,-13,0,14,1)),(I587*13+H588)/14))</f>
        <v>0.00832128512995265</v>
      </c>
      <c r="J588" s="9" t="b">
        <f aca="false">IF(AND(ISNUMBER(F588),ISNUMBER(G588),ISNUMBER(F587),ISNUMBER(G587)),AND(F588&gt;G588,F587&lt;=G587),FALSE())</f>
        <v>0</v>
      </c>
      <c r="K588" s="9" t="b">
        <f aca="false">IF(AND(ISNUMBER(F588),ISNUMBER(G588),ISNUMBER(F587),ISNUMBER(G587)),AND(F588&lt;G588,F587&gt;=G587),FALSE())</f>
        <v>0</v>
      </c>
      <c r="L588" s="8" t="n">
        <f aca="false">IF(ISNUMBER(I588),E588-Inputs!$B$6*I588,"")</f>
        <v>0.85432171164105</v>
      </c>
      <c r="M588" s="9" t="b">
        <f aca="false">AND(Y587&gt;0,Z587)</f>
        <v>0</v>
      </c>
      <c r="N588" s="8" t="n">
        <f aca="false">B588*(1-Inputs!$B$12)</f>
        <v>0.869247361278548</v>
      </c>
      <c r="O588" s="10" t="n">
        <f aca="false">IF(M588,Y587*(N588-AB587)-Inputs!$B$9-Y587*AD587*Inputs!$B$13*(A588-AC587),0)</f>
        <v>0</v>
      </c>
      <c r="P588" s="10" t="n">
        <f aca="false">X587+O588</f>
        <v>1050.35566239527</v>
      </c>
      <c r="Q588" s="9" t="b">
        <f aca="false">AND(IF(M588,0,Y587)=0,AA587,IF(ISNUMBER(AE587),B588&gt;AE587,FALSE()))</f>
        <v>0</v>
      </c>
      <c r="R588" s="8" t="n">
        <f aca="false">B588*(1+Inputs!$B$12)</f>
        <v>0.869595129776759</v>
      </c>
      <c r="S588" s="11" t="n">
        <f aca="false">IF(Q588,MIN(P588*Inputs!$B$3/(R588-AE587),P588*Inputs!$B$11/R588),0)</f>
        <v>0</v>
      </c>
      <c r="T588" s="11" t="n">
        <f aca="false">IF(Q588,S588,IF(M588,0,Y587))</f>
        <v>0</v>
      </c>
      <c r="U588" s="8" t="n">
        <f aca="false">IF(Q588,AE587,AF587)</f>
        <v>0.771982232894536</v>
      </c>
      <c r="V588" s="9" t="b">
        <f aca="false">AND(T588&gt;0,D588&lt;=U588)</f>
        <v>0</v>
      </c>
      <c r="W588" s="10" t="n">
        <f aca="false">IF(V588,T588*(AK588-AB588)-Inputs!$B$9-T588*AD588*Inputs!$B$13*(A588-AC588),0)</f>
        <v>0</v>
      </c>
      <c r="X588" s="10" t="n">
        <f aca="false">P588-IF(Q588,Inputs!$B$9,0)+W588</f>
        <v>1050.35566239527</v>
      </c>
      <c r="Y588" s="11" t="n">
        <f aca="false">IF(V588,0,T588)</f>
        <v>0</v>
      </c>
      <c r="Z588" s="9" t="b">
        <f aca="false">AND(Y588&gt;0,K588)</f>
        <v>0</v>
      </c>
      <c r="AA588" s="9" t="b">
        <f aca="false">AND(Y588=0,J588,ISNUMBER(L588))</f>
        <v>0</v>
      </c>
      <c r="AB588" s="8" t="n">
        <f aca="false">IF(Q588,R588,AB587)</f>
        <v>0.787286484836172</v>
      </c>
      <c r="AC588" s="12" t="n">
        <f aca="false">IF(Q588,A588,AC587)</f>
        <v>45226</v>
      </c>
      <c r="AD588" s="8" t="n">
        <f aca="false">IF(Q588,B588,AD587)</f>
        <v>0.787129059024367</v>
      </c>
      <c r="AE588" s="8" t="str">
        <f aca="false">IF(AA588,L588,"")</f>
        <v/>
      </c>
      <c r="AF588" s="8" t="n">
        <f aca="false">U588</f>
        <v>0.771982232894536</v>
      </c>
      <c r="AG588" s="2" t="n">
        <f aca="false">AG587+IF(Q588,1,0)</f>
        <v>3</v>
      </c>
      <c r="AH588" s="2" t="n">
        <f aca="false">AG587</f>
        <v>3</v>
      </c>
      <c r="AI588" s="10" t="n">
        <f aca="false">X588+Y588*(E588-AB588)-Y588*AD588*Inputs!$B$13*(A588-AC588)</f>
        <v>1050.35566239527</v>
      </c>
      <c r="AJ588" s="10" t="n">
        <v>0</v>
      </c>
      <c r="AK588" s="8" t="n">
        <f aca="false">IF(AND(B588&lt;=U588,NOT(Q588)),B588,U588)*(1-Inputs!$B$12)</f>
        <v>0.771827836447957</v>
      </c>
    </row>
    <row r="589" customFormat="false" ht="15" hidden="false" customHeight="false" outlineLevel="0" collapsed="false">
      <c r="A589" s="6" t="n">
        <v>45373</v>
      </c>
      <c r="B589" s="7" t="n">
        <v>0.870964281900955</v>
      </c>
      <c r="C589" s="7" t="n">
        <v>0.87750252149171</v>
      </c>
      <c r="D589" s="7" t="n">
        <v>0.868745321216362</v>
      </c>
      <c r="E589" s="7" t="n">
        <v>0.877208592180407</v>
      </c>
      <c r="F589" s="8" t="n">
        <f aca="true">IF(ROW()-2&gt;=Inputs!$B$4,AVERAGE(OFFSET(E589,1-Inputs!$B$4,0,Inputs!$B$4,1)),"")</f>
        <v>0.86213375097279</v>
      </c>
      <c r="G589" s="8" t="n">
        <f aca="true">IF(ROW()-2&gt;=Inputs!$B$5,AVERAGE(OFFSET(E589,1-Inputs!$B$5,0,Inputs!$B$5,1)),"")</f>
        <v>0.862853019026391</v>
      </c>
      <c r="H589" s="8" t="n">
        <f aca="false">MAX(C589-D589,ABS(C589-E588),ABS(D589-E588))</f>
        <v>0.0087572002753481</v>
      </c>
      <c r="I589" s="8" t="n">
        <f aca="true">IF(ROW()-2&lt;14,"",IF(ROW()-2=14,AVERAGE(OFFSET(H589,-13,0,14,1)),(I588*13+H589)/14))</f>
        <v>0.00835242192605232</v>
      </c>
      <c r="J589" s="9" t="b">
        <f aca="false">IF(AND(ISNUMBER(F589),ISNUMBER(G589),ISNUMBER(F588),ISNUMBER(G588)),AND(F589&gt;G589,F588&lt;=G588),FALSE())</f>
        <v>0</v>
      </c>
      <c r="K589" s="9" t="b">
        <f aca="false">IF(AND(ISNUMBER(F589),ISNUMBER(G589),ISNUMBER(F588),ISNUMBER(G588)),AND(F589&lt;G589,F588&gt;=G588),FALSE())</f>
        <v>0</v>
      </c>
      <c r="L589" s="8" t="n">
        <f aca="false">IF(ISNUMBER(I589),E589-Inputs!$B$6*I589,"")</f>
        <v>0.860503748328302</v>
      </c>
      <c r="M589" s="9" t="b">
        <f aca="false">AND(Y588&gt;0,Z588)</f>
        <v>0</v>
      </c>
      <c r="N589" s="8" t="n">
        <f aca="false">B589*(1-Inputs!$B$12)</f>
        <v>0.870790089044575</v>
      </c>
      <c r="O589" s="10" t="n">
        <f aca="false">IF(M589,Y588*(N589-AB588)-Inputs!$B$9-Y588*AD588*Inputs!$B$13*(A589-AC588),0)</f>
        <v>0</v>
      </c>
      <c r="P589" s="10" t="n">
        <f aca="false">X588+O589</f>
        <v>1050.35566239527</v>
      </c>
      <c r="Q589" s="9" t="b">
        <f aca="false">AND(IF(M589,0,Y588)=0,AA588,IF(ISNUMBER(AE588),B589&gt;AE588,FALSE()))</f>
        <v>0</v>
      </c>
      <c r="R589" s="8" t="n">
        <f aca="false">B589*(1+Inputs!$B$12)</f>
        <v>0.871138474757335</v>
      </c>
      <c r="S589" s="11" t="n">
        <f aca="false">IF(Q589,MIN(P589*Inputs!$B$3/(R589-AE588),P589*Inputs!$B$11/R589),0)</f>
        <v>0</v>
      </c>
      <c r="T589" s="11" t="n">
        <f aca="false">IF(Q589,S589,IF(M589,0,Y588))</f>
        <v>0</v>
      </c>
      <c r="U589" s="8" t="n">
        <f aca="false">IF(Q589,AE588,AF588)</f>
        <v>0.771982232894536</v>
      </c>
      <c r="V589" s="9" t="b">
        <f aca="false">AND(T589&gt;0,D589&lt;=U589)</f>
        <v>0</v>
      </c>
      <c r="W589" s="10" t="n">
        <f aca="false">IF(V589,T589*(AK589-AB589)-Inputs!$B$9-T589*AD589*Inputs!$B$13*(A589-AC589),0)</f>
        <v>0</v>
      </c>
      <c r="X589" s="10" t="n">
        <f aca="false">P589-IF(Q589,Inputs!$B$9,0)+W589</f>
        <v>1050.35566239527</v>
      </c>
      <c r="Y589" s="11" t="n">
        <f aca="false">IF(V589,0,T589)</f>
        <v>0</v>
      </c>
      <c r="Z589" s="9" t="b">
        <f aca="false">AND(Y589&gt;0,K589)</f>
        <v>0</v>
      </c>
      <c r="AA589" s="9" t="b">
        <f aca="false">AND(Y589=0,J589,ISNUMBER(L589))</f>
        <v>0</v>
      </c>
      <c r="AB589" s="8" t="n">
        <f aca="false">IF(Q589,R589,AB588)</f>
        <v>0.787286484836172</v>
      </c>
      <c r="AC589" s="12" t="n">
        <f aca="false">IF(Q589,A589,AC588)</f>
        <v>45226</v>
      </c>
      <c r="AD589" s="8" t="n">
        <f aca="false">IF(Q589,B589,AD588)</f>
        <v>0.787129059024367</v>
      </c>
      <c r="AE589" s="8" t="str">
        <f aca="false">IF(AA589,L589,"")</f>
        <v/>
      </c>
      <c r="AF589" s="8" t="n">
        <f aca="false">U589</f>
        <v>0.771982232894536</v>
      </c>
      <c r="AG589" s="2" t="n">
        <f aca="false">AG588+IF(Q589,1,0)</f>
        <v>3</v>
      </c>
      <c r="AH589" s="2" t="n">
        <f aca="false">AG588</f>
        <v>3</v>
      </c>
      <c r="AI589" s="10" t="n">
        <f aca="false">X589+Y589*(E589-AB589)-Y589*AD589*Inputs!$B$13*(A589-AC589)</f>
        <v>1050.35566239527</v>
      </c>
      <c r="AJ589" s="10" t="n">
        <v>0</v>
      </c>
      <c r="AK589" s="8" t="n">
        <f aca="false">IF(AND(B589&lt;=U589,NOT(Q589)),B589,U589)*(1-Inputs!$B$12)</f>
        <v>0.771827836447957</v>
      </c>
    </row>
    <row r="590" customFormat="false" ht="15" hidden="false" customHeight="false" outlineLevel="0" collapsed="false">
      <c r="A590" s="6" t="n">
        <v>45374</v>
      </c>
      <c r="B590" s="7" t="n">
        <v>0.877208592180407</v>
      </c>
      <c r="C590" s="7" t="n">
        <v>0.877498982605672</v>
      </c>
      <c r="D590" s="7" t="n">
        <v>0.864385499303292</v>
      </c>
      <c r="E590" s="7" t="n">
        <v>0.86789238663216</v>
      </c>
      <c r="F590" s="8" t="n">
        <f aca="true">IF(ROW()-2&gt;=Inputs!$B$4,AVERAGE(OFFSET(E590,1-Inputs!$B$4,0,Inputs!$B$4,1)),"")</f>
        <v>0.863209613534716</v>
      </c>
      <c r="G590" s="8" t="n">
        <f aca="true">IF(ROW()-2&gt;=Inputs!$B$5,AVERAGE(OFFSET(E590,1-Inputs!$B$5,0,Inputs!$B$5,1)),"")</f>
        <v>0.86300644559062</v>
      </c>
      <c r="H590" s="8" t="n">
        <f aca="false">MAX(C590-D590,ABS(C590-E589),ABS(D590-E589))</f>
        <v>0.0131134833023797</v>
      </c>
      <c r="I590" s="8" t="n">
        <f aca="true">IF(ROW()-2&lt;14,"",IF(ROW()-2=14,AVERAGE(OFFSET(H590,-13,0,14,1)),(I589*13+H590)/14))</f>
        <v>0.00869249773864713</v>
      </c>
      <c r="J590" s="9" t="b">
        <f aca="false">IF(AND(ISNUMBER(F590),ISNUMBER(G590),ISNUMBER(F589),ISNUMBER(G589)),AND(F590&gt;G590,F589&lt;=G589),FALSE())</f>
        <v>1</v>
      </c>
      <c r="K590" s="9" t="b">
        <f aca="false">IF(AND(ISNUMBER(F590),ISNUMBER(G590),ISNUMBER(F589),ISNUMBER(G589)),AND(F590&lt;G590,F589&gt;=G589),FALSE())</f>
        <v>0</v>
      </c>
      <c r="L590" s="8" t="n">
        <f aca="false">IF(ISNUMBER(I590),E590-Inputs!$B$6*I590,"")</f>
        <v>0.850507391154866</v>
      </c>
      <c r="M590" s="9" t="b">
        <f aca="false">AND(Y589&gt;0,Z589)</f>
        <v>0</v>
      </c>
      <c r="N590" s="8" t="n">
        <f aca="false">B590*(1-Inputs!$B$12)</f>
        <v>0.877033150461971</v>
      </c>
      <c r="O590" s="10" t="n">
        <f aca="false">IF(M590,Y589*(N590-AB589)-Inputs!$B$9-Y589*AD589*Inputs!$B$13*(A590-AC589),0)</f>
        <v>0</v>
      </c>
      <c r="P590" s="10" t="n">
        <f aca="false">X589+O590</f>
        <v>1050.35566239527</v>
      </c>
      <c r="Q590" s="9" t="b">
        <f aca="false">AND(IF(M590,0,Y589)=0,AA589,IF(ISNUMBER(AE589),B590&gt;AE589,FALSE()))</f>
        <v>0</v>
      </c>
      <c r="R590" s="8" t="n">
        <f aca="false">B590*(1+Inputs!$B$12)</f>
        <v>0.877384033898843</v>
      </c>
      <c r="S590" s="11" t="n">
        <f aca="false">IF(Q590,MIN(P590*Inputs!$B$3/(R590-AE589),P590*Inputs!$B$11/R590),0)</f>
        <v>0</v>
      </c>
      <c r="T590" s="11" t="n">
        <f aca="false">IF(Q590,S590,IF(M590,0,Y589))</f>
        <v>0</v>
      </c>
      <c r="U590" s="8" t="n">
        <f aca="false">IF(Q590,AE589,AF589)</f>
        <v>0.771982232894536</v>
      </c>
      <c r="V590" s="9" t="b">
        <f aca="false">AND(T590&gt;0,D590&lt;=U590)</f>
        <v>0</v>
      </c>
      <c r="W590" s="10" t="n">
        <f aca="false">IF(V590,T590*(AK590-AB590)-Inputs!$B$9-T590*AD590*Inputs!$B$13*(A590-AC590),0)</f>
        <v>0</v>
      </c>
      <c r="X590" s="10" t="n">
        <f aca="false">P590-IF(Q590,Inputs!$B$9,0)+W590</f>
        <v>1050.35566239527</v>
      </c>
      <c r="Y590" s="11" t="n">
        <f aca="false">IF(V590,0,T590)</f>
        <v>0</v>
      </c>
      <c r="Z590" s="9" t="b">
        <f aca="false">AND(Y590&gt;0,K590)</f>
        <v>0</v>
      </c>
      <c r="AA590" s="9" t="b">
        <f aca="false">AND(Y590=0,J590,ISNUMBER(L590))</f>
        <v>1</v>
      </c>
      <c r="AB590" s="8" t="n">
        <f aca="false">IF(Q590,R590,AB589)</f>
        <v>0.787286484836172</v>
      </c>
      <c r="AC590" s="12" t="n">
        <f aca="false">IF(Q590,A590,AC589)</f>
        <v>45226</v>
      </c>
      <c r="AD590" s="8" t="n">
        <f aca="false">IF(Q590,B590,AD589)</f>
        <v>0.787129059024367</v>
      </c>
      <c r="AE590" s="8" t="n">
        <f aca="false">IF(AA590,L590,"")</f>
        <v>0.850507391154866</v>
      </c>
      <c r="AF590" s="8" t="n">
        <f aca="false">U590</f>
        <v>0.771982232894536</v>
      </c>
      <c r="AG590" s="2" t="n">
        <f aca="false">AG589+IF(Q590,1,0)</f>
        <v>3</v>
      </c>
      <c r="AH590" s="2" t="n">
        <f aca="false">AG589</f>
        <v>3</v>
      </c>
      <c r="AI590" s="10" t="n">
        <f aca="false">X590+Y590*(E590-AB590)-Y590*AD590*Inputs!$B$13*(A590-AC590)</f>
        <v>1050.35566239527</v>
      </c>
      <c r="AJ590" s="10" t="n">
        <v>0</v>
      </c>
      <c r="AK590" s="8" t="n">
        <f aca="false">IF(AND(B590&lt;=U590,NOT(Q590)),B590,U590)*(1-Inputs!$B$12)</f>
        <v>0.771827836447957</v>
      </c>
    </row>
    <row r="591" customFormat="false" ht="15" hidden="false" customHeight="false" outlineLevel="0" collapsed="false">
      <c r="A591" s="6" t="n">
        <v>45375</v>
      </c>
      <c r="B591" s="7" t="n">
        <v>0.86789238663216</v>
      </c>
      <c r="C591" s="7" t="n">
        <v>0.874124469966934</v>
      </c>
      <c r="D591" s="7" t="n">
        <v>0.866087665328207</v>
      </c>
      <c r="E591" s="7" t="n">
        <v>0.870983083565995</v>
      </c>
      <c r="F591" s="8" t="n">
        <f aca="true">IF(ROW()-2&gt;=Inputs!$B$4,AVERAGE(OFFSET(E591,1-Inputs!$B$4,0,Inputs!$B$4,1)),"")</f>
        <v>0.864361727754151</v>
      </c>
      <c r="G591" s="8" t="n">
        <f aca="true">IF(ROW()-2&gt;=Inputs!$B$5,AVERAGE(OFFSET(E591,1-Inputs!$B$5,0,Inputs!$B$5,1)),"")</f>
        <v>0.863245255815239</v>
      </c>
      <c r="H591" s="8" t="n">
        <f aca="false">MAX(C591-D591,ABS(C591-E590),ABS(D591-E590))</f>
        <v>0.00803680463872714</v>
      </c>
      <c r="I591" s="8" t="n">
        <f aca="true">IF(ROW()-2&lt;14,"",IF(ROW()-2=14,AVERAGE(OFFSET(H591,-13,0,14,1)),(I590*13+H591)/14))</f>
        <v>0.00864566251722428</v>
      </c>
      <c r="J591" s="9" t="b">
        <f aca="false">IF(AND(ISNUMBER(F591),ISNUMBER(G591),ISNUMBER(F590),ISNUMBER(G590)),AND(F591&gt;G591,F590&lt;=G590),FALSE())</f>
        <v>0</v>
      </c>
      <c r="K591" s="9" t="b">
        <f aca="false">IF(AND(ISNUMBER(F591),ISNUMBER(G591),ISNUMBER(F590),ISNUMBER(G590)),AND(F591&lt;G591,F590&gt;=G590),FALSE())</f>
        <v>0</v>
      </c>
      <c r="L591" s="8" t="n">
        <f aca="false">IF(ISNUMBER(I591),E591-Inputs!$B$6*I591,"")</f>
        <v>0.853691758531546</v>
      </c>
      <c r="M591" s="9" t="b">
        <f aca="false">AND(Y590&gt;0,Z590)</f>
        <v>0</v>
      </c>
      <c r="N591" s="8" t="n">
        <f aca="false">B591*(1-Inputs!$B$12)</f>
        <v>0.867718808154834</v>
      </c>
      <c r="O591" s="10" t="n">
        <f aca="false">IF(M591,Y590*(N591-AB590)-Inputs!$B$9-Y590*AD590*Inputs!$B$13*(A591-AC590),0)</f>
        <v>0</v>
      </c>
      <c r="P591" s="10" t="n">
        <f aca="false">X590+O591</f>
        <v>1050.35566239527</v>
      </c>
      <c r="Q591" s="9" t="b">
        <f aca="false">AND(IF(M591,0,Y590)=0,AA590,IF(ISNUMBER(AE590),B591&gt;AE590,FALSE()))</f>
        <v>1</v>
      </c>
      <c r="R591" s="8" t="n">
        <f aca="false">B591*(1+Inputs!$B$12)</f>
        <v>0.868065965109487</v>
      </c>
      <c r="S591" s="11" t="n">
        <f aca="false">IF(Q591,MIN(P591*Inputs!$B$3/(R591-AE590),P591*Inputs!$B$11/R591),0)</f>
        <v>598.201007160302</v>
      </c>
      <c r="T591" s="11" t="n">
        <f aca="false">IF(Q591,S591,IF(M591,0,Y590))</f>
        <v>598.201007160302</v>
      </c>
      <c r="U591" s="8" t="n">
        <f aca="false">IF(Q591,AE590,AF590)</f>
        <v>0.850507391154866</v>
      </c>
      <c r="V591" s="9" t="b">
        <f aca="false">AND(T591&gt;0,D591&lt;=U591)</f>
        <v>0</v>
      </c>
      <c r="W591" s="10" t="n">
        <f aca="false">IF(V591,T591*(AK591-AB591)-Inputs!$B$9-T591*AD591*Inputs!$B$13*(A591-AC591),0)</f>
        <v>0</v>
      </c>
      <c r="X591" s="10" t="n">
        <f aca="false">P591-IF(Q591,Inputs!$B$9,0)+W591</f>
        <v>1049.35566239527</v>
      </c>
      <c r="Y591" s="11" t="n">
        <f aca="false">IF(V591,0,T591)</f>
        <v>598.201007160302</v>
      </c>
      <c r="Z591" s="9" t="b">
        <f aca="false">AND(Y591&gt;0,K591)</f>
        <v>0</v>
      </c>
      <c r="AA591" s="9" t="b">
        <f aca="false">AND(Y591=0,J591,ISNUMBER(L591))</f>
        <v>0</v>
      </c>
      <c r="AB591" s="8" t="n">
        <f aca="false">IF(Q591,R591,AB590)</f>
        <v>0.868065965109487</v>
      </c>
      <c r="AC591" s="12" t="n">
        <f aca="false">IF(Q591,A591,AC590)</f>
        <v>45375</v>
      </c>
      <c r="AD591" s="8" t="n">
        <f aca="false">IF(Q591,B591,AD590)</f>
        <v>0.86789238663216</v>
      </c>
      <c r="AE591" s="8" t="str">
        <f aca="false">IF(AA591,L591,"")</f>
        <v/>
      </c>
      <c r="AF591" s="8" t="n">
        <f aca="false">U591</f>
        <v>0.850507391154866</v>
      </c>
      <c r="AG591" s="2" t="n">
        <f aca="false">AG590+IF(Q591,1,0)</f>
        <v>4</v>
      </c>
      <c r="AH591" s="2" t="n">
        <f aca="false">AG590</f>
        <v>3</v>
      </c>
      <c r="AI591" s="10" t="n">
        <f aca="false">X591+Y591*(E591-AB591)-Y591*AD591*Inputs!$B$13*(A591-AC591)</f>
        <v>1051.10068559396</v>
      </c>
      <c r="AJ591" s="10" t="n">
        <v>0</v>
      </c>
      <c r="AK591" s="8" t="n">
        <f aca="false">IF(AND(B591&lt;=U591,NOT(Q591)),B591,U591)*(1-Inputs!$B$12)</f>
        <v>0.850337289676635</v>
      </c>
    </row>
    <row r="592" customFormat="false" ht="15" hidden="false" customHeight="false" outlineLevel="0" collapsed="false">
      <c r="A592" s="6" t="n">
        <v>45376</v>
      </c>
      <c r="B592" s="7" t="n">
        <v>0.870983083565995</v>
      </c>
      <c r="C592" s="7" t="n">
        <v>0.873879870374087</v>
      </c>
      <c r="D592" s="7" t="n">
        <v>0.870695867093892</v>
      </c>
      <c r="E592" s="7" t="n">
        <v>0.873167908142689</v>
      </c>
      <c r="F592" s="8" t="n">
        <f aca="true">IF(ROW()-2&gt;=Inputs!$B$4,AVERAGE(OFFSET(E592,1-Inputs!$B$4,0,Inputs!$B$4,1)),"")</f>
        <v>0.865476666126315</v>
      </c>
      <c r="G592" s="8" t="n">
        <f aca="true">IF(ROW()-2&gt;=Inputs!$B$5,AVERAGE(OFFSET(E592,1-Inputs!$B$5,0,Inputs!$B$5,1)),"")</f>
        <v>0.863486888154743</v>
      </c>
      <c r="H592" s="8" t="n">
        <f aca="false">MAX(C592-D592,ABS(C592-E591),ABS(D592-E591))</f>
        <v>0.00318400328019564</v>
      </c>
      <c r="I592" s="8" t="n">
        <f aca="true">IF(ROW()-2&lt;14,"",IF(ROW()-2=14,AVERAGE(OFFSET(H592,-13,0,14,1)),(I591*13+H592)/14))</f>
        <v>0.00825554400029366</v>
      </c>
      <c r="J592" s="9" t="b">
        <f aca="false">IF(AND(ISNUMBER(F592),ISNUMBER(G592),ISNUMBER(F591),ISNUMBER(G591)),AND(F592&gt;G592,F591&lt;=G591),FALSE())</f>
        <v>0</v>
      </c>
      <c r="K592" s="9" t="b">
        <f aca="false">IF(AND(ISNUMBER(F592),ISNUMBER(G592),ISNUMBER(F591),ISNUMBER(G591)),AND(F592&lt;G592,F591&gt;=G591),FALSE())</f>
        <v>0</v>
      </c>
      <c r="L592" s="8" t="n">
        <f aca="false">IF(ISNUMBER(I592),E592-Inputs!$B$6*I592,"")</f>
        <v>0.856656820142102</v>
      </c>
      <c r="M592" s="9" t="b">
        <f aca="false">AND(Y591&gt;0,Z591)</f>
        <v>0</v>
      </c>
      <c r="N592" s="8" t="n">
        <f aca="false">B592*(1-Inputs!$B$12)</f>
        <v>0.870808886949282</v>
      </c>
      <c r="O592" s="10" t="n">
        <f aca="false">IF(M592,Y591*(N592-AB591)-Inputs!$B$9-Y591*AD591*Inputs!$B$13*(A592-AC591),0)</f>
        <v>0</v>
      </c>
      <c r="P592" s="10" t="n">
        <f aca="false">X591+O592</f>
        <v>1049.35566239527</v>
      </c>
      <c r="Q592" s="9" t="b">
        <f aca="false">AND(IF(M592,0,Y591)=0,AA591,IF(ISNUMBER(AE591),B592&gt;AE591,FALSE()))</f>
        <v>0</v>
      </c>
      <c r="R592" s="8" t="n">
        <f aca="false">B592*(1+Inputs!$B$12)</f>
        <v>0.871157280182708</v>
      </c>
      <c r="S592" s="11" t="n">
        <f aca="false">IF(Q592,MIN(P592*Inputs!$B$3/(R592-AE591),P592*Inputs!$B$11/R592),0)</f>
        <v>0</v>
      </c>
      <c r="T592" s="11" t="n">
        <f aca="false">IF(Q592,S592,IF(M592,0,Y591))</f>
        <v>598.201007160302</v>
      </c>
      <c r="U592" s="8" t="n">
        <f aca="false">IF(Q592,AE591,AF591)</f>
        <v>0.850507391154866</v>
      </c>
      <c r="V592" s="9" t="b">
        <f aca="false">AND(T592&gt;0,D592&lt;=U592)</f>
        <v>0</v>
      </c>
      <c r="W592" s="10" t="n">
        <f aca="false">IF(V592,T592*(AK592-AB592)-Inputs!$B$9-T592*AD592*Inputs!$B$13*(A592-AC592),0)</f>
        <v>0</v>
      </c>
      <c r="X592" s="10" t="n">
        <f aca="false">P592-IF(Q592,Inputs!$B$9,0)+W592</f>
        <v>1049.35566239527</v>
      </c>
      <c r="Y592" s="11" t="n">
        <f aca="false">IF(V592,0,T592)</f>
        <v>598.201007160302</v>
      </c>
      <c r="Z592" s="9" t="b">
        <f aca="false">AND(Y592&gt;0,K592)</f>
        <v>0</v>
      </c>
      <c r="AA592" s="9" t="b">
        <f aca="false">AND(Y592=0,J592,ISNUMBER(L592))</f>
        <v>0</v>
      </c>
      <c r="AB592" s="8" t="n">
        <f aca="false">IF(Q592,R592,AB591)</f>
        <v>0.868065965109487</v>
      </c>
      <c r="AC592" s="12" t="n">
        <f aca="false">IF(Q592,A592,AC591)</f>
        <v>45375</v>
      </c>
      <c r="AD592" s="8" t="n">
        <f aca="false">IF(Q592,B592,AD591)</f>
        <v>0.86789238663216</v>
      </c>
      <c r="AE592" s="8" t="str">
        <f aca="false">IF(AA592,L592,"")</f>
        <v/>
      </c>
      <c r="AF592" s="8" t="n">
        <f aca="false">U592</f>
        <v>0.850507391154866</v>
      </c>
      <c r="AG592" s="2" t="n">
        <f aca="false">AG591+IF(Q592,1,0)</f>
        <v>4</v>
      </c>
      <c r="AH592" s="2" t="n">
        <f aca="false">AG591</f>
        <v>4</v>
      </c>
      <c r="AI592" s="10" t="n">
        <f aca="false">X592+Y592*(E592-AB592)-Y592*AD592*Inputs!$B$13*(A592-AC592)</f>
        <v>1052.3151941946</v>
      </c>
      <c r="AJ592" s="10" t="n">
        <v>0</v>
      </c>
      <c r="AK592" s="8" t="n">
        <f aca="false">IF(AND(B592&lt;=U592,NOT(Q592)),B592,U592)*(1-Inputs!$B$12)</f>
        <v>0.850337289676635</v>
      </c>
    </row>
    <row r="593" customFormat="false" ht="15" hidden="false" customHeight="false" outlineLevel="0" collapsed="false">
      <c r="A593" s="6" t="n">
        <v>45377</v>
      </c>
      <c r="B593" s="7" t="n">
        <v>0.873167908142689</v>
      </c>
      <c r="C593" s="7" t="n">
        <v>0.885470275084251</v>
      </c>
      <c r="D593" s="7" t="n">
        <v>0.870909385571902</v>
      </c>
      <c r="E593" s="7" t="n">
        <v>0.88480715576967</v>
      </c>
      <c r="F593" s="8" t="n">
        <f aca="true">IF(ROW()-2&gt;=Inputs!$B$4,AVERAGE(OFFSET(E593,1-Inputs!$B$4,0,Inputs!$B$4,1)),"")</f>
        <v>0.867150982362694</v>
      </c>
      <c r="G593" s="8" t="n">
        <f aca="true">IF(ROW()-2&gt;=Inputs!$B$5,AVERAGE(OFFSET(E593,1-Inputs!$B$5,0,Inputs!$B$5,1)),"")</f>
        <v>0.863771369314806</v>
      </c>
      <c r="H593" s="8" t="n">
        <f aca="false">MAX(C593-D593,ABS(C593-E592),ABS(D593-E592))</f>
        <v>0.0145608895123491</v>
      </c>
      <c r="I593" s="8" t="n">
        <f aca="true">IF(ROW()-2&lt;14,"",IF(ROW()-2=14,AVERAGE(OFFSET(H593,-13,0,14,1)),(I592*13+H593)/14))</f>
        <v>0.00870592582258334</v>
      </c>
      <c r="J593" s="9" t="b">
        <f aca="false">IF(AND(ISNUMBER(F593),ISNUMBER(G593),ISNUMBER(F592),ISNUMBER(G592)),AND(F593&gt;G593,F592&lt;=G592),FALSE())</f>
        <v>0</v>
      </c>
      <c r="K593" s="9" t="b">
        <f aca="false">IF(AND(ISNUMBER(F593),ISNUMBER(G593),ISNUMBER(F592),ISNUMBER(G592)),AND(F593&lt;G593,F592&gt;=G592),FALSE())</f>
        <v>0</v>
      </c>
      <c r="L593" s="8" t="n">
        <f aca="false">IF(ISNUMBER(I593),E593-Inputs!$B$6*I593,"")</f>
        <v>0.867395304124504</v>
      </c>
      <c r="M593" s="9" t="b">
        <f aca="false">AND(Y592&gt;0,Z592)</f>
        <v>0</v>
      </c>
      <c r="N593" s="8" t="n">
        <f aca="false">B593*(1-Inputs!$B$12)</f>
        <v>0.872993274561061</v>
      </c>
      <c r="O593" s="10" t="n">
        <f aca="false">IF(M593,Y592*(N593-AB592)-Inputs!$B$9-Y592*AD592*Inputs!$B$13*(A593-AC592),0)</f>
        <v>0</v>
      </c>
      <c r="P593" s="10" t="n">
        <f aca="false">X592+O593</f>
        <v>1049.35566239527</v>
      </c>
      <c r="Q593" s="9" t="b">
        <f aca="false">AND(IF(M593,0,Y592)=0,AA592,IF(ISNUMBER(AE592),B593&gt;AE592,FALSE()))</f>
        <v>0</v>
      </c>
      <c r="R593" s="8" t="n">
        <f aca="false">B593*(1+Inputs!$B$12)</f>
        <v>0.873342541724318</v>
      </c>
      <c r="S593" s="11" t="n">
        <f aca="false">IF(Q593,MIN(P593*Inputs!$B$3/(R593-AE592),P593*Inputs!$B$11/R593),0)</f>
        <v>0</v>
      </c>
      <c r="T593" s="11" t="n">
        <f aca="false">IF(Q593,S593,IF(M593,0,Y592))</f>
        <v>598.201007160302</v>
      </c>
      <c r="U593" s="8" t="n">
        <f aca="false">IF(Q593,AE592,AF592)</f>
        <v>0.850507391154866</v>
      </c>
      <c r="V593" s="9" t="b">
        <f aca="false">AND(T593&gt;0,D593&lt;=U593)</f>
        <v>0</v>
      </c>
      <c r="W593" s="10" t="n">
        <f aca="false">IF(V593,T593*(AK593-AB593)-Inputs!$B$9-T593*AD593*Inputs!$B$13*(A593-AC593),0)</f>
        <v>0</v>
      </c>
      <c r="X593" s="10" t="n">
        <f aca="false">P593-IF(Q593,Inputs!$B$9,0)+W593</f>
        <v>1049.35566239527</v>
      </c>
      <c r="Y593" s="11" t="n">
        <f aca="false">IF(V593,0,T593)</f>
        <v>598.201007160302</v>
      </c>
      <c r="Z593" s="9" t="b">
        <f aca="false">AND(Y593&gt;0,K593)</f>
        <v>0</v>
      </c>
      <c r="AA593" s="9" t="b">
        <f aca="false">AND(Y593=0,J593,ISNUMBER(L593))</f>
        <v>0</v>
      </c>
      <c r="AB593" s="8" t="n">
        <f aca="false">IF(Q593,R593,AB592)</f>
        <v>0.868065965109487</v>
      </c>
      <c r="AC593" s="12" t="n">
        <f aca="false">IF(Q593,A593,AC592)</f>
        <v>45375</v>
      </c>
      <c r="AD593" s="8" t="n">
        <f aca="false">IF(Q593,B593,AD592)</f>
        <v>0.86789238663216</v>
      </c>
      <c r="AE593" s="8" t="str">
        <f aca="false">IF(AA593,L593,"")</f>
        <v/>
      </c>
      <c r="AF593" s="8" t="n">
        <f aca="false">U593</f>
        <v>0.850507391154866</v>
      </c>
      <c r="AG593" s="2" t="n">
        <f aca="false">AG592+IF(Q593,1,0)</f>
        <v>4</v>
      </c>
      <c r="AH593" s="2" t="n">
        <f aca="false">AG592</f>
        <v>4</v>
      </c>
      <c r="AI593" s="10" t="n">
        <f aca="false">X593+Y593*(E593-AB593)-Y593*AD593*Inputs!$B$13*(A593-AC593)</f>
        <v>1059.18534818605</v>
      </c>
      <c r="AJ593" s="10" t="n">
        <v>0</v>
      </c>
      <c r="AK593" s="8" t="n">
        <f aca="false">IF(AND(B593&lt;=U593,NOT(Q593)),B593,U593)*(1-Inputs!$B$12)</f>
        <v>0.850337289676635</v>
      </c>
    </row>
    <row r="594" customFormat="false" ht="15" hidden="false" customHeight="false" outlineLevel="0" collapsed="false">
      <c r="A594" s="6" t="n">
        <v>45378</v>
      </c>
      <c r="B594" s="7" t="n">
        <v>0.88480715576967</v>
      </c>
      <c r="C594" s="7" t="n">
        <v>0.891869587574916</v>
      </c>
      <c r="D594" s="7" t="n">
        <v>0.878536822642675</v>
      </c>
      <c r="E594" s="7" t="n">
        <v>0.881957185920829</v>
      </c>
      <c r="F594" s="8" t="n">
        <f aca="true">IF(ROW()-2&gt;=Inputs!$B$4,AVERAGE(OFFSET(E594,1-Inputs!$B$4,0,Inputs!$B$4,1)),"")</f>
        <v>0.868363598153741</v>
      </c>
      <c r="G594" s="8" t="n">
        <f aca="true">IF(ROW()-2&gt;=Inputs!$B$5,AVERAGE(OFFSET(E594,1-Inputs!$B$5,0,Inputs!$B$5,1)),"")</f>
        <v>0.863992417785447</v>
      </c>
      <c r="H594" s="8" t="n">
        <f aca="false">MAX(C594-D594,ABS(C594-E593),ABS(D594-E593))</f>
        <v>0.0133327649322413</v>
      </c>
      <c r="I594" s="8" t="n">
        <f aca="true">IF(ROW()-2&lt;14,"",IF(ROW()-2=14,AVERAGE(OFFSET(H594,-13,0,14,1)),(I593*13+H594)/14))</f>
        <v>0.00903641433041605</v>
      </c>
      <c r="J594" s="9" t="b">
        <f aca="false">IF(AND(ISNUMBER(F594),ISNUMBER(G594),ISNUMBER(F593),ISNUMBER(G593)),AND(F594&gt;G594,F593&lt;=G593),FALSE())</f>
        <v>0</v>
      </c>
      <c r="K594" s="9" t="b">
        <f aca="false">IF(AND(ISNUMBER(F594),ISNUMBER(G594),ISNUMBER(F593),ISNUMBER(G593)),AND(F594&lt;G594,F593&gt;=G593),FALSE())</f>
        <v>0</v>
      </c>
      <c r="L594" s="8" t="n">
        <f aca="false">IF(ISNUMBER(I594),E594-Inputs!$B$6*I594,"")</f>
        <v>0.863884357259997</v>
      </c>
      <c r="M594" s="9" t="b">
        <f aca="false">AND(Y593&gt;0,Z593)</f>
        <v>0</v>
      </c>
      <c r="N594" s="8" t="n">
        <f aca="false">B594*(1-Inputs!$B$12)</f>
        <v>0.884630194338517</v>
      </c>
      <c r="O594" s="10" t="n">
        <f aca="false">IF(M594,Y593*(N594-AB593)-Inputs!$B$9-Y593*AD593*Inputs!$B$13*(A594-AC593),0)</f>
        <v>0</v>
      </c>
      <c r="P594" s="10" t="n">
        <f aca="false">X593+O594</f>
        <v>1049.35566239527</v>
      </c>
      <c r="Q594" s="9" t="b">
        <f aca="false">AND(IF(M594,0,Y593)=0,AA593,IF(ISNUMBER(AE593),B594&gt;AE593,FALSE()))</f>
        <v>0</v>
      </c>
      <c r="R594" s="8" t="n">
        <f aca="false">B594*(1+Inputs!$B$12)</f>
        <v>0.884984117200824</v>
      </c>
      <c r="S594" s="11" t="n">
        <f aca="false">IF(Q594,MIN(P594*Inputs!$B$3/(R594-AE593),P594*Inputs!$B$11/R594),0)</f>
        <v>0</v>
      </c>
      <c r="T594" s="11" t="n">
        <f aca="false">IF(Q594,S594,IF(M594,0,Y593))</f>
        <v>598.201007160302</v>
      </c>
      <c r="U594" s="8" t="n">
        <f aca="false">IF(Q594,AE593,AF593)</f>
        <v>0.850507391154866</v>
      </c>
      <c r="V594" s="9" t="b">
        <f aca="false">AND(T594&gt;0,D594&lt;=U594)</f>
        <v>0</v>
      </c>
      <c r="W594" s="10" t="n">
        <f aca="false">IF(V594,T594*(AK594-AB594)-Inputs!$B$9-T594*AD594*Inputs!$B$13*(A594-AC594),0)</f>
        <v>0</v>
      </c>
      <c r="X594" s="10" t="n">
        <f aca="false">P594-IF(Q594,Inputs!$B$9,0)+W594</f>
        <v>1049.35566239527</v>
      </c>
      <c r="Y594" s="11" t="n">
        <f aca="false">IF(V594,0,T594)</f>
        <v>598.201007160302</v>
      </c>
      <c r="Z594" s="9" t="b">
        <f aca="false">AND(Y594&gt;0,K594)</f>
        <v>0</v>
      </c>
      <c r="AA594" s="9" t="b">
        <f aca="false">AND(Y594=0,J594,ISNUMBER(L594))</f>
        <v>0</v>
      </c>
      <c r="AB594" s="8" t="n">
        <f aca="false">IF(Q594,R594,AB593)</f>
        <v>0.868065965109487</v>
      </c>
      <c r="AC594" s="12" t="n">
        <f aca="false">IF(Q594,A594,AC593)</f>
        <v>45375</v>
      </c>
      <c r="AD594" s="8" t="n">
        <f aca="false">IF(Q594,B594,AD593)</f>
        <v>0.86789238663216</v>
      </c>
      <c r="AE594" s="8" t="str">
        <f aca="false">IF(AA594,L594,"")</f>
        <v/>
      </c>
      <c r="AF594" s="8" t="n">
        <f aca="false">U594</f>
        <v>0.850507391154866</v>
      </c>
      <c r="AG594" s="2" t="n">
        <f aca="false">AG593+IF(Q594,1,0)</f>
        <v>4</v>
      </c>
      <c r="AH594" s="2" t="n">
        <f aca="false">AG593</f>
        <v>4</v>
      </c>
      <c r="AI594" s="10" t="n">
        <f aca="false">X594+Y594*(E594-AB594)-Y594*AD594*Inputs!$B$13*(A594-AC594)</f>
        <v>1057.38803769049</v>
      </c>
      <c r="AJ594" s="10" t="n">
        <v>0</v>
      </c>
      <c r="AK594" s="8" t="n">
        <f aca="false">IF(AND(B594&lt;=U594,NOT(Q594)),B594,U594)*(1-Inputs!$B$12)</f>
        <v>0.850337289676635</v>
      </c>
    </row>
    <row r="595" customFormat="false" ht="15" hidden="false" customHeight="false" outlineLevel="0" collapsed="false">
      <c r="A595" s="6" t="n">
        <v>45379</v>
      </c>
      <c r="B595" s="7" t="n">
        <v>0.881957185920829</v>
      </c>
      <c r="C595" s="7" t="n">
        <v>0.88616682460183</v>
      </c>
      <c r="D595" s="7" t="n">
        <v>0.869682592542187</v>
      </c>
      <c r="E595" s="7" t="n">
        <v>0.873341540885115</v>
      </c>
      <c r="F595" s="8" t="n">
        <f aca="true">IF(ROW()-2&gt;=Inputs!$B$4,AVERAGE(OFFSET(E595,1-Inputs!$B$4,0,Inputs!$B$4,1)),"")</f>
        <v>0.86910891105303</v>
      </c>
      <c r="G595" s="8" t="n">
        <f aca="true">IF(ROW()-2&gt;=Inputs!$B$5,AVERAGE(OFFSET(E595,1-Inputs!$B$5,0,Inputs!$B$5,1)),"")</f>
        <v>0.864042345769532</v>
      </c>
      <c r="H595" s="8" t="n">
        <f aca="false">MAX(C595-D595,ABS(C595-E594),ABS(D595-E594))</f>
        <v>0.0164842320596427</v>
      </c>
      <c r="I595" s="8" t="n">
        <f aca="true">IF(ROW()-2&lt;14,"",IF(ROW()-2=14,AVERAGE(OFFSET(H595,-13,0,14,1)),(I594*13+H595)/14))</f>
        <v>0.0095684013110751</v>
      </c>
      <c r="J595" s="9" t="b">
        <f aca="false">IF(AND(ISNUMBER(F595),ISNUMBER(G595),ISNUMBER(F594),ISNUMBER(G594)),AND(F595&gt;G595,F594&lt;=G594),FALSE())</f>
        <v>0</v>
      </c>
      <c r="K595" s="9" t="b">
        <f aca="false">IF(AND(ISNUMBER(F595),ISNUMBER(G595),ISNUMBER(F594),ISNUMBER(G594)),AND(F595&lt;G595,F594&gt;=G594),FALSE())</f>
        <v>0</v>
      </c>
      <c r="L595" s="8" t="n">
        <f aca="false">IF(ISNUMBER(I595),E595-Inputs!$B$6*I595,"")</f>
        <v>0.854204738262965</v>
      </c>
      <c r="M595" s="9" t="b">
        <f aca="false">AND(Y594&gt;0,Z594)</f>
        <v>0</v>
      </c>
      <c r="N595" s="8" t="n">
        <f aca="false">B595*(1-Inputs!$B$12)</f>
        <v>0.881780794483645</v>
      </c>
      <c r="O595" s="10" t="n">
        <f aca="false">IF(M595,Y594*(N595-AB594)-Inputs!$B$9-Y594*AD594*Inputs!$B$13*(A595-AC594),0)</f>
        <v>0</v>
      </c>
      <c r="P595" s="10" t="n">
        <f aca="false">X594+O595</f>
        <v>1049.35566239527</v>
      </c>
      <c r="Q595" s="9" t="b">
        <f aca="false">AND(IF(M595,0,Y594)=0,AA594,IF(ISNUMBER(AE594),B595&gt;AE594,FALSE()))</f>
        <v>0</v>
      </c>
      <c r="R595" s="8" t="n">
        <f aca="false">B595*(1+Inputs!$B$12)</f>
        <v>0.882133577358014</v>
      </c>
      <c r="S595" s="11" t="n">
        <f aca="false">IF(Q595,MIN(P595*Inputs!$B$3/(R595-AE594),P595*Inputs!$B$11/R595),0)</f>
        <v>0</v>
      </c>
      <c r="T595" s="11" t="n">
        <f aca="false">IF(Q595,S595,IF(M595,0,Y594))</f>
        <v>598.201007160302</v>
      </c>
      <c r="U595" s="8" t="n">
        <f aca="false">IF(Q595,AE594,AF594)</f>
        <v>0.850507391154866</v>
      </c>
      <c r="V595" s="9" t="b">
        <f aca="false">AND(T595&gt;0,D595&lt;=U595)</f>
        <v>0</v>
      </c>
      <c r="W595" s="10" t="n">
        <f aca="false">IF(V595,T595*(AK595-AB595)-Inputs!$B$9-T595*AD595*Inputs!$B$13*(A595-AC595),0)</f>
        <v>0</v>
      </c>
      <c r="X595" s="10" t="n">
        <f aca="false">P595-IF(Q595,Inputs!$B$9,0)+W595</f>
        <v>1049.35566239527</v>
      </c>
      <c r="Y595" s="11" t="n">
        <f aca="false">IF(V595,0,T595)</f>
        <v>598.201007160302</v>
      </c>
      <c r="Z595" s="9" t="b">
        <f aca="false">AND(Y595&gt;0,K595)</f>
        <v>0</v>
      </c>
      <c r="AA595" s="9" t="b">
        <f aca="false">AND(Y595=0,J595,ISNUMBER(L595))</f>
        <v>0</v>
      </c>
      <c r="AB595" s="8" t="n">
        <f aca="false">IF(Q595,R595,AB594)</f>
        <v>0.868065965109487</v>
      </c>
      <c r="AC595" s="12" t="n">
        <f aca="false">IF(Q595,A595,AC594)</f>
        <v>45375</v>
      </c>
      <c r="AD595" s="8" t="n">
        <f aca="false">IF(Q595,B595,AD594)</f>
        <v>0.86789238663216</v>
      </c>
      <c r="AE595" s="8" t="str">
        <f aca="false">IF(AA595,L595,"")</f>
        <v/>
      </c>
      <c r="AF595" s="8" t="n">
        <f aca="false">U595</f>
        <v>0.850507391154866</v>
      </c>
      <c r="AG595" s="2" t="n">
        <f aca="false">AG594+IF(Q595,1,0)</f>
        <v>4</v>
      </c>
      <c r="AH595" s="2" t="n">
        <f aca="false">AG594</f>
        <v>4</v>
      </c>
      <c r="AI595" s="10" t="n">
        <f aca="false">X595+Y595*(E595-AB595)-Y595*AD595*Inputs!$B$13*(A595-AC595)</f>
        <v>1052.14169449118</v>
      </c>
      <c r="AJ595" s="10" t="n">
        <v>0</v>
      </c>
      <c r="AK595" s="8" t="n">
        <f aca="false">IF(AND(B595&lt;=U595,NOT(Q595)),B595,U595)*(1-Inputs!$B$12)</f>
        <v>0.850337289676635</v>
      </c>
    </row>
    <row r="596" customFormat="false" ht="15" hidden="false" customHeight="false" outlineLevel="0" collapsed="false">
      <c r="A596" s="6" t="n">
        <v>45380</v>
      </c>
      <c r="B596" s="7" t="n">
        <v>0.873341540885115</v>
      </c>
      <c r="C596" s="7" t="n">
        <v>0.880175128318898</v>
      </c>
      <c r="D596" s="7" t="n">
        <v>0.868140331303728</v>
      </c>
      <c r="E596" s="7" t="n">
        <v>0.870908831245241</v>
      </c>
      <c r="F596" s="8" t="n">
        <f aca="true">IF(ROW()-2&gt;=Inputs!$B$4,AVERAGE(OFFSET(E596,1-Inputs!$B$4,0,Inputs!$B$4,1)),"")</f>
        <v>0.869657925335599</v>
      </c>
      <c r="G596" s="8" t="n">
        <f aca="true">IF(ROW()-2&gt;=Inputs!$B$5,AVERAGE(OFFSET(E596,1-Inputs!$B$5,0,Inputs!$B$5,1)),"")</f>
        <v>0.863978096071</v>
      </c>
      <c r="H596" s="8" t="n">
        <f aca="false">MAX(C596-D596,ABS(C596-E595),ABS(D596-E595))</f>
        <v>0.01203479701517</v>
      </c>
      <c r="I596" s="8" t="n">
        <f aca="true">IF(ROW()-2&lt;14,"",IF(ROW()-2=14,AVERAGE(OFFSET(H596,-13,0,14,1)),(I595*13+H596)/14))</f>
        <v>0.00974457243279616</v>
      </c>
      <c r="J596" s="9" t="b">
        <f aca="false">IF(AND(ISNUMBER(F596),ISNUMBER(G596),ISNUMBER(F595),ISNUMBER(G595)),AND(F596&gt;G596,F595&lt;=G595),FALSE())</f>
        <v>0</v>
      </c>
      <c r="K596" s="9" t="b">
        <f aca="false">IF(AND(ISNUMBER(F596),ISNUMBER(G596),ISNUMBER(F595),ISNUMBER(G595)),AND(F596&lt;G596,F595&gt;=G595),FALSE())</f>
        <v>0</v>
      </c>
      <c r="L596" s="8" t="n">
        <f aca="false">IF(ISNUMBER(I596),E596-Inputs!$B$6*I596,"")</f>
        <v>0.851419686379649</v>
      </c>
      <c r="M596" s="9" t="b">
        <f aca="false">AND(Y595&gt;0,Z595)</f>
        <v>0</v>
      </c>
      <c r="N596" s="8" t="n">
        <f aca="false">B596*(1-Inputs!$B$12)</f>
        <v>0.873166872576938</v>
      </c>
      <c r="O596" s="10" t="n">
        <f aca="false">IF(M596,Y595*(N596-AB595)-Inputs!$B$9-Y595*AD595*Inputs!$B$13*(A596-AC595),0)</f>
        <v>0</v>
      </c>
      <c r="P596" s="10" t="n">
        <f aca="false">X595+O596</f>
        <v>1049.35566239527</v>
      </c>
      <c r="Q596" s="9" t="b">
        <f aca="false">AND(IF(M596,0,Y595)=0,AA595,IF(ISNUMBER(AE595),B596&gt;AE595,FALSE()))</f>
        <v>0</v>
      </c>
      <c r="R596" s="8" t="n">
        <f aca="false">B596*(1+Inputs!$B$12)</f>
        <v>0.873516209193292</v>
      </c>
      <c r="S596" s="11" t="n">
        <f aca="false">IF(Q596,MIN(P596*Inputs!$B$3/(R596-AE595),P596*Inputs!$B$11/R596),0)</f>
        <v>0</v>
      </c>
      <c r="T596" s="11" t="n">
        <f aca="false">IF(Q596,S596,IF(M596,0,Y595))</f>
        <v>598.201007160302</v>
      </c>
      <c r="U596" s="8" t="n">
        <f aca="false">IF(Q596,AE595,AF595)</f>
        <v>0.850507391154866</v>
      </c>
      <c r="V596" s="9" t="b">
        <f aca="false">AND(T596&gt;0,D596&lt;=U596)</f>
        <v>0</v>
      </c>
      <c r="W596" s="10" t="n">
        <f aca="false">IF(V596,T596*(AK596-AB596)-Inputs!$B$9-T596*AD596*Inputs!$B$13*(A596-AC596),0)</f>
        <v>0</v>
      </c>
      <c r="X596" s="10" t="n">
        <f aca="false">P596-IF(Q596,Inputs!$B$9,0)+W596</f>
        <v>1049.35566239527</v>
      </c>
      <c r="Y596" s="11" t="n">
        <f aca="false">IF(V596,0,T596)</f>
        <v>598.201007160302</v>
      </c>
      <c r="Z596" s="9" t="b">
        <f aca="false">AND(Y596&gt;0,K596)</f>
        <v>0</v>
      </c>
      <c r="AA596" s="9" t="b">
        <f aca="false">AND(Y596=0,J596,ISNUMBER(L596))</f>
        <v>0</v>
      </c>
      <c r="AB596" s="8" t="n">
        <f aca="false">IF(Q596,R596,AB595)</f>
        <v>0.868065965109487</v>
      </c>
      <c r="AC596" s="12" t="n">
        <f aca="false">IF(Q596,A596,AC595)</f>
        <v>45375</v>
      </c>
      <c r="AD596" s="8" t="n">
        <f aca="false">IF(Q596,B596,AD595)</f>
        <v>0.86789238663216</v>
      </c>
      <c r="AE596" s="8" t="str">
        <f aca="false">IF(AA596,L596,"")</f>
        <v/>
      </c>
      <c r="AF596" s="8" t="n">
        <f aca="false">U596</f>
        <v>0.850507391154866</v>
      </c>
      <c r="AG596" s="2" t="n">
        <f aca="false">AG595+IF(Q596,1,0)</f>
        <v>4</v>
      </c>
      <c r="AH596" s="2" t="n">
        <f aca="false">AG595</f>
        <v>4</v>
      </c>
      <c r="AI596" s="10" t="n">
        <f aca="false">X596+Y596*(E596-AB596)-Y596*AD596*Inputs!$B$13*(A596-AC596)</f>
        <v>1050.59398947287</v>
      </c>
      <c r="AJ596" s="10" t="n">
        <v>0</v>
      </c>
      <c r="AK596" s="8" t="n">
        <f aca="false">IF(AND(B596&lt;=U596,NOT(Q596)),B596,U596)*(1-Inputs!$B$12)</f>
        <v>0.850337289676635</v>
      </c>
    </row>
    <row r="597" customFormat="false" ht="15" hidden="false" customHeight="false" outlineLevel="0" collapsed="false">
      <c r="A597" s="6" t="n">
        <v>45381</v>
      </c>
      <c r="B597" s="7" t="n">
        <v>0.870908831245241</v>
      </c>
      <c r="C597" s="7" t="n">
        <v>0.877623721730527</v>
      </c>
      <c r="D597" s="7" t="n">
        <v>0.864492851084694</v>
      </c>
      <c r="E597" s="7" t="n">
        <v>0.865330003368445</v>
      </c>
      <c r="F597" s="8" t="n">
        <f aca="true">IF(ROW()-2&gt;=Inputs!$B$4,AVERAGE(OFFSET(E597,1-Inputs!$B$4,0,Inputs!$B$4,1)),"")</f>
        <v>0.8700518773599</v>
      </c>
      <c r="G597" s="8" t="n">
        <f aca="true">IF(ROW()-2&gt;=Inputs!$B$5,AVERAGE(OFFSET(E597,1-Inputs!$B$5,0,Inputs!$B$5,1)),"")</f>
        <v>0.863898233026099</v>
      </c>
      <c r="H597" s="8" t="n">
        <f aca="false">MAX(C597-D597,ABS(C597-E596),ABS(D597-E596))</f>
        <v>0.0131308706458328</v>
      </c>
      <c r="I597" s="8" t="n">
        <f aca="true">IF(ROW()-2&lt;14,"",IF(ROW()-2=14,AVERAGE(OFFSET(H597,-13,0,14,1)),(I596*13+H597)/14))</f>
        <v>0.00998645087658449</v>
      </c>
      <c r="J597" s="9" t="b">
        <f aca="false">IF(AND(ISNUMBER(F597),ISNUMBER(G597),ISNUMBER(F596),ISNUMBER(G596)),AND(F597&gt;G597,F596&lt;=G596),FALSE())</f>
        <v>0</v>
      </c>
      <c r="K597" s="9" t="b">
        <f aca="false">IF(AND(ISNUMBER(F597),ISNUMBER(G597),ISNUMBER(F596),ISNUMBER(G596)),AND(F597&lt;G597,F596&gt;=G596),FALSE())</f>
        <v>0</v>
      </c>
      <c r="L597" s="8" t="n">
        <f aca="false">IF(ISNUMBER(I597),E597-Inputs!$B$6*I597,"")</f>
        <v>0.845357101615276</v>
      </c>
      <c r="M597" s="9" t="b">
        <f aca="false">AND(Y596&gt;0,Z596)</f>
        <v>0</v>
      </c>
      <c r="N597" s="8" t="n">
        <f aca="false">B597*(1-Inputs!$B$12)</f>
        <v>0.870734649478992</v>
      </c>
      <c r="O597" s="10" t="n">
        <f aca="false">IF(M597,Y596*(N597-AB596)-Inputs!$B$9-Y596*AD596*Inputs!$B$13*(A597-AC596),0)</f>
        <v>0</v>
      </c>
      <c r="P597" s="10" t="n">
        <f aca="false">X596+O597</f>
        <v>1049.35566239527</v>
      </c>
      <c r="Q597" s="9" t="b">
        <f aca="false">AND(IF(M597,0,Y596)=0,AA596,IF(ISNUMBER(AE596),B597&gt;AE596,FALSE()))</f>
        <v>0</v>
      </c>
      <c r="R597" s="8" t="n">
        <f aca="false">B597*(1+Inputs!$B$12)</f>
        <v>0.87108301301149</v>
      </c>
      <c r="S597" s="11" t="n">
        <f aca="false">IF(Q597,MIN(P597*Inputs!$B$3/(R597-AE596),P597*Inputs!$B$11/R597),0)</f>
        <v>0</v>
      </c>
      <c r="T597" s="11" t="n">
        <f aca="false">IF(Q597,S597,IF(M597,0,Y596))</f>
        <v>598.201007160302</v>
      </c>
      <c r="U597" s="8" t="n">
        <f aca="false">IF(Q597,AE596,AF596)</f>
        <v>0.850507391154866</v>
      </c>
      <c r="V597" s="9" t="b">
        <f aca="false">AND(T597&gt;0,D597&lt;=U597)</f>
        <v>0</v>
      </c>
      <c r="W597" s="10" t="n">
        <f aca="false">IF(V597,T597*(AK597-AB597)-Inputs!$B$9-T597*AD597*Inputs!$B$13*(A597-AC597),0)</f>
        <v>0</v>
      </c>
      <c r="X597" s="10" t="n">
        <f aca="false">P597-IF(Q597,Inputs!$B$9,0)+W597</f>
        <v>1049.35566239527</v>
      </c>
      <c r="Y597" s="11" t="n">
        <f aca="false">IF(V597,0,T597)</f>
        <v>598.201007160302</v>
      </c>
      <c r="Z597" s="9" t="b">
        <f aca="false">AND(Y597&gt;0,K597)</f>
        <v>0</v>
      </c>
      <c r="AA597" s="9" t="b">
        <f aca="false">AND(Y597=0,J597,ISNUMBER(L597))</f>
        <v>0</v>
      </c>
      <c r="AB597" s="8" t="n">
        <f aca="false">IF(Q597,R597,AB596)</f>
        <v>0.868065965109487</v>
      </c>
      <c r="AC597" s="12" t="n">
        <f aca="false">IF(Q597,A597,AC596)</f>
        <v>45375</v>
      </c>
      <c r="AD597" s="8" t="n">
        <f aca="false">IF(Q597,B597,AD596)</f>
        <v>0.86789238663216</v>
      </c>
      <c r="AE597" s="8" t="str">
        <f aca="false">IF(AA597,L597,"")</f>
        <v/>
      </c>
      <c r="AF597" s="8" t="n">
        <f aca="false">U597</f>
        <v>0.850507391154866</v>
      </c>
      <c r="AG597" s="2" t="n">
        <f aca="false">AG596+IF(Q597,1,0)</f>
        <v>4</v>
      </c>
      <c r="AH597" s="2" t="n">
        <f aca="false">AG596</f>
        <v>4</v>
      </c>
      <c r="AI597" s="10" t="n">
        <f aca="false">X597+Y597*(E597-AB597)-Y597*AD597*Inputs!$B$13*(A597-AC597)</f>
        <v>1047.16427335659</v>
      </c>
      <c r="AJ597" s="10" t="n">
        <v>0</v>
      </c>
      <c r="AK597" s="8" t="n">
        <f aca="false">IF(AND(B597&lt;=U597,NOT(Q597)),B597,U597)*(1-Inputs!$B$12)</f>
        <v>0.850337289676635</v>
      </c>
    </row>
    <row r="598" customFormat="false" ht="15" hidden="false" customHeight="false" outlineLevel="0" collapsed="false">
      <c r="A598" s="6" t="n">
        <v>45382</v>
      </c>
      <c r="B598" s="7" t="n">
        <v>0.865330003368445</v>
      </c>
      <c r="C598" s="7" t="n">
        <v>0.867610114827179</v>
      </c>
      <c r="D598" s="7" t="n">
        <v>0.849364470724916</v>
      </c>
      <c r="E598" s="7" t="n">
        <v>0.853982400019937</v>
      </c>
      <c r="F598" s="8" t="n">
        <f aca="true">IF(ROW()-2&gt;=Inputs!$B$4,AVERAGE(OFFSET(E598,1-Inputs!$B$4,0,Inputs!$B$4,1)),"")</f>
        <v>0.869710794319394</v>
      </c>
      <c r="G598" s="8" t="n">
        <f aca="true">IF(ROW()-2&gt;=Inputs!$B$5,AVERAGE(OFFSET(E598,1-Inputs!$B$5,0,Inputs!$B$5,1)),"")</f>
        <v>0.863819329803818</v>
      </c>
      <c r="H598" s="8" t="n">
        <f aca="false">MAX(C598-D598,ABS(C598-E597),ABS(D598-E597))</f>
        <v>0.0182456441022631</v>
      </c>
      <c r="I598" s="8" t="n">
        <f aca="true">IF(ROW()-2&lt;14,"",IF(ROW()-2=14,AVERAGE(OFFSET(H598,-13,0,14,1)),(I597*13+H598)/14))</f>
        <v>0.0105763932498473</v>
      </c>
      <c r="J598" s="9" t="b">
        <f aca="false">IF(AND(ISNUMBER(F598),ISNUMBER(G598),ISNUMBER(F597),ISNUMBER(G597)),AND(F598&gt;G598,F597&lt;=G597),FALSE())</f>
        <v>0</v>
      </c>
      <c r="K598" s="9" t="b">
        <f aca="false">IF(AND(ISNUMBER(F598),ISNUMBER(G598),ISNUMBER(F597),ISNUMBER(G597)),AND(F598&lt;G598,F597&gt;=G597),FALSE())</f>
        <v>0</v>
      </c>
      <c r="L598" s="8" t="n">
        <f aca="false">IF(ISNUMBER(I598),E598-Inputs!$B$6*I598,"")</f>
        <v>0.832829613520242</v>
      </c>
      <c r="M598" s="9" t="b">
        <f aca="false">AND(Y597&gt;0,Z597)</f>
        <v>0</v>
      </c>
      <c r="N598" s="8" t="n">
        <f aca="false">B598*(1-Inputs!$B$12)</f>
        <v>0.865156937367771</v>
      </c>
      <c r="O598" s="10" t="n">
        <f aca="false">IF(M598,Y597*(N598-AB597)-Inputs!$B$9-Y597*AD597*Inputs!$B$13*(A598-AC597),0)</f>
        <v>0</v>
      </c>
      <c r="P598" s="10" t="n">
        <f aca="false">X597+O598</f>
        <v>1049.35566239527</v>
      </c>
      <c r="Q598" s="9" t="b">
        <f aca="false">AND(IF(M598,0,Y597)=0,AA597,IF(ISNUMBER(AE597),B598&gt;AE597,FALSE()))</f>
        <v>0</v>
      </c>
      <c r="R598" s="8" t="n">
        <f aca="false">B598*(1+Inputs!$B$12)</f>
        <v>0.865503069369118</v>
      </c>
      <c r="S598" s="11" t="n">
        <f aca="false">IF(Q598,MIN(P598*Inputs!$B$3/(R598-AE597),P598*Inputs!$B$11/R598),0)</f>
        <v>0</v>
      </c>
      <c r="T598" s="11" t="n">
        <f aca="false">IF(Q598,S598,IF(M598,0,Y597))</f>
        <v>598.201007160302</v>
      </c>
      <c r="U598" s="8" t="n">
        <f aca="false">IF(Q598,AE597,AF597)</f>
        <v>0.850507391154866</v>
      </c>
      <c r="V598" s="9" t="b">
        <f aca="false">AND(T598&gt;0,D598&lt;=U598)</f>
        <v>1</v>
      </c>
      <c r="W598" s="10" t="n">
        <f aca="false">IF(V598,T598*(AK598-AB598)-Inputs!$B$9-T598*AD598*Inputs!$B$13*(A598-AC598),0)</f>
        <v>-12.2525011307952</v>
      </c>
      <c r="X598" s="10" t="n">
        <f aca="false">P598-IF(Q598,Inputs!$B$9,0)+W598</f>
        <v>1037.10316126448</v>
      </c>
      <c r="Y598" s="11" t="n">
        <f aca="false">IF(V598,0,T598)</f>
        <v>0</v>
      </c>
      <c r="Z598" s="9" t="b">
        <f aca="false">AND(Y598&gt;0,K598)</f>
        <v>0</v>
      </c>
      <c r="AA598" s="9" t="b">
        <f aca="false">AND(Y598=0,J598,ISNUMBER(L598))</f>
        <v>0</v>
      </c>
      <c r="AB598" s="8" t="n">
        <f aca="false">IF(Q598,R598,AB597)</f>
        <v>0.868065965109487</v>
      </c>
      <c r="AC598" s="12" t="n">
        <f aca="false">IF(Q598,A598,AC597)</f>
        <v>45375</v>
      </c>
      <c r="AD598" s="8" t="n">
        <f aca="false">IF(Q598,B598,AD597)</f>
        <v>0.86789238663216</v>
      </c>
      <c r="AE598" s="8" t="str">
        <f aca="false">IF(AA598,L598,"")</f>
        <v/>
      </c>
      <c r="AF598" s="8" t="n">
        <f aca="false">U598</f>
        <v>0.850507391154866</v>
      </c>
      <c r="AG598" s="2" t="n">
        <f aca="false">AG597+IF(Q598,1,0)</f>
        <v>4</v>
      </c>
      <c r="AH598" s="2" t="n">
        <f aca="false">AG597</f>
        <v>4</v>
      </c>
      <c r="AI598" s="10" t="n">
        <f aca="false">X598+Y598*(E598-AB598)-Y598*AD598*Inputs!$B$13*(A598-AC598)</f>
        <v>1037.10316126448</v>
      </c>
      <c r="AJ598" s="10" t="n">
        <v>0</v>
      </c>
      <c r="AK598" s="8" t="n">
        <f aca="false">IF(AND(B598&lt;=U598,NOT(Q598)),B598,U598)*(1-Inputs!$B$12)</f>
        <v>0.850337289676635</v>
      </c>
    </row>
    <row r="599" customFormat="false" ht="15" hidden="false" customHeight="false" outlineLevel="0" collapsed="false">
      <c r="A599" s="6" t="n">
        <v>45383</v>
      </c>
      <c r="B599" s="7" t="n">
        <v>0.853982400019937</v>
      </c>
      <c r="C599" s="7" t="n">
        <v>0.864140841349486</v>
      </c>
      <c r="D599" s="7" t="n">
        <v>0.849769948723003</v>
      </c>
      <c r="E599" s="7" t="n">
        <v>0.860116908978779</v>
      </c>
      <c r="F599" s="8" t="n">
        <f aca="true">IF(ROW()-2&gt;=Inputs!$B$4,AVERAGE(OFFSET(E599,1-Inputs!$B$4,0,Inputs!$B$4,1)),"")</f>
        <v>0.869668313897429</v>
      </c>
      <c r="G599" s="8" t="n">
        <f aca="true">IF(ROW()-2&gt;=Inputs!$B$5,AVERAGE(OFFSET(E599,1-Inputs!$B$5,0,Inputs!$B$5,1)),"")</f>
        <v>0.863710541038115</v>
      </c>
      <c r="H599" s="8" t="n">
        <f aca="false">MAX(C599-D599,ABS(C599-E598),ABS(D599-E598))</f>
        <v>0.0143708926264838</v>
      </c>
      <c r="I599" s="8" t="n">
        <f aca="true">IF(ROW()-2&lt;14,"",IF(ROW()-2=14,AVERAGE(OFFSET(H599,-13,0,14,1)),(I598*13+H599)/14))</f>
        <v>0.010847428919607</v>
      </c>
      <c r="J599" s="9" t="b">
        <f aca="false">IF(AND(ISNUMBER(F599),ISNUMBER(G599),ISNUMBER(F598),ISNUMBER(G598)),AND(F599&gt;G599,F598&lt;=G598),FALSE())</f>
        <v>0</v>
      </c>
      <c r="K599" s="9" t="b">
        <f aca="false">IF(AND(ISNUMBER(F599),ISNUMBER(G599),ISNUMBER(F598),ISNUMBER(G598)),AND(F599&lt;G599,F598&gt;=G598),FALSE())</f>
        <v>0</v>
      </c>
      <c r="L599" s="8" t="n">
        <f aca="false">IF(ISNUMBER(I599),E599-Inputs!$B$6*I599,"")</f>
        <v>0.838422051139565</v>
      </c>
      <c r="M599" s="9" t="b">
        <f aca="false">AND(Y598&gt;0,Z598)</f>
        <v>0</v>
      </c>
      <c r="N599" s="8" t="n">
        <f aca="false">B599*(1-Inputs!$B$12)</f>
        <v>0.853811603539933</v>
      </c>
      <c r="O599" s="10" t="n">
        <f aca="false">IF(M599,Y598*(N599-AB598)-Inputs!$B$9-Y598*AD598*Inputs!$B$13*(A599-AC598),0)</f>
        <v>0</v>
      </c>
      <c r="P599" s="10" t="n">
        <f aca="false">X598+O599</f>
        <v>1037.10316126448</v>
      </c>
      <c r="Q599" s="9" t="b">
        <f aca="false">AND(IF(M599,0,Y598)=0,AA598,IF(ISNUMBER(AE598),B599&gt;AE598,FALSE()))</f>
        <v>0</v>
      </c>
      <c r="R599" s="8" t="n">
        <f aca="false">B599*(1+Inputs!$B$12)</f>
        <v>0.854153196499941</v>
      </c>
      <c r="S599" s="11" t="n">
        <f aca="false">IF(Q599,MIN(P599*Inputs!$B$3/(R599-AE598),P599*Inputs!$B$11/R599),0)</f>
        <v>0</v>
      </c>
      <c r="T599" s="11" t="n">
        <f aca="false">IF(Q599,S599,IF(M599,0,Y598))</f>
        <v>0</v>
      </c>
      <c r="U599" s="8" t="n">
        <f aca="false">IF(Q599,AE598,AF598)</f>
        <v>0.850507391154866</v>
      </c>
      <c r="V599" s="9" t="b">
        <f aca="false">AND(T599&gt;0,D599&lt;=U599)</f>
        <v>0</v>
      </c>
      <c r="W599" s="10" t="n">
        <f aca="false">IF(V599,T599*(AK599-AB599)-Inputs!$B$9-T599*AD599*Inputs!$B$13*(A599-AC599),0)</f>
        <v>0</v>
      </c>
      <c r="X599" s="10" t="n">
        <f aca="false">P599-IF(Q599,Inputs!$B$9,0)+W599</f>
        <v>1037.10316126448</v>
      </c>
      <c r="Y599" s="11" t="n">
        <f aca="false">IF(V599,0,T599)</f>
        <v>0</v>
      </c>
      <c r="Z599" s="9" t="b">
        <f aca="false">AND(Y599&gt;0,K599)</f>
        <v>0</v>
      </c>
      <c r="AA599" s="9" t="b">
        <f aca="false">AND(Y599=0,J599,ISNUMBER(L599))</f>
        <v>0</v>
      </c>
      <c r="AB599" s="8" t="n">
        <f aca="false">IF(Q599,R599,AB598)</f>
        <v>0.868065965109487</v>
      </c>
      <c r="AC599" s="12" t="n">
        <f aca="false">IF(Q599,A599,AC598)</f>
        <v>45375</v>
      </c>
      <c r="AD599" s="8" t="n">
        <f aca="false">IF(Q599,B599,AD598)</f>
        <v>0.86789238663216</v>
      </c>
      <c r="AE599" s="8" t="str">
        <f aca="false">IF(AA599,L599,"")</f>
        <v/>
      </c>
      <c r="AF599" s="8" t="n">
        <f aca="false">U599</f>
        <v>0.850507391154866</v>
      </c>
      <c r="AG599" s="2" t="n">
        <f aca="false">AG598+IF(Q599,1,0)</f>
        <v>4</v>
      </c>
      <c r="AH599" s="2" t="n">
        <f aca="false">AG598</f>
        <v>4</v>
      </c>
      <c r="AI599" s="10" t="n">
        <f aca="false">X599+Y599*(E599-AB599)-Y599*AD599*Inputs!$B$13*(A599-AC599)</f>
        <v>1037.10316126448</v>
      </c>
      <c r="AJ599" s="10" t="n">
        <v>0</v>
      </c>
      <c r="AK599" s="8" t="n">
        <f aca="false">IF(AND(B599&lt;=U599,NOT(Q599)),B599,U599)*(1-Inputs!$B$12)</f>
        <v>0.850337289676635</v>
      </c>
    </row>
    <row r="600" customFormat="false" ht="15" hidden="false" customHeight="false" outlineLevel="0" collapsed="false">
      <c r="A600" s="6" t="n">
        <v>45384</v>
      </c>
      <c r="B600" s="7" t="n">
        <v>0.860116908978779</v>
      </c>
      <c r="C600" s="7" t="n">
        <v>0.869116753611782</v>
      </c>
      <c r="D600" s="7" t="n">
        <v>0.859472184818488</v>
      </c>
      <c r="E600" s="7" t="n">
        <v>0.85989488885032</v>
      </c>
      <c r="F600" s="8" t="n">
        <f aca="true">IF(ROW()-2&gt;=Inputs!$B$4,AVERAGE(OFFSET(E600,1-Inputs!$B$4,0,Inputs!$B$4,1)),"")</f>
        <v>0.869441805452078</v>
      </c>
      <c r="G600" s="8" t="n">
        <f aca="true">IF(ROW()-2&gt;=Inputs!$B$5,AVERAGE(OFFSET(E600,1-Inputs!$B$5,0,Inputs!$B$5,1)),"")</f>
        <v>0.863682410786758</v>
      </c>
      <c r="H600" s="8" t="n">
        <f aca="false">MAX(C600-D600,ABS(C600-E599),ABS(D600-E599))</f>
        <v>0.00964456879329312</v>
      </c>
      <c r="I600" s="8" t="n">
        <f aca="true">IF(ROW()-2&lt;14,"",IF(ROW()-2=14,AVERAGE(OFFSET(H600,-13,0,14,1)),(I599*13+H600)/14))</f>
        <v>0.010761510339156</v>
      </c>
      <c r="J600" s="9" t="b">
        <f aca="false">IF(AND(ISNUMBER(F600),ISNUMBER(G600),ISNUMBER(F599),ISNUMBER(G599)),AND(F600&gt;G600,F599&lt;=G599),FALSE())</f>
        <v>0</v>
      </c>
      <c r="K600" s="9" t="b">
        <f aca="false">IF(AND(ISNUMBER(F600),ISNUMBER(G600),ISNUMBER(F599),ISNUMBER(G599)),AND(F600&lt;G600,F599&gt;=G599),FALSE())</f>
        <v>0</v>
      </c>
      <c r="L600" s="8" t="n">
        <f aca="false">IF(ISNUMBER(I600),E600-Inputs!$B$6*I600,"")</f>
        <v>0.838371868172008</v>
      </c>
      <c r="M600" s="9" t="b">
        <f aca="false">AND(Y599&gt;0,Z599)</f>
        <v>0</v>
      </c>
      <c r="N600" s="8" t="n">
        <f aca="false">B600*(1-Inputs!$B$12)</f>
        <v>0.859944885596983</v>
      </c>
      <c r="O600" s="10" t="n">
        <f aca="false">IF(M600,Y599*(N600-AB599)-Inputs!$B$9-Y599*AD599*Inputs!$B$13*(A600-AC599),0)</f>
        <v>0</v>
      </c>
      <c r="P600" s="10" t="n">
        <f aca="false">X599+O600</f>
        <v>1037.10316126448</v>
      </c>
      <c r="Q600" s="9" t="b">
        <f aca="false">AND(IF(M600,0,Y599)=0,AA599,IF(ISNUMBER(AE599),B600&gt;AE599,FALSE()))</f>
        <v>0</v>
      </c>
      <c r="R600" s="8" t="n">
        <f aca="false">B600*(1+Inputs!$B$12)</f>
        <v>0.860288932360575</v>
      </c>
      <c r="S600" s="11" t="n">
        <f aca="false">IF(Q600,MIN(P600*Inputs!$B$3/(R600-AE599),P600*Inputs!$B$11/R600),0)</f>
        <v>0</v>
      </c>
      <c r="T600" s="11" t="n">
        <f aca="false">IF(Q600,S600,IF(M600,0,Y599))</f>
        <v>0</v>
      </c>
      <c r="U600" s="8" t="n">
        <f aca="false">IF(Q600,AE599,AF599)</f>
        <v>0.850507391154866</v>
      </c>
      <c r="V600" s="9" t="b">
        <f aca="false">AND(T600&gt;0,D600&lt;=U600)</f>
        <v>0</v>
      </c>
      <c r="W600" s="10" t="n">
        <f aca="false">IF(V600,T600*(AK600-AB600)-Inputs!$B$9-T600*AD600*Inputs!$B$13*(A600-AC600),0)</f>
        <v>0</v>
      </c>
      <c r="X600" s="10" t="n">
        <f aca="false">P600-IF(Q600,Inputs!$B$9,0)+W600</f>
        <v>1037.10316126448</v>
      </c>
      <c r="Y600" s="11" t="n">
        <f aca="false">IF(V600,0,T600)</f>
        <v>0</v>
      </c>
      <c r="Z600" s="9" t="b">
        <f aca="false">AND(Y600&gt;0,K600)</f>
        <v>0</v>
      </c>
      <c r="AA600" s="9" t="b">
        <f aca="false">AND(Y600=0,J600,ISNUMBER(L600))</f>
        <v>0</v>
      </c>
      <c r="AB600" s="8" t="n">
        <f aca="false">IF(Q600,R600,AB599)</f>
        <v>0.868065965109487</v>
      </c>
      <c r="AC600" s="12" t="n">
        <f aca="false">IF(Q600,A600,AC599)</f>
        <v>45375</v>
      </c>
      <c r="AD600" s="8" t="n">
        <f aca="false">IF(Q600,B600,AD599)</f>
        <v>0.86789238663216</v>
      </c>
      <c r="AE600" s="8" t="str">
        <f aca="false">IF(AA600,L600,"")</f>
        <v/>
      </c>
      <c r="AF600" s="8" t="n">
        <f aca="false">U600</f>
        <v>0.850507391154866</v>
      </c>
      <c r="AG600" s="2" t="n">
        <f aca="false">AG599+IF(Q600,1,0)</f>
        <v>4</v>
      </c>
      <c r="AH600" s="2" t="n">
        <f aca="false">AG599</f>
        <v>4</v>
      </c>
      <c r="AI600" s="10" t="n">
        <f aca="false">X600+Y600*(E600-AB600)-Y600*AD600*Inputs!$B$13*(A600-AC600)</f>
        <v>1037.10316126448</v>
      </c>
      <c r="AJ600" s="10" t="n">
        <v>0</v>
      </c>
      <c r="AK600" s="8" t="n">
        <f aca="false">IF(AND(B600&lt;=U600,NOT(Q600)),B600,U600)*(1-Inputs!$B$12)</f>
        <v>0.850337289676635</v>
      </c>
    </row>
    <row r="601" customFormat="false" ht="15" hidden="false" customHeight="false" outlineLevel="0" collapsed="false">
      <c r="A601" s="6" t="n">
        <v>45385</v>
      </c>
      <c r="B601" s="7" t="n">
        <v>0.85989488885032</v>
      </c>
      <c r="C601" s="7" t="n">
        <v>0.86249278169991</v>
      </c>
      <c r="D601" s="7" t="n">
        <v>0.857286494208377</v>
      </c>
      <c r="E601" s="7" t="n">
        <v>0.86154351177915</v>
      </c>
      <c r="F601" s="8" t="n">
        <f aca="true">IF(ROW()-2&gt;=Inputs!$B$4,AVERAGE(OFFSET(E601,1-Inputs!$B$4,0,Inputs!$B$4,1)),"")</f>
        <v>0.869325917537902</v>
      </c>
      <c r="G601" s="8" t="n">
        <f aca="true">IF(ROW()-2&gt;=Inputs!$B$5,AVERAGE(OFFSET(E601,1-Inputs!$B$5,0,Inputs!$B$5,1)),"")</f>
        <v>0.863774719319054</v>
      </c>
      <c r="H601" s="8" t="n">
        <f aca="false">MAX(C601-D601,ABS(C601-E600),ABS(D601-E600))</f>
        <v>0.00520628749153218</v>
      </c>
      <c r="I601" s="8" t="n">
        <f aca="true">IF(ROW()-2&lt;14,"",IF(ROW()-2=14,AVERAGE(OFFSET(H601,-13,0,14,1)),(I600*13+H601)/14))</f>
        <v>0.0103647087071829</v>
      </c>
      <c r="J601" s="9" t="b">
        <f aca="false">IF(AND(ISNUMBER(F601),ISNUMBER(G601),ISNUMBER(F600),ISNUMBER(G600)),AND(F601&gt;G601,F600&lt;=G600),FALSE())</f>
        <v>0</v>
      </c>
      <c r="K601" s="9" t="b">
        <f aca="false">IF(AND(ISNUMBER(F601),ISNUMBER(G601),ISNUMBER(F600),ISNUMBER(G600)),AND(F601&lt;G601,F600&gt;=G600),FALSE())</f>
        <v>0</v>
      </c>
      <c r="L601" s="8" t="n">
        <f aca="false">IF(ISNUMBER(I601),E601-Inputs!$B$6*I601,"")</f>
        <v>0.840814094364784</v>
      </c>
      <c r="M601" s="9" t="b">
        <f aca="false">AND(Y600&gt;0,Z600)</f>
        <v>0</v>
      </c>
      <c r="N601" s="8" t="n">
        <f aca="false">B601*(1-Inputs!$B$12)</f>
        <v>0.85972290987255</v>
      </c>
      <c r="O601" s="10" t="n">
        <f aca="false">IF(M601,Y600*(N601-AB600)-Inputs!$B$9-Y600*AD600*Inputs!$B$13*(A601-AC600),0)</f>
        <v>0</v>
      </c>
      <c r="P601" s="10" t="n">
        <f aca="false">X600+O601</f>
        <v>1037.10316126448</v>
      </c>
      <c r="Q601" s="9" t="b">
        <f aca="false">AND(IF(M601,0,Y600)=0,AA600,IF(ISNUMBER(AE600),B601&gt;AE600,FALSE()))</f>
        <v>0</v>
      </c>
      <c r="R601" s="8" t="n">
        <f aca="false">B601*(1+Inputs!$B$12)</f>
        <v>0.86006686782809</v>
      </c>
      <c r="S601" s="11" t="n">
        <f aca="false">IF(Q601,MIN(P601*Inputs!$B$3/(R601-AE600),P601*Inputs!$B$11/R601),0)</f>
        <v>0</v>
      </c>
      <c r="T601" s="11" t="n">
        <f aca="false">IF(Q601,S601,IF(M601,0,Y600))</f>
        <v>0</v>
      </c>
      <c r="U601" s="8" t="n">
        <f aca="false">IF(Q601,AE600,AF600)</f>
        <v>0.850507391154866</v>
      </c>
      <c r="V601" s="9" t="b">
        <f aca="false">AND(T601&gt;0,D601&lt;=U601)</f>
        <v>0</v>
      </c>
      <c r="W601" s="10" t="n">
        <f aca="false">IF(V601,T601*(AK601-AB601)-Inputs!$B$9-T601*AD601*Inputs!$B$13*(A601-AC601),0)</f>
        <v>0</v>
      </c>
      <c r="X601" s="10" t="n">
        <f aca="false">P601-IF(Q601,Inputs!$B$9,0)+W601</f>
        <v>1037.10316126448</v>
      </c>
      <c r="Y601" s="11" t="n">
        <f aca="false">IF(V601,0,T601)</f>
        <v>0</v>
      </c>
      <c r="Z601" s="9" t="b">
        <f aca="false">AND(Y601&gt;0,K601)</f>
        <v>0</v>
      </c>
      <c r="AA601" s="9" t="b">
        <f aca="false">AND(Y601=0,J601,ISNUMBER(L601))</f>
        <v>0</v>
      </c>
      <c r="AB601" s="8" t="n">
        <f aca="false">IF(Q601,R601,AB600)</f>
        <v>0.868065965109487</v>
      </c>
      <c r="AC601" s="12" t="n">
        <f aca="false">IF(Q601,A601,AC600)</f>
        <v>45375</v>
      </c>
      <c r="AD601" s="8" t="n">
        <f aca="false">IF(Q601,B601,AD600)</f>
        <v>0.86789238663216</v>
      </c>
      <c r="AE601" s="8" t="str">
        <f aca="false">IF(AA601,L601,"")</f>
        <v/>
      </c>
      <c r="AF601" s="8" t="n">
        <f aca="false">U601</f>
        <v>0.850507391154866</v>
      </c>
      <c r="AG601" s="2" t="n">
        <f aca="false">AG600+IF(Q601,1,0)</f>
        <v>4</v>
      </c>
      <c r="AH601" s="2" t="n">
        <f aca="false">AG600</f>
        <v>4</v>
      </c>
      <c r="AI601" s="10" t="n">
        <f aca="false">X601+Y601*(E601-AB601)-Y601*AD601*Inputs!$B$13*(A601-AC601)</f>
        <v>1037.10316126448</v>
      </c>
      <c r="AJ601" s="10" t="n">
        <v>0</v>
      </c>
      <c r="AK601" s="8" t="n">
        <f aca="false">IF(AND(B601&lt;=U601,NOT(Q601)),B601,U601)*(1-Inputs!$B$12)</f>
        <v>0.850337289676635</v>
      </c>
    </row>
    <row r="602" customFormat="false" ht="15" hidden="false" customHeight="false" outlineLevel="0" collapsed="false">
      <c r="A602" s="6" t="n">
        <v>45386</v>
      </c>
      <c r="B602" s="7" t="n">
        <v>0.86154351177915</v>
      </c>
      <c r="C602" s="7" t="n">
        <v>0.865239618234692</v>
      </c>
      <c r="D602" s="7" t="n">
        <v>0.85905177122984</v>
      </c>
      <c r="E602" s="7" t="n">
        <v>0.862614266459311</v>
      </c>
      <c r="F602" s="8" t="n">
        <f aca="true">IF(ROW()-2&gt;=Inputs!$B$4,AVERAGE(OFFSET(E602,1-Inputs!$B$4,0,Inputs!$B$4,1)),"")</f>
        <v>0.868832333852257</v>
      </c>
      <c r="G602" s="8" t="n">
        <f aca="true">IF(ROW()-2&gt;=Inputs!$B$5,AVERAGE(OFFSET(E602,1-Inputs!$B$5,0,Inputs!$B$5,1)),"")</f>
        <v>0.86380564656253</v>
      </c>
      <c r="H602" s="8" t="n">
        <f aca="false">MAX(C602-D602,ABS(C602-E601),ABS(D602-E601))</f>
        <v>0.00618784700485153</v>
      </c>
      <c r="I602" s="8" t="n">
        <f aca="true">IF(ROW()-2&lt;14,"",IF(ROW()-2=14,AVERAGE(OFFSET(H602,-13,0,14,1)),(I601*13+H602)/14))</f>
        <v>0.0100663614427306</v>
      </c>
      <c r="J602" s="9" t="b">
        <f aca="false">IF(AND(ISNUMBER(F602),ISNUMBER(G602),ISNUMBER(F601),ISNUMBER(G601)),AND(F602&gt;G602,F601&lt;=G601),FALSE())</f>
        <v>0</v>
      </c>
      <c r="K602" s="9" t="b">
        <f aca="false">IF(AND(ISNUMBER(F602),ISNUMBER(G602),ISNUMBER(F601),ISNUMBER(G601)),AND(F602&lt;G602,F601&gt;=G601),FALSE())</f>
        <v>0</v>
      </c>
      <c r="L602" s="8" t="n">
        <f aca="false">IF(ISNUMBER(I602),E602-Inputs!$B$6*I602,"")</f>
        <v>0.84248154357385</v>
      </c>
      <c r="M602" s="9" t="b">
        <f aca="false">AND(Y601&gt;0,Z601)</f>
        <v>0</v>
      </c>
      <c r="N602" s="8" t="n">
        <f aca="false">B602*(1-Inputs!$B$12)</f>
        <v>0.861371203076794</v>
      </c>
      <c r="O602" s="10" t="n">
        <f aca="false">IF(M602,Y601*(N602-AB601)-Inputs!$B$9-Y601*AD601*Inputs!$B$13*(A602-AC601),0)</f>
        <v>0</v>
      </c>
      <c r="P602" s="10" t="n">
        <f aca="false">X601+O602</f>
        <v>1037.10316126448</v>
      </c>
      <c r="Q602" s="9" t="b">
        <f aca="false">AND(IF(M602,0,Y601)=0,AA601,IF(ISNUMBER(AE601),B602&gt;AE601,FALSE()))</f>
        <v>0</v>
      </c>
      <c r="R602" s="8" t="n">
        <f aca="false">B602*(1+Inputs!$B$12)</f>
        <v>0.861715820481506</v>
      </c>
      <c r="S602" s="11" t="n">
        <f aca="false">IF(Q602,MIN(P602*Inputs!$B$3/(R602-AE601),P602*Inputs!$B$11/R602),0)</f>
        <v>0</v>
      </c>
      <c r="T602" s="11" t="n">
        <f aca="false">IF(Q602,S602,IF(M602,0,Y601))</f>
        <v>0</v>
      </c>
      <c r="U602" s="8" t="n">
        <f aca="false">IF(Q602,AE601,AF601)</f>
        <v>0.850507391154866</v>
      </c>
      <c r="V602" s="9" t="b">
        <f aca="false">AND(T602&gt;0,D602&lt;=U602)</f>
        <v>0</v>
      </c>
      <c r="W602" s="10" t="n">
        <f aca="false">IF(V602,T602*(AK602-AB602)-Inputs!$B$9-T602*AD602*Inputs!$B$13*(A602-AC602),0)</f>
        <v>0</v>
      </c>
      <c r="X602" s="10" t="n">
        <f aca="false">P602-IF(Q602,Inputs!$B$9,0)+W602</f>
        <v>1037.10316126448</v>
      </c>
      <c r="Y602" s="11" t="n">
        <f aca="false">IF(V602,0,T602)</f>
        <v>0</v>
      </c>
      <c r="Z602" s="9" t="b">
        <f aca="false">AND(Y602&gt;0,K602)</f>
        <v>0</v>
      </c>
      <c r="AA602" s="9" t="b">
        <f aca="false">AND(Y602=0,J602,ISNUMBER(L602))</f>
        <v>0</v>
      </c>
      <c r="AB602" s="8" t="n">
        <f aca="false">IF(Q602,R602,AB601)</f>
        <v>0.868065965109487</v>
      </c>
      <c r="AC602" s="12" t="n">
        <f aca="false">IF(Q602,A602,AC601)</f>
        <v>45375</v>
      </c>
      <c r="AD602" s="8" t="n">
        <f aca="false">IF(Q602,B602,AD601)</f>
        <v>0.86789238663216</v>
      </c>
      <c r="AE602" s="8" t="str">
        <f aca="false">IF(AA602,L602,"")</f>
        <v/>
      </c>
      <c r="AF602" s="8" t="n">
        <f aca="false">U602</f>
        <v>0.850507391154866</v>
      </c>
      <c r="AG602" s="2" t="n">
        <f aca="false">AG601+IF(Q602,1,0)</f>
        <v>4</v>
      </c>
      <c r="AH602" s="2" t="n">
        <f aca="false">AG601</f>
        <v>4</v>
      </c>
      <c r="AI602" s="10" t="n">
        <f aca="false">X602+Y602*(E602-AB602)-Y602*AD602*Inputs!$B$13*(A602-AC602)</f>
        <v>1037.10316126448</v>
      </c>
      <c r="AJ602" s="10" t="n">
        <v>0</v>
      </c>
      <c r="AK602" s="8" t="n">
        <f aca="false">IF(AND(B602&lt;=U602,NOT(Q602)),B602,U602)*(1-Inputs!$B$12)</f>
        <v>0.850337289676635</v>
      </c>
    </row>
    <row r="603" customFormat="false" ht="15" hidden="false" customHeight="false" outlineLevel="0" collapsed="false">
      <c r="A603" s="6" t="n">
        <v>45387</v>
      </c>
      <c r="B603" s="7" t="n">
        <v>0.862614266459311</v>
      </c>
      <c r="C603" s="7" t="n">
        <v>0.866654326487383</v>
      </c>
      <c r="D603" s="7" t="n">
        <v>0.862065137448345</v>
      </c>
      <c r="E603" s="7" t="n">
        <v>0.865560285897552</v>
      </c>
      <c r="F603" s="8" t="n">
        <f aca="true">IF(ROW()-2&gt;=Inputs!$B$4,AVERAGE(OFFSET(E603,1-Inputs!$B$4,0,Inputs!$B$4,1)),"")</f>
        <v>0.868910119559598</v>
      </c>
      <c r="G603" s="8" t="n">
        <f aca="true">IF(ROW()-2&gt;=Inputs!$B$5,AVERAGE(OFFSET(E603,1-Inputs!$B$5,0,Inputs!$B$5,1)),"")</f>
        <v>0.863916179026789</v>
      </c>
      <c r="H603" s="8" t="n">
        <f aca="false">MAX(C603-D603,ABS(C603-E602),ABS(D603-E602))</f>
        <v>0.00458918903903804</v>
      </c>
      <c r="I603" s="8" t="n">
        <f aca="true">IF(ROW()-2&lt;14,"",IF(ROW()-2=14,AVERAGE(OFFSET(H603,-13,0,14,1)),(I602*13+H603)/14))</f>
        <v>0.00967513484246689</v>
      </c>
      <c r="J603" s="9" t="b">
        <f aca="false">IF(AND(ISNUMBER(F603),ISNUMBER(G603),ISNUMBER(F602),ISNUMBER(G602)),AND(F603&gt;G603,F602&lt;=G602),FALSE())</f>
        <v>0</v>
      </c>
      <c r="K603" s="9" t="b">
        <f aca="false">IF(AND(ISNUMBER(F603),ISNUMBER(G603),ISNUMBER(F602),ISNUMBER(G602)),AND(F603&lt;G603,F602&gt;=G602),FALSE())</f>
        <v>0</v>
      </c>
      <c r="L603" s="8" t="n">
        <f aca="false">IF(ISNUMBER(I603),E603-Inputs!$B$6*I603,"")</f>
        <v>0.846210016212618</v>
      </c>
      <c r="M603" s="9" t="b">
        <f aca="false">AND(Y602&gt;0,Z602)</f>
        <v>0</v>
      </c>
      <c r="N603" s="8" t="n">
        <f aca="false">B603*(1-Inputs!$B$12)</f>
        <v>0.86244174360602</v>
      </c>
      <c r="O603" s="10" t="n">
        <f aca="false">IF(M603,Y602*(N603-AB602)-Inputs!$B$9-Y602*AD602*Inputs!$B$13*(A603-AC602),0)</f>
        <v>0</v>
      </c>
      <c r="P603" s="10" t="n">
        <f aca="false">X602+O603</f>
        <v>1037.10316126448</v>
      </c>
      <c r="Q603" s="9" t="b">
        <f aca="false">AND(IF(M603,0,Y602)=0,AA602,IF(ISNUMBER(AE602),B603&gt;AE602,FALSE()))</f>
        <v>0</v>
      </c>
      <c r="R603" s="8" t="n">
        <f aca="false">B603*(1+Inputs!$B$12)</f>
        <v>0.862786789312603</v>
      </c>
      <c r="S603" s="11" t="n">
        <f aca="false">IF(Q603,MIN(P603*Inputs!$B$3/(R603-AE602),P603*Inputs!$B$11/R603),0)</f>
        <v>0</v>
      </c>
      <c r="T603" s="11" t="n">
        <f aca="false">IF(Q603,S603,IF(M603,0,Y602))</f>
        <v>0</v>
      </c>
      <c r="U603" s="8" t="n">
        <f aca="false">IF(Q603,AE602,AF602)</f>
        <v>0.850507391154866</v>
      </c>
      <c r="V603" s="9" t="b">
        <f aca="false">AND(T603&gt;0,D603&lt;=U603)</f>
        <v>0</v>
      </c>
      <c r="W603" s="10" t="n">
        <f aca="false">IF(V603,T603*(AK603-AB603)-Inputs!$B$9-T603*AD603*Inputs!$B$13*(A603-AC603),0)</f>
        <v>0</v>
      </c>
      <c r="X603" s="10" t="n">
        <f aca="false">P603-IF(Q603,Inputs!$B$9,0)+W603</f>
        <v>1037.10316126448</v>
      </c>
      <c r="Y603" s="11" t="n">
        <f aca="false">IF(V603,0,T603)</f>
        <v>0</v>
      </c>
      <c r="Z603" s="9" t="b">
        <f aca="false">AND(Y603&gt;0,K603)</f>
        <v>0</v>
      </c>
      <c r="AA603" s="9" t="b">
        <f aca="false">AND(Y603=0,J603,ISNUMBER(L603))</f>
        <v>0</v>
      </c>
      <c r="AB603" s="8" t="n">
        <f aca="false">IF(Q603,R603,AB602)</f>
        <v>0.868065965109487</v>
      </c>
      <c r="AC603" s="12" t="n">
        <f aca="false">IF(Q603,A603,AC602)</f>
        <v>45375</v>
      </c>
      <c r="AD603" s="8" t="n">
        <f aca="false">IF(Q603,B603,AD602)</f>
        <v>0.86789238663216</v>
      </c>
      <c r="AE603" s="8" t="str">
        <f aca="false">IF(AA603,L603,"")</f>
        <v/>
      </c>
      <c r="AF603" s="8" t="n">
        <f aca="false">U603</f>
        <v>0.850507391154866</v>
      </c>
      <c r="AG603" s="2" t="n">
        <f aca="false">AG602+IF(Q603,1,0)</f>
        <v>4</v>
      </c>
      <c r="AH603" s="2" t="n">
        <f aca="false">AG602</f>
        <v>4</v>
      </c>
      <c r="AI603" s="10" t="n">
        <f aca="false">X603+Y603*(E603-AB603)-Y603*AD603*Inputs!$B$13*(A603-AC603)</f>
        <v>1037.10316126448</v>
      </c>
      <c r="AJ603" s="10" t="n">
        <v>0</v>
      </c>
      <c r="AK603" s="8" t="n">
        <f aca="false">IF(AND(B603&lt;=U603,NOT(Q603)),B603,U603)*(1-Inputs!$B$12)</f>
        <v>0.850337289676635</v>
      </c>
    </row>
    <row r="604" customFormat="false" ht="15" hidden="false" customHeight="false" outlineLevel="0" collapsed="false">
      <c r="A604" s="6" t="n">
        <v>45388</v>
      </c>
      <c r="B604" s="7" t="n">
        <v>0.865560285897552</v>
      </c>
      <c r="C604" s="7" t="n">
        <v>0.870530183388001</v>
      </c>
      <c r="D604" s="7" t="n">
        <v>0.858965018783742</v>
      </c>
      <c r="E604" s="7" t="n">
        <v>0.859364914451486</v>
      </c>
      <c r="F604" s="8" t="n">
        <f aca="true">IF(ROW()-2&gt;=Inputs!$B$4,AVERAGE(OFFSET(E604,1-Inputs!$B$4,0,Inputs!$B$4,1)),"")</f>
        <v>0.868343852467873</v>
      </c>
      <c r="G604" s="8" t="n">
        <f aca="true">IF(ROW()-2&gt;=Inputs!$B$5,AVERAGE(OFFSET(E604,1-Inputs!$B$5,0,Inputs!$B$5,1)),"")</f>
        <v>0.863846206436879</v>
      </c>
      <c r="H604" s="8" t="n">
        <f aca="false">MAX(C604-D604,ABS(C604-E603),ABS(D604-E603))</f>
        <v>0.0115651646042586</v>
      </c>
      <c r="I604" s="8" t="n">
        <f aca="true">IF(ROW()-2&lt;14,"",IF(ROW()-2=14,AVERAGE(OFFSET(H604,-13,0,14,1)),(I603*13+H604)/14))</f>
        <v>0.00981013696830915</v>
      </c>
      <c r="J604" s="9" t="b">
        <f aca="false">IF(AND(ISNUMBER(F604),ISNUMBER(G604),ISNUMBER(F603),ISNUMBER(G603)),AND(F604&gt;G604,F603&lt;=G603),FALSE())</f>
        <v>0</v>
      </c>
      <c r="K604" s="9" t="b">
        <f aca="false">IF(AND(ISNUMBER(F604),ISNUMBER(G604),ISNUMBER(F603),ISNUMBER(G603)),AND(F604&lt;G604,F603&gt;=G603),FALSE())</f>
        <v>0</v>
      </c>
      <c r="L604" s="8" t="n">
        <f aca="false">IF(ISNUMBER(I604),E604-Inputs!$B$6*I604,"")</f>
        <v>0.839744640514868</v>
      </c>
      <c r="M604" s="9" t="b">
        <f aca="false">AND(Y603&gt;0,Z603)</f>
        <v>0</v>
      </c>
      <c r="N604" s="8" t="n">
        <f aca="false">B604*(1-Inputs!$B$12)</f>
        <v>0.865387173840372</v>
      </c>
      <c r="O604" s="10" t="n">
        <f aca="false">IF(M604,Y603*(N604-AB603)-Inputs!$B$9-Y603*AD603*Inputs!$B$13*(A604-AC603),0)</f>
        <v>0</v>
      </c>
      <c r="P604" s="10" t="n">
        <f aca="false">X603+O604</f>
        <v>1037.10316126448</v>
      </c>
      <c r="Q604" s="9" t="b">
        <f aca="false">AND(IF(M604,0,Y603)=0,AA603,IF(ISNUMBER(AE603),B604&gt;AE603,FALSE()))</f>
        <v>0</v>
      </c>
      <c r="R604" s="8" t="n">
        <f aca="false">B604*(1+Inputs!$B$12)</f>
        <v>0.865733397954731</v>
      </c>
      <c r="S604" s="11" t="n">
        <f aca="false">IF(Q604,MIN(P604*Inputs!$B$3/(R604-AE603),P604*Inputs!$B$11/R604),0)</f>
        <v>0</v>
      </c>
      <c r="T604" s="11" t="n">
        <f aca="false">IF(Q604,S604,IF(M604,0,Y603))</f>
        <v>0</v>
      </c>
      <c r="U604" s="8" t="n">
        <f aca="false">IF(Q604,AE603,AF603)</f>
        <v>0.850507391154866</v>
      </c>
      <c r="V604" s="9" t="b">
        <f aca="false">AND(T604&gt;0,D604&lt;=U604)</f>
        <v>0</v>
      </c>
      <c r="W604" s="10" t="n">
        <f aca="false">IF(V604,T604*(AK604-AB604)-Inputs!$B$9-T604*AD604*Inputs!$B$13*(A604-AC604),0)</f>
        <v>0</v>
      </c>
      <c r="X604" s="10" t="n">
        <f aca="false">P604-IF(Q604,Inputs!$B$9,0)+W604</f>
        <v>1037.10316126448</v>
      </c>
      <c r="Y604" s="11" t="n">
        <f aca="false">IF(V604,0,T604)</f>
        <v>0</v>
      </c>
      <c r="Z604" s="9" t="b">
        <f aca="false">AND(Y604&gt;0,K604)</f>
        <v>0</v>
      </c>
      <c r="AA604" s="9" t="b">
        <f aca="false">AND(Y604=0,J604,ISNUMBER(L604))</f>
        <v>0</v>
      </c>
      <c r="AB604" s="8" t="n">
        <f aca="false">IF(Q604,R604,AB603)</f>
        <v>0.868065965109487</v>
      </c>
      <c r="AC604" s="12" t="n">
        <f aca="false">IF(Q604,A604,AC603)</f>
        <v>45375</v>
      </c>
      <c r="AD604" s="8" t="n">
        <f aca="false">IF(Q604,B604,AD603)</f>
        <v>0.86789238663216</v>
      </c>
      <c r="AE604" s="8" t="str">
        <f aca="false">IF(AA604,L604,"")</f>
        <v/>
      </c>
      <c r="AF604" s="8" t="n">
        <f aca="false">U604</f>
        <v>0.850507391154866</v>
      </c>
      <c r="AG604" s="2" t="n">
        <f aca="false">AG603+IF(Q604,1,0)</f>
        <v>4</v>
      </c>
      <c r="AH604" s="2" t="n">
        <f aca="false">AG603</f>
        <v>4</v>
      </c>
      <c r="AI604" s="10" t="n">
        <f aca="false">X604+Y604*(E604-AB604)-Y604*AD604*Inputs!$B$13*(A604-AC604)</f>
        <v>1037.10316126448</v>
      </c>
      <c r="AJ604" s="10" t="n">
        <v>0</v>
      </c>
      <c r="AK604" s="8" t="n">
        <f aca="false">IF(AND(B604&lt;=U604,NOT(Q604)),B604,U604)*(1-Inputs!$B$12)</f>
        <v>0.850337289676635</v>
      </c>
    </row>
    <row r="605" customFormat="false" ht="15" hidden="false" customHeight="false" outlineLevel="0" collapsed="false">
      <c r="A605" s="6" t="n">
        <v>45389</v>
      </c>
      <c r="B605" s="7" t="n">
        <v>0.859364914451486</v>
      </c>
      <c r="C605" s="7" t="n">
        <v>0.8638078414175</v>
      </c>
      <c r="D605" s="7" t="n">
        <v>0.85245845666422</v>
      </c>
      <c r="E605" s="7" t="n">
        <v>0.862724826024834</v>
      </c>
      <c r="F605" s="8" t="n">
        <f aca="true">IF(ROW()-2&gt;=Inputs!$B$4,AVERAGE(OFFSET(E605,1-Inputs!$B$4,0,Inputs!$B$4,1)),"")</f>
        <v>0.86816239868153</v>
      </c>
      <c r="G605" s="8" t="n">
        <f aca="true">IF(ROW()-2&gt;=Inputs!$B$5,AVERAGE(OFFSET(E605,1-Inputs!$B$5,0,Inputs!$B$5,1)),"")</f>
        <v>0.863830985930284</v>
      </c>
      <c r="H605" s="8" t="n">
        <f aca="false">MAX(C605-D605,ABS(C605-E604),ABS(D605-E604))</f>
        <v>0.0113493847532804</v>
      </c>
      <c r="I605" s="8" t="n">
        <f aca="true">IF(ROW()-2&lt;14,"",IF(ROW()-2=14,AVERAGE(OFFSET(H605,-13,0,14,1)),(I604*13+H605)/14))</f>
        <v>0.00992008323866424</v>
      </c>
      <c r="J605" s="9" t="b">
        <f aca="false">IF(AND(ISNUMBER(F605),ISNUMBER(G605),ISNUMBER(F604),ISNUMBER(G604)),AND(F605&gt;G605,F604&lt;=G604),FALSE())</f>
        <v>0</v>
      </c>
      <c r="K605" s="9" t="b">
        <f aca="false">IF(AND(ISNUMBER(F605),ISNUMBER(G605),ISNUMBER(F604),ISNUMBER(G604)),AND(F605&lt;G605,F604&gt;=G604),FALSE())</f>
        <v>0</v>
      </c>
      <c r="L605" s="8" t="n">
        <f aca="false">IF(ISNUMBER(I605),E605-Inputs!$B$6*I605,"")</f>
        <v>0.842884659547506</v>
      </c>
      <c r="M605" s="9" t="b">
        <f aca="false">AND(Y604&gt;0,Z604)</f>
        <v>0</v>
      </c>
      <c r="N605" s="8" t="n">
        <f aca="false">B605*(1-Inputs!$B$12)</f>
        <v>0.859193041468596</v>
      </c>
      <c r="O605" s="10" t="n">
        <f aca="false">IF(M605,Y604*(N605-AB604)-Inputs!$B$9-Y604*AD604*Inputs!$B$13*(A605-AC604),0)</f>
        <v>0</v>
      </c>
      <c r="P605" s="10" t="n">
        <f aca="false">X604+O605</f>
        <v>1037.10316126448</v>
      </c>
      <c r="Q605" s="9" t="b">
        <f aca="false">AND(IF(M605,0,Y604)=0,AA604,IF(ISNUMBER(AE604),B605&gt;AE604,FALSE()))</f>
        <v>0</v>
      </c>
      <c r="R605" s="8" t="n">
        <f aca="false">B605*(1+Inputs!$B$12)</f>
        <v>0.859536787434377</v>
      </c>
      <c r="S605" s="11" t="n">
        <f aca="false">IF(Q605,MIN(P605*Inputs!$B$3/(R605-AE604),P605*Inputs!$B$11/R605),0)</f>
        <v>0</v>
      </c>
      <c r="T605" s="11" t="n">
        <f aca="false">IF(Q605,S605,IF(M605,0,Y604))</f>
        <v>0</v>
      </c>
      <c r="U605" s="8" t="n">
        <f aca="false">IF(Q605,AE604,AF604)</f>
        <v>0.850507391154866</v>
      </c>
      <c r="V605" s="9" t="b">
        <f aca="false">AND(T605&gt;0,D605&lt;=U605)</f>
        <v>0</v>
      </c>
      <c r="W605" s="10" t="n">
        <f aca="false">IF(V605,T605*(AK605-AB605)-Inputs!$B$9-T605*AD605*Inputs!$B$13*(A605-AC605),0)</f>
        <v>0</v>
      </c>
      <c r="X605" s="10" t="n">
        <f aca="false">P605-IF(Q605,Inputs!$B$9,0)+W605</f>
        <v>1037.10316126448</v>
      </c>
      <c r="Y605" s="11" t="n">
        <f aca="false">IF(V605,0,T605)</f>
        <v>0</v>
      </c>
      <c r="Z605" s="9" t="b">
        <f aca="false">AND(Y605&gt;0,K605)</f>
        <v>0</v>
      </c>
      <c r="AA605" s="9" t="b">
        <f aca="false">AND(Y605=0,J605,ISNUMBER(L605))</f>
        <v>0</v>
      </c>
      <c r="AB605" s="8" t="n">
        <f aca="false">IF(Q605,R605,AB604)</f>
        <v>0.868065965109487</v>
      </c>
      <c r="AC605" s="12" t="n">
        <f aca="false">IF(Q605,A605,AC604)</f>
        <v>45375</v>
      </c>
      <c r="AD605" s="8" t="n">
        <f aca="false">IF(Q605,B605,AD604)</f>
        <v>0.86789238663216</v>
      </c>
      <c r="AE605" s="8" t="str">
        <f aca="false">IF(AA605,L605,"")</f>
        <v/>
      </c>
      <c r="AF605" s="8" t="n">
        <f aca="false">U605</f>
        <v>0.850507391154866</v>
      </c>
      <c r="AG605" s="2" t="n">
        <f aca="false">AG604+IF(Q605,1,0)</f>
        <v>4</v>
      </c>
      <c r="AH605" s="2" t="n">
        <f aca="false">AG604</f>
        <v>4</v>
      </c>
      <c r="AI605" s="10" t="n">
        <f aca="false">X605+Y605*(E605-AB605)-Y605*AD605*Inputs!$B$13*(A605-AC605)</f>
        <v>1037.10316126448</v>
      </c>
      <c r="AJ605" s="10" t="n">
        <v>0</v>
      </c>
      <c r="AK605" s="8" t="n">
        <f aca="false">IF(AND(B605&lt;=U605,NOT(Q605)),B605,U605)*(1-Inputs!$B$12)</f>
        <v>0.850337289676635</v>
      </c>
    </row>
    <row r="606" customFormat="false" ht="15" hidden="false" customHeight="false" outlineLevel="0" collapsed="false">
      <c r="A606" s="6" t="n">
        <v>45390</v>
      </c>
      <c r="B606" s="7" t="n">
        <v>0.862724826024834</v>
      </c>
      <c r="C606" s="7" t="n">
        <v>0.86401324232817</v>
      </c>
      <c r="D606" s="7" t="n">
        <v>0.855556600046562</v>
      </c>
      <c r="E606" s="7" t="n">
        <v>0.860072631597349</v>
      </c>
      <c r="F606" s="8" t="n">
        <f aca="true">IF(ROW()-2&gt;=Inputs!$B$4,AVERAGE(OFFSET(E606,1-Inputs!$B$4,0,Inputs!$B$4,1)),"")</f>
        <v>0.867592842459894</v>
      </c>
      <c r="G606" s="8" t="n">
        <f aca="true">IF(ROW()-2&gt;=Inputs!$B$5,AVERAGE(OFFSET(E606,1-Inputs!$B$5,0,Inputs!$B$5,1)),"")</f>
        <v>0.863747131631761</v>
      </c>
      <c r="H606" s="8" t="n">
        <f aca="false">MAX(C606-D606,ABS(C606-E605),ABS(D606-E605))</f>
        <v>0.0084566422816077</v>
      </c>
      <c r="I606" s="8" t="n">
        <f aca="true">IF(ROW()-2&lt;14,"",IF(ROW()-2=14,AVERAGE(OFFSET(H606,-13,0,14,1)),(I605*13+H606)/14))</f>
        <v>0.00981555174173163</v>
      </c>
      <c r="J606" s="9" t="b">
        <f aca="false">IF(AND(ISNUMBER(F606),ISNUMBER(G606),ISNUMBER(F605),ISNUMBER(G605)),AND(F606&gt;G606,F605&lt;=G605),FALSE())</f>
        <v>0</v>
      </c>
      <c r="K606" s="9" t="b">
        <f aca="false">IF(AND(ISNUMBER(F606),ISNUMBER(G606),ISNUMBER(F605),ISNUMBER(G605)),AND(F606&lt;G606,F605&gt;=G605),FALSE())</f>
        <v>0</v>
      </c>
      <c r="L606" s="8" t="n">
        <f aca="false">IF(ISNUMBER(I606),E606-Inputs!$B$6*I606,"")</f>
        <v>0.840441528113886</v>
      </c>
      <c r="M606" s="9" t="b">
        <f aca="false">AND(Y605&gt;0,Z605)</f>
        <v>0</v>
      </c>
      <c r="N606" s="8" t="n">
        <f aca="false">B606*(1-Inputs!$B$12)</f>
        <v>0.862552281059629</v>
      </c>
      <c r="O606" s="10" t="n">
        <f aca="false">IF(M606,Y605*(N606-AB605)-Inputs!$B$9-Y605*AD605*Inputs!$B$13*(A606-AC605),0)</f>
        <v>0</v>
      </c>
      <c r="P606" s="10" t="n">
        <f aca="false">X605+O606</f>
        <v>1037.10316126448</v>
      </c>
      <c r="Q606" s="9" t="b">
        <f aca="false">AND(IF(M606,0,Y605)=0,AA605,IF(ISNUMBER(AE605),B606&gt;AE605,FALSE()))</f>
        <v>0</v>
      </c>
      <c r="R606" s="8" t="n">
        <f aca="false">B606*(1+Inputs!$B$12)</f>
        <v>0.862897370990039</v>
      </c>
      <c r="S606" s="11" t="n">
        <f aca="false">IF(Q606,MIN(P606*Inputs!$B$3/(R606-AE605),P606*Inputs!$B$11/R606),0)</f>
        <v>0</v>
      </c>
      <c r="T606" s="11" t="n">
        <f aca="false">IF(Q606,S606,IF(M606,0,Y605))</f>
        <v>0</v>
      </c>
      <c r="U606" s="8" t="n">
        <f aca="false">IF(Q606,AE605,AF605)</f>
        <v>0.850507391154866</v>
      </c>
      <c r="V606" s="9" t="b">
        <f aca="false">AND(T606&gt;0,D606&lt;=U606)</f>
        <v>0</v>
      </c>
      <c r="W606" s="10" t="n">
        <f aca="false">IF(V606,T606*(AK606-AB606)-Inputs!$B$9-T606*AD606*Inputs!$B$13*(A606-AC606),0)</f>
        <v>0</v>
      </c>
      <c r="X606" s="10" t="n">
        <f aca="false">P606-IF(Q606,Inputs!$B$9,0)+W606</f>
        <v>1037.10316126448</v>
      </c>
      <c r="Y606" s="11" t="n">
        <f aca="false">IF(V606,0,T606)</f>
        <v>0</v>
      </c>
      <c r="Z606" s="9" t="b">
        <f aca="false">AND(Y606&gt;0,K606)</f>
        <v>0</v>
      </c>
      <c r="AA606" s="9" t="b">
        <f aca="false">AND(Y606=0,J606,ISNUMBER(L606))</f>
        <v>0</v>
      </c>
      <c r="AB606" s="8" t="n">
        <f aca="false">IF(Q606,R606,AB605)</f>
        <v>0.868065965109487</v>
      </c>
      <c r="AC606" s="12" t="n">
        <f aca="false">IF(Q606,A606,AC605)</f>
        <v>45375</v>
      </c>
      <c r="AD606" s="8" t="n">
        <f aca="false">IF(Q606,B606,AD605)</f>
        <v>0.86789238663216</v>
      </c>
      <c r="AE606" s="8" t="str">
        <f aca="false">IF(AA606,L606,"")</f>
        <v/>
      </c>
      <c r="AF606" s="8" t="n">
        <f aca="false">U606</f>
        <v>0.850507391154866</v>
      </c>
      <c r="AG606" s="2" t="n">
        <f aca="false">AG605+IF(Q606,1,0)</f>
        <v>4</v>
      </c>
      <c r="AH606" s="2" t="n">
        <f aca="false">AG605</f>
        <v>4</v>
      </c>
      <c r="AI606" s="10" t="n">
        <f aca="false">X606+Y606*(E606-AB606)-Y606*AD606*Inputs!$B$13*(A606-AC606)</f>
        <v>1037.10316126448</v>
      </c>
      <c r="AJ606" s="10" t="n">
        <v>0</v>
      </c>
      <c r="AK606" s="8" t="n">
        <f aca="false">IF(AND(B606&lt;=U606,NOT(Q606)),B606,U606)*(1-Inputs!$B$12)</f>
        <v>0.850337289676635</v>
      </c>
    </row>
    <row r="607" customFormat="false" ht="15" hidden="false" customHeight="false" outlineLevel="0" collapsed="false">
      <c r="A607" s="6" t="n">
        <v>45391</v>
      </c>
      <c r="B607" s="7" t="n">
        <v>0.860072631597349</v>
      </c>
      <c r="C607" s="7" t="n">
        <v>0.871841274357247</v>
      </c>
      <c r="D607" s="7" t="n">
        <v>0.858186637777832</v>
      </c>
      <c r="E607" s="7" t="n">
        <v>0.869343339170661</v>
      </c>
      <c r="F607" s="8" t="n">
        <f aca="true">IF(ROW()-2&gt;=Inputs!$B$4,AVERAGE(OFFSET(E607,1-Inputs!$B$4,0,Inputs!$B$4,1)),"")</f>
        <v>0.867588947142044</v>
      </c>
      <c r="G607" s="8" t="n">
        <f aca="true">IF(ROW()-2&gt;=Inputs!$B$5,AVERAGE(OFFSET(E607,1-Inputs!$B$5,0,Inputs!$B$5,1)),"")</f>
        <v>0.8638174035991</v>
      </c>
      <c r="H607" s="8" t="n">
        <f aca="false">MAX(C607-D607,ABS(C607-E606),ABS(D607-E606))</f>
        <v>0.0136546365794146</v>
      </c>
      <c r="I607" s="8" t="n">
        <f aca="true">IF(ROW()-2&lt;14,"",IF(ROW()-2=14,AVERAGE(OFFSET(H607,-13,0,14,1)),(I606*13+H607)/14))</f>
        <v>0.0100897720872804</v>
      </c>
      <c r="J607" s="9" t="b">
        <f aca="false">IF(AND(ISNUMBER(F607),ISNUMBER(G607),ISNUMBER(F606),ISNUMBER(G606)),AND(F607&gt;G607,F606&lt;=G606),FALSE())</f>
        <v>0</v>
      </c>
      <c r="K607" s="9" t="b">
        <f aca="false">IF(AND(ISNUMBER(F607),ISNUMBER(G607),ISNUMBER(F606),ISNUMBER(G606)),AND(F607&lt;G607,F606&gt;=G606),FALSE())</f>
        <v>0</v>
      </c>
      <c r="L607" s="8" t="n">
        <f aca="false">IF(ISNUMBER(I607),E607-Inputs!$B$6*I607,"")</f>
        <v>0.8491637949961</v>
      </c>
      <c r="M607" s="9" t="b">
        <f aca="false">AND(Y606&gt;0,Z606)</f>
        <v>0</v>
      </c>
      <c r="N607" s="8" t="n">
        <f aca="false">B607*(1-Inputs!$B$12)</f>
        <v>0.85990061707103</v>
      </c>
      <c r="O607" s="10" t="n">
        <f aca="false">IF(M607,Y606*(N607-AB606)-Inputs!$B$9-Y606*AD606*Inputs!$B$13*(A607-AC606),0)</f>
        <v>0</v>
      </c>
      <c r="P607" s="10" t="n">
        <f aca="false">X606+O607</f>
        <v>1037.10316126448</v>
      </c>
      <c r="Q607" s="9" t="b">
        <f aca="false">AND(IF(M607,0,Y606)=0,AA606,IF(ISNUMBER(AE606),B607&gt;AE606,FALSE()))</f>
        <v>0</v>
      </c>
      <c r="R607" s="8" t="n">
        <f aca="false">B607*(1+Inputs!$B$12)</f>
        <v>0.860244646123669</v>
      </c>
      <c r="S607" s="11" t="n">
        <f aca="false">IF(Q607,MIN(P607*Inputs!$B$3/(R607-AE606),P607*Inputs!$B$11/R607),0)</f>
        <v>0</v>
      </c>
      <c r="T607" s="11" t="n">
        <f aca="false">IF(Q607,S607,IF(M607,0,Y606))</f>
        <v>0</v>
      </c>
      <c r="U607" s="8" t="n">
        <f aca="false">IF(Q607,AE606,AF606)</f>
        <v>0.850507391154866</v>
      </c>
      <c r="V607" s="9" t="b">
        <f aca="false">AND(T607&gt;0,D607&lt;=U607)</f>
        <v>0</v>
      </c>
      <c r="W607" s="10" t="n">
        <f aca="false">IF(V607,T607*(AK607-AB607)-Inputs!$B$9-T607*AD607*Inputs!$B$13*(A607-AC607),0)</f>
        <v>0</v>
      </c>
      <c r="X607" s="10" t="n">
        <f aca="false">P607-IF(Q607,Inputs!$B$9,0)+W607</f>
        <v>1037.10316126448</v>
      </c>
      <c r="Y607" s="11" t="n">
        <f aca="false">IF(V607,0,T607)</f>
        <v>0</v>
      </c>
      <c r="Z607" s="9" t="b">
        <f aca="false">AND(Y607&gt;0,K607)</f>
        <v>0</v>
      </c>
      <c r="AA607" s="9" t="b">
        <f aca="false">AND(Y607=0,J607,ISNUMBER(L607))</f>
        <v>0</v>
      </c>
      <c r="AB607" s="8" t="n">
        <f aca="false">IF(Q607,R607,AB606)</f>
        <v>0.868065965109487</v>
      </c>
      <c r="AC607" s="12" t="n">
        <f aca="false">IF(Q607,A607,AC606)</f>
        <v>45375</v>
      </c>
      <c r="AD607" s="8" t="n">
        <f aca="false">IF(Q607,B607,AD606)</f>
        <v>0.86789238663216</v>
      </c>
      <c r="AE607" s="8" t="str">
        <f aca="false">IF(AA607,L607,"")</f>
        <v/>
      </c>
      <c r="AF607" s="8" t="n">
        <f aca="false">U607</f>
        <v>0.850507391154866</v>
      </c>
      <c r="AG607" s="2" t="n">
        <f aca="false">AG606+IF(Q607,1,0)</f>
        <v>4</v>
      </c>
      <c r="AH607" s="2" t="n">
        <f aca="false">AG606</f>
        <v>4</v>
      </c>
      <c r="AI607" s="10" t="n">
        <f aca="false">X607+Y607*(E607-AB607)-Y607*AD607*Inputs!$B$13*(A607-AC607)</f>
        <v>1037.10316126448</v>
      </c>
      <c r="AJ607" s="10" t="n">
        <v>0</v>
      </c>
      <c r="AK607" s="8" t="n">
        <f aca="false">IF(AND(B607&lt;=U607,NOT(Q607)),B607,U607)*(1-Inputs!$B$12)</f>
        <v>0.850337289676635</v>
      </c>
    </row>
    <row r="608" customFormat="false" ht="15" hidden="false" customHeight="false" outlineLevel="0" collapsed="false">
      <c r="A608" s="6" t="n">
        <v>45392</v>
      </c>
      <c r="B608" s="7" t="n">
        <v>0.869343339170661</v>
      </c>
      <c r="C608" s="7" t="n">
        <v>0.879527492636583</v>
      </c>
      <c r="D608" s="7" t="n">
        <v>0.866251405227085</v>
      </c>
      <c r="E608" s="7" t="n">
        <v>0.878880606287215</v>
      </c>
      <c r="F608" s="8" t="n">
        <f aca="true">IF(ROW()-2&gt;=Inputs!$B$4,AVERAGE(OFFSET(E608,1-Inputs!$B$4,0,Inputs!$B$4,1)),"")</f>
        <v>0.867984763361357</v>
      </c>
      <c r="G608" s="8" t="n">
        <f aca="true">IF(ROW()-2&gt;=Inputs!$B$5,AVERAGE(OFFSET(E608,1-Inputs!$B$5,0,Inputs!$B$5,1)),"")</f>
        <v>0.864101088693361</v>
      </c>
      <c r="H608" s="8" t="n">
        <f aca="false">MAX(C608-D608,ABS(C608-E607),ABS(D608-E607))</f>
        <v>0.0132760874094976</v>
      </c>
      <c r="I608" s="8" t="n">
        <f aca="true">IF(ROW()-2&lt;14,"",IF(ROW()-2=14,AVERAGE(OFFSET(H608,-13,0,14,1)),(I607*13+H608)/14))</f>
        <v>0.0103173660388674</v>
      </c>
      <c r="J608" s="9" t="b">
        <f aca="false">IF(AND(ISNUMBER(F608),ISNUMBER(G608),ISNUMBER(F607),ISNUMBER(G607)),AND(F608&gt;G608,F607&lt;=G607),FALSE())</f>
        <v>0</v>
      </c>
      <c r="K608" s="9" t="b">
        <f aca="false">IF(AND(ISNUMBER(F608),ISNUMBER(G608),ISNUMBER(F607),ISNUMBER(G607)),AND(F608&lt;G608,F607&gt;=G607),FALSE())</f>
        <v>0</v>
      </c>
      <c r="L608" s="8" t="n">
        <f aca="false">IF(ISNUMBER(I608),E608-Inputs!$B$6*I608,"")</f>
        <v>0.85824587420948</v>
      </c>
      <c r="M608" s="9" t="b">
        <f aca="false">AND(Y607&gt;0,Z607)</f>
        <v>0</v>
      </c>
      <c r="N608" s="8" t="n">
        <f aca="false">B608*(1-Inputs!$B$12)</f>
        <v>0.869169470502827</v>
      </c>
      <c r="O608" s="10" t="n">
        <f aca="false">IF(M608,Y607*(N608-AB607)-Inputs!$B$9-Y607*AD607*Inputs!$B$13*(A608-AC607),0)</f>
        <v>0</v>
      </c>
      <c r="P608" s="10" t="n">
        <f aca="false">X607+O608</f>
        <v>1037.10316126448</v>
      </c>
      <c r="Q608" s="9" t="b">
        <f aca="false">AND(IF(M608,0,Y607)=0,AA607,IF(ISNUMBER(AE607),B608&gt;AE607,FALSE()))</f>
        <v>0</v>
      </c>
      <c r="R608" s="8" t="n">
        <f aca="false">B608*(1+Inputs!$B$12)</f>
        <v>0.869517207838495</v>
      </c>
      <c r="S608" s="11" t="n">
        <f aca="false">IF(Q608,MIN(P608*Inputs!$B$3/(R608-AE607),P608*Inputs!$B$11/R608),0)</f>
        <v>0</v>
      </c>
      <c r="T608" s="11" t="n">
        <f aca="false">IF(Q608,S608,IF(M608,0,Y607))</f>
        <v>0</v>
      </c>
      <c r="U608" s="8" t="n">
        <f aca="false">IF(Q608,AE607,AF607)</f>
        <v>0.850507391154866</v>
      </c>
      <c r="V608" s="9" t="b">
        <f aca="false">AND(T608&gt;0,D608&lt;=U608)</f>
        <v>0</v>
      </c>
      <c r="W608" s="10" t="n">
        <f aca="false">IF(V608,T608*(AK608-AB608)-Inputs!$B$9-T608*AD608*Inputs!$B$13*(A608-AC608),0)</f>
        <v>0</v>
      </c>
      <c r="X608" s="10" t="n">
        <f aca="false">P608-IF(Q608,Inputs!$B$9,0)+W608</f>
        <v>1037.10316126448</v>
      </c>
      <c r="Y608" s="11" t="n">
        <f aca="false">IF(V608,0,T608)</f>
        <v>0</v>
      </c>
      <c r="Z608" s="9" t="b">
        <f aca="false">AND(Y608&gt;0,K608)</f>
        <v>0</v>
      </c>
      <c r="AA608" s="9" t="b">
        <f aca="false">AND(Y608=0,J608,ISNUMBER(L608))</f>
        <v>0</v>
      </c>
      <c r="AB608" s="8" t="n">
        <f aca="false">IF(Q608,R608,AB607)</f>
        <v>0.868065965109487</v>
      </c>
      <c r="AC608" s="12" t="n">
        <f aca="false">IF(Q608,A608,AC607)</f>
        <v>45375</v>
      </c>
      <c r="AD608" s="8" t="n">
        <f aca="false">IF(Q608,B608,AD607)</f>
        <v>0.86789238663216</v>
      </c>
      <c r="AE608" s="8" t="str">
        <f aca="false">IF(AA608,L608,"")</f>
        <v/>
      </c>
      <c r="AF608" s="8" t="n">
        <f aca="false">U608</f>
        <v>0.850507391154866</v>
      </c>
      <c r="AG608" s="2" t="n">
        <f aca="false">AG607+IF(Q608,1,0)</f>
        <v>4</v>
      </c>
      <c r="AH608" s="2" t="n">
        <f aca="false">AG607</f>
        <v>4</v>
      </c>
      <c r="AI608" s="10" t="n">
        <f aca="false">X608+Y608*(E608-AB608)-Y608*AD608*Inputs!$B$13*(A608-AC608)</f>
        <v>1037.10316126448</v>
      </c>
      <c r="AJ608" s="10" t="n">
        <v>0</v>
      </c>
      <c r="AK608" s="8" t="n">
        <f aca="false">IF(AND(B608&lt;=U608,NOT(Q608)),B608,U608)*(1-Inputs!$B$12)</f>
        <v>0.850337289676635</v>
      </c>
    </row>
    <row r="609" customFormat="false" ht="15" hidden="false" customHeight="false" outlineLevel="0" collapsed="false">
      <c r="A609" s="6" t="n">
        <v>45393</v>
      </c>
      <c r="B609" s="7" t="n">
        <v>0.878880606287215</v>
      </c>
      <c r="C609" s="7" t="n">
        <v>0.879293474557923</v>
      </c>
      <c r="D609" s="7" t="n">
        <v>0.875912207303781</v>
      </c>
      <c r="E609" s="7" t="n">
        <v>0.876093461601087</v>
      </c>
      <c r="F609" s="8" t="n">
        <f aca="true">IF(ROW()-2&gt;=Inputs!$B$4,AVERAGE(OFFSET(E609,1-Inputs!$B$4,0,Inputs!$B$4,1)),"")</f>
        <v>0.867929006832391</v>
      </c>
      <c r="G609" s="8" t="n">
        <f aca="true">IF(ROW()-2&gt;=Inputs!$B$5,AVERAGE(OFFSET(E609,1-Inputs!$B$5,0,Inputs!$B$5,1)),"")</f>
        <v>0.864110115277151</v>
      </c>
      <c r="H609" s="8" t="n">
        <f aca="false">MAX(C609-D609,ABS(C609-E608),ABS(D609-E608))</f>
        <v>0.00338126725414234</v>
      </c>
      <c r="I609" s="8" t="n">
        <f aca="true">IF(ROW()-2&lt;14,"",IF(ROW()-2=14,AVERAGE(OFFSET(H609,-13,0,14,1)),(I608*13+H609)/14))</f>
        <v>0.009821930411387</v>
      </c>
      <c r="J609" s="9" t="b">
        <f aca="false">IF(AND(ISNUMBER(F609),ISNUMBER(G609),ISNUMBER(F608),ISNUMBER(G608)),AND(F609&gt;G609,F608&lt;=G608),FALSE())</f>
        <v>0</v>
      </c>
      <c r="K609" s="9" t="b">
        <f aca="false">IF(AND(ISNUMBER(F609),ISNUMBER(G609),ISNUMBER(F608),ISNUMBER(G608)),AND(F609&lt;G609,F608&gt;=G608),FALSE())</f>
        <v>0</v>
      </c>
      <c r="L609" s="8" t="n">
        <f aca="false">IF(ISNUMBER(I609),E609-Inputs!$B$6*I609,"")</f>
        <v>0.856449600778313</v>
      </c>
      <c r="M609" s="9" t="b">
        <f aca="false">AND(Y608&gt;0,Z608)</f>
        <v>0</v>
      </c>
      <c r="N609" s="8" t="n">
        <f aca="false">B609*(1-Inputs!$B$12)</f>
        <v>0.878704830165958</v>
      </c>
      <c r="O609" s="10" t="n">
        <f aca="false">IF(M609,Y608*(N609-AB608)-Inputs!$B$9-Y608*AD608*Inputs!$B$13*(A609-AC608),0)</f>
        <v>0</v>
      </c>
      <c r="P609" s="10" t="n">
        <f aca="false">X608+O609</f>
        <v>1037.10316126448</v>
      </c>
      <c r="Q609" s="9" t="b">
        <f aca="false">AND(IF(M609,0,Y608)=0,AA608,IF(ISNUMBER(AE608),B609&gt;AE608,FALSE()))</f>
        <v>0</v>
      </c>
      <c r="R609" s="8" t="n">
        <f aca="false">B609*(1+Inputs!$B$12)</f>
        <v>0.879056382408473</v>
      </c>
      <c r="S609" s="11" t="n">
        <f aca="false">IF(Q609,MIN(P609*Inputs!$B$3/(R609-AE608),P609*Inputs!$B$11/R609),0)</f>
        <v>0</v>
      </c>
      <c r="T609" s="11" t="n">
        <f aca="false">IF(Q609,S609,IF(M609,0,Y608))</f>
        <v>0</v>
      </c>
      <c r="U609" s="8" t="n">
        <f aca="false">IF(Q609,AE608,AF608)</f>
        <v>0.850507391154866</v>
      </c>
      <c r="V609" s="9" t="b">
        <f aca="false">AND(T609&gt;0,D609&lt;=U609)</f>
        <v>0</v>
      </c>
      <c r="W609" s="10" t="n">
        <f aca="false">IF(V609,T609*(AK609-AB609)-Inputs!$B$9-T609*AD609*Inputs!$B$13*(A609-AC609),0)</f>
        <v>0</v>
      </c>
      <c r="X609" s="10" t="n">
        <f aca="false">P609-IF(Q609,Inputs!$B$9,0)+W609</f>
        <v>1037.10316126448</v>
      </c>
      <c r="Y609" s="11" t="n">
        <f aca="false">IF(V609,0,T609)</f>
        <v>0</v>
      </c>
      <c r="Z609" s="9" t="b">
        <f aca="false">AND(Y609&gt;0,K609)</f>
        <v>0</v>
      </c>
      <c r="AA609" s="9" t="b">
        <f aca="false">AND(Y609=0,J609,ISNUMBER(L609))</f>
        <v>0</v>
      </c>
      <c r="AB609" s="8" t="n">
        <f aca="false">IF(Q609,R609,AB608)</f>
        <v>0.868065965109487</v>
      </c>
      <c r="AC609" s="12" t="n">
        <f aca="false">IF(Q609,A609,AC608)</f>
        <v>45375</v>
      </c>
      <c r="AD609" s="8" t="n">
        <f aca="false">IF(Q609,B609,AD608)</f>
        <v>0.86789238663216</v>
      </c>
      <c r="AE609" s="8" t="str">
        <f aca="false">IF(AA609,L609,"")</f>
        <v/>
      </c>
      <c r="AF609" s="8" t="n">
        <f aca="false">U609</f>
        <v>0.850507391154866</v>
      </c>
      <c r="AG609" s="2" t="n">
        <f aca="false">AG608+IF(Q609,1,0)</f>
        <v>4</v>
      </c>
      <c r="AH609" s="2" t="n">
        <f aca="false">AG608</f>
        <v>4</v>
      </c>
      <c r="AI609" s="10" t="n">
        <f aca="false">X609+Y609*(E609-AB609)-Y609*AD609*Inputs!$B$13*(A609-AC609)</f>
        <v>1037.10316126448</v>
      </c>
      <c r="AJ609" s="10" t="n">
        <v>0</v>
      </c>
      <c r="AK609" s="8" t="n">
        <f aca="false">IF(AND(B609&lt;=U609,NOT(Q609)),B609,U609)*(1-Inputs!$B$12)</f>
        <v>0.850337289676635</v>
      </c>
    </row>
    <row r="610" customFormat="false" ht="15" hidden="false" customHeight="false" outlineLevel="0" collapsed="false">
      <c r="A610" s="6" t="n">
        <v>45394</v>
      </c>
      <c r="B610" s="7" t="n">
        <v>0.876093461601087</v>
      </c>
      <c r="C610" s="7" t="n">
        <v>0.880528082345513</v>
      </c>
      <c r="D610" s="7" t="n">
        <v>0.871922902853992</v>
      </c>
      <c r="E610" s="7" t="n">
        <v>0.874186368776307</v>
      </c>
      <c r="F610" s="8" t="n">
        <f aca="true">IF(ROW()-2&gt;=Inputs!$B$4,AVERAGE(OFFSET(E610,1-Inputs!$B$4,0,Inputs!$B$4,1)),"")</f>
        <v>0.868243705939599</v>
      </c>
      <c r="G610" s="8" t="n">
        <f aca="true">IF(ROW()-2&gt;=Inputs!$B$5,AVERAGE(OFFSET(E610,1-Inputs!$B$5,0,Inputs!$B$5,1)),"")</f>
        <v>0.864226070472887</v>
      </c>
      <c r="H610" s="8" t="n">
        <f aca="false">MAX(C610-D610,ABS(C610-E609),ABS(D610-E609))</f>
        <v>0.00860517949152095</v>
      </c>
      <c r="I610" s="8" t="n">
        <f aca="true">IF(ROW()-2&lt;14,"",IF(ROW()-2=14,AVERAGE(OFFSET(H610,-13,0,14,1)),(I609*13+H610)/14))</f>
        <v>0.00973501963139656</v>
      </c>
      <c r="J610" s="9" t="b">
        <f aca="false">IF(AND(ISNUMBER(F610),ISNUMBER(G610),ISNUMBER(F609),ISNUMBER(G609)),AND(F610&gt;G610,F609&lt;=G609),FALSE())</f>
        <v>0</v>
      </c>
      <c r="K610" s="9" t="b">
        <f aca="false">IF(AND(ISNUMBER(F610),ISNUMBER(G610),ISNUMBER(F609),ISNUMBER(G609)),AND(F610&lt;G610,F609&gt;=G609),FALSE())</f>
        <v>0</v>
      </c>
      <c r="L610" s="8" t="n">
        <f aca="false">IF(ISNUMBER(I610),E610-Inputs!$B$6*I610,"")</f>
        <v>0.854716329513514</v>
      </c>
      <c r="M610" s="9" t="b">
        <f aca="false">AND(Y609&gt;0,Z609)</f>
        <v>0</v>
      </c>
      <c r="N610" s="8" t="n">
        <f aca="false">B610*(1-Inputs!$B$12)</f>
        <v>0.875918242908767</v>
      </c>
      <c r="O610" s="10" t="n">
        <f aca="false">IF(M610,Y609*(N610-AB609)-Inputs!$B$9-Y609*AD609*Inputs!$B$13*(A610-AC609),0)</f>
        <v>0</v>
      </c>
      <c r="P610" s="10" t="n">
        <f aca="false">X609+O610</f>
        <v>1037.10316126448</v>
      </c>
      <c r="Q610" s="9" t="b">
        <f aca="false">AND(IF(M610,0,Y609)=0,AA609,IF(ISNUMBER(AE609),B610&gt;AE609,FALSE()))</f>
        <v>0</v>
      </c>
      <c r="R610" s="8" t="n">
        <f aca="false">B610*(1+Inputs!$B$12)</f>
        <v>0.876268680293408</v>
      </c>
      <c r="S610" s="11" t="n">
        <f aca="false">IF(Q610,MIN(P610*Inputs!$B$3/(R610-AE609),P610*Inputs!$B$11/R610),0)</f>
        <v>0</v>
      </c>
      <c r="T610" s="11" t="n">
        <f aca="false">IF(Q610,S610,IF(M610,0,Y609))</f>
        <v>0</v>
      </c>
      <c r="U610" s="8" t="n">
        <f aca="false">IF(Q610,AE609,AF609)</f>
        <v>0.850507391154866</v>
      </c>
      <c r="V610" s="9" t="b">
        <f aca="false">AND(T610&gt;0,D610&lt;=U610)</f>
        <v>0</v>
      </c>
      <c r="W610" s="10" t="n">
        <f aca="false">IF(V610,T610*(AK610-AB610)-Inputs!$B$9-T610*AD610*Inputs!$B$13*(A610-AC610),0)</f>
        <v>0</v>
      </c>
      <c r="X610" s="10" t="n">
        <f aca="false">P610-IF(Q610,Inputs!$B$9,0)+W610</f>
        <v>1037.10316126448</v>
      </c>
      <c r="Y610" s="11" t="n">
        <f aca="false">IF(V610,0,T610)</f>
        <v>0</v>
      </c>
      <c r="Z610" s="9" t="b">
        <f aca="false">AND(Y610&gt;0,K610)</f>
        <v>0</v>
      </c>
      <c r="AA610" s="9" t="b">
        <f aca="false">AND(Y610=0,J610,ISNUMBER(L610))</f>
        <v>0</v>
      </c>
      <c r="AB610" s="8" t="n">
        <f aca="false">IF(Q610,R610,AB609)</f>
        <v>0.868065965109487</v>
      </c>
      <c r="AC610" s="12" t="n">
        <f aca="false">IF(Q610,A610,AC609)</f>
        <v>45375</v>
      </c>
      <c r="AD610" s="8" t="n">
        <f aca="false">IF(Q610,B610,AD609)</f>
        <v>0.86789238663216</v>
      </c>
      <c r="AE610" s="8" t="str">
        <f aca="false">IF(AA610,L610,"")</f>
        <v/>
      </c>
      <c r="AF610" s="8" t="n">
        <f aca="false">U610</f>
        <v>0.850507391154866</v>
      </c>
      <c r="AG610" s="2" t="n">
        <f aca="false">AG609+IF(Q610,1,0)</f>
        <v>4</v>
      </c>
      <c r="AH610" s="2" t="n">
        <f aca="false">AG609</f>
        <v>4</v>
      </c>
      <c r="AI610" s="10" t="n">
        <f aca="false">X610+Y610*(E610-AB610)-Y610*AD610*Inputs!$B$13*(A610-AC610)</f>
        <v>1037.10316126448</v>
      </c>
      <c r="AJ610" s="10" t="n">
        <v>0</v>
      </c>
      <c r="AK610" s="8" t="n">
        <f aca="false">IF(AND(B610&lt;=U610,NOT(Q610)),B610,U610)*(1-Inputs!$B$12)</f>
        <v>0.850337289676635</v>
      </c>
    </row>
    <row r="611" customFormat="false" ht="15" hidden="false" customHeight="false" outlineLevel="0" collapsed="false">
      <c r="A611" s="6" t="n">
        <v>45395</v>
      </c>
      <c r="B611" s="7" t="n">
        <v>0.874186368776307</v>
      </c>
      <c r="C611" s="7" t="n">
        <v>0.876730491639545</v>
      </c>
      <c r="D611" s="7" t="n">
        <v>0.873956123874883</v>
      </c>
      <c r="E611" s="7" t="n">
        <v>0.874269784901557</v>
      </c>
      <c r="F611" s="8" t="n">
        <f aca="true">IF(ROW()-2&gt;=Inputs!$B$4,AVERAGE(OFFSET(E611,1-Inputs!$B$4,0,Inputs!$B$4,1)),"")</f>
        <v>0.868408041006377</v>
      </c>
      <c r="G611" s="8" t="n">
        <f aca="true">IF(ROW()-2&gt;=Inputs!$B$5,AVERAGE(OFFSET(E611,1-Inputs!$B$5,0,Inputs!$B$5,1)),"")</f>
        <v>0.864337971144418</v>
      </c>
      <c r="H611" s="8" t="n">
        <f aca="false">MAX(C611-D611,ABS(C611-E610),ABS(D611-E610))</f>
        <v>0.00277436776466167</v>
      </c>
      <c r="I611" s="8" t="n">
        <f aca="true">IF(ROW()-2&lt;14,"",IF(ROW()-2=14,AVERAGE(OFFSET(H611,-13,0,14,1)),(I610*13+H611)/14))</f>
        <v>0.00923783021234407</v>
      </c>
      <c r="J611" s="9" t="b">
        <f aca="false">IF(AND(ISNUMBER(F611),ISNUMBER(G611),ISNUMBER(F610),ISNUMBER(G610)),AND(F611&gt;G611,F610&lt;=G610),FALSE())</f>
        <v>0</v>
      </c>
      <c r="K611" s="9" t="b">
        <f aca="false">IF(AND(ISNUMBER(F611),ISNUMBER(G611),ISNUMBER(F610),ISNUMBER(G610)),AND(F611&lt;G611,F610&gt;=G610),FALSE())</f>
        <v>0</v>
      </c>
      <c r="L611" s="8" t="n">
        <f aca="false">IF(ISNUMBER(I611),E611-Inputs!$B$6*I611,"")</f>
        <v>0.855794124476869</v>
      </c>
      <c r="M611" s="9" t="b">
        <f aca="false">AND(Y610&gt;0,Z610)</f>
        <v>0</v>
      </c>
      <c r="N611" s="8" t="n">
        <f aca="false">B611*(1-Inputs!$B$12)</f>
        <v>0.874011531502552</v>
      </c>
      <c r="O611" s="10" t="n">
        <f aca="false">IF(M611,Y610*(N611-AB610)-Inputs!$B$9-Y610*AD610*Inputs!$B$13*(A611-AC610),0)</f>
        <v>0</v>
      </c>
      <c r="P611" s="10" t="n">
        <f aca="false">X610+O611</f>
        <v>1037.10316126448</v>
      </c>
      <c r="Q611" s="9" t="b">
        <f aca="false">AND(IF(M611,0,Y610)=0,AA610,IF(ISNUMBER(AE610),B611&gt;AE610,FALSE()))</f>
        <v>0</v>
      </c>
      <c r="R611" s="8" t="n">
        <f aca="false">B611*(1+Inputs!$B$12)</f>
        <v>0.874361206050063</v>
      </c>
      <c r="S611" s="11" t="n">
        <f aca="false">IF(Q611,MIN(P611*Inputs!$B$3/(R611-AE610),P611*Inputs!$B$11/R611),0)</f>
        <v>0</v>
      </c>
      <c r="T611" s="11" t="n">
        <f aca="false">IF(Q611,S611,IF(M611,0,Y610))</f>
        <v>0</v>
      </c>
      <c r="U611" s="8" t="n">
        <f aca="false">IF(Q611,AE610,AF610)</f>
        <v>0.850507391154866</v>
      </c>
      <c r="V611" s="9" t="b">
        <f aca="false">AND(T611&gt;0,D611&lt;=U611)</f>
        <v>0</v>
      </c>
      <c r="W611" s="10" t="n">
        <f aca="false">IF(V611,T611*(AK611-AB611)-Inputs!$B$9-T611*AD611*Inputs!$B$13*(A611-AC611),0)</f>
        <v>0</v>
      </c>
      <c r="X611" s="10" t="n">
        <f aca="false">P611-IF(Q611,Inputs!$B$9,0)+W611</f>
        <v>1037.10316126448</v>
      </c>
      <c r="Y611" s="11" t="n">
        <f aca="false">IF(V611,0,T611)</f>
        <v>0</v>
      </c>
      <c r="Z611" s="9" t="b">
        <f aca="false">AND(Y611&gt;0,K611)</f>
        <v>0</v>
      </c>
      <c r="AA611" s="9" t="b">
        <f aca="false">AND(Y611=0,J611,ISNUMBER(L611))</f>
        <v>0</v>
      </c>
      <c r="AB611" s="8" t="n">
        <f aca="false">IF(Q611,R611,AB610)</f>
        <v>0.868065965109487</v>
      </c>
      <c r="AC611" s="12" t="n">
        <f aca="false">IF(Q611,A611,AC610)</f>
        <v>45375</v>
      </c>
      <c r="AD611" s="8" t="n">
        <f aca="false">IF(Q611,B611,AD610)</f>
        <v>0.86789238663216</v>
      </c>
      <c r="AE611" s="8" t="str">
        <f aca="false">IF(AA611,L611,"")</f>
        <v/>
      </c>
      <c r="AF611" s="8" t="n">
        <f aca="false">U611</f>
        <v>0.850507391154866</v>
      </c>
      <c r="AG611" s="2" t="n">
        <f aca="false">AG610+IF(Q611,1,0)</f>
        <v>4</v>
      </c>
      <c r="AH611" s="2" t="n">
        <f aca="false">AG610</f>
        <v>4</v>
      </c>
      <c r="AI611" s="10" t="n">
        <f aca="false">X611+Y611*(E611-AB611)-Y611*AD611*Inputs!$B$13*(A611-AC611)</f>
        <v>1037.10316126448</v>
      </c>
      <c r="AJ611" s="10" t="n">
        <v>0</v>
      </c>
      <c r="AK611" s="8" t="n">
        <f aca="false">IF(AND(B611&lt;=U611,NOT(Q611)),B611,U611)*(1-Inputs!$B$12)</f>
        <v>0.850337289676635</v>
      </c>
    </row>
    <row r="612" customFormat="false" ht="15" hidden="false" customHeight="false" outlineLevel="0" collapsed="false">
      <c r="A612" s="6" t="n">
        <v>45396</v>
      </c>
      <c r="B612" s="7" t="n">
        <v>0.874269784901557</v>
      </c>
      <c r="C612" s="7" t="n">
        <v>0.879628303209727</v>
      </c>
      <c r="D612" s="7" t="n">
        <v>0.870814637460303</v>
      </c>
      <c r="E612" s="7" t="n">
        <v>0.87521130932443</v>
      </c>
      <c r="F612" s="8" t="n">
        <f aca="true">IF(ROW()-2&gt;=Inputs!$B$4,AVERAGE(OFFSET(E612,1-Inputs!$B$4,0,Inputs!$B$4,1)),"")</f>
        <v>0.868510211065464</v>
      </c>
      <c r="G612" s="8" t="n">
        <f aca="true">IF(ROW()-2&gt;=Inputs!$B$5,AVERAGE(OFFSET(E612,1-Inputs!$B$5,0,Inputs!$B$5,1)),"")</f>
        <v>0.864566874752671</v>
      </c>
      <c r="H612" s="8" t="n">
        <f aca="false">MAX(C612-D612,ABS(C612-E611),ABS(D612-E611))</f>
        <v>0.00881366574942433</v>
      </c>
      <c r="I612" s="8" t="n">
        <f aca="true">IF(ROW()-2&lt;14,"",IF(ROW()-2=14,AVERAGE(OFFSET(H612,-13,0,14,1)),(I611*13+H612)/14))</f>
        <v>0.00920753275070695</v>
      </c>
      <c r="J612" s="9" t="b">
        <f aca="false">IF(AND(ISNUMBER(F612),ISNUMBER(G612),ISNUMBER(F611),ISNUMBER(G611)),AND(F612&gt;G612,F611&lt;=G611),FALSE())</f>
        <v>0</v>
      </c>
      <c r="K612" s="9" t="b">
        <f aca="false">IF(AND(ISNUMBER(F612),ISNUMBER(G612),ISNUMBER(F611),ISNUMBER(G611)),AND(F612&lt;G612,F611&gt;=G611),FALSE())</f>
        <v>0</v>
      </c>
      <c r="L612" s="8" t="n">
        <f aca="false">IF(ISNUMBER(I612),E612-Inputs!$B$6*I612,"")</f>
        <v>0.856796243823016</v>
      </c>
      <c r="M612" s="9" t="b">
        <f aca="false">AND(Y611&gt;0,Z611)</f>
        <v>0</v>
      </c>
      <c r="N612" s="8" t="n">
        <f aca="false">B612*(1-Inputs!$B$12)</f>
        <v>0.874094930944577</v>
      </c>
      <c r="O612" s="10" t="n">
        <f aca="false">IF(M612,Y611*(N612-AB611)-Inputs!$B$9-Y611*AD611*Inputs!$B$13*(A612-AC611),0)</f>
        <v>0</v>
      </c>
      <c r="P612" s="10" t="n">
        <f aca="false">X611+O612</f>
        <v>1037.10316126448</v>
      </c>
      <c r="Q612" s="9" t="b">
        <f aca="false">AND(IF(M612,0,Y611)=0,AA611,IF(ISNUMBER(AE611),B612&gt;AE611,FALSE()))</f>
        <v>0</v>
      </c>
      <c r="R612" s="8" t="n">
        <f aca="false">B612*(1+Inputs!$B$12)</f>
        <v>0.874444638858537</v>
      </c>
      <c r="S612" s="11" t="n">
        <f aca="false">IF(Q612,MIN(P612*Inputs!$B$3/(R612-AE611),P612*Inputs!$B$11/R612),0)</f>
        <v>0</v>
      </c>
      <c r="T612" s="11" t="n">
        <f aca="false">IF(Q612,S612,IF(M612,0,Y611))</f>
        <v>0</v>
      </c>
      <c r="U612" s="8" t="n">
        <f aca="false">IF(Q612,AE611,AF611)</f>
        <v>0.850507391154866</v>
      </c>
      <c r="V612" s="9" t="b">
        <f aca="false">AND(T612&gt;0,D612&lt;=U612)</f>
        <v>0</v>
      </c>
      <c r="W612" s="10" t="n">
        <f aca="false">IF(V612,T612*(AK612-AB612)-Inputs!$B$9-T612*AD612*Inputs!$B$13*(A612-AC612),0)</f>
        <v>0</v>
      </c>
      <c r="X612" s="10" t="n">
        <f aca="false">P612-IF(Q612,Inputs!$B$9,0)+W612</f>
        <v>1037.10316126448</v>
      </c>
      <c r="Y612" s="11" t="n">
        <f aca="false">IF(V612,0,T612)</f>
        <v>0</v>
      </c>
      <c r="Z612" s="9" t="b">
        <f aca="false">AND(Y612&gt;0,K612)</f>
        <v>0</v>
      </c>
      <c r="AA612" s="9" t="b">
        <f aca="false">AND(Y612=0,J612,ISNUMBER(L612))</f>
        <v>0</v>
      </c>
      <c r="AB612" s="8" t="n">
        <f aca="false">IF(Q612,R612,AB611)</f>
        <v>0.868065965109487</v>
      </c>
      <c r="AC612" s="12" t="n">
        <f aca="false">IF(Q612,A612,AC611)</f>
        <v>45375</v>
      </c>
      <c r="AD612" s="8" t="n">
        <f aca="false">IF(Q612,B612,AD611)</f>
        <v>0.86789238663216</v>
      </c>
      <c r="AE612" s="8" t="str">
        <f aca="false">IF(AA612,L612,"")</f>
        <v/>
      </c>
      <c r="AF612" s="8" t="n">
        <f aca="false">U612</f>
        <v>0.850507391154866</v>
      </c>
      <c r="AG612" s="2" t="n">
        <f aca="false">AG611+IF(Q612,1,0)</f>
        <v>4</v>
      </c>
      <c r="AH612" s="2" t="n">
        <f aca="false">AG611</f>
        <v>4</v>
      </c>
      <c r="AI612" s="10" t="n">
        <f aca="false">X612+Y612*(E612-AB612)-Y612*AD612*Inputs!$B$13*(A612-AC612)</f>
        <v>1037.10316126448</v>
      </c>
      <c r="AJ612" s="10" t="n">
        <v>0</v>
      </c>
      <c r="AK612" s="8" t="n">
        <f aca="false">IF(AND(B612&lt;=U612,NOT(Q612)),B612,U612)*(1-Inputs!$B$12)</f>
        <v>0.850337289676635</v>
      </c>
    </row>
    <row r="613" customFormat="false" ht="15" hidden="false" customHeight="false" outlineLevel="0" collapsed="false">
      <c r="A613" s="6" t="n">
        <v>45397</v>
      </c>
      <c r="B613" s="7" t="n">
        <v>0.87521130932443</v>
      </c>
      <c r="C613" s="7" t="n">
        <v>0.880801488860896</v>
      </c>
      <c r="D613" s="7" t="n">
        <v>0.872655739909959</v>
      </c>
      <c r="E613" s="7" t="n">
        <v>0.879888363954479</v>
      </c>
      <c r="F613" s="8" t="n">
        <f aca="true">IF(ROW()-2&gt;=Inputs!$B$4,AVERAGE(OFFSET(E613,1-Inputs!$B$4,0,Inputs!$B$4,1)),"")</f>
        <v>0.868264271474704</v>
      </c>
      <c r="G613" s="8" t="n">
        <f aca="true">IF(ROW()-2&gt;=Inputs!$B$5,AVERAGE(OFFSET(E613,1-Inputs!$B$5,0,Inputs!$B$5,1)),"")</f>
        <v>0.864971484146211</v>
      </c>
      <c r="H613" s="8" t="n">
        <f aca="false">MAX(C613-D613,ABS(C613-E612),ABS(D613-E612))</f>
        <v>0.00814574895093734</v>
      </c>
      <c r="I613" s="8" t="n">
        <f aca="true">IF(ROW()-2&lt;14,"",IF(ROW()-2=14,AVERAGE(OFFSET(H613,-13,0,14,1)),(I612*13+H613)/14))</f>
        <v>0.0091316910507234</v>
      </c>
      <c r="J613" s="9" t="b">
        <f aca="false">IF(AND(ISNUMBER(F613),ISNUMBER(G613),ISNUMBER(F612),ISNUMBER(G612)),AND(F613&gt;G613,F612&lt;=G612),FALSE())</f>
        <v>0</v>
      </c>
      <c r="K613" s="9" t="b">
        <f aca="false">IF(AND(ISNUMBER(F613),ISNUMBER(G613),ISNUMBER(F612),ISNUMBER(G612)),AND(F613&lt;G613,F612&gt;=G612),FALSE())</f>
        <v>0</v>
      </c>
      <c r="L613" s="8" t="n">
        <f aca="false">IF(ISNUMBER(I613),E613-Inputs!$B$6*I613,"")</f>
        <v>0.861624981853032</v>
      </c>
      <c r="M613" s="9" t="b">
        <f aca="false">AND(Y612&gt;0,Z612)</f>
        <v>0</v>
      </c>
      <c r="N613" s="8" t="n">
        <f aca="false">B613*(1-Inputs!$B$12)</f>
        <v>0.875036267062565</v>
      </c>
      <c r="O613" s="10" t="n">
        <f aca="false">IF(M613,Y612*(N613-AB612)-Inputs!$B$9-Y612*AD612*Inputs!$B$13*(A613-AC612),0)</f>
        <v>0</v>
      </c>
      <c r="P613" s="10" t="n">
        <f aca="false">X612+O613</f>
        <v>1037.10316126448</v>
      </c>
      <c r="Q613" s="9" t="b">
        <f aca="false">AND(IF(M613,0,Y612)=0,AA612,IF(ISNUMBER(AE612),B613&gt;AE612,FALSE()))</f>
        <v>0</v>
      </c>
      <c r="R613" s="8" t="n">
        <f aca="false">B613*(1+Inputs!$B$12)</f>
        <v>0.875386351586295</v>
      </c>
      <c r="S613" s="11" t="n">
        <f aca="false">IF(Q613,MIN(P613*Inputs!$B$3/(R613-AE612),P613*Inputs!$B$11/R613),0)</f>
        <v>0</v>
      </c>
      <c r="T613" s="11" t="n">
        <f aca="false">IF(Q613,S613,IF(M613,0,Y612))</f>
        <v>0</v>
      </c>
      <c r="U613" s="8" t="n">
        <f aca="false">IF(Q613,AE612,AF612)</f>
        <v>0.850507391154866</v>
      </c>
      <c r="V613" s="9" t="b">
        <f aca="false">AND(T613&gt;0,D613&lt;=U613)</f>
        <v>0</v>
      </c>
      <c r="W613" s="10" t="n">
        <f aca="false">IF(V613,T613*(AK613-AB613)-Inputs!$B$9-T613*AD613*Inputs!$B$13*(A613-AC613),0)</f>
        <v>0</v>
      </c>
      <c r="X613" s="10" t="n">
        <f aca="false">P613-IF(Q613,Inputs!$B$9,0)+W613</f>
        <v>1037.10316126448</v>
      </c>
      <c r="Y613" s="11" t="n">
        <f aca="false">IF(V613,0,T613)</f>
        <v>0</v>
      </c>
      <c r="Z613" s="9" t="b">
        <f aca="false">AND(Y613&gt;0,K613)</f>
        <v>0</v>
      </c>
      <c r="AA613" s="9" t="b">
        <f aca="false">AND(Y613=0,J613,ISNUMBER(L613))</f>
        <v>0</v>
      </c>
      <c r="AB613" s="8" t="n">
        <f aca="false">IF(Q613,R613,AB612)</f>
        <v>0.868065965109487</v>
      </c>
      <c r="AC613" s="12" t="n">
        <f aca="false">IF(Q613,A613,AC612)</f>
        <v>45375</v>
      </c>
      <c r="AD613" s="8" t="n">
        <f aca="false">IF(Q613,B613,AD612)</f>
        <v>0.86789238663216</v>
      </c>
      <c r="AE613" s="8" t="str">
        <f aca="false">IF(AA613,L613,"")</f>
        <v/>
      </c>
      <c r="AF613" s="8" t="n">
        <f aca="false">U613</f>
        <v>0.850507391154866</v>
      </c>
      <c r="AG613" s="2" t="n">
        <f aca="false">AG612+IF(Q613,1,0)</f>
        <v>4</v>
      </c>
      <c r="AH613" s="2" t="n">
        <f aca="false">AG612</f>
        <v>4</v>
      </c>
      <c r="AI613" s="10" t="n">
        <f aca="false">X613+Y613*(E613-AB613)-Y613*AD613*Inputs!$B$13*(A613-AC613)</f>
        <v>1037.10316126448</v>
      </c>
      <c r="AJ613" s="10" t="n">
        <v>0</v>
      </c>
      <c r="AK613" s="8" t="n">
        <f aca="false">IF(AND(B613&lt;=U613,NOT(Q613)),B613,U613)*(1-Inputs!$B$12)</f>
        <v>0.850337289676635</v>
      </c>
    </row>
    <row r="614" customFormat="false" ht="15" hidden="false" customHeight="false" outlineLevel="0" collapsed="false">
      <c r="A614" s="6" t="n">
        <v>45398</v>
      </c>
      <c r="B614" s="7" t="n">
        <v>0.879888363954479</v>
      </c>
      <c r="C614" s="7" t="n">
        <v>0.883946517888623</v>
      </c>
      <c r="D614" s="7" t="n">
        <v>0.875326277864626</v>
      </c>
      <c r="E614" s="7" t="n">
        <v>0.878243327394009</v>
      </c>
      <c r="F614" s="8" t="n">
        <f aca="true">IF(ROW()-2&gt;=Inputs!$B$4,AVERAGE(OFFSET(E614,1-Inputs!$B$4,0,Inputs!$B$4,1)),"")</f>
        <v>0.868078578548363</v>
      </c>
      <c r="G614" s="8" t="n">
        <f aca="true">IF(ROW()-2&gt;=Inputs!$B$5,AVERAGE(OFFSET(E614,1-Inputs!$B$5,0,Inputs!$B$5,1)),"")</f>
        <v>0.865371803540737</v>
      </c>
      <c r="H614" s="8" t="n">
        <f aca="false">MAX(C614-D614,ABS(C614-E613),ABS(D614-E613))</f>
        <v>0.00862024002399731</v>
      </c>
      <c r="I614" s="8" t="n">
        <f aca="true">IF(ROW()-2&lt;14,"",IF(ROW()-2=14,AVERAGE(OFFSET(H614,-13,0,14,1)),(I613*13+H614)/14))</f>
        <v>0.00909515883452868</v>
      </c>
      <c r="J614" s="9" t="b">
        <f aca="false">IF(AND(ISNUMBER(F614),ISNUMBER(G614),ISNUMBER(F613),ISNUMBER(G613)),AND(F614&gt;G614,F613&lt;=G613),FALSE())</f>
        <v>0</v>
      </c>
      <c r="K614" s="9" t="b">
        <f aca="false">IF(AND(ISNUMBER(F614),ISNUMBER(G614),ISNUMBER(F613),ISNUMBER(G613)),AND(F614&lt;G614,F613&gt;=G613),FALSE())</f>
        <v>0</v>
      </c>
      <c r="L614" s="8" t="n">
        <f aca="false">IF(ISNUMBER(I614),E614-Inputs!$B$6*I614,"")</f>
        <v>0.860053009724951</v>
      </c>
      <c r="M614" s="9" t="b">
        <f aca="false">AND(Y613&gt;0,Z613)</f>
        <v>0</v>
      </c>
      <c r="N614" s="8" t="n">
        <f aca="false">B614*(1-Inputs!$B$12)</f>
        <v>0.879712386281688</v>
      </c>
      <c r="O614" s="10" t="n">
        <f aca="false">IF(M614,Y613*(N614-AB613)-Inputs!$B$9-Y613*AD613*Inputs!$B$13*(A614-AC613),0)</f>
        <v>0</v>
      </c>
      <c r="P614" s="10" t="n">
        <f aca="false">X613+O614</f>
        <v>1037.10316126448</v>
      </c>
      <c r="Q614" s="9" t="b">
        <f aca="false">AND(IF(M614,0,Y613)=0,AA613,IF(ISNUMBER(AE613),B614&gt;AE613,FALSE()))</f>
        <v>0</v>
      </c>
      <c r="R614" s="8" t="n">
        <f aca="false">B614*(1+Inputs!$B$12)</f>
        <v>0.880064341627269</v>
      </c>
      <c r="S614" s="11" t="n">
        <f aca="false">IF(Q614,MIN(P614*Inputs!$B$3/(R614-AE613),P614*Inputs!$B$11/R614),0)</f>
        <v>0</v>
      </c>
      <c r="T614" s="11" t="n">
        <f aca="false">IF(Q614,S614,IF(M614,0,Y613))</f>
        <v>0</v>
      </c>
      <c r="U614" s="8" t="n">
        <f aca="false">IF(Q614,AE613,AF613)</f>
        <v>0.850507391154866</v>
      </c>
      <c r="V614" s="9" t="b">
        <f aca="false">AND(T614&gt;0,D614&lt;=U614)</f>
        <v>0</v>
      </c>
      <c r="W614" s="10" t="n">
        <f aca="false">IF(V614,T614*(AK614-AB614)-Inputs!$B$9-T614*AD614*Inputs!$B$13*(A614-AC614),0)</f>
        <v>0</v>
      </c>
      <c r="X614" s="10" t="n">
        <f aca="false">P614-IF(Q614,Inputs!$B$9,0)+W614</f>
        <v>1037.10316126448</v>
      </c>
      <c r="Y614" s="11" t="n">
        <f aca="false">IF(V614,0,T614)</f>
        <v>0</v>
      </c>
      <c r="Z614" s="9" t="b">
        <f aca="false">AND(Y614&gt;0,K614)</f>
        <v>0</v>
      </c>
      <c r="AA614" s="9" t="b">
        <f aca="false">AND(Y614=0,J614,ISNUMBER(L614))</f>
        <v>0</v>
      </c>
      <c r="AB614" s="8" t="n">
        <f aca="false">IF(Q614,R614,AB613)</f>
        <v>0.868065965109487</v>
      </c>
      <c r="AC614" s="12" t="n">
        <f aca="false">IF(Q614,A614,AC613)</f>
        <v>45375</v>
      </c>
      <c r="AD614" s="8" t="n">
        <f aca="false">IF(Q614,B614,AD613)</f>
        <v>0.86789238663216</v>
      </c>
      <c r="AE614" s="8" t="str">
        <f aca="false">IF(AA614,L614,"")</f>
        <v/>
      </c>
      <c r="AF614" s="8" t="n">
        <f aca="false">U614</f>
        <v>0.850507391154866</v>
      </c>
      <c r="AG614" s="2" t="n">
        <f aca="false">AG613+IF(Q614,1,0)</f>
        <v>4</v>
      </c>
      <c r="AH614" s="2" t="n">
        <f aca="false">AG613</f>
        <v>4</v>
      </c>
      <c r="AI614" s="10" t="n">
        <f aca="false">X614+Y614*(E614-AB614)-Y614*AD614*Inputs!$B$13*(A614-AC614)</f>
        <v>1037.10316126448</v>
      </c>
      <c r="AJ614" s="10" t="n">
        <v>0</v>
      </c>
      <c r="AK614" s="8" t="n">
        <f aca="false">IF(AND(B614&lt;=U614,NOT(Q614)),B614,U614)*(1-Inputs!$B$12)</f>
        <v>0.850337289676635</v>
      </c>
    </row>
    <row r="615" customFormat="false" ht="15" hidden="false" customHeight="false" outlineLevel="0" collapsed="false">
      <c r="A615" s="6" t="n">
        <v>45399</v>
      </c>
      <c r="B615" s="7" t="n">
        <v>0.878243327394009</v>
      </c>
      <c r="C615" s="7" t="n">
        <v>0.87838819720237</v>
      </c>
      <c r="D615" s="7" t="n">
        <v>0.873804287784733</v>
      </c>
      <c r="E615" s="7" t="n">
        <v>0.874160385775174</v>
      </c>
      <c r="F615" s="8" t="n">
        <f aca="true">IF(ROW()-2&gt;=Inputs!$B$4,AVERAGE(OFFSET(E615,1-Inputs!$B$4,0,Inputs!$B$4,1)),"")</f>
        <v>0.868119520792866</v>
      </c>
      <c r="G615" s="8" t="n">
        <f aca="true">IF(ROW()-2&gt;=Inputs!$B$5,AVERAGE(OFFSET(E615,1-Inputs!$B$5,0,Inputs!$B$5,1)),"")</f>
        <v>0.865669509031708</v>
      </c>
      <c r="H615" s="8" t="n">
        <f aca="false">MAX(C615-D615,ABS(C615-E614),ABS(D615-E614))</f>
        <v>0.00458390941763642</v>
      </c>
      <c r="I615" s="8" t="n">
        <f aca="true">IF(ROW()-2&lt;14,"",IF(ROW()-2=14,AVERAGE(OFFSET(H615,-13,0,14,1)),(I614*13+H615)/14))</f>
        <v>0.00877292673332209</v>
      </c>
      <c r="J615" s="9" t="b">
        <f aca="false">IF(AND(ISNUMBER(F615),ISNUMBER(G615),ISNUMBER(F614),ISNUMBER(G614)),AND(F615&gt;G615,F614&lt;=G614),FALSE())</f>
        <v>0</v>
      </c>
      <c r="K615" s="9" t="b">
        <f aca="false">IF(AND(ISNUMBER(F615),ISNUMBER(G615),ISNUMBER(F614),ISNUMBER(G614)),AND(F615&lt;G615,F614&gt;=G614),FALSE())</f>
        <v>0</v>
      </c>
      <c r="L615" s="8" t="n">
        <f aca="false">IF(ISNUMBER(I615),E615-Inputs!$B$6*I615,"")</f>
        <v>0.85661453230853</v>
      </c>
      <c r="M615" s="9" t="b">
        <f aca="false">AND(Y614&gt;0,Z614)</f>
        <v>0</v>
      </c>
      <c r="N615" s="8" t="n">
        <f aca="false">B615*(1-Inputs!$B$12)</f>
        <v>0.87806767872853</v>
      </c>
      <c r="O615" s="10" t="n">
        <f aca="false">IF(M615,Y614*(N615-AB614)-Inputs!$B$9-Y614*AD614*Inputs!$B$13*(A615-AC614),0)</f>
        <v>0</v>
      </c>
      <c r="P615" s="10" t="n">
        <f aca="false">X614+O615</f>
        <v>1037.10316126448</v>
      </c>
      <c r="Q615" s="9" t="b">
        <f aca="false">AND(IF(M615,0,Y614)=0,AA614,IF(ISNUMBER(AE614),B615&gt;AE614,FALSE()))</f>
        <v>0</v>
      </c>
      <c r="R615" s="8" t="n">
        <f aca="false">B615*(1+Inputs!$B$12)</f>
        <v>0.878418976059488</v>
      </c>
      <c r="S615" s="11" t="n">
        <f aca="false">IF(Q615,MIN(P615*Inputs!$B$3/(R615-AE614),P615*Inputs!$B$11/R615),0)</f>
        <v>0</v>
      </c>
      <c r="T615" s="11" t="n">
        <f aca="false">IF(Q615,S615,IF(M615,0,Y614))</f>
        <v>0</v>
      </c>
      <c r="U615" s="8" t="n">
        <f aca="false">IF(Q615,AE614,AF614)</f>
        <v>0.850507391154866</v>
      </c>
      <c r="V615" s="9" t="b">
        <f aca="false">AND(T615&gt;0,D615&lt;=U615)</f>
        <v>0</v>
      </c>
      <c r="W615" s="10" t="n">
        <f aca="false">IF(V615,T615*(AK615-AB615)-Inputs!$B$9-T615*AD615*Inputs!$B$13*(A615-AC615),0)</f>
        <v>0</v>
      </c>
      <c r="X615" s="10" t="n">
        <f aca="false">P615-IF(Q615,Inputs!$B$9,0)+W615</f>
        <v>1037.10316126448</v>
      </c>
      <c r="Y615" s="11" t="n">
        <f aca="false">IF(V615,0,T615)</f>
        <v>0</v>
      </c>
      <c r="Z615" s="9" t="b">
        <f aca="false">AND(Y615&gt;0,K615)</f>
        <v>0</v>
      </c>
      <c r="AA615" s="9" t="b">
        <f aca="false">AND(Y615=0,J615,ISNUMBER(L615))</f>
        <v>0</v>
      </c>
      <c r="AB615" s="8" t="n">
        <f aca="false">IF(Q615,R615,AB614)</f>
        <v>0.868065965109487</v>
      </c>
      <c r="AC615" s="12" t="n">
        <f aca="false">IF(Q615,A615,AC614)</f>
        <v>45375</v>
      </c>
      <c r="AD615" s="8" t="n">
        <f aca="false">IF(Q615,B615,AD614)</f>
        <v>0.86789238663216</v>
      </c>
      <c r="AE615" s="8" t="str">
        <f aca="false">IF(AA615,L615,"")</f>
        <v/>
      </c>
      <c r="AF615" s="8" t="n">
        <f aca="false">U615</f>
        <v>0.850507391154866</v>
      </c>
      <c r="AG615" s="2" t="n">
        <f aca="false">AG614+IF(Q615,1,0)</f>
        <v>4</v>
      </c>
      <c r="AH615" s="2" t="n">
        <f aca="false">AG614</f>
        <v>4</v>
      </c>
      <c r="AI615" s="10" t="n">
        <f aca="false">X615+Y615*(E615-AB615)-Y615*AD615*Inputs!$B$13*(A615-AC615)</f>
        <v>1037.10316126448</v>
      </c>
      <c r="AJ615" s="10" t="n">
        <v>0</v>
      </c>
      <c r="AK615" s="8" t="n">
        <f aca="false">IF(AND(B615&lt;=U615,NOT(Q615)),B615,U615)*(1-Inputs!$B$12)</f>
        <v>0.850337289676635</v>
      </c>
    </row>
    <row r="616" customFormat="false" ht="15" hidden="false" customHeight="false" outlineLevel="0" collapsed="false">
      <c r="A616" s="6" t="n">
        <v>45400</v>
      </c>
      <c r="B616" s="7" t="n">
        <v>0.874160385775174</v>
      </c>
      <c r="C616" s="7" t="n">
        <v>0.888726827572654</v>
      </c>
      <c r="D616" s="7" t="n">
        <v>0.874052596213658</v>
      </c>
      <c r="E616" s="7" t="n">
        <v>0.886789359050887</v>
      </c>
      <c r="F616" s="8" t="n">
        <f aca="true">IF(ROW()-2&gt;=Inputs!$B$4,AVERAGE(OFFSET(E616,1-Inputs!$B$4,0,Inputs!$B$4,1)),"")</f>
        <v>0.868913547183148</v>
      </c>
      <c r="G616" s="8" t="n">
        <f aca="true">IF(ROW()-2&gt;=Inputs!$B$5,AVERAGE(OFFSET(E616,1-Inputs!$B$5,0,Inputs!$B$5,1)),"")</f>
        <v>0.866106859744975</v>
      </c>
      <c r="H616" s="8" t="n">
        <f aca="false">MAX(C616-D616,ABS(C616-E615),ABS(D616-E615))</f>
        <v>0.014674231358996</v>
      </c>
      <c r="I616" s="8" t="n">
        <f aca="true">IF(ROW()-2&lt;14,"",IF(ROW()-2=14,AVERAGE(OFFSET(H616,-13,0,14,1)),(I615*13+H616)/14))</f>
        <v>0.0091944484922988</v>
      </c>
      <c r="J616" s="9" t="b">
        <f aca="false">IF(AND(ISNUMBER(F616),ISNUMBER(G616),ISNUMBER(F615),ISNUMBER(G615)),AND(F616&gt;G616,F615&lt;=G615),FALSE())</f>
        <v>0</v>
      </c>
      <c r="K616" s="9" t="b">
        <f aca="false">IF(AND(ISNUMBER(F616),ISNUMBER(G616),ISNUMBER(F615),ISNUMBER(G615)),AND(F616&lt;G616,F615&gt;=G615),FALSE())</f>
        <v>0</v>
      </c>
      <c r="L616" s="8" t="n">
        <f aca="false">IF(ISNUMBER(I616),E616-Inputs!$B$6*I616,"")</f>
        <v>0.868400462066289</v>
      </c>
      <c r="M616" s="9" t="b">
        <f aca="false">AND(Y615&gt;0,Z615)</f>
        <v>0</v>
      </c>
      <c r="N616" s="8" t="n">
        <f aca="false">B616*(1-Inputs!$B$12)</f>
        <v>0.873985553698019</v>
      </c>
      <c r="O616" s="10" t="n">
        <f aca="false">IF(M616,Y615*(N616-AB615)-Inputs!$B$9-Y615*AD615*Inputs!$B$13*(A616-AC615),0)</f>
        <v>0</v>
      </c>
      <c r="P616" s="10" t="n">
        <f aca="false">X615+O616</f>
        <v>1037.10316126448</v>
      </c>
      <c r="Q616" s="9" t="b">
        <f aca="false">AND(IF(M616,0,Y615)=0,AA615,IF(ISNUMBER(AE615),B616&gt;AE615,FALSE()))</f>
        <v>0</v>
      </c>
      <c r="R616" s="8" t="n">
        <f aca="false">B616*(1+Inputs!$B$12)</f>
        <v>0.874335217852329</v>
      </c>
      <c r="S616" s="11" t="n">
        <f aca="false">IF(Q616,MIN(P616*Inputs!$B$3/(R616-AE615),P616*Inputs!$B$11/R616),0)</f>
        <v>0</v>
      </c>
      <c r="T616" s="11" t="n">
        <f aca="false">IF(Q616,S616,IF(M616,0,Y615))</f>
        <v>0</v>
      </c>
      <c r="U616" s="8" t="n">
        <f aca="false">IF(Q616,AE615,AF615)</f>
        <v>0.850507391154866</v>
      </c>
      <c r="V616" s="9" t="b">
        <f aca="false">AND(T616&gt;0,D616&lt;=U616)</f>
        <v>0</v>
      </c>
      <c r="W616" s="10" t="n">
        <f aca="false">IF(V616,T616*(AK616-AB616)-Inputs!$B$9-T616*AD616*Inputs!$B$13*(A616-AC616),0)</f>
        <v>0</v>
      </c>
      <c r="X616" s="10" t="n">
        <f aca="false">P616-IF(Q616,Inputs!$B$9,0)+W616</f>
        <v>1037.10316126448</v>
      </c>
      <c r="Y616" s="11" t="n">
        <f aca="false">IF(V616,0,T616)</f>
        <v>0</v>
      </c>
      <c r="Z616" s="9" t="b">
        <f aca="false">AND(Y616&gt;0,K616)</f>
        <v>0</v>
      </c>
      <c r="AA616" s="9" t="b">
        <f aca="false">AND(Y616=0,J616,ISNUMBER(L616))</f>
        <v>0</v>
      </c>
      <c r="AB616" s="8" t="n">
        <f aca="false">IF(Q616,R616,AB615)</f>
        <v>0.868065965109487</v>
      </c>
      <c r="AC616" s="12" t="n">
        <f aca="false">IF(Q616,A616,AC615)</f>
        <v>45375</v>
      </c>
      <c r="AD616" s="8" t="n">
        <f aca="false">IF(Q616,B616,AD615)</f>
        <v>0.86789238663216</v>
      </c>
      <c r="AE616" s="8" t="str">
        <f aca="false">IF(AA616,L616,"")</f>
        <v/>
      </c>
      <c r="AF616" s="8" t="n">
        <f aca="false">U616</f>
        <v>0.850507391154866</v>
      </c>
      <c r="AG616" s="2" t="n">
        <f aca="false">AG615+IF(Q616,1,0)</f>
        <v>4</v>
      </c>
      <c r="AH616" s="2" t="n">
        <f aca="false">AG615</f>
        <v>4</v>
      </c>
      <c r="AI616" s="10" t="n">
        <f aca="false">X616+Y616*(E616-AB616)-Y616*AD616*Inputs!$B$13*(A616-AC616)</f>
        <v>1037.10316126448</v>
      </c>
      <c r="AJ616" s="10" t="n">
        <v>0</v>
      </c>
      <c r="AK616" s="8" t="n">
        <f aca="false">IF(AND(B616&lt;=U616,NOT(Q616)),B616,U616)*(1-Inputs!$B$12)</f>
        <v>0.850337289676635</v>
      </c>
    </row>
    <row r="617" customFormat="false" ht="15" hidden="false" customHeight="false" outlineLevel="0" collapsed="false">
      <c r="A617" s="6" t="n">
        <v>45401</v>
      </c>
      <c r="B617" s="7" t="n">
        <v>0.886789359050887</v>
      </c>
      <c r="C617" s="7" t="n">
        <v>0.889562098779029</v>
      </c>
      <c r="D617" s="7" t="n">
        <v>0.880687610726595</v>
      </c>
      <c r="E617" s="7" t="n">
        <v>0.885774296601654</v>
      </c>
      <c r="F617" s="8" t="n">
        <f aca="true">IF(ROW()-2&gt;=Inputs!$B$4,AVERAGE(OFFSET(E617,1-Inputs!$B$4,0,Inputs!$B$4,1)),"")</f>
        <v>0.869935761844809</v>
      </c>
      <c r="G617" s="8" t="n">
        <f aca="true">IF(ROW()-2&gt;=Inputs!$B$5,AVERAGE(OFFSET(E617,1-Inputs!$B$5,0,Inputs!$B$5,1)),"")</f>
        <v>0.866711432657702</v>
      </c>
      <c r="H617" s="8" t="n">
        <f aca="false">MAX(C617-D617,ABS(C617-E616),ABS(D617-E616))</f>
        <v>0.00887448805243352</v>
      </c>
      <c r="I617" s="8" t="n">
        <f aca="true">IF(ROW()-2&lt;14,"",IF(ROW()-2=14,AVERAGE(OFFSET(H617,-13,0,14,1)),(I616*13+H617)/14))</f>
        <v>0.00917159417516557</v>
      </c>
      <c r="J617" s="9" t="b">
        <f aca="false">IF(AND(ISNUMBER(F617),ISNUMBER(G617),ISNUMBER(F616),ISNUMBER(G616)),AND(F617&gt;G617,F616&lt;=G616),FALSE())</f>
        <v>0</v>
      </c>
      <c r="K617" s="9" t="b">
        <f aca="false">IF(AND(ISNUMBER(F617),ISNUMBER(G617),ISNUMBER(F616),ISNUMBER(G616)),AND(F617&lt;G617,F616&gt;=G616),FALSE())</f>
        <v>0</v>
      </c>
      <c r="L617" s="8" t="n">
        <f aca="false">IF(ISNUMBER(I617),E617-Inputs!$B$6*I617,"")</f>
        <v>0.867431108251323</v>
      </c>
      <c r="M617" s="9" t="b">
        <f aca="false">AND(Y616&gt;0,Z616)</f>
        <v>0</v>
      </c>
      <c r="N617" s="8" t="n">
        <f aca="false">B617*(1-Inputs!$B$12)</f>
        <v>0.886612001179076</v>
      </c>
      <c r="O617" s="10" t="n">
        <f aca="false">IF(M617,Y616*(N617-AB616)-Inputs!$B$9-Y616*AD616*Inputs!$B$13*(A617-AC616),0)</f>
        <v>0</v>
      </c>
      <c r="P617" s="10" t="n">
        <f aca="false">X616+O617</f>
        <v>1037.10316126448</v>
      </c>
      <c r="Q617" s="9" t="b">
        <f aca="false">AND(IF(M617,0,Y616)=0,AA616,IF(ISNUMBER(AE616),B617&gt;AE616,FALSE()))</f>
        <v>0</v>
      </c>
      <c r="R617" s="8" t="n">
        <f aca="false">B617*(1+Inputs!$B$12)</f>
        <v>0.886966716922697</v>
      </c>
      <c r="S617" s="11" t="n">
        <f aca="false">IF(Q617,MIN(P617*Inputs!$B$3/(R617-AE616),P617*Inputs!$B$11/R617),0)</f>
        <v>0</v>
      </c>
      <c r="T617" s="11" t="n">
        <f aca="false">IF(Q617,S617,IF(M617,0,Y616))</f>
        <v>0</v>
      </c>
      <c r="U617" s="8" t="n">
        <f aca="false">IF(Q617,AE616,AF616)</f>
        <v>0.850507391154866</v>
      </c>
      <c r="V617" s="9" t="b">
        <f aca="false">AND(T617&gt;0,D617&lt;=U617)</f>
        <v>0</v>
      </c>
      <c r="W617" s="10" t="n">
        <f aca="false">IF(V617,T617*(AK617-AB617)-Inputs!$B$9-T617*AD617*Inputs!$B$13*(A617-AC617),0)</f>
        <v>0</v>
      </c>
      <c r="X617" s="10" t="n">
        <f aca="false">P617-IF(Q617,Inputs!$B$9,0)+W617</f>
        <v>1037.10316126448</v>
      </c>
      <c r="Y617" s="11" t="n">
        <f aca="false">IF(V617,0,T617)</f>
        <v>0</v>
      </c>
      <c r="Z617" s="9" t="b">
        <f aca="false">AND(Y617&gt;0,K617)</f>
        <v>0</v>
      </c>
      <c r="AA617" s="9" t="b">
        <f aca="false">AND(Y617=0,J617,ISNUMBER(L617))</f>
        <v>0</v>
      </c>
      <c r="AB617" s="8" t="n">
        <f aca="false">IF(Q617,R617,AB616)</f>
        <v>0.868065965109487</v>
      </c>
      <c r="AC617" s="12" t="n">
        <f aca="false">IF(Q617,A617,AC616)</f>
        <v>45375</v>
      </c>
      <c r="AD617" s="8" t="n">
        <f aca="false">IF(Q617,B617,AD616)</f>
        <v>0.86789238663216</v>
      </c>
      <c r="AE617" s="8" t="str">
        <f aca="false">IF(AA617,L617,"")</f>
        <v/>
      </c>
      <c r="AF617" s="8" t="n">
        <f aca="false">U617</f>
        <v>0.850507391154866</v>
      </c>
      <c r="AG617" s="2" t="n">
        <f aca="false">AG616+IF(Q617,1,0)</f>
        <v>4</v>
      </c>
      <c r="AH617" s="2" t="n">
        <f aca="false">AG616</f>
        <v>4</v>
      </c>
      <c r="AI617" s="10" t="n">
        <f aca="false">X617+Y617*(E617-AB617)-Y617*AD617*Inputs!$B$13*(A617-AC617)</f>
        <v>1037.10316126448</v>
      </c>
      <c r="AJ617" s="10" t="n">
        <v>0</v>
      </c>
      <c r="AK617" s="8" t="n">
        <f aca="false">IF(AND(B617&lt;=U617,NOT(Q617)),B617,U617)*(1-Inputs!$B$12)</f>
        <v>0.850337289676635</v>
      </c>
    </row>
    <row r="618" customFormat="false" ht="15" hidden="false" customHeight="false" outlineLevel="0" collapsed="false">
      <c r="A618" s="6" t="n">
        <v>45402</v>
      </c>
      <c r="B618" s="7" t="n">
        <v>0.885774296601654</v>
      </c>
      <c r="C618" s="7" t="n">
        <v>0.891230633158508</v>
      </c>
      <c r="D618" s="7" t="n">
        <v>0.869969259248729</v>
      </c>
      <c r="E618" s="7" t="n">
        <v>0.87200670091751</v>
      </c>
      <c r="F618" s="8" t="n">
        <f aca="true">IF(ROW()-2&gt;=Inputs!$B$4,AVERAGE(OFFSET(E618,1-Inputs!$B$4,0,Inputs!$B$4,1)),"")</f>
        <v>0.870836976889687</v>
      </c>
      <c r="G618" s="8" t="n">
        <f aca="true">IF(ROW()-2&gt;=Inputs!$B$5,AVERAGE(OFFSET(E618,1-Inputs!$B$5,0,Inputs!$B$5,1)),"")</f>
        <v>0.867047933954903</v>
      </c>
      <c r="H618" s="8" t="n">
        <f aca="false">MAX(C618-D618,ABS(C618-E617),ABS(D618-E617))</f>
        <v>0.021261373909779</v>
      </c>
      <c r="I618" s="8" t="n">
        <f aca="true">IF(ROW()-2&lt;14,"",IF(ROW()-2=14,AVERAGE(OFFSET(H618,-13,0,14,1)),(I617*13+H618)/14))</f>
        <v>0.0100351498704951</v>
      </c>
      <c r="J618" s="9" t="b">
        <f aca="false">IF(AND(ISNUMBER(F618),ISNUMBER(G618),ISNUMBER(F617),ISNUMBER(G617)),AND(F618&gt;G618,F617&lt;=G617),FALSE())</f>
        <v>0</v>
      </c>
      <c r="K618" s="9" t="b">
        <f aca="false">IF(AND(ISNUMBER(F618),ISNUMBER(G618),ISNUMBER(F617),ISNUMBER(G617)),AND(F618&lt;G618,F617&gt;=G617),FALSE())</f>
        <v>0</v>
      </c>
      <c r="L618" s="8" t="n">
        <f aca="false">IF(ISNUMBER(I618),E618-Inputs!$B$6*I618,"")</f>
        <v>0.851936401176519</v>
      </c>
      <c r="M618" s="9" t="b">
        <f aca="false">AND(Y617&gt;0,Z617)</f>
        <v>0</v>
      </c>
      <c r="N618" s="8" t="n">
        <f aca="false">B618*(1-Inputs!$B$12)</f>
        <v>0.885597141742334</v>
      </c>
      <c r="O618" s="10" t="n">
        <f aca="false">IF(M618,Y617*(N618-AB617)-Inputs!$B$9-Y617*AD617*Inputs!$B$13*(A618-AC617),0)</f>
        <v>0</v>
      </c>
      <c r="P618" s="10" t="n">
        <f aca="false">X617+O618</f>
        <v>1037.10316126448</v>
      </c>
      <c r="Q618" s="9" t="b">
        <f aca="false">AND(IF(M618,0,Y617)=0,AA617,IF(ISNUMBER(AE617),B618&gt;AE617,FALSE()))</f>
        <v>0</v>
      </c>
      <c r="R618" s="8" t="n">
        <f aca="false">B618*(1+Inputs!$B$12)</f>
        <v>0.885951451460975</v>
      </c>
      <c r="S618" s="11" t="n">
        <f aca="false">IF(Q618,MIN(P618*Inputs!$B$3/(R618-AE617),P618*Inputs!$B$11/R618),0)</f>
        <v>0</v>
      </c>
      <c r="T618" s="11" t="n">
        <f aca="false">IF(Q618,S618,IF(M618,0,Y617))</f>
        <v>0</v>
      </c>
      <c r="U618" s="8" t="n">
        <f aca="false">IF(Q618,AE617,AF617)</f>
        <v>0.850507391154866</v>
      </c>
      <c r="V618" s="9" t="b">
        <f aca="false">AND(T618&gt;0,D618&lt;=U618)</f>
        <v>0</v>
      </c>
      <c r="W618" s="10" t="n">
        <f aca="false">IF(V618,T618*(AK618-AB618)-Inputs!$B$9-T618*AD618*Inputs!$B$13*(A618-AC618),0)</f>
        <v>0</v>
      </c>
      <c r="X618" s="10" t="n">
        <f aca="false">P618-IF(Q618,Inputs!$B$9,0)+W618</f>
        <v>1037.10316126448</v>
      </c>
      <c r="Y618" s="11" t="n">
        <f aca="false">IF(V618,0,T618)</f>
        <v>0</v>
      </c>
      <c r="Z618" s="9" t="b">
        <f aca="false">AND(Y618&gt;0,K618)</f>
        <v>0</v>
      </c>
      <c r="AA618" s="9" t="b">
        <f aca="false">AND(Y618=0,J618,ISNUMBER(L618))</f>
        <v>0</v>
      </c>
      <c r="AB618" s="8" t="n">
        <f aca="false">IF(Q618,R618,AB617)</f>
        <v>0.868065965109487</v>
      </c>
      <c r="AC618" s="12" t="n">
        <f aca="false">IF(Q618,A618,AC617)</f>
        <v>45375</v>
      </c>
      <c r="AD618" s="8" t="n">
        <f aca="false">IF(Q618,B618,AD617)</f>
        <v>0.86789238663216</v>
      </c>
      <c r="AE618" s="8" t="str">
        <f aca="false">IF(AA618,L618,"")</f>
        <v/>
      </c>
      <c r="AF618" s="8" t="n">
        <f aca="false">U618</f>
        <v>0.850507391154866</v>
      </c>
      <c r="AG618" s="2" t="n">
        <f aca="false">AG617+IF(Q618,1,0)</f>
        <v>4</v>
      </c>
      <c r="AH618" s="2" t="n">
        <f aca="false">AG617</f>
        <v>4</v>
      </c>
      <c r="AI618" s="10" t="n">
        <f aca="false">X618+Y618*(E618-AB618)-Y618*AD618*Inputs!$B$13*(A618-AC618)</f>
        <v>1037.10316126448</v>
      </c>
      <c r="AJ618" s="10" t="n">
        <v>0</v>
      </c>
      <c r="AK618" s="8" t="n">
        <f aca="false">IF(AND(B618&lt;=U618,NOT(Q618)),B618,U618)*(1-Inputs!$B$12)</f>
        <v>0.850337289676635</v>
      </c>
    </row>
    <row r="619" customFormat="false" ht="15" hidden="false" customHeight="false" outlineLevel="0" collapsed="false">
      <c r="A619" s="6" t="n">
        <v>45403</v>
      </c>
      <c r="B619" s="7" t="n">
        <v>0.87200670091751</v>
      </c>
      <c r="C619" s="7" t="n">
        <v>0.872575651711902</v>
      </c>
      <c r="D619" s="7" t="n">
        <v>0.860434948416977</v>
      </c>
      <c r="E619" s="7" t="n">
        <v>0.867866216791302</v>
      </c>
      <c r="F619" s="8" t="n">
        <f aca="true">IF(ROW()-2&gt;=Inputs!$B$4,AVERAGE(OFFSET(E619,1-Inputs!$B$4,0,Inputs!$B$4,1)),"")</f>
        <v>0.871224442280314</v>
      </c>
      <c r="G619" s="8" t="n">
        <f aca="true">IF(ROW()-2&gt;=Inputs!$B$5,AVERAGE(OFFSET(E619,1-Inputs!$B$5,0,Inputs!$B$5,1)),"")</f>
        <v>0.867393025391819</v>
      </c>
      <c r="H619" s="8" t="n">
        <f aca="false">MAX(C619-D619,ABS(C619-E618),ABS(D619-E618))</f>
        <v>0.0121407032949249</v>
      </c>
      <c r="I619" s="8" t="n">
        <f aca="true">IF(ROW()-2&lt;14,"",IF(ROW()-2=14,AVERAGE(OFFSET(H619,-13,0,14,1)),(I618*13+H619)/14))</f>
        <v>0.0101855465436687</v>
      </c>
      <c r="J619" s="9" t="b">
        <f aca="false">IF(AND(ISNUMBER(F619),ISNUMBER(G619),ISNUMBER(F618),ISNUMBER(G618)),AND(F619&gt;G619,F618&lt;=G618),FALSE())</f>
        <v>0</v>
      </c>
      <c r="K619" s="9" t="b">
        <f aca="false">IF(AND(ISNUMBER(F619),ISNUMBER(G619),ISNUMBER(F618),ISNUMBER(G618)),AND(F619&lt;G619,F618&gt;=G618),FALSE())</f>
        <v>0</v>
      </c>
      <c r="L619" s="8" t="n">
        <f aca="false">IF(ISNUMBER(I619),E619-Inputs!$B$6*I619,"")</f>
        <v>0.847495123703964</v>
      </c>
      <c r="M619" s="9" t="b">
        <f aca="false">AND(Y618&gt;0,Z618)</f>
        <v>0</v>
      </c>
      <c r="N619" s="8" t="n">
        <f aca="false">B619*(1-Inputs!$B$12)</f>
        <v>0.871832299577326</v>
      </c>
      <c r="O619" s="10" t="n">
        <f aca="false">IF(M619,Y618*(N619-AB618)-Inputs!$B$9-Y618*AD618*Inputs!$B$13*(A619-AC618),0)</f>
        <v>0</v>
      </c>
      <c r="P619" s="10" t="n">
        <f aca="false">X618+O619</f>
        <v>1037.10316126448</v>
      </c>
      <c r="Q619" s="9" t="b">
        <f aca="false">AND(IF(M619,0,Y618)=0,AA618,IF(ISNUMBER(AE618),B619&gt;AE618,FALSE()))</f>
        <v>0</v>
      </c>
      <c r="R619" s="8" t="n">
        <f aca="false">B619*(1+Inputs!$B$12)</f>
        <v>0.872181102257693</v>
      </c>
      <c r="S619" s="11" t="n">
        <f aca="false">IF(Q619,MIN(P619*Inputs!$B$3/(R619-AE618),P619*Inputs!$B$11/R619),0)</f>
        <v>0</v>
      </c>
      <c r="T619" s="11" t="n">
        <f aca="false">IF(Q619,S619,IF(M619,0,Y618))</f>
        <v>0</v>
      </c>
      <c r="U619" s="8" t="n">
        <f aca="false">IF(Q619,AE618,AF618)</f>
        <v>0.850507391154866</v>
      </c>
      <c r="V619" s="9" t="b">
        <f aca="false">AND(T619&gt;0,D619&lt;=U619)</f>
        <v>0</v>
      </c>
      <c r="W619" s="10" t="n">
        <f aca="false">IF(V619,T619*(AK619-AB619)-Inputs!$B$9-T619*AD619*Inputs!$B$13*(A619-AC619),0)</f>
        <v>0</v>
      </c>
      <c r="X619" s="10" t="n">
        <f aca="false">P619-IF(Q619,Inputs!$B$9,0)+W619</f>
        <v>1037.10316126448</v>
      </c>
      <c r="Y619" s="11" t="n">
        <f aca="false">IF(V619,0,T619)</f>
        <v>0</v>
      </c>
      <c r="Z619" s="9" t="b">
        <f aca="false">AND(Y619&gt;0,K619)</f>
        <v>0</v>
      </c>
      <c r="AA619" s="9" t="b">
        <f aca="false">AND(Y619=0,J619,ISNUMBER(L619))</f>
        <v>0</v>
      </c>
      <c r="AB619" s="8" t="n">
        <f aca="false">IF(Q619,R619,AB618)</f>
        <v>0.868065965109487</v>
      </c>
      <c r="AC619" s="12" t="n">
        <f aca="false">IF(Q619,A619,AC618)</f>
        <v>45375</v>
      </c>
      <c r="AD619" s="8" t="n">
        <f aca="false">IF(Q619,B619,AD618)</f>
        <v>0.86789238663216</v>
      </c>
      <c r="AE619" s="8" t="str">
        <f aca="false">IF(AA619,L619,"")</f>
        <v/>
      </c>
      <c r="AF619" s="8" t="n">
        <f aca="false">U619</f>
        <v>0.850507391154866</v>
      </c>
      <c r="AG619" s="2" t="n">
        <f aca="false">AG618+IF(Q619,1,0)</f>
        <v>4</v>
      </c>
      <c r="AH619" s="2" t="n">
        <f aca="false">AG618</f>
        <v>4</v>
      </c>
      <c r="AI619" s="10" t="n">
        <f aca="false">X619+Y619*(E619-AB619)-Y619*AD619*Inputs!$B$13*(A619-AC619)</f>
        <v>1037.10316126448</v>
      </c>
      <c r="AJ619" s="10" t="n">
        <v>0</v>
      </c>
      <c r="AK619" s="8" t="n">
        <f aca="false">IF(AND(B619&lt;=U619,NOT(Q619)),B619,U619)*(1-Inputs!$B$12)</f>
        <v>0.850337289676635</v>
      </c>
    </row>
    <row r="620" customFormat="false" ht="15" hidden="false" customHeight="false" outlineLevel="0" collapsed="false">
      <c r="A620" s="6" t="n">
        <v>45404</v>
      </c>
      <c r="B620" s="7" t="n">
        <v>0.867866216791302</v>
      </c>
      <c r="C620" s="7" t="n">
        <v>0.870361874798914</v>
      </c>
      <c r="D620" s="7" t="n">
        <v>0.865998612535073</v>
      </c>
      <c r="E620" s="7" t="n">
        <v>0.867454630740853</v>
      </c>
      <c r="F620" s="8" t="n">
        <f aca="true">IF(ROW()-2&gt;=Inputs!$B$4,AVERAGE(OFFSET(E620,1-Inputs!$B$4,0,Inputs!$B$4,1)),"")</f>
        <v>0.87160242937484</v>
      </c>
      <c r="G620" s="8" t="n">
        <f aca="true">IF(ROW()-2&gt;=Inputs!$B$5,AVERAGE(OFFSET(E620,1-Inputs!$B$5,0,Inputs!$B$5,1)),"")</f>
        <v>0.867814615298763</v>
      </c>
      <c r="H620" s="8" t="n">
        <f aca="false">MAX(C620-D620,ABS(C620-E619),ABS(D620-E619))</f>
        <v>0.00436326226384154</v>
      </c>
      <c r="I620" s="8" t="n">
        <f aca="true">IF(ROW()-2&lt;14,"",IF(ROW()-2=14,AVERAGE(OFFSET(H620,-13,0,14,1)),(I619*13+H620)/14))</f>
        <v>0.00976966909510958</v>
      </c>
      <c r="J620" s="9" t="b">
        <f aca="false">IF(AND(ISNUMBER(F620),ISNUMBER(G620),ISNUMBER(F619),ISNUMBER(G619)),AND(F620&gt;G620,F619&lt;=G619),FALSE())</f>
        <v>0</v>
      </c>
      <c r="K620" s="9" t="b">
        <f aca="false">IF(AND(ISNUMBER(F620),ISNUMBER(G620),ISNUMBER(F619),ISNUMBER(G619)),AND(F620&lt;G620,F619&gt;=G619),FALSE())</f>
        <v>0</v>
      </c>
      <c r="L620" s="8" t="n">
        <f aca="false">IF(ISNUMBER(I620),E620-Inputs!$B$6*I620,"")</f>
        <v>0.847915292550634</v>
      </c>
      <c r="M620" s="9" t="b">
        <f aca="false">AND(Y619&gt;0,Z619)</f>
        <v>0</v>
      </c>
      <c r="N620" s="8" t="n">
        <f aca="false">B620*(1-Inputs!$B$12)</f>
        <v>0.867692643547943</v>
      </c>
      <c r="O620" s="10" t="n">
        <f aca="false">IF(M620,Y619*(N620-AB619)-Inputs!$B$9-Y619*AD619*Inputs!$B$13*(A620-AC619),0)</f>
        <v>0</v>
      </c>
      <c r="P620" s="10" t="n">
        <f aca="false">X619+O620</f>
        <v>1037.10316126448</v>
      </c>
      <c r="Q620" s="9" t="b">
        <f aca="false">AND(IF(M620,0,Y619)=0,AA619,IF(ISNUMBER(AE619),B620&gt;AE619,FALSE()))</f>
        <v>0</v>
      </c>
      <c r="R620" s="8" t="n">
        <f aca="false">B620*(1+Inputs!$B$12)</f>
        <v>0.86803979003466</v>
      </c>
      <c r="S620" s="11" t="n">
        <f aca="false">IF(Q620,MIN(P620*Inputs!$B$3/(R620-AE619),P620*Inputs!$B$11/R620),0)</f>
        <v>0</v>
      </c>
      <c r="T620" s="11" t="n">
        <f aca="false">IF(Q620,S620,IF(M620,0,Y619))</f>
        <v>0</v>
      </c>
      <c r="U620" s="8" t="n">
        <f aca="false">IF(Q620,AE619,AF619)</f>
        <v>0.850507391154866</v>
      </c>
      <c r="V620" s="9" t="b">
        <f aca="false">AND(T620&gt;0,D620&lt;=U620)</f>
        <v>0</v>
      </c>
      <c r="W620" s="10" t="n">
        <f aca="false">IF(V620,T620*(AK620-AB620)-Inputs!$B$9-T620*AD620*Inputs!$B$13*(A620-AC620),0)</f>
        <v>0</v>
      </c>
      <c r="X620" s="10" t="n">
        <f aca="false">P620-IF(Q620,Inputs!$B$9,0)+W620</f>
        <v>1037.10316126448</v>
      </c>
      <c r="Y620" s="11" t="n">
        <f aca="false">IF(V620,0,T620)</f>
        <v>0</v>
      </c>
      <c r="Z620" s="9" t="b">
        <f aca="false">AND(Y620&gt;0,K620)</f>
        <v>0</v>
      </c>
      <c r="AA620" s="9" t="b">
        <f aca="false">AND(Y620=0,J620,ISNUMBER(L620))</f>
        <v>0</v>
      </c>
      <c r="AB620" s="8" t="n">
        <f aca="false">IF(Q620,R620,AB619)</f>
        <v>0.868065965109487</v>
      </c>
      <c r="AC620" s="12" t="n">
        <f aca="false">IF(Q620,A620,AC619)</f>
        <v>45375</v>
      </c>
      <c r="AD620" s="8" t="n">
        <f aca="false">IF(Q620,B620,AD619)</f>
        <v>0.86789238663216</v>
      </c>
      <c r="AE620" s="8" t="str">
        <f aca="false">IF(AA620,L620,"")</f>
        <v/>
      </c>
      <c r="AF620" s="8" t="n">
        <f aca="false">U620</f>
        <v>0.850507391154866</v>
      </c>
      <c r="AG620" s="2" t="n">
        <f aca="false">AG619+IF(Q620,1,0)</f>
        <v>4</v>
      </c>
      <c r="AH620" s="2" t="n">
        <f aca="false">AG619</f>
        <v>4</v>
      </c>
      <c r="AI620" s="10" t="n">
        <f aca="false">X620+Y620*(E620-AB620)-Y620*AD620*Inputs!$B$13*(A620-AC620)</f>
        <v>1037.10316126448</v>
      </c>
      <c r="AJ620" s="10" t="n">
        <v>0</v>
      </c>
      <c r="AK620" s="8" t="n">
        <f aca="false">IF(AND(B620&lt;=U620,NOT(Q620)),B620,U620)*(1-Inputs!$B$12)</f>
        <v>0.850337289676635</v>
      </c>
    </row>
    <row r="621" customFormat="false" ht="15" hidden="false" customHeight="false" outlineLevel="0" collapsed="false">
      <c r="A621" s="6" t="n">
        <v>45405</v>
      </c>
      <c r="B621" s="7" t="n">
        <v>0.867454630740853</v>
      </c>
      <c r="C621" s="7" t="n">
        <v>0.874625148588103</v>
      </c>
      <c r="D621" s="7" t="n">
        <v>0.866839791264612</v>
      </c>
      <c r="E621" s="7" t="n">
        <v>0.87289477867664</v>
      </c>
      <c r="F621" s="8" t="n">
        <f aca="true">IF(ROW()-2&gt;=Inputs!$B$4,AVERAGE(OFFSET(E621,1-Inputs!$B$4,0,Inputs!$B$4,1)),"")</f>
        <v>0.872169992719715</v>
      </c>
      <c r="G621" s="8" t="n">
        <f aca="true">IF(ROW()-2&gt;=Inputs!$B$5,AVERAGE(OFFSET(E621,1-Inputs!$B$5,0,Inputs!$B$5,1)),"")</f>
        <v>0.86831369488875</v>
      </c>
      <c r="H621" s="8" t="n">
        <f aca="false">MAX(C621-D621,ABS(C621-E620),ABS(D621-E620))</f>
        <v>0.00778535732349062</v>
      </c>
      <c r="I621" s="8" t="n">
        <f aca="true">IF(ROW()-2&lt;14,"",IF(ROW()-2=14,AVERAGE(OFFSET(H621,-13,0,14,1)),(I620*13+H621)/14))</f>
        <v>0.00962793253999394</v>
      </c>
      <c r="J621" s="9" t="b">
        <f aca="false">IF(AND(ISNUMBER(F621),ISNUMBER(G621),ISNUMBER(F620),ISNUMBER(G620)),AND(F621&gt;G621,F620&lt;=G620),FALSE())</f>
        <v>0</v>
      </c>
      <c r="K621" s="9" t="b">
        <f aca="false">IF(AND(ISNUMBER(F621),ISNUMBER(G621),ISNUMBER(F620),ISNUMBER(G620)),AND(F621&lt;G621,F620&gt;=G620),FALSE())</f>
        <v>0</v>
      </c>
      <c r="L621" s="8" t="n">
        <f aca="false">IF(ISNUMBER(I621),E621-Inputs!$B$6*I621,"")</f>
        <v>0.853638913596653</v>
      </c>
      <c r="M621" s="9" t="b">
        <f aca="false">AND(Y620&gt;0,Z620)</f>
        <v>0</v>
      </c>
      <c r="N621" s="8" t="n">
        <f aca="false">B621*(1-Inputs!$B$12)</f>
        <v>0.867281139814705</v>
      </c>
      <c r="O621" s="10" t="n">
        <f aca="false">IF(M621,Y620*(N621-AB620)-Inputs!$B$9-Y620*AD620*Inputs!$B$13*(A621-AC620),0)</f>
        <v>0</v>
      </c>
      <c r="P621" s="10" t="n">
        <f aca="false">X620+O621</f>
        <v>1037.10316126448</v>
      </c>
      <c r="Q621" s="9" t="b">
        <f aca="false">AND(IF(M621,0,Y620)=0,AA620,IF(ISNUMBER(AE620),B621&gt;AE620,FALSE()))</f>
        <v>0</v>
      </c>
      <c r="R621" s="8" t="n">
        <f aca="false">B621*(1+Inputs!$B$12)</f>
        <v>0.867628121667001</v>
      </c>
      <c r="S621" s="11" t="n">
        <f aca="false">IF(Q621,MIN(P621*Inputs!$B$3/(R621-AE620),P621*Inputs!$B$11/R621),0)</f>
        <v>0</v>
      </c>
      <c r="T621" s="11" t="n">
        <f aca="false">IF(Q621,S621,IF(M621,0,Y620))</f>
        <v>0</v>
      </c>
      <c r="U621" s="8" t="n">
        <f aca="false">IF(Q621,AE620,AF620)</f>
        <v>0.850507391154866</v>
      </c>
      <c r="V621" s="9" t="b">
        <f aca="false">AND(T621&gt;0,D621&lt;=U621)</f>
        <v>0</v>
      </c>
      <c r="W621" s="10" t="n">
        <f aca="false">IF(V621,T621*(AK621-AB621)-Inputs!$B$9-T621*AD621*Inputs!$B$13*(A621-AC621),0)</f>
        <v>0</v>
      </c>
      <c r="X621" s="10" t="n">
        <f aca="false">P621-IF(Q621,Inputs!$B$9,0)+W621</f>
        <v>1037.10316126448</v>
      </c>
      <c r="Y621" s="11" t="n">
        <f aca="false">IF(V621,0,T621)</f>
        <v>0</v>
      </c>
      <c r="Z621" s="9" t="b">
        <f aca="false">AND(Y621&gt;0,K621)</f>
        <v>0</v>
      </c>
      <c r="AA621" s="9" t="b">
        <f aca="false">AND(Y621=0,J621,ISNUMBER(L621))</f>
        <v>0</v>
      </c>
      <c r="AB621" s="8" t="n">
        <f aca="false">IF(Q621,R621,AB620)</f>
        <v>0.868065965109487</v>
      </c>
      <c r="AC621" s="12" t="n">
        <f aca="false">IF(Q621,A621,AC620)</f>
        <v>45375</v>
      </c>
      <c r="AD621" s="8" t="n">
        <f aca="false">IF(Q621,B621,AD620)</f>
        <v>0.86789238663216</v>
      </c>
      <c r="AE621" s="8" t="str">
        <f aca="false">IF(AA621,L621,"")</f>
        <v/>
      </c>
      <c r="AF621" s="8" t="n">
        <f aca="false">U621</f>
        <v>0.850507391154866</v>
      </c>
      <c r="AG621" s="2" t="n">
        <f aca="false">AG620+IF(Q621,1,0)</f>
        <v>4</v>
      </c>
      <c r="AH621" s="2" t="n">
        <f aca="false">AG620</f>
        <v>4</v>
      </c>
      <c r="AI621" s="10" t="n">
        <f aca="false">X621+Y621*(E621-AB621)-Y621*AD621*Inputs!$B$13*(A621-AC621)</f>
        <v>1037.10316126448</v>
      </c>
      <c r="AJ621" s="10" t="n">
        <v>0</v>
      </c>
      <c r="AK621" s="8" t="n">
        <f aca="false">IF(AND(B621&lt;=U621,NOT(Q621)),B621,U621)*(1-Inputs!$B$12)</f>
        <v>0.850337289676635</v>
      </c>
    </row>
    <row r="622" customFormat="false" ht="15" hidden="false" customHeight="false" outlineLevel="0" collapsed="false">
      <c r="A622" s="6" t="n">
        <v>45406</v>
      </c>
      <c r="B622" s="7" t="n">
        <v>0.87289477867664</v>
      </c>
      <c r="C622" s="7" t="n">
        <v>0.874249039843064</v>
      </c>
      <c r="D622" s="7" t="n">
        <v>0.871880796912128</v>
      </c>
      <c r="E622" s="7" t="n">
        <v>0.873527540924618</v>
      </c>
      <c r="F622" s="8" t="n">
        <f aca="true">IF(ROW()-2&gt;=Inputs!$B$4,AVERAGE(OFFSET(E622,1-Inputs!$B$4,0,Inputs!$B$4,1)),"")</f>
        <v>0.87271565644298</v>
      </c>
      <c r="G622" s="8" t="n">
        <f aca="true">IF(ROW()-2&gt;=Inputs!$B$5,AVERAGE(OFFSET(E622,1-Inputs!$B$5,0,Inputs!$B$5,1)),"")</f>
        <v>0.868766862893254</v>
      </c>
      <c r="H622" s="8" t="n">
        <f aca="false">MAX(C622-D622,ABS(C622-E621),ABS(D622-E621))</f>
        <v>0.00236824293093585</v>
      </c>
      <c r="I622" s="8" t="n">
        <f aca="true">IF(ROW()-2&lt;14,"",IF(ROW()-2=14,AVERAGE(OFFSET(H622,-13,0,14,1)),(I621*13+H622)/14))</f>
        <v>0.00910938328220408</v>
      </c>
      <c r="J622" s="9" t="b">
        <f aca="false">IF(AND(ISNUMBER(F622),ISNUMBER(G622),ISNUMBER(F621),ISNUMBER(G621)),AND(F622&gt;G622,F621&lt;=G621),FALSE())</f>
        <v>0</v>
      </c>
      <c r="K622" s="9" t="b">
        <f aca="false">IF(AND(ISNUMBER(F622),ISNUMBER(G622),ISNUMBER(F621),ISNUMBER(G621)),AND(F622&lt;G622,F621&gt;=G621),FALSE())</f>
        <v>0</v>
      </c>
      <c r="L622" s="8" t="n">
        <f aca="false">IF(ISNUMBER(I622),E622-Inputs!$B$6*I622,"")</f>
        <v>0.85530877436021</v>
      </c>
      <c r="M622" s="9" t="b">
        <f aca="false">AND(Y621&gt;0,Z621)</f>
        <v>0</v>
      </c>
      <c r="N622" s="8" t="n">
        <f aca="false">B622*(1-Inputs!$B$12)</f>
        <v>0.872720199720905</v>
      </c>
      <c r="O622" s="10" t="n">
        <f aca="false">IF(M622,Y621*(N622-AB621)-Inputs!$B$9-Y621*AD621*Inputs!$B$13*(A622-AC621),0)</f>
        <v>0</v>
      </c>
      <c r="P622" s="10" t="n">
        <f aca="false">X621+O622</f>
        <v>1037.10316126448</v>
      </c>
      <c r="Q622" s="9" t="b">
        <f aca="false">AND(IF(M622,0,Y621)=0,AA621,IF(ISNUMBER(AE621),B622&gt;AE621,FALSE()))</f>
        <v>0</v>
      </c>
      <c r="R622" s="8" t="n">
        <f aca="false">B622*(1+Inputs!$B$12)</f>
        <v>0.873069357632376</v>
      </c>
      <c r="S622" s="11" t="n">
        <f aca="false">IF(Q622,MIN(P622*Inputs!$B$3/(R622-AE621),P622*Inputs!$B$11/R622),0)</f>
        <v>0</v>
      </c>
      <c r="T622" s="11" t="n">
        <f aca="false">IF(Q622,S622,IF(M622,0,Y621))</f>
        <v>0</v>
      </c>
      <c r="U622" s="8" t="n">
        <f aca="false">IF(Q622,AE621,AF621)</f>
        <v>0.850507391154866</v>
      </c>
      <c r="V622" s="9" t="b">
        <f aca="false">AND(T622&gt;0,D622&lt;=U622)</f>
        <v>0</v>
      </c>
      <c r="W622" s="10" t="n">
        <f aca="false">IF(V622,T622*(AK622-AB622)-Inputs!$B$9-T622*AD622*Inputs!$B$13*(A622-AC622),0)</f>
        <v>0</v>
      </c>
      <c r="X622" s="10" t="n">
        <f aca="false">P622-IF(Q622,Inputs!$B$9,0)+W622</f>
        <v>1037.10316126448</v>
      </c>
      <c r="Y622" s="11" t="n">
        <f aca="false">IF(V622,0,T622)</f>
        <v>0</v>
      </c>
      <c r="Z622" s="9" t="b">
        <f aca="false">AND(Y622&gt;0,K622)</f>
        <v>0</v>
      </c>
      <c r="AA622" s="9" t="b">
        <f aca="false">AND(Y622=0,J622,ISNUMBER(L622))</f>
        <v>0</v>
      </c>
      <c r="AB622" s="8" t="n">
        <f aca="false">IF(Q622,R622,AB621)</f>
        <v>0.868065965109487</v>
      </c>
      <c r="AC622" s="12" t="n">
        <f aca="false">IF(Q622,A622,AC621)</f>
        <v>45375</v>
      </c>
      <c r="AD622" s="8" t="n">
        <f aca="false">IF(Q622,B622,AD621)</f>
        <v>0.86789238663216</v>
      </c>
      <c r="AE622" s="8" t="str">
        <f aca="false">IF(AA622,L622,"")</f>
        <v/>
      </c>
      <c r="AF622" s="8" t="n">
        <f aca="false">U622</f>
        <v>0.850507391154866</v>
      </c>
      <c r="AG622" s="2" t="n">
        <f aca="false">AG621+IF(Q622,1,0)</f>
        <v>4</v>
      </c>
      <c r="AH622" s="2" t="n">
        <f aca="false">AG621</f>
        <v>4</v>
      </c>
      <c r="AI622" s="10" t="n">
        <f aca="false">X622+Y622*(E622-AB622)-Y622*AD622*Inputs!$B$13*(A622-AC622)</f>
        <v>1037.10316126448</v>
      </c>
      <c r="AJ622" s="10" t="n">
        <v>0</v>
      </c>
      <c r="AK622" s="8" t="n">
        <f aca="false">IF(AND(B622&lt;=U622,NOT(Q622)),B622,U622)*(1-Inputs!$B$12)</f>
        <v>0.850337289676635</v>
      </c>
    </row>
    <row r="623" customFormat="false" ht="15" hidden="false" customHeight="false" outlineLevel="0" collapsed="false">
      <c r="A623" s="6" t="n">
        <v>45407</v>
      </c>
      <c r="B623" s="7" t="n">
        <v>0.873527540924618</v>
      </c>
      <c r="C623" s="7" t="n">
        <v>0.880067219023274</v>
      </c>
      <c r="D623" s="7" t="n">
        <v>0.873191726558483</v>
      </c>
      <c r="E623" s="7" t="n">
        <v>0.878647987694775</v>
      </c>
      <c r="F623" s="8" t="n">
        <f aca="true">IF(ROW()-2&gt;=Inputs!$B$4,AVERAGE(OFFSET(E623,1-Inputs!$B$4,0,Inputs!$B$4,1)),"")</f>
        <v>0.873370041532841</v>
      </c>
      <c r="G623" s="8" t="n">
        <f aca="true">IF(ROW()-2&gt;=Inputs!$B$5,AVERAGE(OFFSET(E623,1-Inputs!$B$5,0,Inputs!$B$5,1)),"")</f>
        <v>0.869313406026308</v>
      </c>
      <c r="H623" s="8" t="n">
        <f aca="false">MAX(C623-D623,ABS(C623-E622),ABS(D623-E622))</f>
        <v>0.00687549246479113</v>
      </c>
      <c r="I623" s="8" t="n">
        <f aca="true">IF(ROW()-2&lt;14,"",IF(ROW()-2=14,AVERAGE(OFFSET(H623,-13,0,14,1)),(I622*13+H623)/14))</f>
        <v>0.00894981965238887</v>
      </c>
      <c r="J623" s="9" t="b">
        <f aca="false">IF(AND(ISNUMBER(F623),ISNUMBER(G623),ISNUMBER(F622),ISNUMBER(G622)),AND(F623&gt;G623,F622&lt;=G622),FALSE())</f>
        <v>0</v>
      </c>
      <c r="K623" s="9" t="b">
        <f aca="false">IF(AND(ISNUMBER(F623),ISNUMBER(G623),ISNUMBER(F622),ISNUMBER(G622)),AND(F623&lt;G623,F622&gt;=G622),FALSE())</f>
        <v>0</v>
      </c>
      <c r="L623" s="8" t="n">
        <f aca="false">IF(ISNUMBER(I623),E623-Inputs!$B$6*I623,"")</f>
        <v>0.860748348389997</v>
      </c>
      <c r="M623" s="9" t="b">
        <f aca="false">AND(Y622&gt;0,Z622)</f>
        <v>0</v>
      </c>
      <c r="N623" s="8" t="n">
        <f aca="false">B623*(1-Inputs!$B$12)</f>
        <v>0.873352835416433</v>
      </c>
      <c r="O623" s="10" t="n">
        <f aca="false">IF(M623,Y622*(N623-AB622)-Inputs!$B$9-Y622*AD622*Inputs!$B$13*(A623-AC622),0)</f>
        <v>0</v>
      </c>
      <c r="P623" s="10" t="n">
        <f aca="false">X622+O623</f>
        <v>1037.10316126448</v>
      </c>
      <c r="Q623" s="9" t="b">
        <f aca="false">AND(IF(M623,0,Y622)=0,AA622,IF(ISNUMBER(AE622),B623&gt;AE622,FALSE()))</f>
        <v>0</v>
      </c>
      <c r="R623" s="8" t="n">
        <f aca="false">B623*(1+Inputs!$B$12)</f>
        <v>0.873702246432803</v>
      </c>
      <c r="S623" s="11" t="n">
        <f aca="false">IF(Q623,MIN(P623*Inputs!$B$3/(R623-AE622),P623*Inputs!$B$11/R623),0)</f>
        <v>0</v>
      </c>
      <c r="T623" s="11" t="n">
        <f aca="false">IF(Q623,S623,IF(M623,0,Y622))</f>
        <v>0</v>
      </c>
      <c r="U623" s="8" t="n">
        <f aca="false">IF(Q623,AE622,AF622)</f>
        <v>0.850507391154866</v>
      </c>
      <c r="V623" s="9" t="b">
        <f aca="false">AND(T623&gt;0,D623&lt;=U623)</f>
        <v>0</v>
      </c>
      <c r="W623" s="10" t="n">
        <f aca="false">IF(V623,T623*(AK623-AB623)-Inputs!$B$9-T623*AD623*Inputs!$B$13*(A623-AC623),0)</f>
        <v>0</v>
      </c>
      <c r="X623" s="10" t="n">
        <f aca="false">P623-IF(Q623,Inputs!$B$9,0)+W623</f>
        <v>1037.10316126448</v>
      </c>
      <c r="Y623" s="11" t="n">
        <f aca="false">IF(V623,0,T623)</f>
        <v>0</v>
      </c>
      <c r="Z623" s="9" t="b">
        <f aca="false">AND(Y623&gt;0,K623)</f>
        <v>0</v>
      </c>
      <c r="AA623" s="9" t="b">
        <f aca="false">AND(Y623=0,J623,ISNUMBER(L623))</f>
        <v>0</v>
      </c>
      <c r="AB623" s="8" t="n">
        <f aca="false">IF(Q623,R623,AB622)</f>
        <v>0.868065965109487</v>
      </c>
      <c r="AC623" s="12" t="n">
        <f aca="false">IF(Q623,A623,AC622)</f>
        <v>45375</v>
      </c>
      <c r="AD623" s="8" t="n">
        <f aca="false">IF(Q623,B623,AD622)</f>
        <v>0.86789238663216</v>
      </c>
      <c r="AE623" s="8" t="str">
        <f aca="false">IF(AA623,L623,"")</f>
        <v/>
      </c>
      <c r="AF623" s="8" t="n">
        <f aca="false">U623</f>
        <v>0.850507391154866</v>
      </c>
      <c r="AG623" s="2" t="n">
        <f aca="false">AG622+IF(Q623,1,0)</f>
        <v>4</v>
      </c>
      <c r="AH623" s="2" t="n">
        <f aca="false">AG622</f>
        <v>4</v>
      </c>
      <c r="AI623" s="10" t="n">
        <f aca="false">X623+Y623*(E623-AB623)-Y623*AD623*Inputs!$B$13*(A623-AC623)</f>
        <v>1037.10316126448</v>
      </c>
      <c r="AJ623" s="10" t="n">
        <v>0</v>
      </c>
      <c r="AK623" s="8" t="n">
        <f aca="false">IF(AND(B623&lt;=U623,NOT(Q623)),B623,U623)*(1-Inputs!$B$12)</f>
        <v>0.850337289676635</v>
      </c>
    </row>
    <row r="624" customFormat="false" ht="15" hidden="false" customHeight="false" outlineLevel="0" collapsed="false">
      <c r="A624" s="6" t="n">
        <v>45408</v>
      </c>
      <c r="B624" s="7" t="n">
        <v>0.878647987694775</v>
      </c>
      <c r="C624" s="7" t="n">
        <v>0.879046815738871</v>
      </c>
      <c r="D624" s="7" t="n">
        <v>0.872166136549038</v>
      </c>
      <c r="E624" s="7" t="n">
        <v>0.877302008211562</v>
      </c>
      <c r="F624" s="8" t="n">
        <f aca="true">IF(ROW()-2&gt;=Inputs!$B$4,AVERAGE(OFFSET(E624,1-Inputs!$B$4,0,Inputs!$B$4,1)),"")</f>
        <v>0.874266896220845</v>
      </c>
      <c r="G624" s="8" t="n">
        <f aca="true">IF(ROW()-2&gt;=Inputs!$B$5,AVERAGE(OFFSET(E624,1-Inputs!$B$5,0,Inputs!$B$5,1)),"")</f>
        <v>0.869705348788541</v>
      </c>
      <c r="H624" s="8" t="n">
        <f aca="false">MAX(C624-D624,ABS(C624-E623),ABS(D624-E623))</f>
        <v>0.00688067918983326</v>
      </c>
      <c r="I624" s="8" t="n">
        <f aca="true">IF(ROW()-2&lt;14,"",IF(ROW()-2=14,AVERAGE(OFFSET(H624,-13,0,14,1)),(I623*13+H624)/14))</f>
        <v>0.00880202390506347</v>
      </c>
      <c r="J624" s="9" t="b">
        <f aca="false">IF(AND(ISNUMBER(F624),ISNUMBER(G624),ISNUMBER(F623),ISNUMBER(G623)),AND(F624&gt;G624,F623&lt;=G623),FALSE())</f>
        <v>0</v>
      </c>
      <c r="K624" s="9" t="b">
        <f aca="false">IF(AND(ISNUMBER(F624),ISNUMBER(G624),ISNUMBER(F623),ISNUMBER(G623)),AND(F624&lt;G624,F623&gt;=G623),FALSE())</f>
        <v>0</v>
      </c>
      <c r="L624" s="8" t="n">
        <f aca="false">IF(ISNUMBER(I624),E624-Inputs!$B$6*I624,"")</f>
        <v>0.859697960401435</v>
      </c>
      <c r="M624" s="9" t="b">
        <f aca="false">AND(Y623&gt;0,Z623)</f>
        <v>0</v>
      </c>
      <c r="N624" s="8" t="n">
        <f aca="false">B624*(1-Inputs!$B$12)</f>
        <v>0.878472258097236</v>
      </c>
      <c r="O624" s="10" t="n">
        <f aca="false">IF(M624,Y623*(N624-AB623)-Inputs!$B$9-Y623*AD623*Inputs!$B$13*(A624-AC623),0)</f>
        <v>0</v>
      </c>
      <c r="P624" s="10" t="n">
        <f aca="false">X623+O624</f>
        <v>1037.10316126448</v>
      </c>
      <c r="Q624" s="9" t="b">
        <f aca="false">AND(IF(M624,0,Y623)=0,AA623,IF(ISNUMBER(AE623),B624&gt;AE623,FALSE()))</f>
        <v>0</v>
      </c>
      <c r="R624" s="8" t="n">
        <f aca="false">B624*(1+Inputs!$B$12)</f>
        <v>0.878823717292314</v>
      </c>
      <c r="S624" s="11" t="n">
        <f aca="false">IF(Q624,MIN(P624*Inputs!$B$3/(R624-AE623),P624*Inputs!$B$11/R624),0)</f>
        <v>0</v>
      </c>
      <c r="T624" s="11" t="n">
        <f aca="false">IF(Q624,S624,IF(M624,0,Y623))</f>
        <v>0</v>
      </c>
      <c r="U624" s="8" t="n">
        <f aca="false">IF(Q624,AE623,AF623)</f>
        <v>0.850507391154866</v>
      </c>
      <c r="V624" s="9" t="b">
        <f aca="false">AND(T624&gt;0,D624&lt;=U624)</f>
        <v>0</v>
      </c>
      <c r="W624" s="10" t="n">
        <f aca="false">IF(V624,T624*(AK624-AB624)-Inputs!$B$9-T624*AD624*Inputs!$B$13*(A624-AC624),0)</f>
        <v>0</v>
      </c>
      <c r="X624" s="10" t="n">
        <f aca="false">P624-IF(Q624,Inputs!$B$9,0)+W624</f>
        <v>1037.10316126448</v>
      </c>
      <c r="Y624" s="11" t="n">
        <f aca="false">IF(V624,0,T624)</f>
        <v>0</v>
      </c>
      <c r="Z624" s="9" t="b">
        <f aca="false">AND(Y624&gt;0,K624)</f>
        <v>0</v>
      </c>
      <c r="AA624" s="9" t="b">
        <f aca="false">AND(Y624=0,J624,ISNUMBER(L624))</f>
        <v>0</v>
      </c>
      <c r="AB624" s="8" t="n">
        <f aca="false">IF(Q624,R624,AB623)</f>
        <v>0.868065965109487</v>
      </c>
      <c r="AC624" s="12" t="n">
        <f aca="false">IF(Q624,A624,AC623)</f>
        <v>45375</v>
      </c>
      <c r="AD624" s="8" t="n">
        <f aca="false">IF(Q624,B624,AD623)</f>
        <v>0.86789238663216</v>
      </c>
      <c r="AE624" s="8" t="str">
        <f aca="false">IF(AA624,L624,"")</f>
        <v/>
      </c>
      <c r="AF624" s="8" t="n">
        <f aca="false">U624</f>
        <v>0.850507391154866</v>
      </c>
      <c r="AG624" s="2" t="n">
        <f aca="false">AG623+IF(Q624,1,0)</f>
        <v>4</v>
      </c>
      <c r="AH624" s="2" t="n">
        <f aca="false">AG623</f>
        <v>4</v>
      </c>
      <c r="AI624" s="10" t="n">
        <f aca="false">X624+Y624*(E624-AB624)-Y624*AD624*Inputs!$B$13*(A624-AC624)</f>
        <v>1037.10316126448</v>
      </c>
      <c r="AJ624" s="10" t="n">
        <v>0</v>
      </c>
      <c r="AK624" s="8" t="n">
        <f aca="false">IF(AND(B624&lt;=U624,NOT(Q624)),B624,U624)*(1-Inputs!$B$12)</f>
        <v>0.850337289676635</v>
      </c>
    </row>
    <row r="625" customFormat="false" ht="15" hidden="false" customHeight="false" outlineLevel="0" collapsed="false">
      <c r="A625" s="6" t="n">
        <v>45409</v>
      </c>
      <c r="B625" s="7" t="n">
        <v>0.877302008211562</v>
      </c>
      <c r="C625" s="7" t="n">
        <v>0.883665265105866</v>
      </c>
      <c r="D625" s="7" t="n">
        <v>0.871709496630945</v>
      </c>
      <c r="E625" s="7" t="n">
        <v>0.878408848132082</v>
      </c>
      <c r="F625" s="8" t="n">
        <f aca="true">IF(ROW()-2&gt;=Inputs!$B$4,AVERAGE(OFFSET(E625,1-Inputs!$B$4,0,Inputs!$B$4,1)),"")</f>
        <v>0.875051097326207</v>
      </c>
      <c r="G625" s="8" t="n">
        <f aca="true">IF(ROW()-2&gt;=Inputs!$B$5,AVERAGE(OFFSET(E625,1-Inputs!$B$5,0,Inputs!$B$5,1)),"")</f>
        <v>0.870104820093196</v>
      </c>
      <c r="H625" s="8" t="n">
        <f aca="false">MAX(C625-D625,ABS(C625-E624),ABS(D625-E624))</f>
        <v>0.0119557684749212</v>
      </c>
      <c r="I625" s="8" t="n">
        <f aca="true">IF(ROW()-2&lt;14,"",IF(ROW()-2=14,AVERAGE(OFFSET(H625,-13,0,14,1)),(I624*13+H625)/14))</f>
        <v>0.00902729137433902</v>
      </c>
      <c r="J625" s="9" t="b">
        <f aca="false">IF(AND(ISNUMBER(F625),ISNUMBER(G625),ISNUMBER(F624),ISNUMBER(G624)),AND(F625&gt;G625,F624&lt;=G624),FALSE())</f>
        <v>0</v>
      </c>
      <c r="K625" s="9" t="b">
        <f aca="false">IF(AND(ISNUMBER(F625),ISNUMBER(G625),ISNUMBER(F624),ISNUMBER(G624)),AND(F625&lt;G625,F624&gt;=G624),FALSE())</f>
        <v>0</v>
      </c>
      <c r="L625" s="8" t="n">
        <f aca="false">IF(ISNUMBER(I625),E625-Inputs!$B$6*I625,"")</f>
        <v>0.860354265383404</v>
      </c>
      <c r="M625" s="9" t="b">
        <f aca="false">AND(Y624&gt;0,Z624)</f>
        <v>0</v>
      </c>
      <c r="N625" s="8" t="n">
        <f aca="false">B625*(1-Inputs!$B$12)</f>
        <v>0.87712654780992</v>
      </c>
      <c r="O625" s="10" t="n">
        <f aca="false">IF(M625,Y624*(N625-AB624)-Inputs!$B$9-Y624*AD624*Inputs!$B$13*(A625-AC624),0)</f>
        <v>0</v>
      </c>
      <c r="P625" s="10" t="n">
        <f aca="false">X624+O625</f>
        <v>1037.10316126448</v>
      </c>
      <c r="Q625" s="9" t="b">
        <f aca="false">AND(IF(M625,0,Y624)=0,AA624,IF(ISNUMBER(AE624),B625&gt;AE624,FALSE()))</f>
        <v>0</v>
      </c>
      <c r="R625" s="8" t="n">
        <f aca="false">B625*(1+Inputs!$B$12)</f>
        <v>0.877477468613204</v>
      </c>
      <c r="S625" s="11" t="n">
        <f aca="false">IF(Q625,MIN(P625*Inputs!$B$3/(R625-AE624),P625*Inputs!$B$11/R625),0)</f>
        <v>0</v>
      </c>
      <c r="T625" s="11" t="n">
        <f aca="false">IF(Q625,S625,IF(M625,0,Y624))</f>
        <v>0</v>
      </c>
      <c r="U625" s="8" t="n">
        <f aca="false">IF(Q625,AE624,AF624)</f>
        <v>0.850507391154866</v>
      </c>
      <c r="V625" s="9" t="b">
        <f aca="false">AND(T625&gt;0,D625&lt;=U625)</f>
        <v>0</v>
      </c>
      <c r="W625" s="10" t="n">
        <f aca="false">IF(V625,T625*(AK625-AB625)-Inputs!$B$9-T625*AD625*Inputs!$B$13*(A625-AC625),0)</f>
        <v>0</v>
      </c>
      <c r="X625" s="10" t="n">
        <f aca="false">P625-IF(Q625,Inputs!$B$9,0)+W625</f>
        <v>1037.10316126448</v>
      </c>
      <c r="Y625" s="11" t="n">
        <f aca="false">IF(V625,0,T625)</f>
        <v>0</v>
      </c>
      <c r="Z625" s="9" t="b">
        <f aca="false">AND(Y625&gt;0,K625)</f>
        <v>0</v>
      </c>
      <c r="AA625" s="9" t="b">
        <f aca="false">AND(Y625=0,J625,ISNUMBER(L625))</f>
        <v>0</v>
      </c>
      <c r="AB625" s="8" t="n">
        <f aca="false">IF(Q625,R625,AB624)</f>
        <v>0.868065965109487</v>
      </c>
      <c r="AC625" s="12" t="n">
        <f aca="false">IF(Q625,A625,AC624)</f>
        <v>45375</v>
      </c>
      <c r="AD625" s="8" t="n">
        <f aca="false">IF(Q625,B625,AD624)</f>
        <v>0.86789238663216</v>
      </c>
      <c r="AE625" s="8" t="str">
        <f aca="false">IF(AA625,L625,"")</f>
        <v/>
      </c>
      <c r="AF625" s="8" t="n">
        <f aca="false">U625</f>
        <v>0.850507391154866</v>
      </c>
      <c r="AG625" s="2" t="n">
        <f aca="false">AG624+IF(Q625,1,0)</f>
        <v>4</v>
      </c>
      <c r="AH625" s="2" t="n">
        <f aca="false">AG624</f>
        <v>4</v>
      </c>
      <c r="AI625" s="10" t="n">
        <f aca="false">X625+Y625*(E625-AB625)-Y625*AD625*Inputs!$B$13*(A625-AC625)</f>
        <v>1037.10316126448</v>
      </c>
      <c r="AJ625" s="10" t="n">
        <v>0</v>
      </c>
      <c r="AK625" s="8" t="n">
        <f aca="false">IF(AND(B625&lt;=U625,NOT(Q625)),B625,U625)*(1-Inputs!$B$12)</f>
        <v>0.850337289676635</v>
      </c>
    </row>
    <row r="626" customFormat="false" ht="15" hidden="false" customHeight="false" outlineLevel="0" collapsed="false">
      <c r="A626" s="6" t="n">
        <v>45410</v>
      </c>
      <c r="B626" s="7" t="n">
        <v>0.878408848132082</v>
      </c>
      <c r="C626" s="7" t="n">
        <v>0.882959335520275</v>
      </c>
      <c r="D626" s="7" t="n">
        <v>0.871574764218479</v>
      </c>
      <c r="E626" s="7" t="n">
        <v>0.882001003613138</v>
      </c>
      <c r="F626" s="8" t="n">
        <f aca="true">IF(ROW()-2&gt;=Inputs!$B$4,AVERAGE(OFFSET(E626,1-Inputs!$B$4,0,Inputs!$B$4,1)),"")</f>
        <v>0.876147515926997</v>
      </c>
      <c r="G626" s="8" t="n">
        <f aca="true">IF(ROW()-2&gt;=Inputs!$B$5,AVERAGE(OFFSET(E626,1-Inputs!$B$5,0,Inputs!$B$5,1)),"")</f>
        <v>0.870546269253582</v>
      </c>
      <c r="H626" s="8" t="n">
        <f aca="false">MAX(C626-D626,ABS(C626-E625),ABS(D626-E625))</f>
        <v>0.0113845713017959</v>
      </c>
      <c r="I626" s="8" t="n">
        <f aca="true">IF(ROW()-2&lt;14,"",IF(ROW()-2=14,AVERAGE(OFFSET(H626,-13,0,14,1)),(I625*13+H626)/14))</f>
        <v>0.00919566851201451</v>
      </c>
      <c r="J626" s="9" t="b">
        <f aca="false">IF(AND(ISNUMBER(F626),ISNUMBER(G626),ISNUMBER(F625),ISNUMBER(G625)),AND(F626&gt;G626,F625&lt;=G625),FALSE())</f>
        <v>0</v>
      </c>
      <c r="K626" s="9" t="b">
        <f aca="false">IF(AND(ISNUMBER(F626),ISNUMBER(G626),ISNUMBER(F625),ISNUMBER(G625)),AND(F626&lt;G626,F625&gt;=G625),FALSE())</f>
        <v>0</v>
      </c>
      <c r="L626" s="8" t="n">
        <f aca="false">IF(ISNUMBER(I626),E626-Inputs!$B$6*I626,"")</f>
        <v>0.863609666589109</v>
      </c>
      <c r="M626" s="9" t="b">
        <f aca="false">AND(Y625&gt;0,Z625)</f>
        <v>0</v>
      </c>
      <c r="N626" s="8" t="n">
        <f aca="false">B626*(1-Inputs!$B$12)</f>
        <v>0.878233166362456</v>
      </c>
      <c r="O626" s="10" t="n">
        <f aca="false">IF(M626,Y625*(N626-AB625)-Inputs!$B$9-Y625*AD625*Inputs!$B$13*(A626-AC625),0)</f>
        <v>0</v>
      </c>
      <c r="P626" s="10" t="n">
        <f aca="false">X625+O626</f>
        <v>1037.10316126448</v>
      </c>
      <c r="Q626" s="9" t="b">
        <f aca="false">AND(IF(M626,0,Y625)=0,AA625,IF(ISNUMBER(AE625),B626&gt;AE625,FALSE()))</f>
        <v>0</v>
      </c>
      <c r="R626" s="8" t="n">
        <f aca="false">B626*(1+Inputs!$B$12)</f>
        <v>0.878584529901708</v>
      </c>
      <c r="S626" s="11" t="n">
        <f aca="false">IF(Q626,MIN(P626*Inputs!$B$3/(R626-AE625),P626*Inputs!$B$11/R626),0)</f>
        <v>0</v>
      </c>
      <c r="T626" s="11" t="n">
        <f aca="false">IF(Q626,S626,IF(M626,0,Y625))</f>
        <v>0</v>
      </c>
      <c r="U626" s="8" t="n">
        <f aca="false">IF(Q626,AE625,AF625)</f>
        <v>0.850507391154866</v>
      </c>
      <c r="V626" s="9" t="b">
        <f aca="false">AND(T626&gt;0,D626&lt;=U626)</f>
        <v>0</v>
      </c>
      <c r="W626" s="10" t="n">
        <f aca="false">IF(V626,T626*(AK626-AB626)-Inputs!$B$9-T626*AD626*Inputs!$B$13*(A626-AC626),0)</f>
        <v>0</v>
      </c>
      <c r="X626" s="10" t="n">
        <f aca="false">P626-IF(Q626,Inputs!$B$9,0)+W626</f>
        <v>1037.10316126448</v>
      </c>
      <c r="Y626" s="11" t="n">
        <f aca="false">IF(V626,0,T626)</f>
        <v>0</v>
      </c>
      <c r="Z626" s="9" t="b">
        <f aca="false">AND(Y626&gt;0,K626)</f>
        <v>0</v>
      </c>
      <c r="AA626" s="9" t="b">
        <f aca="false">AND(Y626=0,J626,ISNUMBER(L626))</f>
        <v>0</v>
      </c>
      <c r="AB626" s="8" t="n">
        <f aca="false">IF(Q626,R626,AB625)</f>
        <v>0.868065965109487</v>
      </c>
      <c r="AC626" s="12" t="n">
        <f aca="false">IF(Q626,A626,AC625)</f>
        <v>45375</v>
      </c>
      <c r="AD626" s="8" t="n">
        <f aca="false">IF(Q626,B626,AD625)</f>
        <v>0.86789238663216</v>
      </c>
      <c r="AE626" s="8" t="str">
        <f aca="false">IF(AA626,L626,"")</f>
        <v/>
      </c>
      <c r="AF626" s="8" t="n">
        <f aca="false">U626</f>
        <v>0.850507391154866</v>
      </c>
      <c r="AG626" s="2" t="n">
        <f aca="false">AG625+IF(Q626,1,0)</f>
        <v>4</v>
      </c>
      <c r="AH626" s="2" t="n">
        <f aca="false">AG625</f>
        <v>4</v>
      </c>
      <c r="AI626" s="10" t="n">
        <f aca="false">X626+Y626*(E626-AB626)-Y626*AD626*Inputs!$B$13*(A626-AC626)</f>
        <v>1037.10316126448</v>
      </c>
      <c r="AJ626" s="10" t="n">
        <v>0</v>
      </c>
      <c r="AK626" s="8" t="n">
        <f aca="false">IF(AND(B626&lt;=U626,NOT(Q626)),B626,U626)*(1-Inputs!$B$12)</f>
        <v>0.850337289676635</v>
      </c>
    </row>
    <row r="627" customFormat="false" ht="15" hidden="false" customHeight="false" outlineLevel="0" collapsed="false">
      <c r="A627" s="6" t="n">
        <v>45411</v>
      </c>
      <c r="B627" s="7" t="n">
        <v>0.882001003613138</v>
      </c>
      <c r="C627" s="7" t="n">
        <v>0.88556154514472</v>
      </c>
      <c r="D627" s="7" t="n">
        <v>0.879786425923597</v>
      </c>
      <c r="E627" s="7" t="n">
        <v>0.883256808116932</v>
      </c>
      <c r="F627" s="8" t="n">
        <f aca="true">IF(ROW()-2&gt;=Inputs!$B$4,AVERAGE(OFFSET(E627,1-Inputs!$B$4,0,Inputs!$B$4,1)),"")</f>
        <v>0.87684318937431</v>
      </c>
      <c r="G627" s="8" t="n">
        <f aca="true">IF(ROW()-2&gt;=Inputs!$B$5,AVERAGE(OFFSET(E627,1-Inputs!$B$5,0,Inputs!$B$5,1)),"")</f>
        <v>0.871062386158272</v>
      </c>
      <c r="H627" s="8" t="n">
        <f aca="false">MAX(C627-D627,ABS(C627-E626),ABS(D627-E626))</f>
        <v>0.00577511922112339</v>
      </c>
      <c r="I627" s="8" t="n">
        <f aca="true">IF(ROW()-2&lt;14,"",IF(ROW()-2=14,AVERAGE(OFFSET(H627,-13,0,14,1)),(I626*13+H627)/14))</f>
        <v>0.00895134356266515</v>
      </c>
      <c r="J627" s="9" t="b">
        <f aca="false">IF(AND(ISNUMBER(F627),ISNUMBER(G627),ISNUMBER(F626),ISNUMBER(G626)),AND(F627&gt;G627,F626&lt;=G626),FALSE())</f>
        <v>0</v>
      </c>
      <c r="K627" s="9" t="b">
        <f aca="false">IF(AND(ISNUMBER(F627),ISNUMBER(G627),ISNUMBER(F626),ISNUMBER(G626)),AND(F627&lt;G627,F626&gt;=G626),FALSE())</f>
        <v>0</v>
      </c>
      <c r="L627" s="8" t="n">
        <f aca="false">IF(ISNUMBER(I627),E627-Inputs!$B$6*I627,"")</f>
        <v>0.865354120991602</v>
      </c>
      <c r="M627" s="9" t="b">
        <f aca="false">AND(Y626&gt;0,Z626)</f>
        <v>0</v>
      </c>
      <c r="N627" s="8" t="n">
        <f aca="false">B627*(1-Inputs!$B$12)</f>
        <v>0.881824603412415</v>
      </c>
      <c r="O627" s="10" t="n">
        <f aca="false">IF(M627,Y626*(N627-AB626)-Inputs!$B$9-Y626*AD626*Inputs!$B$13*(A627-AC626),0)</f>
        <v>0</v>
      </c>
      <c r="P627" s="10" t="n">
        <f aca="false">X626+O627</f>
        <v>1037.10316126448</v>
      </c>
      <c r="Q627" s="9" t="b">
        <f aca="false">AND(IF(M627,0,Y626)=0,AA626,IF(ISNUMBER(AE626),B627&gt;AE626,FALSE()))</f>
        <v>0</v>
      </c>
      <c r="R627" s="8" t="n">
        <f aca="false">B627*(1+Inputs!$B$12)</f>
        <v>0.88217740381386</v>
      </c>
      <c r="S627" s="11" t="n">
        <f aca="false">IF(Q627,MIN(P627*Inputs!$B$3/(R627-AE626),P627*Inputs!$B$11/R627),0)</f>
        <v>0</v>
      </c>
      <c r="T627" s="11" t="n">
        <f aca="false">IF(Q627,S627,IF(M627,0,Y626))</f>
        <v>0</v>
      </c>
      <c r="U627" s="8" t="n">
        <f aca="false">IF(Q627,AE626,AF626)</f>
        <v>0.850507391154866</v>
      </c>
      <c r="V627" s="9" t="b">
        <f aca="false">AND(T627&gt;0,D627&lt;=U627)</f>
        <v>0</v>
      </c>
      <c r="W627" s="10" t="n">
        <f aca="false">IF(V627,T627*(AK627-AB627)-Inputs!$B$9-T627*AD627*Inputs!$B$13*(A627-AC627),0)</f>
        <v>0</v>
      </c>
      <c r="X627" s="10" t="n">
        <f aca="false">P627-IF(Q627,Inputs!$B$9,0)+W627</f>
        <v>1037.10316126448</v>
      </c>
      <c r="Y627" s="11" t="n">
        <f aca="false">IF(V627,0,T627)</f>
        <v>0</v>
      </c>
      <c r="Z627" s="9" t="b">
        <f aca="false">AND(Y627&gt;0,K627)</f>
        <v>0</v>
      </c>
      <c r="AA627" s="9" t="b">
        <f aca="false">AND(Y627=0,J627,ISNUMBER(L627))</f>
        <v>0</v>
      </c>
      <c r="AB627" s="8" t="n">
        <f aca="false">IF(Q627,R627,AB626)</f>
        <v>0.868065965109487</v>
      </c>
      <c r="AC627" s="12" t="n">
        <f aca="false">IF(Q627,A627,AC626)</f>
        <v>45375</v>
      </c>
      <c r="AD627" s="8" t="n">
        <f aca="false">IF(Q627,B627,AD626)</f>
        <v>0.86789238663216</v>
      </c>
      <c r="AE627" s="8" t="str">
        <f aca="false">IF(AA627,L627,"")</f>
        <v/>
      </c>
      <c r="AF627" s="8" t="n">
        <f aca="false">U627</f>
        <v>0.850507391154866</v>
      </c>
      <c r="AG627" s="2" t="n">
        <f aca="false">AG626+IF(Q627,1,0)</f>
        <v>4</v>
      </c>
      <c r="AH627" s="2" t="n">
        <f aca="false">AG626</f>
        <v>4</v>
      </c>
      <c r="AI627" s="10" t="n">
        <f aca="false">X627+Y627*(E627-AB627)-Y627*AD627*Inputs!$B$13*(A627-AC627)</f>
        <v>1037.10316126448</v>
      </c>
      <c r="AJ627" s="10" t="n">
        <v>0</v>
      </c>
      <c r="AK627" s="8" t="n">
        <f aca="false">IF(AND(B627&lt;=U627,NOT(Q627)),B627,U627)*(1-Inputs!$B$12)</f>
        <v>0.850337289676635</v>
      </c>
    </row>
    <row r="628" customFormat="false" ht="15" hidden="false" customHeight="false" outlineLevel="0" collapsed="false">
      <c r="A628" s="6" t="n">
        <v>45412</v>
      </c>
      <c r="B628" s="7" t="n">
        <v>0.883256808116932</v>
      </c>
      <c r="C628" s="7" t="n">
        <v>0.891431000831572</v>
      </c>
      <c r="D628" s="7" t="n">
        <v>0.882542540201408</v>
      </c>
      <c r="E628" s="7" t="n">
        <v>0.887193494880245</v>
      </c>
      <c r="F628" s="8" t="n">
        <f aca="true">IF(ROW()-2&gt;=Inputs!$B$4,AVERAGE(OFFSET(E628,1-Inputs!$B$4,0,Inputs!$B$4,1)),"")</f>
        <v>0.877258833803962</v>
      </c>
      <c r="G628" s="8" t="n">
        <f aca="true">IF(ROW()-2&gt;=Inputs!$B$5,AVERAGE(OFFSET(E628,1-Inputs!$B$5,0,Inputs!$B$5,1)),"")</f>
        <v>0.871590174839275</v>
      </c>
      <c r="H628" s="8" t="n">
        <f aca="false">MAX(C628-D628,ABS(C628-E627),ABS(D628-E627))</f>
        <v>0.00888846063016346</v>
      </c>
      <c r="I628" s="8" t="n">
        <f aca="true">IF(ROW()-2&lt;14,"",IF(ROW()-2=14,AVERAGE(OFFSET(H628,-13,0,14,1)),(I627*13+H628)/14))</f>
        <v>0.00894685192462931</v>
      </c>
      <c r="J628" s="9" t="b">
        <f aca="false">IF(AND(ISNUMBER(F628),ISNUMBER(G628),ISNUMBER(F627),ISNUMBER(G627)),AND(F628&gt;G628,F627&lt;=G627),FALSE())</f>
        <v>0</v>
      </c>
      <c r="K628" s="9" t="b">
        <f aca="false">IF(AND(ISNUMBER(F628),ISNUMBER(G628),ISNUMBER(F627),ISNUMBER(G627)),AND(F628&lt;G628,F627&gt;=G627),FALSE())</f>
        <v>0</v>
      </c>
      <c r="L628" s="8" t="n">
        <f aca="false">IF(ISNUMBER(I628),E628-Inputs!$B$6*I628,"")</f>
        <v>0.869299791030986</v>
      </c>
      <c r="M628" s="9" t="b">
        <f aca="false">AND(Y627&gt;0,Z627)</f>
        <v>0</v>
      </c>
      <c r="N628" s="8" t="n">
        <f aca="false">B628*(1-Inputs!$B$12)</f>
        <v>0.883080156755309</v>
      </c>
      <c r="O628" s="10" t="n">
        <f aca="false">IF(M628,Y627*(N628-AB627)-Inputs!$B$9-Y627*AD627*Inputs!$B$13*(A628-AC627),0)</f>
        <v>0</v>
      </c>
      <c r="P628" s="10" t="n">
        <f aca="false">X627+O628</f>
        <v>1037.10316126448</v>
      </c>
      <c r="Q628" s="9" t="b">
        <f aca="false">AND(IF(M628,0,Y627)=0,AA627,IF(ISNUMBER(AE627),B628&gt;AE627,FALSE()))</f>
        <v>0</v>
      </c>
      <c r="R628" s="8" t="n">
        <f aca="false">B628*(1+Inputs!$B$12)</f>
        <v>0.883433459478555</v>
      </c>
      <c r="S628" s="11" t="n">
        <f aca="false">IF(Q628,MIN(P628*Inputs!$B$3/(R628-AE627),P628*Inputs!$B$11/R628),0)</f>
        <v>0</v>
      </c>
      <c r="T628" s="11" t="n">
        <f aca="false">IF(Q628,S628,IF(M628,0,Y627))</f>
        <v>0</v>
      </c>
      <c r="U628" s="8" t="n">
        <f aca="false">IF(Q628,AE627,AF627)</f>
        <v>0.850507391154866</v>
      </c>
      <c r="V628" s="9" t="b">
        <f aca="false">AND(T628&gt;0,D628&lt;=U628)</f>
        <v>0</v>
      </c>
      <c r="W628" s="10" t="n">
        <f aca="false">IF(V628,T628*(AK628-AB628)-Inputs!$B$9-T628*AD628*Inputs!$B$13*(A628-AC628),0)</f>
        <v>0</v>
      </c>
      <c r="X628" s="10" t="n">
        <f aca="false">P628-IF(Q628,Inputs!$B$9,0)+W628</f>
        <v>1037.10316126448</v>
      </c>
      <c r="Y628" s="11" t="n">
        <f aca="false">IF(V628,0,T628)</f>
        <v>0</v>
      </c>
      <c r="Z628" s="9" t="b">
        <f aca="false">AND(Y628&gt;0,K628)</f>
        <v>0</v>
      </c>
      <c r="AA628" s="9" t="b">
        <f aca="false">AND(Y628=0,J628,ISNUMBER(L628))</f>
        <v>0</v>
      </c>
      <c r="AB628" s="8" t="n">
        <f aca="false">IF(Q628,R628,AB627)</f>
        <v>0.868065965109487</v>
      </c>
      <c r="AC628" s="12" t="n">
        <f aca="false">IF(Q628,A628,AC627)</f>
        <v>45375</v>
      </c>
      <c r="AD628" s="8" t="n">
        <f aca="false">IF(Q628,B628,AD627)</f>
        <v>0.86789238663216</v>
      </c>
      <c r="AE628" s="8" t="str">
        <f aca="false">IF(AA628,L628,"")</f>
        <v/>
      </c>
      <c r="AF628" s="8" t="n">
        <f aca="false">U628</f>
        <v>0.850507391154866</v>
      </c>
      <c r="AG628" s="2" t="n">
        <f aca="false">AG627+IF(Q628,1,0)</f>
        <v>4</v>
      </c>
      <c r="AH628" s="2" t="n">
        <f aca="false">AG627</f>
        <v>4</v>
      </c>
      <c r="AI628" s="10" t="n">
        <f aca="false">X628+Y628*(E628-AB628)-Y628*AD628*Inputs!$B$13*(A628-AC628)</f>
        <v>1037.10316126448</v>
      </c>
      <c r="AJ628" s="10" t="n">
        <v>0</v>
      </c>
      <c r="AK628" s="8" t="n">
        <f aca="false">IF(AND(B628&lt;=U628,NOT(Q628)),B628,U628)*(1-Inputs!$B$12)</f>
        <v>0.850337289676635</v>
      </c>
    </row>
    <row r="629" customFormat="false" ht="15" hidden="false" customHeight="false" outlineLevel="0" collapsed="false">
      <c r="A629" s="6" t="n">
        <v>45413</v>
      </c>
      <c r="B629" s="7" t="n">
        <v>0.887193494880245</v>
      </c>
      <c r="C629" s="7" t="n">
        <v>0.891205762562671</v>
      </c>
      <c r="D629" s="7" t="n">
        <v>0.887015376006778</v>
      </c>
      <c r="E629" s="7" t="n">
        <v>0.88934188606927</v>
      </c>
      <c r="F629" s="8" t="n">
        <f aca="true">IF(ROW()-2&gt;=Inputs!$B$4,AVERAGE(OFFSET(E629,1-Inputs!$B$4,0,Inputs!$B$4,1)),"")</f>
        <v>0.877921255027371</v>
      </c>
      <c r="G629" s="8" t="n">
        <f aca="true">IF(ROW()-2&gt;=Inputs!$B$5,AVERAGE(OFFSET(E629,1-Inputs!$B$5,0,Inputs!$B$5,1)),"")</f>
        <v>0.872157682212299</v>
      </c>
      <c r="H629" s="8" t="n">
        <f aca="false">MAX(C629-D629,ABS(C629-E628),ABS(D629-E628))</f>
        <v>0.00419038655589288</v>
      </c>
      <c r="I629" s="8" t="n">
        <f aca="true">IF(ROW()-2&lt;14,"",IF(ROW()-2=14,AVERAGE(OFFSET(H629,-13,0,14,1)),(I628*13+H629)/14))</f>
        <v>0.008607104398291</v>
      </c>
      <c r="J629" s="9" t="b">
        <f aca="false">IF(AND(ISNUMBER(F629),ISNUMBER(G629),ISNUMBER(F628),ISNUMBER(G628)),AND(F629&gt;G629,F628&lt;=G628),FALSE())</f>
        <v>0</v>
      </c>
      <c r="K629" s="9" t="b">
        <f aca="false">IF(AND(ISNUMBER(F629),ISNUMBER(G629),ISNUMBER(F628),ISNUMBER(G628)),AND(F629&lt;G629,F628&gt;=G628),FALSE())</f>
        <v>0</v>
      </c>
      <c r="L629" s="8" t="n">
        <f aca="false">IF(ISNUMBER(I629),E629-Inputs!$B$6*I629,"")</f>
        <v>0.872127677272688</v>
      </c>
      <c r="M629" s="9" t="b">
        <f aca="false">AND(Y628&gt;0,Z628)</f>
        <v>0</v>
      </c>
      <c r="N629" s="8" t="n">
        <f aca="false">B629*(1-Inputs!$B$12)</f>
        <v>0.887016056181269</v>
      </c>
      <c r="O629" s="10" t="n">
        <f aca="false">IF(M629,Y628*(N629-AB628)-Inputs!$B$9-Y628*AD628*Inputs!$B$13*(A629-AC628),0)</f>
        <v>0</v>
      </c>
      <c r="P629" s="10" t="n">
        <f aca="false">X628+O629</f>
        <v>1037.10316126448</v>
      </c>
      <c r="Q629" s="9" t="b">
        <f aca="false">AND(IF(M629,0,Y628)=0,AA628,IF(ISNUMBER(AE628),B629&gt;AE628,FALSE()))</f>
        <v>0</v>
      </c>
      <c r="R629" s="8" t="n">
        <f aca="false">B629*(1+Inputs!$B$12)</f>
        <v>0.887370933579221</v>
      </c>
      <c r="S629" s="11" t="n">
        <f aca="false">IF(Q629,MIN(P629*Inputs!$B$3/(R629-AE628),P629*Inputs!$B$11/R629),0)</f>
        <v>0</v>
      </c>
      <c r="T629" s="11" t="n">
        <f aca="false">IF(Q629,S629,IF(M629,0,Y628))</f>
        <v>0</v>
      </c>
      <c r="U629" s="8" t="n">
        <f aca="false">IF(Q629,AE628,AF628)</f>
        <v>0.850507391154866</v>
      </c>
      <c r="V629" s="9" t="b">
        <f aca="false">AND(T629&gt;0,D629&lt;=U629)</f>
        <v>0</v>
      </c>
      <c r="W629" s="10" t="n">
        <f aca="false">IF(V629,T629*(AK629-AB629)-Inputs!$B$9-T629*AD629*Inputs!$B$13*(A629-AC629),0)</f>
        <v>0</v>
      </c>
      <c r="X629" s="10" t="n">
        <f aca="false">P629-IF(Q629,Inputs!$B$9,0)+W629</f>
        <v>1037.10316126448</v>
      </c>
      <c r="Y629" s="11" t="n">
        <f aca="false">IF(V629,0,T629)</f>
        <v>0</v>
      </c>
      <c r="Z629" s="9" t="b">
        <f aca="false">AND(Y629&gt;0,K629)</f>
        <v>0</v>
      </c>
      <c r="AA629" s="9" t="b">
        <f aca="false">AND(Y629=0,J629,ISNUMBER(L629))</f>
        <v>0</v>
      </c>
      <c r="AB629" s="8" t="n">
        <f aca="false">IF(Q629,R629,AB628)</f>
        <v>0.868065965109487</v>
      </c>
      <c r="AC629" s="12" t="n">
        <f aca="false">IF(Q629,A629,AC628)</f>
        <v>45375</v>
      </c>
      <c r="AD629" s="8" t="n">
        <f aca="false">IF(Q629,B629,AD628)</f>
        <v>0.86789238663216</v>
      </c>
      <c r="AE629" s="8" t="str">
        <f aca="false">IF(AA629,L629,"")</f>
        <v/>
      </c>
      <c r="AF629" s="8" t="n">
        <f aca="false">U629</f>
        <v>0.850507391154866</v>
      </c>
      <c r="AG629" s="2" t="n">
        <f aca="false">AG628+IF(Q629,1,0)</f>
        <v>4</v>
      </c>
      <c r="AH629" s="2" t="n">
        <f aca="false">AG628</f>
        <v>4</v>
      </c>
      <c r="AI629" s="10" t="n">
        <f aca="false">X629+Y629*(E629-AB629)-Y629*AD629*Inputs!$B$13*(A629-AC629)</f>
        <v>1037.10316126448</v>
      </c>
      <c r="AJ629" s="10" t="n">
        <v>0</v>
      </c>
      <c r="AK629" s="8" t="n">
        <f aca="false">IF(AND(B629&lt;=U629,NOT(Q629)),B629,U629)*(1-Inputs!$B$12)</f>
        <v>0.850337289676635</v>
      </c>
    </row>
    <row r="630" customFormat="false" ht="15" hidden="false" customHeight="false" outlineLevel="0" collapsed="false">
      <c r="A630" s="6" t="n">
        <v>45414</v>
      </c>
      <c r="B630" s="7" t="n">
        <v>0.88934188606927</v>
      </c>
      <c r="C630" s="7" t="n">
        <v>0.906435043483048</v>
      </c>
      <c r="D630" s="7" t="n">
        <v>0.884250742690959</v>
      </c>
      <c r="E630" s="7" t="n">
        <v>0.902615390172215</v>
      </c>
      <c r="F630" s="8" t="n">
        <f aca="true">IF(ROW()-2&gt;=Inputs!$B$4,AVERAGE(OFFSET(E630,1-Inputs!$B$4,0,Inputs!$B$4,1)),"")</f>
        <v>0.879342706097167</v>
      </c>
      <c r="G630" s="8" t="n">
        <f aca="true">IF(ROW()-2&gt;=Inputs!$B$5,AVERAGE(OFFSET(E630,1-Inputs!$B$5,0,Inputs!$B$5,1)),"")</f>
        <v>0.872921488860597</v>
      </c>
      <c r="H630" s="8" t="n">
        <f aca="false">MAX(C630-D630,ABS(C630-E629),ABS(D630-E629))</f>
        <v>0.022184300792089</v>
      </c>
      <c r="I630" s="8" t="n">
        <f aca="true">IF(ROW()-2&lt;14,"",IF(ROW()-2=14,AVERAGE(OFFSET(H630,-13,0,14,1)),(I629*13+H630)/14))</f>
        <v>0.00957690414070514</v>
      </c>
      <c r="J630" s="9" t="b">
        <f aca="false">IF(AND(ISNUMBER(F630),ISNUMBER(G630),ISNUMBER(F629),ISNUMBER(G629)),AND(F630&gt;G630,F629&lt;=G629),FALSE())</f>
        <v>0</v>
      </c>
      <c r="K630" s="9" t="b">
        <f aca="false">IF(AND(ISNUMBER(F630),ISNUMBER(G630),ISNUMBER(F629),ISNUMBER(G629)),AND(F630&lt;G630,F629&gt;=G629),FALSE())</f>
        <v>0</v>
      </c>
      <c r="L630" s="8" t="n">
        <f aca="false">IF(ISNUMBER(I630),E630-Inputs!$B$6*I630,"")</f>
        <v>0.883461581890805</v>
      </c>
      <c r="M630" s="9" t="b">
        <f aca="false">AND(Y629&gt;0,Z629)</f>
        <v>0</v>
      </c>
      <c r="N630" s="8" t="n">
        <f aca="false">B630*(1-Inputs!$B$12)</f>
        <v>0.889164017692057</v>
      </c>
      <c r="O630" s="10" t="n">
        <f aca="false">IF(M630,Y629*(N630-AB629)-Inputs!$B$9-Y629*AD629*Inputs!$B$13*(A630-AC629),0)</f>
        <v>0</v>
      </c>
      <c r="P630" s="10" t="n">
        <f aca="false">X629+O630</f>
        <v>1037.10316126448</v>
      </c>
      <c r="Q630" s="9" t="b">
        <f aca="false">AND(IF(M630,0,Y629)=0,AA629,IF(ISNUMBER(AE629),B630&gt;AE629,FALSE()))</f>
        <v>0</v>
      </c>
      <c r="R630" s="8" t="n">
        <f aca="false">B630*(1+Inputs!$B$12)</f>
        <v>0.889519754446484</v>
      </c>
      <c r="S630" s="11" t="n">
        <f aca="false">IF(Q630,MIN(P630*Inputs!$B$3/(R630-AE629),P630*Inputs!$B$11/R630),0)</f>
        <v>0</v>
      </c>
      <c r="T630" s="11" t="n">
        <f aca="false">IF(Q630,S630,IF(M630,0,Y629))</f>
        <v>0</v>
      </c>
      <c r="U630" s="8" t="n">
        <f aca="false">IF(Q630,AE629,AF629)</f>
        <v>0.850507391154866</v>
      </c>
      <c r="V630" s="9" t="b">
        <f aca="false">AND(T630&gt;0,D630&lt;=U630)</f>
        <v>0</v>
      </c>
      <c r="W630" s="10" t="n">
        <f aca="false">IF(V630,T630*(AK630-AB630)-Inputs!$B$9-T630*AD630*Inputs!$B$13*(A630-AC630),0)</f>
        <v>0</v>
      </c>
      <c r="X630" s="10" t="n">
        <f aca="false">P630-IF(Q630,Inputs!$B$9,0)+W630</f>
        <v>1037.10316126448</v>
      </c>
      <c r="Y630" s="11" t="n">
        <f aca="false">IF(V630,0,T630)</f>
        <v>0</v>
      </c>
      <c r="Z630" s="9" t="b">
        <f aca="false">AND(Y630&gt;0,K630)</f>
        <v>0</v>
      </c>
      <c r="AA630" s="9" t="b">
        <f aca="false">AND(Y630=0,J630,ISNUMBER(L630))</f>
        <v>0</v>
      </c>
      <c r="AB630" s="8" t="n">
        <f aca="false">IF(Q630,R630,AB629)</f>
        <v>0.868065965109487</v>
      </c>
      <c r="AC630" s="12" t="n">
        <f aca="false">IF(Q630,A630,AC629)</f>
        <v>45375</v>
      </c>
      <c r="AD630" s="8" t="n">
        <f aca="false">IF(Q630,B630,AD629)</f>
        <v>0.86789238663216</v>
      </c>
      <c r="AE630" s="8" t="str">
        <f aca="false">IF(AA630,L630,"")</f>
        <v/>
      </c>
      <c r="AF630" s="8" t="n">
        <f aca="false">U630</f>
        <v>0.850507391154866</v>
      </c>
      <c r="AG630" s="2" t="n">
        <f aca="false">AG629+IF(Q630,1,0)</f>
        <v>4</v>
      </c>
      <c r="AH630" s="2" t="n">
        <f aca="false">AG629</f>
        <v>4</v>
      </c>
      <c r="AI630" s="10" t="n">
        <f aca="false">X630+Y630*(E630-AB630)-Y630*AD630*Inputs!$B$13*(A630-AC630)</f>
        <v>1037.10316126448</v>
      </c>
      <c r="AJ630" s="10" t="n">
        <v>0</v>
      </c>
      <c r="AK630" s="8" t="n">
        <f aca="false">IF(AND(B630&lt;=U630,NOT(Q630)),B630,U630)*(1-Inputs!$B$12)</f>
        <v>0.850337289676635</v>
      </c>
    </row>
    <row r="631" customFormat="false" ht="15" hidden="false" customHeight="false" outlineLevel="0" collapsed="false">
      <c r="A631" s="6" t="n">
        <v>45415</v>
      </c>
      <c r="B631" s="7" t="n">
        <v>0.902615390172215</v>
      </c>
      <c r="C631" s="7" t="n">
        <v>0.906032729178826</v>
      </c>
      <c r="D631" s="7" t="n">
        <v>0.895254728989438</v>
      </c>
      <c r="E631" s="7" t="n">
        <v>0.901936053108824</v>
      </c>
      <c r="F631" s="8" t="n">
        <f aca="true">IF(ROW()-2&gt;=Inputs!$B$4,AVERAGE(OFFSET(E631,1-Inputs!$B$4,0,Inputs!$B$4,1)),"")</f>
        <v>0.88072601950753</v>
      </c>
      <c r="G631" s="8" t="n">
        <f aca="true">IF(ROW()-2&gt;=Inputs!$B$5,AVERAGE(OFFSET(E631,1-Inputs!$B$5,0,Inputs!$B$5,1)),"")</f>
        <v>0.87368298452152</v>
      </c>
      <c r="H631" s="8" t="n">
        <f aca="false">MAX(C631-D631,ABS(C631-E630),ABS(D631-E630))</f>
        <v>0.0107780001893873</v>
      </c>
      <c r="I631" s="8" t="n">
        <f aca="true">IF(ROW()-2&lt;14,"",IF(ROW()-2=14,AVERAGE(OFFSET(H631,-13,0,14,1)),(I630*13+H631)/14))</f>
        <v>0.00966269671561101</v>
      </c>
      <c r="J631" s="9" t="b">
        <f aca="false">IF(AND(ISNUMBER(F631),ISNUMBER(G631),ISNUMBER(F630),ISNUMBER(G630)),AND(F631&gt;G631,F630&lt;=G630),FALSE())</f>
        <v>0</v>
      </c>
      <c r="K631" s="9" t="b">
        <f aca="false">IF(AND(ISNUMBER(F631),ISNUMBER(G631),ISNUMBER(F630),ISNUMBER(G630)),AND(F631&lt;G631,F630&gt;=G630),FALSE())</f>
        <v>0</v>
      </c>
      <c r="L631" s="8" t="n">
        <f aca="false">IF(ISNUMBER(I631),E631-Inputs!$B$6*I631,"")</f>
        <v>0.882610659677602</v>
      </c>
      <c r="M631" s="9" t="b">
        <f aca="false">AND(Y630&gt;0,Z630)</f>
        <v>0</v>
      </c>
      <c r="N631" s="8" t="n">
        <f aca="false">B631*(1-Inputs!$B$12)</f>
        <v>0.902434867094181</v>
      </c>
      <c r="O631" s="10" t="n">
        <f aca="false">IF(M631,Y630*(N631-AB630)-Inputs!$B$9-Y630*AD630*Inputs!$B$13*(A631-AC630),0)</f>
        <v>0</v>
      </c>
      <c r="P631" s="10" t="n">
        <f aca="false">X630+O631</f>
        <v>1037.10316126448</v>
      </c>
      <c r="Q631" s="9" t="b">
        <f aca="false">AND(IF(M631,0,Y630)=0,AA630,IF(ISNUMBER(AE630),B631&gt;AE630,FALSE()))</f>
        <v>0</v>
      </c>
      <c r="R631" s="8" t="n">
        <f aca="false">B631*(1+Inputs!$B$12)</f>
        <v>0.902795913250249</v>
      </c>
      <c r="S631" s="11" t="n">
        <f aca="false">IF(Q631,MIN(P631*Inputs!$B$3/(R631-AE630),P631*Inputs!$B$11/R631),0)</f>
        <v>0</v>
      </c>
      <c r="T631" s="11" t="n">
        <f aca="false">IF(Q631,S631,IF(M631,0,Y630))</f>
        <v>0</v>
      </c>
      <c r="U631" s="8" t="n">
        <f aca="false">IF(Q631,AE630,AF630)</f>
        <v>0.850507391154866</v>
      </c>
      <c r="V631" s="9" t="b">
        <f aca="false">AND(T631&gt;0,D631&lt;=U631)</f>
        <v>0</v>
      </c>
      <c r="W631" s="10" t="n">
        <f aca="false">IF(V631,T631*(AK631-AB631)-Inputs!$B$9-T631*AD631*Inputs!$B$13*(A631-AC631),0)</f>
        <v>0</v>
      </c>
      <c r="X631" s="10" t="n">
        <f aca="false">P631-IF(Q631,Inputs!$B$9,0)+W631</f>
        <v>1037.10316126448</v>
      </c>
      <c r="Y631" s="11" t="n">
        <f aca="false">IF(V631,0,T631)</f>
        <v>0</v>
      </c>
      <c r="Z631" s="9" t="b">
        <f aca="false">AND(Y631&gt;0,K631)</f>
        <v>0</v>
      </c>
      <c r="AA631" s="9" t="b">
        <f aca="false">AND(Y631=0,J631,ISNUMBER(L631))</f>
        <v>0</v>
      </c>
      <c r="AB631" s="8" t="n">
        <f aca="false">IF(Q631,R631,AB630)</f>
        <v>0.868065965109487</v>
      </c>
      <c r="AC631" s="12" t="n">
        <f aca="false">IF(Q631,A631,AC630)</f>
        <v>45375</v>
      </c>
      <c r="AD631" s="8" t="n">
        <f aca="false">IF(Q631,B631,AD630)</f>
        <v>0.86789238663216</v>
      </c>
      <c r="AE631" s="8" t="str">
        <f aca="false">IF(AA631,L631,"")</f>
        <v/>
      </c>
      <c r="AF631" s="8" t="n">
        <f aca="false">U631</f>
        <v>0.850507391154866</v>
      </c>
      <c r="AG631" s="2" t="n">
        <f aca="false">AG630+IF(Q631,1,0)</f>
        <v>4</v>
      </c>
      <c r="AH631" s="2" t="n">
        <f aca="false">AG630</f>
        <v>4</v>
      </c>
      <c r="AI631" s="10" t="n">
        <f aca="false">X631+Y631*(E631-AB631)-Y631*AD631*Inputs!$B$13*(A631-AC631)</f>
        <v>1037.10316126448</v>
      </c>
      <c r="AJ631" s="10" t="n">
        <v>0</v>
      </c>
      <c r="AK631" s="8" t="n">
        <f aca="false">IF(AND(B631&lt;=U631,NOT(Q631)),B631,U631)*(1-Inputs!$B$12)</f>
        <v>0.850337289676635</v>
      </c>
    </row>
    <row r="632" customFormat="false" ht="15" hidden="false" customHeight="false" outlineLevel="0" collapsed="false">
      <c r="A632" s="6" t="n">
        <v>45416</v>
      </c>
      <c r="B632" s="7" t="n">
        <v>0.901936053108824</v>
      </c>
      <c r="C632" s="7" t="n">
        <v>0.914054824515149</v>
      </c>
      <c r="D632" s="7" t="n">
        <v>0.90191950392833</v>
      </c>
      <c r="E632" s="7" t="n">
        <v>0.911606841311071</v>
      </c>
      <c r="F632" s="8" t="n">
        <f aca="true">IF(ROW()-2&gt;=Inputs!$B$4,AVERAGE(OFFSET(E632,1-Inputs!$B$4,0,Inputs!$B$4,1)),"")</f>
        <v>0.882545796106862</v>
      </c>
      <c r="G632" s="8" t="n">
        <f aca="true">IF(ROW()-2&gt;=Inputs!$B$5,AVERAGE(OFFSET(E632,1-Inputs!$B$5,0,Inputs!$B$5,1)),"")</f>
        <v>0.874465402544297</v>
      </c>
      <c r="H632" s="8" t="n">
        <f aca="false">MAX(C632-D632,ABS(C632-E631),ABS(D632-E631))</f>
        <v>0.0121353205868191</v>
      </c>
      <c r="I632" s="8" t="n">
        <f aca="true">IF(ROW()-2&lt;14,"",IF(ROW()-2=14,AVERAGE(OFFSET(H632,-13,0,14,1)),(I631*13+H632)/14))</f>
        <v>0.00983931270641159</v>
      </c>
      <c r="J632" s="9" t="b">
        <f aca="false">IF(AND(ISNUMBER(F632),ISNUMBER(G632),ISNUMBER(F631),ISNUMBER(G631)),AND(F632&gt;G632,F631&lt;=G631),FALSE())</f>
        <v>0</v>
      </c>
      <c r="K632" s="9" t="b">
        <f aca="false">IF(AND(ISNUMBER(F632),ISNUMBER(G632),ISNUMBER(F631),ISNUMBER(G631)),AND(F632&lt;G632,F631&gt;=G631),FALSE())</f>
        <v>0</v>
      </c>
      <c r="L632" s="8" t="n">
        <f aca="false">IF(ISNUMBER(I632),E632-Inputs!$B$6*I632,"")</f>
        <v>0.891928215898247</v>
      </c>
      <c r="M632" s="9" t="b">
        <f aca="false">AND(Y631&gt;0,Z631)</f>
        <v>0</v>
      </c>
      <c r="N632" s="8" t="n">
        <f aca="false">B632*(1-Inputs!$B$12)</f>
        <v>0.901755665898202</v>
      </c>
      <c r="O632" s="10" t="n">
        <f aca="false">IF(M632,Y631*(N632-AB631)-Inputs!$B$9-Y631*AD631*Inputs!$B$13*(A632-AC631),0)</f>
        <v>0</v>
      </c>
      <c r="P632" s="10" t="n">
        <f aca="false">X631+O632</f>
        <v>1037.10316126448</v>
      </c>
      <c r="Q632" s="9" t="b">
        <f aca="false">AND(IF(M632,0,Y631)=0,AA631,IF(ISNUMBER(AE631),B632&gt;AE631,FALSE()))</f>
        <v>0</v>
      </c>
      <c r="R632" s="8" t="n">
        <f aca="false">B632*(1+Inputs!$B$12)</f>
        <v>0.902116440319445</v>
      </c>
      <c r="S632" s="11" t="n">
        <f aca="false">IF(Q632,MIN(P632*Inputs!$B$3/(R632-AE631),P632*Inputs!$B$11/R632),0)</f>
        <v>0</v>
      </c>
      <c r="T632" s="11" t="n">
        <f aca="false">IF(Q632,S632,IF(M632,0,Y631))</f>
        <v>0</v>
      </c>
      <c r="U632" s="8" t="n">
        <f aca="false">IF(Q632,AE631,AF631)</f>
        <v>0.850507391154866</v>
      </c>
      <c r="V632" s="9" t="b">
        <f aca="false">AND(T632&gt;0,D632&lt;=U632)</f>
        <v>0</v>
      </c>
      <c r="W632" s="10" t="n">
        <f aca="false">IF(V632,T632*(AK632-AB632)-Inputs!$B$9-T632*AD632*Inputs!$B$13*(A632-AC632),0)</f>
        <v>0</v>
      </c>
      <c r="X632" s="10" t="n">
        <f aca="false">P632-IF(Q632,Inputs!$B$9,0)+W632</f>
        <v>1037.10316126448</v>
      </c>
      <c r="Y632" s="11" t="n">
        <f aca="false">IF(V632,0,T632)</f>
        <v>0</v>
      </c>
      <c r="Z632" s="9" t="b">
        <f aca="false">AND(Y632&gt;0,K632)</f>
        <v>0</v>
      </c>
      <c r="AA632" s="9" t="b">
        <f aca="false">AND(Y632=0,J632,ISNUMBER(L632))</f>
        <v>0</v>
      </c>
      <c r="AB632" s="8" t="n">
        <f aca="false">IF(Q632,R632,AB631)</f>
        <v>0.868065965109487</v>
      </c>
      <c r="AC632" s="12" t="n">
        <f aca="false">IF(Q632,A632,AC631)</f>
        <v>45375</v>
      </c>
      <c r="AD632" s="8" t="n">
        <f aca="false">IF(Q632,B632,AD631)</f>
        <v>0.86789238663216</v>
      </c>
      <c r="AE632" s="8" t="str">
        <f aca="false">IF(AA632,L632,"")</f>
        <v/>
      </c>
      <c r="AF632" s="8" t="n">
        <f aca="false">U632</f>
        <v>0.850507391154866</v>
      </c>
      <c r="AG632" s="2" t="n">
        <f aca="false">AG631+IF(Q632,1,0)</f>
        <v>4</v>
      </c>
      <c r="AH632" s="2" t="n">
        <f aca="false">AG631</f>
        <v>4</v>
      </c>
      <c r="AI632" s="10" t="n">
        <f aca="false">X632+Y632*(E632-AB632)-Y632*AD632*Inputs!$B$13*(A632-AC632)</f>
        <v>1037.10316126448</v>
      </c>
      <c r="AJ632" s="10" t="n">
        <v>0</v>
      </c>
      <c r="AK632" s="8" t="n">
        <f aca="false">IF(AND(B632&lt;=U632,NOT(Q632)),B632,U632)*(1-Inputs!$B$12)</f>
        <v>0.850337289676635</v>
      </c>
    </row>
    <row r="633" customFormat="false" ht="15" hidden="false" customHeight="false" outlineLevel="0" collapsed="false">
      <c r="A633" s="6" t="n">
        <v>45417</v>
      </c>
      <c r="B633" s="7" t="n">
        <v>0.911606841311071</v>
      </c>
      <c r="C633" s="7" t="n">
        <v>0.912880170818117</v>
      </c>
      <c r="D633" s="7" t="n">
        <v>0.902167790415876</v>
      </c>
      <c r="E633" s="7" t="n">
        <v>0.907843621378273</v>
      </c>
      <c r="F633" s="8" t="n">
        <f aca="true">IF(ROW()-2&gt;=Inputs!$B$4,AVERAGE(OFFSET(E633,1-Inputs!$B$4,0,Inputs!$B$4,1)),"")</f>
        <v>0.883943558978052</v>
      </c>
      <c r="G633" s="8" t="n">
        <f aca="true">IF(ROW()-2&gt;=Inputs!$B$5,AVERAGE(OFFSET(E633,1-Inputs!$B$5,0,Inputs!$B$5,1)),"")</f>
        <v>0.875342183536848</v>
      </c>
      <c r="H633" s="8" t="n">
        <f aca="false">MAX(C633-D633,ABS(C633-E632),ABS(D633-E632))</f>
        <v>0.0107123804022411</v>
      </c>
      <c r="I633" s="8" t="n">
        <f aca="true">IF(ROW()-2&lt;14,"",IF(ROW()-2=14,AVERAGE(OFFSET(H633,-13,0,14,1)),(I632*13+H633)/14))</f>
        <v>0.00990167468468512</v>
      </c>
      <c r="J633" s="9" t="b">
        <f aca="false">IF(AND(ISNUMBER(F633),ISNUMBER(G633),ISNUMBER(F632),ISNUMBER(G632)),AND(F633&gt;G633,F632&lt;=G632),FALSE())</f>
        <v>0</v>
      </c>
      <c r="K633" s="9" t="b">
        <f aca="false">IF(AND(ISNUMBER(F633),ISNUMBER(G633),ISNUMBER(F632),ISNUMBER(G632)),AND(F633&lt;G633,F632&gt;=G632),FALSE())</f>
        <v>0</v>
      </c>
      <c r="L633" s="8" t="n">
        <f aca="false">IF(ISNUMBER(I633),E633-Inputs!$B$6*I633,"")</f>
        <v>0.888040272008903</v>
      </c>
      <c r="M633" s="9" t="b">
        <f aca="false">AND(Y632&gt;0,Z632)</f>
        <v>0</v>
      </c>
      <c r="N633" s="8" t="n">
        <f aca="false">B633*(1-Inputs!$B$12)</f>
        <v>0.911424519942808</v>
      </c>
      <c r="O633" s="10" t="n">
        <f aca="false">IF(M633,Y632*(N633-AB632)-Inputs!$B$9-Y632*AD632*Inputs!$B$13*(A633-AC632),0)</f>
        <v>0</v>
      </c>
      <c r="P633" s="10" t="n">
        <f aca="false">X632+O633</f>
        <v>1037.10316126448</v>
      </c>
      <c r="Q633" s="9" t="b">
        <f aca="false">AND(IF(M633,0,Y632)=0,AA632,IF(ISNUMBER(AE632),B633&gt;AE632,FALSE()))</f>
        <v>0</v>
      </c>
      <c r="R633" s="8" t="n">
        <f aca="false">B633*(1+Inputs!$B$12)</f>
        <v>0.911789162679333</v>
      </c>
      <c r="S633" s="11" t="n">
        <f aca="false">IF(Q633,MIN(P633*Inputs!$B$3/(R633-AE632),P633*Inputs!$B$11/R633),0)</f>
        <v>0</v>
      </c>
      <c r="T633" s="11" t="n">
        <f aca="false">IF(Q633,S633,IF(M633,0,Y632))</f>
        <v>0</v>
      </c>
      <c r="U633" s="8" t="n">
        <f aca="false">IF(Q633,AE632,AF632)</f>
        <v>0.850507391154866</v>
      </c>
      <c r="V633" s="9" t="b">
        <f aca="false">AND(T633&gt;0,D633&lt;=U633)</f>
        <v>0</v>
      </c>
      <c r="W633" s="10" t="n">
        <f aca="false">IF(V633,T633*(AK633-AB633)-Inputs!$B$9-T633*AD633*Inputs!$B$13*(A633-AC633),0)</f>
        <v>0</v>
      </c>
      <c r="X633" s="10" t="n">
        <f aca="false">P633-IF(Q633,Inputs!$B$9,0)+W633</f>
        <v>1037.10316126448</v>
      </c>
      <c r="Y633" s="11" t="n">
        <f aca="false">IF(V633,0,T633)</f>
        <v>0</v>
      </c>
      <c r="Z633" s="9" t="b">
        <f aca="false">AND(Y633&gt;0,K633)</f>
        <v>0</v>
      </c>
      <c r="AA633" s="9" t="b">
        <f aca="false">AND(Y633=0,J633,ISNUMBER(L633))</f>
        <v>0</v>
      </c>
      <c r="AB633" s="8" t="n">
        <f aca="false">IF(Q633,R633,AB632)</f>
        <v>0.868065965109487</v>
      </c>
      <c r="AC633" s="12" t="n">
        <f aca="false">IF(Q633,A633,AC632)</f>
        <v>45375</v>
      </c>
      <c r="AD633" s="8" t="n">
        <f aca="false">IF(Q633,B633,AD632)</f>
        <v>0.86789238663216</v>
      </c>
      <c r="AE633" s="8" t="str">
        <f aca="false">IF(AA633,L633,"")</f>
        <v/>
      </c>
      <c r="AF633" s="8" t="n">
        <f aca="false">U633</f>
        <v>0.850507391154866</v>
      </c>
      <c r="AG633" s="2" t="n">
        <f aca="false">AG632+IF(Q633,1,0)</f>
        <v>4</v>
      </c>
      <c r="AH633" s="2" t="n">
        <f aca="false">AG632</f>
        <v>4</v>
      </c>
      <c r="AI633" s="10" t="n">
        <f aca="false">X633+Y633*(E633-AB633)-Y633*AD633*Inputs!$B$13*(A633-AC633)</f>
        <v>1037.10316126448</v>
      </c>
      <c r="AJ633" s="10" t="n">
        <v>0</v>
      </c>
      <c r="AK633" s="8" t="n">
        <f aca="false">IF(AND(B633&lt;=U633,NOT(Q633)),B633,U633)*(1-Inputs!$B$12)</f>
        <v>0.850337289676635</v>
      </c>
    </row>
    <row r="634" customFormat="false" ht="15" hidden="false" customHeight="false" outlineLevel="0" collapsed="false">
      <c r="A634" s="6" t="n">
        <v>45418</v>
      </c>
      <c r="B634" s="7" t="n">
        <v>0.907843621378273</v>
      </c>
      <c r="C634" s="7" t="n">
        <v>0.916526989316578</v>
      </c>
      <c r="D634" s="7" t="n">
        <v>0.905488330862842</v>
      </c>
      <c r="E634" s="7" t="n">
        <v>0.914612458730031</v>
      </c>
      <c r="F634" s="8" t="n">
        <f aca="true">IF(ROW()-2&gt;=Inputs!$B$4,AVERAGE(OFFSET(E634,1-Inputs!$B$4,0,Inputs!$B$4,1)),"")</f>
        <v>0.885762015544853</v>
      </c>
      <c r="G634" s="8" t="n">
        <f aca="true">IF(ROW()-2&gt;=Inputs!$B$5,AVERAGE(OFFSET(E634,1-Inputs!$B$5,0,Inputs!$B$5,1)),"")</f>
        <v>0.876220627585729</v>
      </c>
      <c r="H634" s="8" t="n">
        <f aca="false">MAX(C634-D634,ABS(C634-E633),ABS(D634-E633))</f>
        <v>0.0110386584537356</v>
      </c>
      <c r="I634" s="8" t="n">
        <f aca="true">IF(ROW()-2&lt;14,"",IF(ROW()-2=14,AVERAGE(OFFSET(H634,-13,0,14,1)),(I633*13+H634)/14))</f>
        <v>0.00998288781104588</v>
      </c>
      <c r="J634" s="9" t="b">
        <f aca="false">IF(AND(ISNUMBER(F634),ISNUMBER(G634),ISNUMBER(F633),ISNUMBER(G633)),AND(F634&gt;G634,F633&lt;=G633),FALSE())</f>
        <v>0</v>
      </c>
      <c r="K634" s="9" t="b">
        <f aca="false">IF(AND(ISNUMBER(F634),ISNUMBER(G634),ISNUMBER(F633),ISNUMBER(G633)),AND(F634&lt;G634,F633&gt;=G633),FALSE())</f>
        <v>0</v>
      </c>
      <c r="L634" s="8" t="n">
        <f aca="false">IF(ISNUMBER(I634),E634-Inputs!$B$6*I634,"")</f>
        <v>0.894646683107939</v>
      </c>
      <c r="M634" s="9" t="b">
        <f aca="false">AND(Y633&gt;0,Z633)</f>
        <v>0</v>
      </c>
      <c r="N634" s="8" t="n">
        <f aca="false">B634*(1-Inputs!$B$12)</f>
        <v>0.907662052653998</v>
      </c>
      <c r="O634" s="10" t="n">
        <f aca="false">IF(M634,Y633*(N634-AB633)-Inputs!$B$9-Y633*AD633*Inputs!$B$13*(A634-AC633),0)</f>
        <v>0</v>
      </c>
      <c r="P634" s="10" t="n">
        <f aca="false">X633+O634</f>
        <v>1037.10316126448</v>
      </c>
      <c r="Q634" s="9" t="b">
        <f aca="false">AND(IF(M634,0,Y633)=0,AA633,IF(ISNUMBER(AE633),B634&gt;AE633,FALSE()))</f>
        <v>0</v>
      </c>
      <c r="R634" s="8" t="n">
        <f aca="false">B634*(1+Inputs!$B$12)</f>
        <v>0.908025190102549</v>
      </c>
      <c r="S634" s="11" t="n">
        <f aca="false">IF(Q634,MIN(P634*Inputs!$B$3/(R634-AE633),P634*Inputs!$B$11/R634),0)</f>
        <v>0</v>
      </c>
      <c r="T634" s="11" t="n">
        <f aca="false">IF(Q634,S634,IF(M634,0,Y633))</f>
        <v>0</v>
      </c>
      <c r="U634" s="8" t="n">
        <f aca="false">IF(Q634,AE633,AF633)</f>
        <v>0.850507391154866</v>
      </c>
      <c r="V634" s="9" t="b">
        <f aca="false">AND(T634&gt;0,D634&lt;=U634)</f>
        <v>0</v>
      </c>
      <c r="W634" s="10" t="n">
        <f aca="false">IF(V634,T634*(AK634-AB634)-Inputs!$B$9-T634*AD634*Inputs!$B$13*(A634-AC634),0)</f>
        <v>0</v>
      </c>
      <c r="X634" s="10" t="n">
        <f aca="false">P634-IF(Q634,Inputs!$B$9,0)+W634</f>
        <v>1037.10316126448</v>
      </c>
      <c r="Y634" s="11" t="n">
        <f aca="false">IF(V634,0,T634)</f>
        <v>0</v>
      </c>
      <c r="Z634" s="9" t="b">
        <f aca="false">AND(Y634&gt;0,K634)</f>
        <v>0</v>
      </c>
      <c r="AA634" s="9" t="b">
        <f aca="false">AND(Y634=0,J634,ISNUMBER(L634))</f>
        <v>0</v>
      </c>
      <c r="AB634" s="8" t="n">
        <f aca="false">IF(Q634,R634,AB633)</f>
        <v>0.868065965109487</v>
      </c>
      <c r="AC634" s="12" t="n">
        <f aca="false">IF(Q634,A634,AC633)</f>
        <v>45375</v>
      </c>
      <c r="AD634" s="8" t="n">
        <f aca="false">IF(Q634,B634,AD633)</f>
        <v>0.86789238663216</v>
      </c>
      <c r="AE634" s="8" t="str">
        <f aca="false">IF(AA634,L634,"")</f>
        <v/>
      </c>
      <c r="AF634" s="8" t="n">
        <f aca="false">U634</f>
        <v>0.850507391154866</v>
      </c>
      <c r="AG634" s="2" t="n">
        <f aca="false">AG633+IF(Q634,1,0)</f>
        <v>4</v>
      </c>
      <c r="AH634" s="2" t="n">
        <f aca="false">AG633</f>
        <v>4</v>
      </c>
      <c r="AI634" s="10" t="n">
        <f aca="false">X634+Y634*(E634-AB634)-Y634*AD634*Inputs!$B$13*(A634-AC634)</f>
        <v>1037.10316126448</v>
      </c>
      <c r="AJ634" s="10" t="n">
        <v>0</v>
      </c>
      <c r="AK634" s="8" t="n">
        <f aca="false">IF(AND(B634&lt;=U634,NOT(Q634)),B634,U634)*(1-Inputs!$B$12)</f>
        <v>0.850337289676635</v>
      </c>
    </row>
    <row r="635" customFormat="false" ht="15" hidden="false" customHeight="false" outlineLevel="0" collapsed="false">
      <c r="A635" s="6" t="n">
        <v>45419</v>
      </c>
      <c r="B635" s="7" t="n">
        <v>0.914612458730031</v>
      </c>
      <c r="C635" s="7" t="n">
        <v>0.921259611581497</v>
      </c>
      <c r="D635" s="7" t="n">
        <v>0.912363058583469</v>
      </c>
      <c r="E635" s="7" t="n">
        <v>0.915690059656619</v>
      </c>
      <c r="F635" s="8" t="n">
        <f aca="true">IF(ROW()-2&gt;=Inputs!$B$4,AVERAGE(OFFSET(E635,1-Inputs!$B$4,0,Inputs!$B$4,1)),"")</f>
        <v>0.887838499238925</v>
      </c>
      <c r="G635" s="8" t="n">
        <f aca="true">IF(ROW()-2&gt;=Inputs!$B$5,AVERAGE(OFFSET(E635,1-Inputs!$B$5,0,Inputs!$B$5,1)),"")</f>
        <v>0.877207350743827</v>
      </c>
      <c r="H635" s="8" t="n">
        <f aca="false">MAX(C635-D635,ABS(C635-E634),ABS(D635-E634))</f>
        <v>0.00889655299802861</v>
      </c>
      <c r="I635" s="8" t="n">
        <f aca="true">IF(ROW()-2&lt;14,"",IF(ROW()-2=14,AVERAGE(OFFSET(H635,-13,0,14,1)),(I634*13+H635)/14))</f>
        <v>0.00990529246725893</v>
      </c>
      <c r="J635" s="9" t="b">
        <f aca="false">IF(AND(ISNUMBER(F635),ISNUMBER(G635),ISNUMBER(F634),ISNUMBER(G634)),AND(F635&gt;G635,F634&lt;=G634),FALSE())</f>
        <v>0</v>
      </c>
      <c r="K635" s="9" t="b">
        <f aca="false">IF(AND(ISNUMBER(F635),ISNUMBER(G635),ISNUMBER(F634),ISNUMBER(G634)),AND(F635&lt;G635,F634&gt;=G634),FALSE())</f>
        <v>0</v>
      </c>
      <c r="L635" s="8" t="n">
        <f aca="false">IF(ISNUMBER(I635),E635-Inputs!$B$6*I635,"")</f>
        <v>0.895879474722101</v>
      </c>
      <c r="M635" s="9" t="b">
        <f aca="false">AND(Y634&gt;0,Z634)</f>
        <v>0</v>
      </c>
      <c r="N635" s="8" t="n">
        <f aca="false">B635*(1-Inputs!$B$12)</f>
        <v>0.914429536238285</v>
      </c>
      <c r="O635" s="10" t="n">
        <f aca="false">IF(M635,Y634*(N635-AB634)-Inputs!$B$9-Y634*AD634*Inputs!$B$13*(A635-AC634),0)</f>
        <v>0</v>
      </c>
      <c r="P635" s="10" t="n">
        <f aca="false">X634+O635</f>
        <v>1037.10316126448</v>
      </c>
      <c r="Q635" s="9" t="b">
        <f aca="false">AND(IF(M635,0,Y634)=0,AA634,IF(ISNUMBER(AE634),B635&gt;AE634,FALSE()))</f>
        <v>0</v>
      </c>
      <c r="R635" s="8" t="n">
        <f aca="false">B635*(1+Inputs!$B$12)</f>
        <v>0.914795381221777</v>
      </c>
      <c r="S635" s="11" t="n">
        <f aca="false">IF(Q635,MIN(P635*Inputs!$B$3/(R635-AE634),P635*Inputs!$B$11/R635),0)</f>
        <v>0</v>
      </c>
      <c r="T635" s="11" t="n">
        <f aca="false">IF(Q635,S635,IF(M635,0,Y634))</f>
        <v>0</v>
      </c>
      <c r="U635" s="8" t="n">
        <f aca="false">IF(Q635,AE634,AF634)</f>
        <v>0.850507391154866</v>
      </c>
      <c r="V635" s="9" t="b">
        <f aca="false">AND(T635&gt;0,D635&lt;=U635)</f>
        <v>0</v>
      </c>
      <c r="W635" s="10" t="n">
        <f aca="false">IF(V635,T635*(AK635-AB635)-Inputs!$B$9-T635*AD635*Inputs!$B$13*(A635-AC635),0)</f>
        <v>0</v>
      </c>
      <c r="X635" s="10" t="n">
        <f aca="false">P635-IF(Q635,Inputs!$B$9,0)+W635</f>
        <v>1037.10316126448</v>
      </c>
      <c r="Y635" s="11" t="n">
        <f aca="false">IF(V635,0,T635)</f>
        <v>0</v>
      </c>
      <c r="Z635" s="9" t="b">
        <f aca="false">AND(Y635&gt;0,K635)</f>
        <v>0</v>
      </c>
      <c r="AA635" s="9" t="b">
        <f aca="false">AND(Y635=0,J635,ISNUMBER(L635))</f>
        <v>0</v>
      </c>
      <c r="AB635" s="8" t="n">
        <f aca="false">IF(Q635,R635,AB634)</f>
        <v>0.868065965109487</v>
      </c>
      <c r="AC635" s="12" t="n">
        <f aca="false">IF(Q635,A635,AC634)</f>
        <v>45375</v>
      </c>
      <c r="AD635" s="8" t="n">
        <f aca="false">IF(Q635,B635,AD634)</f>
        <v>0.86789238663216</v>
      </c>
      <c r="AE635" s="8" t="str">
        <f aca="false">IF(AA635,L635,"")</f>
        <v/>
      </c>
      <c r="AF635" s="8" t="n">
        <f aca="false">U635</f>
        <v>0.850507391154866</v>
      </c>
      <c r="AG635" s="2" t="n">
        <f aca="false">AG634+IF(Q635,1,0)</f>
        <v>4</v>
      </c>
      <c r="AH635" s="2" t="n">
        <f aca="false">AG634</f>
        <v>4</v>
      </c>
      <c r="AI635" s="10" t="n">
        <f aca="false">X635+Y635*(E635-AB635)-Y635*AD635*Inputs!$B$13*(A635-AC635)</f>
        <v>1037.10316126448</v>
      </c>
      <c r="AJ635" s="10" t="n">
        <v>0</v>
      </c>
      <c r="AK635" s="8" t="n">
        <f aca="false">IF(AND(B635&lt;=U635,NOT(Q635)),B635,U635)*(1-Inputs!$B$12)</f>
        <v>0.850337289676635</v>
      </c>
    </row>
    <row r="636" customFormat="false" ht="15" hidden="false" customHeight="false" outlineLevel="0" collapsed="false">
      <c r="A636" s="6" t="n">
        <v>45420</v>
      </c>
      <c r="B636" s="7" t="n">
        <v>0.915690059656619</v>
      </c>
      <c r="C636" s="7" t="n">
        <v>0.918690688710085</v>
      </c>
      <c r="D636" s="7" t="n">
        <v>0.906276851574466</v>
      </c>
      <c r="E636" s="7" t="n">
        <v>0.906600960267302</v>
      </c>
      <c r="F636" s="8" t="n">
        <f aca="true">IF(ROW()-2&gt;=Inputs!$B$4,AVERAGE(OFFSET(E636,1-Inputs!$B$4,0,Inputs!$B$4,1)),"")</f>
        <v>0.888829079299746</v>
      </c>
      <c r="G636" s="8" t="n">
        <f aca="true">IF(ROW()-2&gt;=Inputs!$B$5,AVERAGE(OFFSET(E636,1-Inputs!$B$5,0,Inputs!$B$5,1)),"")</f>
        <v>0.877910094828572</v>
      </c>
      <c r="H636" s="8" t="n">
        <f aca="false">MAX(C636-D636,ABS(C636-E635),ABS(D636-E635))</f>
        <v>0.0124138371356193</v>
      </c>
      <c r="I636" s="8" t="n">
        <f aca="true">IF(ROW()-2&lt;14,"",IF(ROW()-2=14,AVERAGE(OFFSET(H636,-13,0,14,1)),(I635*13+H636)/14))</f>
        <v>0.0100844742292847</v>
      </c>
      <c r="J636" s="9" t="b">
        <f aca="false">IF(AND(ISNUMBER(F636),ISNUMBER(G636),ISNUMBER(F635),ISNUMBER(G635)),AND(F636&gt;G636,F635&lt;=G635),FALSE())</f>
        <v>0</v>
      </c>
      <c r="K636" s="9" t="b">
        <f aca="false">IF(AND(ISNUMBER(F636),ISNUMBER(G636),ISNUMBER(F635),ISNUMBER(G635)),AND(F636&lt;G636,F635&gt;=G635),FALSE())</f>
        <v>0</v>
      </c>
      <c r="L636" s="8" t="n">
        <f aca="false">IF(ISNUMBER(I636),E636-Inputs!$B$6*I636,"")</f>
        <v>0.886432011808732</v>
      </c>
      <c r="M636" s="9" t="b">
        <f aca="false">AND(Y635&gt;0,Z635)</f>
        <v>0</v>
      </c>
      <c r="N636" s="8" t="n">
        <f aca="false">B636*(1-Inputs!$B$12)</f>
        <v>0.915506921644688</v>
      </c>
      <c r="O636" s="10" t="n">
        <f aca="false">IF(M636,Y635*(N636-AB635)-Inputs!$B$9-Y635*AD635*Inputs!$B$13*(A636-AC635),0)</f>
        <v>0</v>
      </c>
      <c r="P636" s="10" t="n">
        <f aca="false">X635+O636</f>
        <v>1037.10316126448</v>
      </c>
      <c r="Q636" s="9" t="b">
        <f aca="false">AND(IF(M636,0,Y635)=0,AA635,IF(ISNUMBER(AE635),B636&gt;AE635,FALSE()))</f>
        <v>0</v>
      </c>
      <c r="R636" s="8" t="n">
        <f aca="false">B636*(1+Inputs!$B$12)</f>
        <v>0.91587319766855</v>
      </c>
      <c r="S636" s="11" t="n">
        <f aca="false">IF(Q636,MIN(P636*Inputs!$B$3/(R636-AE635),P636*Inputs!$B$11/R636),0)</f>
        <v>0</v>
      </c>
      <c r="T636" s="11" t="n">
        <f aca="false">IF(Q636,S636,IF(M636,0,Y635))</f>
        <v>0</v>
      </c>
      <c r="U636" s="8" t="n">
        <f aca="false">IF(Q636,AE635,AF635)</f>
        <v>0.850507391154866</v>
      </c>
      <c r="V636" s="9" t="b">
        <f aca="false">AND(T636&gt;0,D636&lt;=U636)</f>
        <v>0</v>
      </c>
      <c r="W636" s="10" t="n">
        <f aca="false">IF(V636,T636*(AK636-AB636)-Inputs!$B$9-T636*AD636*Inputs!$B$13*(A636-AC636),0)</f>
        <v>0</v>
      </c>
      <c r="X636" s="10" t="n">
        <f aca="false">P636-IF(Q636,Inputs!$B$9,0)+W636</f>
        <v>1037.10316126448</v>
      </c>
      <c r="Y636" s="11" t="n">
        <f aca="false">IF(V636,0,T636)</f>
        <v>0</v>
      </c>
      <c r="Z636" s="9" t="b">
        <f aca="false">AND(Y636&gt;0,K636)</f>
        <v>0</v>
      </c>
      <c r="AA636" s="9" t="b">
        <f aca="false">AND(Y636=0,J636,ISNUMBER(L636))</f>
        <v>0</v>
      </c>
      <c r="AB636" s="8" t="n">
        <f aca="false">IF(Q636,R636,AB635)</f>
        <v>0.868065965109487</v>
      </c>
      <c r="AC636" s="12" t="n">
        <f aca="false">IF(Q636,A636,AC635)</f>
        <v>45375</v>
      </c>
      <c r="AD636" s="8" t="n">
        <f aca="false">IF(Q636,B636,AD635)</f>
        <v>0.86789238663216</v>
      </c>
      <c r="AE636" s="8" t="str">
        <f aca="false">IF(AA636,L636,"")</f>
        <v/>
      </c>
      <c r="AF636" s="8" t="n">
        <f aca="false">U636</f>
        <v>0.850507391154866</v>
      </c>
      <c r="AG636" s="2" t="n">
        <f aca="false">AG635+IF(Q636,1,0)</f>
        <v>4</v>
      </c>
      <c r="AH636" s="2" t="n">
        <f aca="false">AG635</f>
        <v>4</v>
      </c>
      <c r="AI636" s="10" t="n">
        <f aca="false">X636+Y636*(E636-AB636)-Y636*AD636*Inputs!$B$13*(A636-AC636)</f>
        <v>1037.10316126448</v>
      </c>
      <c r="AJ636" s="10" t="n">
        <v>0</v>
      </c>
      <c r="AK636" s="8" t="n">
        <f aca="false">IF(AND(B636&lt;=U636,NOT(Q636)),B636,U636)*(1-Inputs!$B$12)</f>
        <v>0.850337289676635</v>
      </c>
    </row>
    <row r="637" customFormat="false" ht="15" hidden="false" customHeight="false" outlineLevel="0" collapsed="false">
      <c r="A637" s="6" t="n">
        <v>45421</v>
      </c>
      <c r="B637" s="7" t="n">
        <v>0.906600960267302</v>
      </c>
      <c r="C637" s="7" t="n">
        <v>0.915937672009062</v>
      </c>
      <c r="D637" s="7" t="n">
        <v>0.90338807212132</v>
      </c>
      <c r="E637" s="7" t="n">
        <v>0.914656948240958</v>
      </c>
      <c r="F637" s="8" t="n">
        <f aca="true">IF(ROW()-2&gt;=Inputs!$B$4,AVERAGE(OFFSET(E637,1-Inputs!$B$4,0,Inputs!$B$4,1)),"")</f>
        <v>0.890273211881711</v>
      </c>
      <c r="G637" s="8" t="n">
        <f aca="true">IF(ROW()-2&gt;=Inputs!$B$5,AVERAGE(OFFSET(E637,1-Inputs!$B$5,0,Inputs!$B$5,1)),"")</f>
        <v>0.878814808882838</v>
      </c>
      <c r="H637" s="8" t="n">
        <f aca="false">MAX(C637-D637,ABS(C637-E636),ABS(D637-E636))</f>
        <v>0.0125495998877422</v>
      </c>
      <c r="I637" s="8" t="n">
        <f aca="true">IF(ROW()-2&lt;14,"",IF(ROW()-2=14,AVERAGE(OFFSET(H637,-13,0,14,1)),(I636*13+H637)/14))</f>
        <v>0.0102605546334602</v>
      </c>
      <c r="J637" s="9" t="b">
        <f aca="false">IF(AND(ISNUMBER(F637),ISNUMBER(G637),ISNUMBER(F636),ISNUMBER(G636)),AND(F637&gt;G637,F636&lt;=G636),FALSE())</f>
        <v>0</v>
      </c>
      <c r="K637" s="9" t="b">
        <f aca="false">IF(AND(ISNUMBER(F637),ISNUMBER(G637),ISNUMBER(F636),ISNUMBER(G636)),AND(F637&lt;G637,F636&gt;=G636),FALSE())</f>
        <v>0</v>
      </c>
      <c r="L637" s="8" t="n">
        <f aca="false">IF(ISNUMBER(I637),E637-Inputs!$B$6*I637,"")</f>
        <v>0.894135838974037</v>
      </c>
      <c r="M637" s="9" t="b">
        <f aca="false">AND(Y636&gt;0,Z636)</f>
        <v>0</v>
      </c>
      <c r="N637" s="8" t="n">
        <f aca="false">B637*(1-Inputs!$B$12)</f>
        <v>0.906419640075248</v>
      </c>
      <c r="O637" s="10" t="n">
        <f aca="false">IF(M637,Y636*(N637-AB636)-Inputs!$B$9-Y636*AD636*Inputs!$B$13*(A637-AC636),0)</f>
        <v>0</v>
      </c>
      <c r="P637" s="10" t="n">
        <f aca="false">X636+O637</f>
        <v>1037.10316126448</v>
      </c>
      <c r="Q637" s="9" t="b">
        <f aca="false">AND(IF(M637,0,Y636)=0,AA636,IF(ISNUMBER(AE636),B637&gt;AE636,FALSE()))</f>
        <v>0</v>
      </c>
      <c r="R637" s="8" t="n">
        <f aca="false">B637*(1+Inputs!$B$12)</f>
        <v>0.906782280459355</v>
      </c>
      <c r="S637" s="11" t="n">
        <f aca="false">IF(Q637,MIN(P637*Inputs!$B$3/(R637-AE636),P637*Inputs!$B$11/R637),0)</f>
        <v>0</v>
      </c>
      <c r="T637" s="11" t="n">
        <f aca="false">IF(Q637,S637,IF(M637,0,Y636))</f>
        <v>0</v>
      </c>
      <c r="U637" s="8" t="n">
        <f aca="false">IF(Q637,AE636,AF636)</f>
        <v>0.850507391154866</v>
      </c>
      <c r="V637" s="9" t="b">
        <f aca="false">AND(T637&gt;0,D637&lt;=U637)</f>
        <v>0</v>
      </c>
      <c r="W637" s="10" t="n">
        <f aca="false">IF(V637,T637*(AK637-AB637)-Inputs!$B$9-T637*AD637*Inputs!$B$13*(A637-AC637),0)</f>
        <v>0</v>
      </c>
      <c r="X637" s="10" t="n">
        <f aca="false">P637-IF(Q637,Inputs!$B$9,0)+W637</f>
        <v>1037.10316126448</v>
      </c>
      <c r="Y637" s="11" t="n">
        <f aca="false">IF(V637,0,T637)</f>
        <v>0</v>
      </c>
      <c r="Z637" s="9" t="b">
        <f aca="false">AND(Y637&gt;0,K637)</f>
        <v>0</v>
      </c>
      <c r="AA637" s="9" t="b">
        <f aca="false">AND(Y637=0,J637,ISNUMBER(L637))</f>
        <v>0</v>
      </c>
      <c r="AB637" s="8" t="n">
        <f aca="false">IF(Q637,R637,AB636)</f>
        <v>0.868065965109487</v>
      </c>
      <c r="AC637" s="12" t="n">
        <f aca="false">IF(Q637,A637,AC636)</f>
        <v>45375</v>
      </c>
      <c r="AD637" s="8" t="n">
        <f aca="false">IF(Q637,B637,AD636)</f>
        <v>0.86789238663216</v>
      </c>
      <c r="AE637" s="8" t="str">
        <f aca="false">IF(AA637,L637,"")</f>
        <v/>
      </c>
      <c r="AF637" s="8" t="n">
        <f aca="false">U637</f>
        <v>0.850507391154866</v>
      </c>
      <c r="AG637" s="2" t="n">
        <f aca="false">AG636+IF(Q637,1,0)</f>
        <v>4</v>
      </c>
      <c r="AH637" s="2" t="n">
        <f aca="false">AG636</f>
        <v>4</v>
      </c>
      <c r="AI637" s="10" t="n">
        <f aca="false">X637+Y637*(E637-AB637)-Y637*AD637*Inputs!$B$13*(A637-AC637)</f>
        <v>1037.10316126448</v>
      </c>
      <c r="AJ637" s="10" t="n">
        <v>0</v>
      </c>
      <c r="AK637" s="8" t="n">
        <f aca="false">IF(AND(B637&lt;=U637,NOT(Q637)),B637,U637)*(1-Inputs!$B$12)</f>
        <v>0.850337289676635</v>
      </c>
    </row>
    <row r="638" customFormat="false" ht="15" hidden="false" customHeight="false" outlineLevel="0" collapsed="false">
      <c r="A638" s="6" t="n">
        <v>45422</v>
      </c>
      <c r="B638" s="7" t="n">
        <v>0.914656948240958</v>
      </c>
      <c r="C638" s="7" t="n">
        <v>0.917999145980518</v>
      </c>
      <c r="D638" s="7" t="n">
        <v>0.911746887010248</v>
      </c>
      <c r="E638" s="7" t="n">
        <v>0.914358517971838</v>
      </c>
      <c r="F638" s="8" t="n">
        <f aca="true">IF(ROW()-2&gt;=Inputs!$B$4,AVERAGE(OFFSET(E638,1-Inputs!$B$4,0,Inputs!$B$4,1)),"")</f>
        <v>0.892390802734427</v>
      </c>
      <c r="G638" s="8" t="n">
        <f aca="true">IF(ROW()-2&gt;=Inputs!$B$5,AVERAGE(OFFSET(E638,1-Inputs!$B$5,0,Inputs!$B$5,1)),"")</f>
        <v>0.879682693604256</v>
      </c>
      <c r="H638" s="8" t="n">
        <f aca="false">MAX(C638-D638,ABS(C638-E637),ABS(D638-E637))</f>
        <v>0.00625225897027015</v>
      </c>
      <c r="I638" s="8" t="n">
        <f aca="true">IF(ROW()-2&lt;14,"",IF(ROW()-2=14,AVERAGE(OFFSET(H638,-13,0,14,1)),(I637*13+H638)/14))</f>
        <v>0.0099742478003752</v>
      </c>
      <c r="J638" s="9" t="b">
        <f aca="false">IF(AND(ISNUMBER(F638),ISNUMBER(G638),ISNUMBER(F637),ISNUMBER(G637)),AND(F638&gt;G638,F637&lt;=G637),FALSE())</f>
        <v>0</v>
      </c>
      <c r="K638" s="9" t="b">
        <f aca="false">IF(AND(ISNUMBER(F638),ISNUMBER(G638),ISNUMBER(F637),ISNUMBER(G637)),AND(F638&lt;G638,F637&gt;=G637),FALSE())</f>
        <v>0</v>
      </c>
      <c r="L638" s="8" t="n">
        <f aca="false">IF(ISNUMBER(I638),E638-Inputs!$B$6*I638,"")</f>
        <v>0.894410022371087</v>
      </c>
      <c r="M638" s="9" t="b">
        <f aca="false">AND(Y637&gt;0,Z637)</f>
        <v>0</v>
      </c>
      <c r="N638" s="8" t="n">
        <f aca="false">B638*(1-Inputs!$B$12)</f>
        <v>0.91447401685131</v>
      </c>
      <c r="O638" s="10" t="n">
        <f aca="false">IF(M638,Y637*(N638-AB637)-Inputs!$B$9-Y637*AD637*Inputs!$B$13*(A638-AC637),0)</f>
        <v>0</v>
      </c>
      <c r="P638" s="10" t="n">
        <f aca="false">X637+O638</f>
        <v>1037.10316126448</v>
      </c>
      <c r="Q638" s="9" t="b">
        <f aca="false">AND(IF(M638,0,Y637)=0,AA637,IF(ISNUMBER(AE637),B638&gt;AE637,FALSE()))</f>
        <v>0</v>
      </c>
      <c r="R638" s="8" t="n">
        <f aca="false">B638*(1+Inputs!$B$12)</f>
        <v>0.914839879630606</v>
      </c>
      <c r="S638" s="11" t="n">
        <f aca="false">IF(Q638,MIN(P638*Inputs!$B$3/(R638-AE637),P638*Inputs!$B$11/R638),0)</f>
        <v>0</v>
      </c>
      <c r="T638" s="11" t="n">
        <f aca="false">IF(Q638,S638,IF(M638,0,Y637))</f>
        <v>0</v>
      </c>
      <c r="U638" s="8" t="n">
        <f aca="false">IF(Q638,AE637,AF637)</f>
        <v>0.850507391154866</v>
      </c>
      <c r="V638" s="9" t="b">
        <f aca="false">AND(T638&gt;0,D638&lt;=U638)</f>
        <v>0</v>
      </c>
      <c r="W638" s="10" t="n">
        <f aca="false">IF(V638,T638*(AK638-AB638)-Inputs!$B$9-T638*AD638*Inputs!$B$13*(A638-AC638),0)</f>
        <v>0</v>
      </c>
      <c r="X638" s="10" t="n">
        <f aca="false">P638-IF(Q638,Inputs!$B$9,0)+W638</f>
        <v>1037.10316126448</v>
      </c>
      <c r="Y638" s="11" t="n">
        <f aca="false">IF(V638,0,T638)</f>
        <v>0</v>
      </c>
      <c r="Z638" s="9" t="b">
        <f aca="false">AND(Y638&gt;0,K638)</f>
        <v>0</v>
      </c>
      <c r="AA638" s="9" t="b">
        <f aca="false">AND(Y638=0,J638,ISNUMBER(L638))</f>
        <v>0</v>
      </c>
      <c r="AB638" s="8" t="n">
        <f aca="false">IF(Q638,R638,AB637)</f>
        <v>0.868065965109487</v>
      </c>
      <c r="AC638" s="12" t="n">
        <f aca="false">IF(Q638,A638,AC637)</f>
        <v>45375</v>
      </c>
      <c r="AD638" s="8" t="n">
        <f aca="false">IF(Q638,B638,AD637)</f>
        <v>0.86789238663216</v>
      </c>
      <c r="AE638" s="8" t="str">
        <f aca="false">IF(AA638,L638,"")</f>
        <v/>
      </c>
      <c r="AF638" s="8" t="n">
        <f aca="false">U638</f>
        <v>0.850507391154866</v>
      </c>
      <c r="AG638" s="2" t="n">
        <f aca="false">AG637+IF(Q638,1,0)</f>
        <v>4</v>
      </c>
      <c r="AH638" s="2" t="n">
        <f aca="false">AG637</f>
        <v>4</v>
      </c>
      <c r="AI638" s="10" t="n">
        <f aca="false">X638+Y638*(E638-AB638)-Y638*AD638*Inputs!$B$13*(A638-AC638)</f>
        <v>1037.10316126448</v>
      </c>
      <c r="AJ638" s="10" t="n">
        <v>0</v>
      </c>
      <c r="AK638" s="8" t="n">
        <f aca="false">IF(AND(B638&lt;=U638,NOT(Q638)),B638,U638)*(1-Inputs!$B$12)</f>
        <v>0.850337289676635</v>
      </c>
    </row>
    <row r="639" customFormat="false" ht="15" hidden="false" customHeight="false" outlineLevel="0" collapsed="false">
      <c r="A639" s="6" t="n">
        <v>45423</v>
      </c>
      <c r="B639" s="7" t="n">
        <v>0.914358517971838</v>
      </c>
      <c r="C639" s="7" t="n">
        <v>0.914760606053973</v>
      </c>
      <c r="D639" s="7" t="n">
        <v>0.911183661647749</v>
      </c>
      <c r="E639" s="7" t="n">
        <v>0.913732896632614</v>
      </c>
      <c r="F639" s="8" t="n">
        <f aca="true">IF(ROW()-2&gt;=Inputs!$B$4,AVERAGE(OFFSET(E639,1-Inputs!$B$4,0,Inputs!$B$4,1)),"")</f>
        <v>0.894684136726493</v>
      </c>
      <c r="G639" s="8" t="n">
        <f aca="true">IF(ROW()-2&gt;=Inputs!$B$5,AVERAGE(OFFSET(E639,1-Inputs!$B$5,0,Inputs!$B$5,1)),"")</f>
        <v>0.8804131796933</v>
      </c>
      <c r="H639" s="8" t="n">
        <f aca="false">MAX(C639-D639,ABS(C639-E638),ABS(D639-E638))</f>
        <v>0.00357694440622414</v>
      </c>
      <c r="I639" s="8" t="n">
        <f aca="true">IF(ROW()-2&lt;14,"",IF(ROW()-2=14,AVERAGE(OFFSET(H639,-13,0,14,1)),(I638*13+H639)/14))</f>
        <v>0.00951729755793584</v>
      </c>
      <c r="J639" s="9" t="b">
        <f aca="false">IF(AND(ISNUMBER(F639),ISNUMBER(G639),ISNUMBER(F638),ISNUMBER(G638)),AND(F639&gt;G639,F638&lt;=G638),FALSE())</f>
        <v>0</v>
      </c>
      <c r="K639" s="9" t="b">
        <f aca="false">IF(AND(ISNUMBER(F639),ISNUMBER(G639),ISNUMBER(F638),ISNUMBER(G638)),AND(F639&lt;G639,F638&gt;=G638),FALSE())</f>
        <v>0</v>
      </c>
      <c r="L639" s="8" t="n">
        <f aca="false">IF(ISNUMBER(I639),E639-Inputs!$B$6*I639,"")</f>
        <v>0.894698301516742</v>
      </c>
      <c r="M639" s="9" t="b">
        <f aca="false">AND(Y638&gt;0,Z638)</f>
        <v>0</v>
      </c>
      <c r="N639" s="8" t="n">
        <f aca="false">B639*(1-Inputs!$B$12)</f>
        <v>0.914175646268243</v>
      </c>
      <c r="O639" s="10" t="n">
        <f aca="false">IF(M639,Y638*(N639-AB638)-Inputs!$B$9-Y638*AD638*Inputs!$B$13*(A639-AC638),0)</f>
        <v>0</v>
      </c>
      <c r="P639" s="10" t="n">
        <f aca="false">X638+O639</f>
        <v>1037.10316126448</v>
      </c>
      <c r="Q639" s="9" t="b">
        <f aca="false">AND(IF(M639,0,Y638)=0,AA638,IF(ISNUMBER(AE638),B639&gt;AE638,FALSE()))</f>
        <v>0</v>
      </c>
      <c r="R639" s="8" t="n">
        <f aca="false">B639*(1+Inputs!$B$12)</f>
        <v>0.914541389675432</v>
      </c>
      <c r="S639" s="11" t="n">
        <f aca="false">IF(Q639,MIN(P639*Inputs!$B$3/(R639-AE638),P639*Inputs!$B$11/R639),0)</f>
        <v>0</v>
      </c>
      <c r="T639" s="11" t="n">
        <f aca="false">IF(Q639,S639,IF(M639,0,Y638))</f>
        <v>0</v>
      </c>
      <c r="U639" s="8" t="n">
        <f aca="false">IF(Q639,AE638,AF638)</f>
        <v>0.850507391154866</v>
      </c>
      <c r="V639" s="9" t="b">
        <f aca="false">AND(T639&gt;0,D639&lt;=U639)</f>
        <v>0</v>
      </c>
      <c r="W639" s="10" t="n">
        <f aca="false">IF(V639,T639*(AK639-AB639)-Inputs!$B$9-T639*AD639*Inputs!$B$13*(A639-AC639),0)</f>
        <v>0</v>
      </c>
      <c r="X639" s="10" t="n">
        <f aca="false">P639-IF(Q639,Inputs!$B$9,0)+W639</f>
        <v>1037.10316126448</v>
      </c>
      <c r="Y639" s="11" t="n">
        <f aca="false">IF(V639,0,T639)</f>
        <v>0</v>
      </c>
      <c r="Z639" s="9" t="b">
        <f aca="false">AND(Y639&gt;0,K639)</f>
        <v>0</v>
      </c>
      <c r="AA639" s="9" t="b">
        <f aca="false">AND(Y639=0,J639,ISNUMBER(L639))</f>
        <v>0</v>
      </c>
      <c r="AB639" s="8" t="n">
        <f aca="false">IF(Q639,R639,AB638)</f>
        <v>0.868065965109487</v>
      </c>
      <c r="AC639" s="12" t="n">
        <f aca="false">IF(Q639,A639,AC638)</f>
        <v>45375</v>
      </c>
      <c r="AD639" s="8" t="n">
        <f aca="false">IF(Q639,B639,AD638)</f>
        <v>0.86789238663216</v>
      </c>
      <c r="AE639" s="8" t="str">
        <f aca="false">IF(AA639,L639,"")</f>
        <v/>
      </c>
      <c r="AF639" s="8" t="n">
        <f aca="false">U639</f>
        <v>0.850507391154866</v>
      </c>
      <c r="AG639" s="2" t="n">
        <f aca="false">AG638+IF(Q639,1,0)</f>
        <v>4</v>
      </c>
      <c r="AH639" s="2" t="n">
        <f aca="false">AG638</f>
        <v>4</v>
      </c>
      <c r="AI639" s="10" t="n">
        <f aca="false">X639+Y639*(E639-AB639)-Y639*AD639*Inputs!$B$13*(A639-AC639)</f>
        <v>1037.10316126448</v>
      </c>
      <c r="AJ639" s="10" t="n">
        <v>0</v>
      </c>
      <c r="AK639" s="8" t="n">
        <f aca="false">IF(AND(B639&lt;=U639,NOT(Q639)),B639,U639)*(1-Inputs!$B$12)</f>
        <v>0.850337289676635</v>
      </c>
    </row>
    <row r="640" customFormat="false" ht="15" hidden="false" customHeight="false" outlineLevel="0" collapsed="false">
      <c r="A640" s="6" t="n">
        <v>45424</v>
      </c>
      <c r="B640" s="7" t="n">
        <v>0.913732896632614</v>
      </c>
      <c r="C640" s="7" t="n">
        <v>0.91763319730885</v>
      </c>
      <c r="D640" s="7" t="n">
        <v>0.910325086308408</v>
      </c>
      <c r="E640" s="7" t="n">
        <v>0.915005297261195</v>
      </c>
      <c r="F640" s="8" t="n">
        <f aca="true">IF(ROW()-2&gt;=Inputs!$B$4,AVERAGE(OFFSET(E640,1-Inputs!$B$4,0,Inputs!$B$4,1)),"")</f>
        <v>0.89706167005251</v>
      </c>
      <c r="G640" s="8" t="n">
        <f aca="true">IF(ROW()-2&gt;=Inputs!$B$5,AVERAGE(OFFSET(E640,1-Inputs!$B$5,0,Inputs!$B$5,1)),"")</f>
        <v>0.88135543790588</v>
      </c>
      <c r="H640" s="8" t="n">
        <f aca="false">MAX(C640-D640,ABS(C640-E639),ABS(D640-E639))</f>
        <v>0.0073081110004426</v>
      </c>
      <c r="I640" s="8" t="n">
        <f aca="true">IF(ROW()-2&lt;14,"",IF(ROW()-2=14,AVERAGE(OFFSET(H640,-13,0,14,1)),(I639*13+H640)/14))</f>
        <v>0.00935949851811489</v>
      </c>
      <c r="J640" s="9" t="b">
        <f aca="false">IF(AND(ISNUMBER(F640),ISNUMBER(G640),ISNUMBER(F639),ISNUMBER(G639)),AND(F640&gt;G640,F639&lt;=G639),FALSE())</f>
        <v>0</v>
      </c>
      <c r="K640" s="9" t="b">
        <f aca="false">IF(AND(ISNUMBER(F640),ISNUMBER(G640),ISNUMBER(F639),ISNUMBER(G639)),AND(F640&lt;G640,F639&gt;=G639),FALSE())</f>
        <v>0</v>
      </c>
      <c r="L640" s="8" t="n">
        <f aca="false">IF(ISNUMBER(I640),E640-Inputs!$B$6*I640,"")</f>
        <v>0.896286300224966</v>
      </c>
      <c r="M640" s="9" t="b">
        <f aca="false">AND(Y639&gt;0,Z639)</f>
        <v>0</v>
      </c>
      <c r="N640" s="8" t="n">
        <f aca="false">B640*(1-Inputs!$B$12)</f>
        <v>0.913550150053287</v>
      </c>
      <c r="O640" s="10" t="n">
        <f aca="false">IF(M640,Y639*(N640-AB639)-Inputs!$B$9-Y639*AD639*Inputs!$B$13*(A640-AC639),0)</f>
        <v>0</v>
      </c>
      <c r="P640" s="10" t="n">
        <f aca="false">X639+O640</f>
        <v>1037.10316126448</v>
      </c>
      <c r="Q640" s="9" t="b">
        <f aca="false">AND(IF(M640,0,Y639)=0,AA639,IF(ISNUMBER(AE639),B640&gt;AE639,FALSE()))</f>
        <v>0</v>
      </c>
      <c r="R640" s="8" t="n">
        <f aca="false">B640*(1+Inputs!$B$12)</f>
        <v>0.91391564321194</v>
      </c>
      <c r="S640" s="11" t="n">
        <f aca="false">IF(Q640,MIN(P640*Inputs!$B$3/(R640-AE639),P640*Inputs!$B$11/R640),0)</f>
        <v>0</v>
      </c>
      <c r="T640" s="11" t="n">
        <f aca="false">IF(Q640,S640,IF(M640,0,Y639))</f>
        <v>0</v>
      </c>
      <c r="U640" s="8" t="n">
        <f aca="false">IF(Q640,AE639,AF639)</f>
        <v>0.850507391154866</v>
      </c>
      <c r="V640" s="9" t="b">
        <f aca="false">AND(T640&gt;0,D640&lt;=U640)</f>
        <v>0</v>
      </c>
      <c r="W640" s="10" t="n">
        <f aca="false">IF(V640,T640*(AK640-AB640)-Inputs!$B$9-T640*AD640*Inputs!$B$13*(A640-AC640),0)</f>
        <v>0</v>
      </c>
      <c r="X640" s="10" t="n">
        <f aca="false">P640-IF(Q640,Inputs!$B$9,0)+W640</f>
        <v>1037.10316126448</v>
      </c>
      <c r="Y640" s="11" t="n">
        <f aca="false">IF(V640,0,T640)</f>
        <v>0</v>
      </c>
      <c r="Z640" s="9" t="b">
        <f aca="false">AND(Y640&gt;0,K640)</f>
        <v>0</v>
      </c>
      <c r="AA640" s="9" t="b">
        <f aca="false">AND(Y640=0,J640,ISNUMBER(L640))</f>
        <v>0</v>
      </c>
      <c r="AB640" s="8" t="n">
        <f aca="false">IF(Q640,R640,AB639)</f>
        <v>0.868065965109487</v>
      </c>
      <c r="AC640" s="12" t="n">
        <f aca="false">IF(Q640,A640,AC639)</f>
        <v>45375</v>
      </c>
      <c r="AD640" s="8" t="n">
        <f aca="false">IF(Q640,B640,AD639)</f>
        <v>0.86789238663216</v>
      </c>
      <c r="AE640" s="8" t="str">
        <f aca="false">IF(AA640,L640,"")</f>
        <v/>
      </c>
      <c r="AF640" s="8" t="n">
        <f aca="false">U640</f>
        <v>0.850507391154866</v>
      </c>
      <c r="AG640" s="2" t="n">
        <f aca="false">AG639+IF(Q640,1,0)</f>
        <v>4</v>
      </c>
      <c r="AH640" s="2" t="n">
        <f aca="false">AG639</f>
        <v>4</v>
      </c>
      <c r="AI640" s="10" t="n">
        <f aca="false">X640+Y640*(E640-AB640)-Y640*AD640*Inputs!$B$13*(A640-AC640)</f>
        <v>1037.10316126448</v>
      </c>
      <c r="AJ640" s="10" t="n">
        <v>0</v>
      </c>
      <c r="AK640" s="8" t="n">
        <f aca="false">IF(AND(B640&lt;=U640,NOT(Q640)),B640,U640)*(1-Inputs!$B$12)</f>
        <v>0.850337289676635</v>
      </c>
    </row>
    <row r="641" customFormat="false" ht="15" hidden="false" customHeight="false" outlineLevel="0" collapsed="false">
      <c r="A641" s="6" t="n">
        <v>45425</v>
      </c>
      <c r="B641" s="7" t="n">
        <v>0.915005297261195</v>
      </c>
      <c r="C641" s="7" t="n">
        <v>0.917711778394002</v>
      </c>
      <c r="D641" s="7" t="n">
        <v>0.905707350951337</v>
      </c>
      <c r="E641" s="7" t="n">
        <v>0.909633405216843</v>
      </c>
      <c r="F641" s="8" t="n">
        <f aca="true">IF(ROW()-2&gt;=Inputs!$B$4,AVERAGE(OFFSET(E641,1-Inputs!$B$4,0,Inputs!$B$4,1)),"")</f>
        <v>0.89889860137952</v>
      </c>
      <c r="G641" s="8" t="n">
        <f aca="true">IF(ROW()-2&gt;=Inputs!$B$5,AVERAGE(OFFSET(E641,1-Inputs!$B$5,0,Inputs!$B$5,1)),"")</f>
        <v>0.882128444338898</v>
      </c>
      <c r="H641" s="8" t="n">
        <f aca="false">MAX(C641-D641,ABS(C641-E640),ABS(D641-E640))</f>
        <v>0.0120044274426654</v>
      </c>
      <c r="I641" s="8" t="n">
        <f aca="true">IF(ROW()-2&lt;14,"",IF(ROW()-2=14,AVERAGE(OFFSET(H641,-13,0,14,1)),(I640*13+H641)/14))</f>
        <v>0.00954842201272564</v>
      </c>
      <c r="J641" s="9" t="b">
        <f aca="false">IF(AND(ISNUMBER(F641),ISNUMBER(G641),ISNUMBER(F640),ISNUMBER(G640)),AND(F641&gt;G641,F640&lt;=G640),FALSE())</f>
        <v>0</v>
      </c>
      <c r="K641" s="9" t="b">
        <f aca="false">IF(AND(ISNUMBER(F641),ISNUMBER(G641),ISNUMBER(F640),ISNUMBER(G640)),AND(F641&lt;G641,F640&gt;=G640),FALSE())</f>
        <v>0</v>
      </c>
      <c r="L641" s="8" t="n">
        <f aca="false">IF(ISNUMBER(I641),E641-Inputs!$B$6*I641,"")</f>
        <v>0.890536561191392</v>
      </c>
      <c r="M641" s="9" t="b">
        <f aca="false">AND(Y640&gt;0,Z640)</f>
        <v>0</v>
      </c>
      <c r="N641" s="8" t="n">
        <f aca="false">B641*(1-Inputs!$B$12)</f>
        <v>0.914822296201743</v>
      </c>
      <c r="O641" s="10" t="n">
        <f aca="false">IF(M641,Y640*(N641-AB640)-Inputs!$B$9-Y640*AD640*Inputs!$B$13*(A641-AC640),0)</f>
        <v>0</v>
      </c>
      <c r="P641" s="10" t="n">
        <f aca="false">X640+O641</f>
        <v>1037.10316126448</v>
      </c>
      <c r="Q641" s="9" t="b">
        <f aca="false">AND(IF(M641,0,Y640)=0,AA640,IF(ISNUMBER(AE640),B641&gt;AE640,FALSE()))</f>
        <v>0</v>
      </c>
      <c r="R641" s="8" t="n">
        <f aca="false">B641*(1+Inputs!$B$12)</f>
        <v>0.915188298320648</v>
      </c>
      <c r="S641" s="11" t="n">
        <f aca="false">IF(Q641,MIN(P641*Inputs!$B$3/(R641-AE640),P641*Inputs!$B$11/R641),0)</f>
        <v>0</v>
      </c>
      <c r="T641" s="11" t="n">
        <f aca="false">IF(Q641,S641,IF(M641,0,Y640))</f>
        <v>0</v>
      </c>
      <c r="U641" s="8" t="n">
        <f aca="false">IF(Q641,AE640,AF640)</f>
        <v>0.850507391154866</v>
      </c>
      <c r="V641" s="9" t="b">
        <f aca="false">AND(T641&gt;0,D641&lt;=U641)</f>
        <v>0</v>
      </c>
      <c r="W641" s="10" t="n">
        <f aca="false">IF(V641,T641*(AK641-AB641)-Inputs!$B$9-T641*AD641*Inputs!$B$13*(A641-AC641),0)</f>
        <v>0</v>
      </c>
      <c r="X641" s="10" t="n">
        <f aca="false">P641-IF(Q641,Inputs!$B$9,0)+W641</f>
        <v>1037.10316126448</v>
      </c>
      <c r="Y641" s="11" t="n">
        <f aca="false">IF(V641,0,T641)</f>
        <v>0</v>
      </c>
      <c r="Z641" s="9" t="b">
        <f aca="false">AND(Y641&gt;0,K641)</f>
        <v>0</v>
      </c>
      <c r="AA641" s="9" t="b">
        <f aca="false">AND(Y641=0,J641,ISNUMBER(L641))</f>
        <v>0</v>
      </c>
      <c r="AB641" s="8" t="n">
        <f aca="false">IF(Q641,R641,AB640)</f>
        <v>0.868065965109487</v>
      </c>
      <c r="AC641" s="12" t="n">
        <f aca="false">IF(Q641,A641,AC640)</f>
        <v>45375</v>
      </c>
      <c r="AD641" s="8" t="n">
        <f aca="false">IF(Q641,B641,AD640)</f>
        <v>0.86789238663216</v>
      </c>
      <c r="AE641" s="8" t="str">
        <f aca="false">IF(AA641,L641,"")</f>
        <v/>
      </c>
      <c r="AF641" s="8" t="n">
        <f aca="false">U641</f>
        <v>0.850507391154866</v>
      </c>
      <c r="AG641" s="2" t="n">
        <f aca="false">AG640+IF(Q641,1,0)</f>
        <v>4</v>
      </c>
      <c r="AH641" s="2" t="n">
        <f aca="false">AG640</f>
        <v>4</v>
      </c>
      <c r="AI641" s="10" t="n">
        <f aca="false">X641+Y641*(E641-AB641)-Y641*AD641*Inputs!$B$13*(A641-AC641)</f>
        <v>1037.10316126448</v>
      </c>
      <c r="AJ641" s="10" t="n">
        <v>0</v>
      </c>
      <c r="AK641" s="8" t="n">
        <f aca="false">IF(AND(B641&lt;=U641,NOT(Q641)),B641,U641)*(1-Inputs!$B$12)</f>
        <v>0.850337289676635</v>
      </c>
    </row>
    <row r="642" customFormat="false" ht="15" hidden="false" customHeight="false" outlineLevel="0" collapsed="false">
      <c r="A642" s="6" t="n">
        <v>45426</v>
      </c>
      <c r="B642" s="7" t="n">
        <v>0.909633405216843</v>
      </c>
      <c r="C642" s="7" t="n">
        <v>0.914108090502109</v>
      </c>
      <c r="D642" s="7" t="n">
        <v>0.90283339092056</v>
      </c>
      <c r="E642" s="7" t="n">
        <v>0.912125111600808</v>
      </c>
      <c r="F642" s="8" t="n">
        <f aca="true">IF(ROW()-2&gt;=Inputs!$B$4,AVERAGE(OFFSET(E642,1-Inputs!$B$4,0,Inputs!$B$4,1)),"")</f>
        <v>0.90082847991333</v>
      </c>
      <c r="G642" s="8" t="n">
        <f aca="true">IF(ROW()-2&gt;=Inputs!$B$5,AVERAGE(OFFSET(E642,1-Inputs!$B$5,0,Inputs!$B$5,1)),"")</f>
        <v>0.88290758840806</v>
      </c>
      <c r="H642" s="8" t="n">
        <f aca="false">MAX(C642-D642,ABS(C642-E641),ABS(D642-E641))</f>
        <v>0.0112746995815485</v>
      </c>
      <c r="I642" s="8" t="n">
        <f aca="true">IF(ROW()-2&lt;14,"",IF(ROW()-2=14,AVERAGE(OFFSET(H642,-13,0,14,1)),(I641*13+H642)/14))</f>
        <v>0.00967172755335584</v>
      </c>
      <c r="J642" s="9" t="b">
        <f aca="false">IF(AND(ISNUMBER(F642),ISNUMBER(G642),ISNUMBER(F641),ISNUMBER(G641)),AND(F642&gt;G642,F641&lt;=G641),FALSE())</f>
        <v>0</v>
      </c>
      <c r="K642" s="9" t="b">
        <f aca="false">IF(AND(ISNUMBER(F642),ISNUMBER(G642),ISNUMBER(F641),ISNUMBER(G641)),AND(F642&lt;G642,F641&gt;=G641),FALSE())</f>
        <v>0</v>
      </c>
      <c r="L642" s="8" t="n">
        <f aca="false">IF(ISNUMBER(I642),E642-Inputs!$B$6*I642,"")</f>
        <v>0.892781656494097</v>
      </c>
      <c r="M642" s="9" t="b">
        <f aca="false">AND(Y641&gt;0,Z641)</f>
        <v>0</v>
      </c>
      <c r="N642" s="8" t="n">
        <f aca="false">B642*(1-Inputs!$B$12)</f>
        <v>0.9094514785358</v>
      </c>
      <c r="O642" s="10" t="n">
        <f aca="false">IF(M642,Y641*(N642-AB641)-Inputs!$B$9-Y641*AD641*Inputs!$B$13*(A642-AC641),0)</f>
        <v>0</v>
      </c>
      <c r="P642" s="10" t="n">
        <f aca="false">X641+O642</f>
        <v>1037.10316126448</v>
      </c>
      <c r="Q642" s="9" t="b">
        <f aca="false">AND(IF(M642,0,Y641)=0,AA641,IF(ISNUMBER(AE641),B642&gt;AE641,FALSE()))</f>
        <v>0</v>
      </c>
      <c r="R642" s="8" t="n">
        <f aca="false">B642*(1+Inputs!$B$12)</f>
        <v>0.909815331897886</v>
      </c>
      <c r="S642" s="11" t="n">
        <f aca="false">IF(Q642,MIN(P642*Inputs!$B$3/(R642-AE641),P642*Inputs!$B$11/R642),0)</f>
        <v>0</v>
      </c>
      <c r="T642" s="11" t="n">
        <f aca="false">IF(Q642,S642,IF(M642,0,Y641))</f>
        <v>0</v>
      </c>
      <c r="U642" s="8" t="n">
        <f aca="false">IF(Q642,AE641,AF641)</f>
        <v>0.850507391154866</v>
      </c>
      <c r="V642" s="9" t="b">
        <f aca="false">AND(T642&gt;0,D642&lt;=U642)</f>
        <v>0</v>
      </c>
      <c r="W642" s="10" t="n">
        <f aca="false">IF(V642,T642*(AK642-AB642)-Inputs!$B$9-T642*AD642*Inputs!$B$13*(A642-AC642),0)</f>
        <v>0</v>
      </c>
      <c r="X642" s="10" t="n">
        <f aca="false">P642-IF(Q642,Inputs!$B$9,0)+W642</f>
        <v>1037.10316126448</v>
      </c>
      <c r="Y642" s="11" t="n">
        <f aca="false">IF(V642,0,T642)</f>
        <v>0</v>
      </c>
      <c r="Z642" s="9" t="b">
        <f aca="false">AND(Y642&gt;0,K642)</f>
        <v>0</v>
      </c>
      <c r="AA642" s="9" t="b">
        <f aca="false">AND(Y642=0,J642,ISNUMBER(L642))</f>
        <v>0</v>
      </c>
      <c r="AB642" s="8" t="n">
        <f aca="false">IF(Q642,R642,AB641)</f>
        <v>0.868065965109487</v>
      </c>
      <c r="AC642" s="12" t="n">
        <f aca="false">IF(Q642,A642,AC641)</f>
        <v>45375</v>
      </c>
      <c r="AD642" s="8" t="n">
        <f aca="false">IF(Q642,B642,AD641)</f>
        <v>0.86789238663216</v>
      </c>
      <c r="AE642" s="8" t="str">
        <f aca="false">IF(AA642,L642,"")</f>
        <v/>
      </c>
      <c r="AF642" s="8" t="n">
        <f aca="false">U642</f>
        <v>0.850507391154866</v>
      </c>
      <c r="AG642" s="2" t="n">
        <f aca="false">AG641+IF(Q642,1,0)</f>
        <v>4</v>
      </c>
      <c r="AH642" s="2" t="n">
        <f aca="false">AG641</f>
        <v>4</v>
      </c>
      <c r="AI642" s="10" t="n">
        <f aca="false">X642+Y642*(E642-AB642)-Y642*AD642*Inputs!$B$13*(A642-AC642)</f>
        <v>1037.10316126448</v>
      </c>
      <c r="AJ642" s="10" t="n">
        <v>0</v>
      </c>
      <c r="AK642" s="8" t="n">
        <f aca="false">IF(AND(B642&lt;=U642,NOT(Q642)),B642,U642)*(1-Inputs!$B$12)</f>
        <v>0.850337289676635</v>
      </c>
    </row>
    <row r="643" customFormat="false" ht="15" hidden="false" customHeight="false" outlineLevel="0" collapsed="false">
      <c r="A643" s="6" t="n">
        <v>45427</v>
      </c>
      <c r="B643" s="7" t="n">
        <v>0.912125111600808</v>
      </c>
      <c r="C643" s="7" t="n">
        <v>0.913314282860736</v>
      </c>
      <c r="D643" s="7" t="n">
        <v>0.906259719793043</v>
      </c>
      <c r="E643" s="7" t="n">
        <v>0.912757276158118</v>
      </c>
      <c r="F643" s="8" t="n">
        <f aca="true">IF(ROW()-2&gt;=Inputs!$B$4,AVERAGE(OFFSET(E643,1-Inputs!$B$4,0,Inputs!$B$4,1)),"")</f>
        <v>0.902533944336497</v>
      </c>
      <c r="G643" s="8" t="n">
        <f aca="true">IF(ROW()-2&gt;=Inputs!$B$5,AVERAGE(OFFSET(E643,1-Inputs!$B$5,0,Inputs!$B$5,1)),"")</f>
        <v>0.883466590815829</v>
      </c>
      <c r="H643" s="8" t="n">
        <f aca="false">MAX(C643-D643,ABS(C643-E642),ABS(D643-E642))</f>
        <v>0.00705456306769237</v>
      </c>
      <c r="I643" s="8" t="n">
        <f aca="true">IF(ROW()-2&lt;14,"",IF(ROW()-2=14,AVERAGE(OFFSET(H643,-13,0,14,1)),(I642*13+H643)/14))</f>
        <v>0.00948478723295131</v>
      </c>
      <c r="J643" s="9" t="b">
        <f aca="false">IF(AND(ISNUMBER(F643),ISNUMBER(G643),ISNUMBER(F642),ISNUMBER(G642)),AND(F643&gt;G643,F642&lt;=G642),FALSE())</f>
        <v>0</v>
      </c>
      <c r="K643" s="9" t="b">
        <f aca="false">IF(AND(ISNUMBER(F643),ISNUMBER(G643),ISNUMBER(F642),ISNUMBER(G642)),AND(F643&lt;G643,F642&gt;=G642),FALSE())</f>
        <v>0</v>
      </c>
      <c r="L643" s="8" t="n">
        <f aca="false">IF(ISNUMBER(I643),E643-Inputs!$B$6*I643,"")</f>
        <v>0.893787701692215</v>
      </c>
      <c r="M643" s="9" t="b">
        <f aca="false">AND(Y642&gt;0,Z642)</f>
        <v>0</v>
      </c>
      <c r="N643" s="8" t="n">
        <f aca="false">B643*(1-Inputs!$B$12)</f>
        <v>0.911942686578488</v>
      </c>
      <c r="O643" s="10" t="n">
        <f aca="false">IF(M643,Y642*(N643-AB642)-Inputs!$B$9-Y642*AD642*Inputs!$B$13*(A643-AC642),0)</f>
        <v>0</v>
      </c>
      <c r="P643" s="10" t="n">
        <f aca="false">X642+O643</f>
        <v>1037.10316126448</v>
      </c>
      <c r="Q643" s="9" t="b">
        <f aca="false">AND(IF(M643,0,Y642)=0,AA642,IF(ISNUMBER(AE642),B643&gt;AE642,FALSE()))</f>
        <v>0</v>
      </c>
      <c r="R643" s="8" t="n">
        <f aca="false">B643*(1+Inputs!$B$12)</f>
        <v>0.912307536623129</v>
      </c>
      <c r="S643" s="11" t="n">
        <f aca="false">IF(Q643,MIN(P643*Inputs!$B$3/(R643-AE642),P643*Inputs!$B$11/R643),0)</f>
        <v>0</v>
      </c>
      <c r="T643" s="11" t="n">
        <f aca="false">IF(Q643,S643,IF(M643,0,Y642))</f>
        <v>0</v>
      </c>
      <c r="U643" s="8" t="n">
        <f aca="false">IF(Q643,AE642,AF642)</f>
        <v>0.850507391154866</v>
      </c>
      <c r="V643" s="9" t="b">
        <f aca="false">AND(T643&gt;0,D643&lt;=U643)</f>
        <v>0</v>
      </c>
      <c r="W643" s="10" t="n">
        <f aca="false">IF(V643,T643*(AK643-AB643)-Inputs!$B$9-T643*AD643*Inputs!$B$13*(A643-AC643),0)</f>
        <v>0</v>
      </c>
      <c r="X643" s="10" t="n">
        <f aca="false">P643-IF(Q643,Inputs!$B$9,0)+W643</f>
        <v>1037.10316126448</v>
      </c>
      <c r="Y643" s="11" t="n">
        <f aca="false">IF(V643,0,T643)</f>
        <v>0</v>
      </c>
      <c r="Z643" s="9" t="b">
        <f aca="false">AND(Y643&gt;0,K643)</f>
        <v>0</v>
      </c>
      <c r="AA643" s="9" t="b">
        <f aca="false">AND(Y643=0,J643,ISNUMBER(L643))</f>
        <v>0</v>
      </c>
      <c r="AB643" s="8" t="n">
        <f aca="false">IF(Q643,R643,AB642)</f>
        <v>0.868065965109487</v>
      </c>
      <c r="AC643" s="12" t="n">
        <f aca="false">IF(Q643,A643,AC642)</f>
        <v>45375</v>
      </c>
      <c r="AD643" s="8" t="n">
        <f aca="false">IF(Q643,B643,AD642)</f>
        <v>0.86789238663216</v>
      </c>
      <c r="AE643" s="8" t="str">
        <f aca="false">IF(AA643,L643,"")</f>
        <v/>
      </c>
      <c r="AF643" s="8" t="n">
        <f aca="false">U643</f>
        <v>0.850507391154866</v>
      </c>
      <c r="AG643" s="2" t="n">
        <f aca="false">AG642+IF(Q643,1,0)</f>
        <v>4</v>
      </c>
      <c r="AH643" s="2" t="n">
        <f aca="false">AG642</f>
        <v>4</v>
      </c>
      <c r="AI643" s="10" t="n">
        <f aca="false">X643+Y643*(E643-AB643)-Y643*AD643*Inputs!$B$13*(A643-AC643)</f>
        <v>1037.10316126448</v>
      </c>
      <c r="AJ643" s="10" t="n">
        <v>0</v>
      </c>
      <c r="AK643" s="8" t="n">
        <f aca="false">IF(AND(B643&lt;=U643,NOT(Q643)),B643,U643)*(1-Inputs!$B$12)</f>
        <v>0.850337289676635</v>
      </c>
    </row>
    <row r="644" customFormat="false" ht="15" hidden="false" customHeight="false" outlineLevel="0" collapsed="false">
      <c r="A644" s="6" t="n">
        <v>45428</v>
      </c>
      <c r="B644" s="7" t="n">
        <v>0.912757276158118</v>
      </c>
      <c r="C644" s="7" t="n">
        <v>0.914615848375825</v>
      </c>
      <c r="D644" s="7" t="n">
        <v>0.901071192509881</v>
      </c>
      <c r="E644" s="7" t="n">
        <v>0.903562411810805</v>
      </c>
      <c r="F644" s="8" t="n">
        <f aca="true">IF(ROW()-2&gt;=Inputs!$B$4,AVERAGE(OFFSET(E644,1-Inputs!$B$4,0,Inputs!$B$4,1)),"")</f>
        <v>0.903846964516459</v>
      </c>
      <c r="G644" s="8" t="n">
        <f aca="true">IF(ROW()-2&gt;=Inputs!$B$5,AVERAGE(OFFSET(E644,1-Inputs!$B$5,0,Inputs!$B$5,1)),"")</f>
        <v>0.883898695333628</v>
      </c>
      <c r="H644" s="8" t="n">
        <f aca="false">MAX(C644-D644,ABS(C644-E643),ABS(D644-E643))</f>
        <v>0.0135446558659433</v>
      </c>
      <c r="I644" s="8" t="n">
        <f aca="true">IF(ROW()-2&lt;14,"",IF(ROW()-2=14,AVERAGE(OFFSET(H644,-13,0,14,1)),(I643*13+H644)/14))</f>
        <v>0.0097747778495936</v>
      </c>
      <c r="J644" s="9" t="b">
        <f aca="false">IF(AND(ISNUMBER(F644),ISNUMBER(G644),ISNUMBER(F643),ISNUMBER(G643)),AND(F644&gt;G644,F643&lt;=G643),FALSE())</f>
        <v>0</v>
      </c>
      <c r="K644" s="9" t="b">
        <f aca="false">IF(AND(ISNUMBER(F644),ISNUMBER(G644),ISNUMBER(F643),ISNUMBER(G643)),AND(F644&lt;G644,F643&gt;=G643),FALSE())</f>
        <v>0</v>
      </c>
      <c r="L644" s="8" t="n">
        <f aca="false">IF(ISNUMBER(I644),E644-Inputs!$B$6*I644,"")</f>
        <v>0.884012856111618</v>
      </c>
      <c r="M644" s="9" t="b">
        <f aca="false">AND(Y643&gt;0,Z643)</f>
        <v>0</v>
      </c>
      <c r="N644" s="8" t="n">
        <f aca="false">B644*(1-Inputs!$B$12)</f>
        <v>0.912574724702886</v>
      </c>
      <c r="O644" s="10" t="n">
        <f aca="false">IF(M644,Y643*(N644-AB643)-Inputs!$B$9-Y643*AD643*Inputs!$B$13*(A644-AC643),0)</f>
        <v>0</v>
      </c>
      <c r="P644" s="10" t="n">
        <f aca="false">X643+O644</f>
        <v>1037.10316126448</v>
      </c>
      <c r="Q644" s="9" t="b">
        <f aca="false">AND(IF(M644,0,Y643)=0,AA643,IF(ISNUMBER(AE643),B644&gt;AE643,FALSE()))</f>
        <v>0</v>
      </c>
      <c r="R644" s="8" t="n">
        <f aca="false">B644*(1+Inputs!$B$12)</f>
        <v>0.912939827613349</v>
      </c>
      <c r="S644" s="11" t="n">
        <f aca="false">IF(Q644,MIN(P644*Inputs!$B$3/(R644-AE643),P644*Inputs!$B$11/R644),0)</f>
        <v>0</v>
      </c>
      <c r="T644" s="11" t="n">
        <f aca="false">IF(Q644,S644,IF(M644,0,Y643))</f>
        <v>0</v>
      </c>
      <c r="U644" s="8" t="n">
        <f aca="false">IF(Q644,AE643,AF643)</f>
        <v>0.850507391154866</v>
      </c>
      <c r="V644" s="9" t="b">
        <f aca="false">AND(T644&gt;0,D644&lt;=U644)</f>
        <v>0</v>
      </c>
      <c r="W644" s="10" t="n">
        <f aca="false">IF(V644,T644*(AK644-AB644)-Inputs!$B$9-T644*AD644*Inputs!$B$13*(A644-AC644),0)</f>
        <v>0</v>
      </c>
      <c r="X644" s="10" t="n">
        <f aca="false">P644-IF(Q644,Inputs!$B$9,0)+W644</f>
        <v>1037.10316126448</v>
      </c>
      <c r="Y644" s="11" t="n">
        <f aca="false">IF(V644,0,T644)</f>
        <v>0</v>
      </c>
      <c r="Z644" s="9" t="b">
        <f aca="false">AND(Y644&gt;0,K644)</f>
        <v>0</v>
      </c>
      <c r="AA644" s="9" t="b">
        <f aca="false">AND(Y644=0,J644,ISNUMBER(L644))</f>
        <v>0</v>
      </c>
      <c r="AB644" s="8" t="n">
        <f aca="false">IF(Q644,R644,AB643)</f>
        <v>0.868065965109487</v>
      </c>
      <c r="AC644" s="12" t="n">
        <f aca="false">IF(Q644,A644,AC643)</f>
        <v>45375</v>
      </c>
      <c r="AD644" s="8" t="n">
        <f aca="false">IF(Q644,B644,AD643)</f>
        <v>0.86789238663216</v>
      </c>
      <c r="AE644" s="8" t="str">
        <f aca="false">IF(AA644,L644,"")</f>
        <v/>
      </c>
      <c r="AF644" s="8" t="n">
        <f aca="false">U644</f>
        <v>0.850507391154866</v>
      </c>
      <c r="AG644" s="2" t="n">
        <f aca="false">AG643+IF(Q644,1,0)</f>
        <v>4</v>
      </c>
      <c r="AH644" s="2" t="n">
        <f aca="false">AG643</f>
        <v>4</v>
      </c>
      <c r="AI644" s="10" t="n">
        <f aca="false">X644+Y644*(E644-AB644)-Y644*AD644*Inputs!$B$13*(A644-AC644)</f>
        <v>1037.10316126448</v>
      </c>
      <c r="AJ644" s="10" t="n">
        <v>0</v>
      </c>
      <c r="AK644" s="8" t="n">
        <f aca="false">IF(AND(B644&lt;=U644,NOT(Q644)),B644,U644)*(1-Inputs!$B$12)</f>
        <v>0.850337289676635</v>
      </c>
    </row>
    <row r="645" customFormat="false" ht="15" hidden="false" customHeight="false" outlineLevel="0" collapsed="false">
      <c r="A645" s="6" t="n">
        <v>45429</v>
      </c>
      <c r="B645" s="7" t="n">
        <v>0.903562411810805</v>
      </c>
      <c r="C645" s="7" t="n">
        <v>0.905955190253279</v>
      </c>
      <c r="D645" s="7" t="n">
        <v>0.897584052636981</v>
      </c>
      <c r="E645" s="7" t="n">
        <v>0.899079106093971</v>
      </c>
      <c r="F645" s="8" t="n">
        <f aca="true">IF(ROW()-2&gt;=Inputs!$B$4,AVERAGE(OFFSET(E645,1-Inputs!$B$4,0,Inputs!$B$4,1)),"")</f>
        <v>0.904880477414553</v>
      </c>
      <c r="G645" s="8" t="n">
        <f aca="true">IF(ROW()-2&gt;=Inputs!$B$5,AVERAGE(OFFSET(E645,1-Inputs!$B$5,0,Inputs!$B$5,1)),"")</f>
        <v>0.884413446637805</v>
      </c>
      <c r="H645" s="8" t="n">
        <f aca="false">MAX(C645-D645,ABS(C645-E644),ABS(D645-E644))</f>
        <v>0.00837113761629815</v>
      </c>
      <c r="I645" s="8" t="n">
        <f aca="true">IF(ROW()-2&lt;14,"",IF(ROW()-2=14,AVERAGE(OFFSET(H645,-13,0,14,1)),(I644*13+H645)/14))</f>
        <v>0.00967451783292964</v>
      </c>
      <c r="J645" s="9" t="b">
        <f aca="false">IF(AND(ISNUMBER(F645),ISNUMBER(G645),ISNUMBER(F644),ISNUMBER(G644)),AND(F645&gt;G645,F644&lt;=G644),FALSE())</f>
        <v>0</v>
      </c>
      <c r="K645" s="9" t="b">
        <f aca="false">IF(AND(ISNUMBER(F645),ISNUMBER(G645),ISNUMBER(F644),ISNUMBER(G644)),AND(F645&lt;G645,F644&gt;=G644),FALSE())</f>
        <v>0</v>
      </c>
      <c r="L645" s="8" t="n">
        <f aca="false">IF(ISNUMBER(I645),E645-Inputs!$B$6*I645,"")</f>
        <v>0.879730070428112</v>
      </c>
      <c r="M645" s="9" t="b">
        <f aca="false">AND(Y644&gt;0,Z644)</f>
        <v>0</v>
      </c>
      <c r="N645" s="8" t="n">
        <f aca="false">B645*(1-Inputs!$B$12)</f>
        <v>0.903381699328443</v>
      </c>
      <c r="O645" s="10" t="n">
        <f aca="false">IF(M645,Y644*(N645-AB644)-Inputs!$B$9-Y644*AD644*Inputs!$B$13*(A645-AC644),0)</f>
        <v>0</v>
      </c>
      <c r="P645" s="10" t="n">
        <f aca="false">X644+O645</f>
        <v>1037.10316126448</v>
      </c>
      <c r="Q645" s="9" t="b">
        <f aca="false">AND(IF(M645,0,Y644)=0,AA644,IF(ISNUMBER(AE644),B645&gt;AE644,FALSE()))</f>
        <v>0</v>
      </c>
      <c r="R645" s="8" t="n">
        <f aca="false">B645*(1+Inputs!$B$12)</f>
        <v>0.903743124293168</v>
      </c>
      <c r="S645" s="11" t="n">
        <f aca="false">IF(Q645,MIN(P645*Inputs!$B$3/(R645-AE644),P645*Inputs!$B$11/R645),0)</f>
        <v>0</v>
      </c>
      <c r="T645" s="11" t="n">
        <f aca="false">IF(Q645,S645,IF(M645,0,Y644))</f>
        <v>0</v>
      </c>
      <c r="U645" s="8" t="n">
        <f aca="false">IF(Q645,AE644,AF644)</f>
        <v>0.850507391154866</v>
      </c>
      <c r="V645" s="9" t="b">
        <f aca="false">AND(T645&gt;0,D645&lt;=U645)</f>
        <v>0</v>
      </c>
      <c r="W645" s="10" t="n">
        <f aca="false">IF(V645,T645*(AK645-AB645)-Inputs!$B$9-T645*AD645*Inputs!$B$13*(A645-AC645),0)</f>
        <v>0</v>
      </c>
      <c r="X645" s="10" t="n">
        <f aca="false">P645-IF(Q645,Inputs!$B$9,0)+W645</f>
        <v>1037.10316126448</v>
      </c>
      <c r="Y645" s="11" t="n">
        <f aca="false">IF(V645,0,T645)</f>
        <v>0</v>
      </c>
      <c r="Z645" s="9" t="b">
        <f aca="false">AND(Y645&gt;0,K645)</f>
        <v>0</v>
      </c>
      <c r="AA645" s="9" t="b">
        <f aca="false">AND(Y645=0,J645,ISNUMBER(L645))</f>
        <v>0</v>
      </c>
      <c r="AB645" s="8" t="n">
        <f aca="false">IF(Q645,R645,AB644)</f>
        <v>0.868065965109487</v>
      </c>
      <c r="AC645" s="12" t="n">
        <f aca="false">IF(Q645,A645,AC644)</f>
        <v>45375</v>
      </c>
      <c r="AD645" s="8" t="n">
        <f aca="false">IF(Q645,B645,AD644)</f>
        <v>0.86789238663216</v>
      </c>
      <c r="AE645" s="8" t="str">
        <f aca="false">IF(AA645,L645,"")</f>
        <v/>
      </c>
      <c r="AF645" s="8" t="n">
        <f aca="false">U645</f>
        <v>0.850507391154866</v>
      </c>
      <c r="AG645" s="2" t="n">
        <f aca="false">AG644+IF(Q645,1,0)</f>
        <v>4</v>
      </c>
      <c r="AH645" s="2" t="n">
        <f aca="false">AG644</f>
        <v>4</v>
      </c>
      <c r="AI645" s="10" t="n">
        <f aca="false">X645+Y645*(E645-AB645)-Y645*AD645*Inputs!$B$13*(A645-AC645)</f>
        <v>1037.10316126448</v>
      </c>
      <c r="AJ645" s="10" t="n">
        <v>0</v>
      </c>
      <c r="AK645" s="8" t="n">
        <f aca="false">IF(AND(B645&lt;=U645,NOT(Q645)),B645,U645)*(1-Inputs!$B$12)</f>
        <v>0.850337289676635</v>
      </c>
    </row>
    <row r="646" customFormat="false" ht="15" hidden="false" customHeight="false" outlineLevel="0" collapsed="false">
      <c r="A646" s="6" t="n">
        <v>45430</v>
      </c>
      <c r="B646" s="7" t="n">
        <v>0.899079106093971</v>
      </c>
      <c r="C646" s="7" t="n">
        <v>0.90064335891838</v>
      </c>
      <c r="D646" s="7" t="n">
        <v>0.888389981354982</v>
      </c>
      <c r="E646" s="7" t="n">
        <v>0.896828008542977</v>
      </c>
      <c r="F646" s="8" t="n">
        <f aca="true">IF(ROW()-2&gt;=Inputs!$B$4,AVERAGE(OFFSET(E646,1-Inputs!$B$4,0,Inputs!$B$4,1)),"")</f>
        <v>0.905621827661046</v>
      </c>
      <c r="G646" s="8" t="n">
        <f aca="true">IF(ROW()-2&gt;=Inputs!$B$5,AVERAGE(OFFSET(E646,1-Inputs!$B$5,0,Inputs!$B$5,1)),"")</f>
        <v>0.88493183018376</v>
      </c>
      <c r="H646" s="8" t="n">
        <f aca="false">MAX(C646-D646,ABS(C646-E645),ABS(D646-E645))</f>
        <v>0.0122533775633985</v>
      </c>
      <c r="I646" s="8" t="n">
        <f aca="true">IF(ROW()-2&lt;14,"",IF(ROW()-2=14,AVERAGE(OFFSET(H646,-13,0,14,1)),(I645*13+H646)/14))</f>
        <v>0.0098587220993917</v>
      </c>
      <c r="J646" s="9" t="b">
        <f aca="false">IF(AND(ISNUMBER(F646),ISNUMBER(G646),ISNUMBER(F645),ISNUMBER(G645)),AND(F646&gt;G646,F645&lt;=G645),FALSE())</f>
        <v>0</v>
      </c>
      <c r="K646" s="9" t="b">
        <f aca="false">IF(AND(ISNUMBER(F646),ISNUMBER(G646),ISNUMBER(F645),ISNUMBER(G645)),AND(F646&lt;G646,F645&gt;=G645),FALSE())</f>
        <v>0</v>
      </c>
      <c r="L646" s="8" t="n">
        <f aca="false">IF(ISNUMBER(I646),E646-Inputs!$B$6*I646,"")</f>
        <v>0.877110564344193</v>
      </c>
      <c r="M646" s="9" t="b">
        <f aca="false">AND(Y645&gt;0,Z645)</f>
        <v>0</v>
      </c>
      <c r="N646" s="8" t="n">
        <f aca="false">B646*(1-Inputs!$B$12)</f>
        <v>0.898899290272752</v>
      </c>
      <c r="O646" s="10" t="n">
        <f aca="false">IF(M646,Y645*(N646-AB645)-Inputs!$B$9-Y645*AD645*Inputs!$B$13*(A646-AC645),0)</f>
        <v>0</v>
      </c>
      <c r="P646" s="10" t="n">
        <f aca="false">X645+O646</f>
        <v>1037.10316126448</v>
      </c>
      <c r="Q646" s="9" t="b">
        <f aca="false">AND(IF(M646,0,Y645)=0,AA645,IF(ISNUMBER(AE645),B646&gt;AE645,FALSE()))</f>
        <v>0</v>
      </c>
      <c r="R646" s="8" t="n">
        <f aca="false">B646*(1+Inputs!$B$12)</f>
        <v>0.89925892191519</v>
      </c>
      <c r="S646" s="11" t="n">
        <f aca="false">IF(Q646,MIN(P646*Inputs!$B$3/(R646-AE645),P646*Inputs!$B$11/R646),0)</f>
        <v>0</v>
      </c>
      <c r="T646" s="11" t="n">
        <f aca="false">IF(Q646,S646,IF(M646,0,Y645))</f>
        <v>0</v>
      </c>
      <c r="U646" s="8" t="n">
        <f aca="false">IF(Q646,AE645,AF645)</f>
        <v>0.850507391154866</v>
      </c>
      <c r="V646" s="9" t="b">
        <f aca="false">AND(T646&gt;0,D646&lt;=U646)</f>
        <v>0</v>
      </c>
      <c r="W646" s="10" t="n">
        <f aca="false">IF(V646,T646*(AK646-AB646)-Inputs!$B$9-T646*AD646*Inputs!$B$13*(A646-AC646),0)</f>
        <v>0</v>
      </c>
      <c r="X646" s="10" t="n">
        <f aca="false">P646-IF(Q646,Inputs!$B$9,0)+W646</f>
        <v>1037.10316126448</v>
      </c>
      <c r="Y646" s="11" t="n">
        <f aca="false">IF(V646,0,T646)</f>
        <v>0</v>
      </c>
      <c r="Z646" s="9" t="b">
        <f aca="false">AND(Y646&gt;0,K646)</f>
        <v>0</v>
      </c>
      <c r="AA646" s="9" t="b">
        <f aca="false">AND(Y646=0,J646,ISNUMBER(L646))</f>
        <v>0</v>
      </c>
      <c r="AB646" s="8" t="n">
        <f aca="false">IF(Q646,R646,AB645)</f>
        <v>0.868065965109487</v>
      </c>
      <c r="AC646" s="12" t="n">
        <f aca="false">IF(Q646,A646,AC645)</f>
        <v>45375</v>
      </c>
      <c r="AD646" s="8" t="n">
        <f aca="false">IF(Q646,B646,AD645)</f>
        <v>0.86789238663216</v>
      </c>
      <c r="AE646" s="8" t="str">
        <f aca="false">IF(AA646,L646,"")</f>
        <v/>
      </c>
      <c r="AF646" s="8" t="n">
        <f aca="false">U646</f>
        <v>0.850507391154866</v>
      </c>
      <c r="AG646" s="2" t="n">
        <f aca="false">AG645+IF(Q646,1,0)</f>
        <v>4</v>
      </c>
      <c r="AH646" s="2" t="n">
        <f aca="false">AG645</f>
        <v>4</v>
      </c>
      <c r="AI646" s="10" t="n">
        <f aca="false">X646+Y646*(E646-AB646)-Y646*AD646*Inputs!$B$13*(A646-AC646)</f>
        <v>1037.10316126448</v>
      </c>
      <c r="AJ646" s="10" t="n">
        <v>0</v>
      </c>
      <c r="AK646" s="8" t="n">
        <f aca="false">IF(AND(B646&lt;=U646,NOT(Q646)),B646,U646)*(1-Inputs!$B$12)</f>
        <v>0.850337289676635</v>
      </c>
    </row>
    <row r="647" customFormat="false" ht="15" hidden="false" customHeight="false" outlineLevel="0" collapsed="false">
      <c r="A647" s="6" t="n">
        <v>45431</v>
      </c>
      <c r="B647" s="7" t="n">
        <v>0.896828008542977</v>
      </c>
      <c r="C647" s="7" t="n">
        <v>0.90540156031737</v>
      </c>
      <c r="D647" s="7" t="n">
        <v>0.892643518924679</v>
      </c>
      <c r="E647" s="7" t="n">
        <v>0.901817197631697</v>
      </c>
      <c r="F647" s="8" t="n">
        <f aca="true">IF(ROW()-2&gt;=Inputs!$B$4,AVERAGE(OFFSET(E647,1-Inputs!$B$4,0,Inputs!$B$4,1)),"")</f>
        <v>0.906549847136784</v>
      </c>
      <c r="G647" s="8" t="n">
        <f aca="true">IF(ROW()-2&gt;=Inputs!$B$5,AVERAGE(OFFSET(E647,1-Inputs!$B$5,0,Inputs!$B$5,1)),"")</f>
        <v>0.885661574069025</v>
      </c>
      <c r="H647" s="8" t="n">
        <f aca="false">MAX(C647-D647,ABS(C647-E646),ABS(D647-E646))</f>
        <v>0.0127580413926911</v>
      </c>
      <c r="I647" s="8" t="n">
        <f aca="true">IF(ROW()-2&lt;14,"",IF(ROW()-2=14,AVERAGE(OFFSET(H647,-13,0,14,1)),(I646*13+H647)/14))</f>
        <v>0.0100658163346274</v>
      </c>
      <c r="J647" s="9" t="b">
        <f aca="false">IF(AND(ISNUMBER(F647),ISNUMBER(G647),ISNUMBER(F646),ISNUMBER(G646)),AND(F647&gt;G647,F646&lt;=G646),FALSE())</f>
        <v>0</v>
      </c>
      <c r="K647" s="9" t="b">
        <f aca="false">IF(AND(ISNUMBER(F647),ISNUMBER(G647),ISNUMBER(F646),ISNUMBER(G646)),AND(F647&lt;G647,F646&gt;=G646),FALSE())</f>
        <v>0</v>
      </c>
      <c r="L647" s="8" t="n">
        <f aca="false">IF(ISNUMBER(I647),E647-Inputs!$B$6*I647,"")</f>
        <v>0.881685564962442</v>
      </c>
      <c r="M647" s="9" t="b">
        <f aca="false">AND(Y646&gt;0,Z646)</f>
        <v>0</v>
      </c>
      <c r="N647" s="8" t="n">
        <f aca="false">B647*(1-Inputs!$B$12)</f>
        <v>0.896648642941268</v>
      </c>
      <c r="O647" s="10" t="n">
        <f aca="false">IF(M647,Y646*(N647-AB646)-Inputs!$B$9-Y646*AD646*Inputs!$B$13*(A647-AC646),0)</f>
        <v>0</v>
      </c>
      <c r="P647" s="10" t="n">
        <f aca="false">X646+O647</f>
        <v>1037.10316126448</v>
      </c>
      <c r="Q647" s="9" t="b">
        <f aca="false">AND(IF(M647,0,Y646)=0,AA646,IF(ISNUMBER(AE646),B647&gt;AE646,FALSE()))</f>
        <v>0</v>
      </c>
      <c r="R647" s="8" t="n">
        <f aca="false">B647*(1+Inputs!$B$12)</f>
        <v>0.897007374144685</v>
      </c>
      <c r="S647" s="11" t="n">
        <f aca="false">IF(Q647,MIN(P647*Inputs!$B$3/(R647-AE646),P647*Inputs!$B$11/R647),0)</f>
        <v>0</v>
      </c>
      <c r="T647" s="11" t="n">
        <f aca="false">IF(Q647,S647,IF(M647,0,Y646))</f>
        <v>0</v>
      </c>
      <c r="U647" s="8" t="n">
        <f aca="false">IF(Q647,AE646,AF646)</f>
        <v>0.850507391154866</v>
      </c>
      <c r="V647" s="9" t="b">
        <f aca="false">AND(T647&gt;0,D647&lt;=U647)</f>
        <v>0</v>
      </c>
      <c r="W647" s="10" t="n">
        <f aca="false">IF(V647,T647*(AK647-AB647)-Inputs!$B$9-T647*AD647*Inputs!$B$13*(A647-AC647),0)</f>
        <v>0</v>
      </c>
      <c r="X647" s="10" t="n">
        <f aca="false">P647-IF(Q647,Inputs!$B$9,0)+W647</f>
        <v>1037.10316126448</v>
      </c>
      <c r="Y647" s="11" t="n">
        <f aca="false">IF(V647,0,T647)</f>
        <v>0</v>
      </c>
      <c r="Z647" s="9" t="b">
        <f aca="false">AND(Y647&gt;0,K647)</f>
        <v>0</v>
      </c>
      <c r="AA647" s="9" t="b">
        <f aca="false">AND(Y647=0,J647,ISNUMBER(L647))</f>
        <v>0</v>
      </c>
      <c r="AB647" s="8" t="n">
        <f aca="false">IF(Q647,R647,AB646)</f>
        <v>0.868065965109487</v>
      </c>
      <c r="AC647" s="12" t="n">
        <f aca="false">IF(Q647,A647,AC646)</f>
        <v>45375</v>
      </c>
      <c r="AD647" s="8" t="n">
        <f aca="false">IF(Q647,B647,AD646)</f>
        <v>0.86789238663216</v>
      </c>
      <c r="AE647" s="8" t="str">
        <f aca="false">IF(AA647,L647,"")</f>
        <v/>
      </c>
      <c r="AF647" s="8" t="n">
        <f aca="false">U647</f>
        <v>0.850507391154866</v>
      </c>
      <c r="AG647" s="2" t="n">
        <f aca="false">AG646+IF(Q647,1,0)</f>
        <v>4</v>
      </c>
      <c r="AH647" s="2" t="n">
        <f aca="false">AG646</f>
        <v>4</v>
      </c>
      <c r="AI647" s="10" t="n">
        <f aca="false">X647+Y647*(E647-AB647)-Y647*AD647*Inputs!$B$13*(A647-AC647)</f>
        <v>1037.10316126448</v>
      </c>
      <c r="AJ647" s="10" t="n">
        <v>0</v>
      </c>
      <c r="AK647" s="8" t="n">
        <f aca="false">IF(AND(B647&lt;=U647,NOT(Q647)),B647,U647)*(1-Inputs!$B$12)</f>
        <v>0.850337289676635</v>
      </c>
    </row>
    <row r="648" customFormat="false" ht="15" hidden="false" customHeight="false" outlineLevel="0" collapsed="false">
      <c r="A648" s="6" t="n">
        <v>45432</v>
      </c>
      <c r="B648" s="7" t="n">
        <v>0.901817197631697</v>
      </c>
      <c r="C648" s="7" t="n">
        <v>0.902562113959729</v>
      </c>
      <c r="D648" s="7" t="n">
        <v>0.896921872408128</v>
      </c>
      <c r="E648" s="7" t="n">
        <v>0.898876653776027</v>
      </c>
      <c r="F648" s="8" t="n">
        <f aca="true">IF(ROW()-2&gt;=Inputs!$B$4,AVERAGE(OFFSET(E648,1-Inputs!$B$4,0,Inputs!$B$4,1)),"")</f>
        <v>0.907134005081573</v>
      </c>
      <c r="G648" s="8" t="n">
        <f aca="true">IF(ROW()-2&gt;=Inputs!$B$5,AVERAGE(OFFSET(E648,1-Inputs!$B$5,0,Inputs!$B$5,1)),"")</f>
        <v>0.886559459144147</v>
      </c>
      <c r="H648" s="8" t="n">
        <f aca="false">MAX(C648-D648,ABS(C648-E647),ABS(D648-E647))</f>
        <v>0.00564024155160103</v>
      </c>
      <c r="I648" s="8" t="n">
        <f aca="true">IF(ROW()-2&lt;14,"",IF(ROW()-2=14,AVERAGE(OFFSET(H648,-13,0,14,1)),(I647*13+H648)/14))</f>
        <v>0.00974970385012549</v>
      </c>
      <c r="J648" s="9" t="b">
        <f aca="false">IF(AND(ISNUMBER(F648),ISNUMBER(G648),ISNUMBER(F647),ISNUMBER(G647)),AND(F648&gt;G648,F647&lt;=G647),FALSE())</f>
        <v>0</v>
      </c>
      <c r="K648" s="9" t="b">
        <f aca="false">IF(AND(ISNUMBER(F648),ISNUMBER(G648),ISNUMBER(F647),ISNUMBER(G647)),AND(F648&lt;G648,F647&gt;=G647),FALSE())</f>
        <v>0</v>
      </c>
      <c r="L648" s="8" t="n">
        <f aca="false">IF(ISNUMBER(I648),E648-Inputs!$B$6*I648,"")</f>
        <v>0.879377246075777</v>
      </c>
      <c r="M648" s="9" t="b">
        <f aca="false">AND(Y647&gt;0,Z647)</f>
        <v>0</v>
      </c>
      <c r="N648" s="8" t="n">
        <f aca="false">B648*(1-Inputs!$B$12)</f>
        <v>0.90163683419217</v>
      </c>
      <c r="O648" s="10" t="n">
        <f aca="false">IF(M648,Y647*(N648-AB647)-Inputs!$B$9-Y647*AD647*Inputs!$B$13*(A648-AC647),0)</f>
        <v>0</v>
      </c>
      <c r="P648" s="10" t="n">
        <f aca="false">X647+O648</f>
        <v>1037.10316126448</v>
      </c>
      <c r="Q648" s="9" t="b">
        <f aca="false">AND(IF(M648,0,Y647)=0,AA647,IF(ISNUMBER(AE647),B648&gt;AE647,FALSE()))</f>
        <v>0</v>
      </c>
      <c r="R648" s="8" t="n">
        <f aca="false">B648*(1+Inputs!$B$12)</f>
        <v>0.901997561071223</v>
      </c>
      <c r="S648" s="11" t="n">
        <f aca="false">IF(Q648,MIN(P648*Inputs!$B$3/(R648-AE647),P648*Inputs!$B$11/R648),0)</f>
        <v>0</v>
      </c>
      <c r="T648" s="11" t="n">
        <f aca="false">IF(Q648,S648,IF(M648,0,Y647))</f>
        <v>0</v>
      </c>
      <c r="U648" s="8" t="n">
        <f aca="false">IF(Q648,AE647,AF647)</f>
        <v>0.850507391154866</v>
      </c>
      <c r="V648" s="9" t="b">
        <f aca="false">AND(T648&gt;0,D648&lt;=U648)</f>
        <v>0</v>
      </c>
      <c r="W648" s="10" t="n">
        <f aca="false">IF(V648,T648*(AK648-AB648)-Inputs!$B$9-T648*AD648*Inputs!$B$13*(A648-AC648),0)</f>
        <v>0</v>
      </c>
      <c r="X648" s="10" t="n">
        <f aca="false">P648-IF(Q648,Inputs!$B$9,0)+W648</f>
        <v>1037.10316126448</v>
      </c>
      <c r="Y648" s="11" t="n">
        <f aca="false">IF(V648,0,T648)</f>
        <v>0</v>
      </c>
      <c r="Z648" s="9" t="b">
        <f aca="false">AND(Y648&gt;0,K648)</f>
        <v>0</v>
      </c>
      <c r="AA648" s="9" t="b">
        <f aca="false">AND(Y648=0,J648,ISNUMBER(L648))</f>
        <v>0</v>
      </c>
      <c r="AB648" s="8" t="n">
        <f aca="false">IF(Q648,R648,AB647)</f>
        <v>0.868065965109487</v>
      </c>
      <c r="AC648" s="12" t="n">
        <f aca="false">IF(Q648,A648,AC647)</f>
        <v>45375</v>
      </c>
      <c r="AD648" s="8" t="n">
        <f aca="false">IF(Q648,B648,AD647)</f>
        <v>0.86789238663216</v>
      </c>
      <c r="AE648" s="8" t="str">
        <f aca="false">IF(AA648,L648,"")</f>
        <v/>
      </c>
      <c r="AF648" s="8" t="n">
        <f aca="false">U648</f>
        <v>0.850507391154866</v>
      </c>
      <c r="AG648" s="2" t="n">
        <f aca="false">AG647+IF(Q648,1,0)</f>
        <v>4</v>
      </c>
      <c r="AH648" s="2" t="n">
        <f aca="false">AG647</f>
        <v>4</v>
      </c>
      <c r="AI648" s="10" t="n">
        <f aca="false">X648+Y648*(E648-AB648)-Y648*AD648*Inputs!$B$13*(A648-AC648)</f>
        <v>1037.10316126448</v>
      </c>
      <c r="AJ648" s="10" t="n">
        <v>0</v>
      </c>
      <c r="AK648" s="8" t="n">
        <f aca="false">IF(AND(B648&lt;=U648,NOT(Q648)),B648,U648)*(1-Inputs!$B$12)</f>
        <v>0.850337289676635</v>
      </c>
    </row>
    <row r="649" customFormat="false" ht="15" hidden="false" customHeight="false" outlineLevel="0" collapsed="false">
      <c r="A649" s="6" t="n">
        <v>45433</v>
      </c>
      <c r="B649" s="7" t="n">
        <v>0.898876653776027</v>
      </c>
      <c r="C649" s="7" t="n">
        <v>0.903320993857819</v>
      </c>
      <c r="D649" s="7" t="n">
        <v>0.892761173866157</v>
      </c>
      <c r="E649" s="7" t="n">
        <v>0.896687458147594</v>
      </c>
      <c r="F649" s="8" t="n">
        <f aca="true">IF(ROW()-2&gt;=Inputs!$B$4,AVERAGE(OFFSET(E649,1-Inputs!$B$4,0,Inputs!$B$4,1)),"")</f>
        <v>0.907501283685489</v>
      </c>
      <c r="G649" s="8" t="n">
        <f aca="true">IF(ROW()-2&gt;=Inputs!$B$5,AVERAGE(OFFSET(E649,1-Inputs!$B$5,0,Inputs!$B$5,1)),"")</f>
        <v>0.887290870127523</v>
      </c>
      <c r="H649" s="8" t="n">
        <f aca="false">MAX(C649-D649,ABS(C649-E648),ABS(D649-E648))</f>
        <v>0.0105598199916623</v>
      </c>
      <c r="I649" s="8" t="n">
        <f aca="true">IF(ROW()-2&lt;14,"",IF(ROW()-2=14,AVERAGE(OFFSET(H649,-13,0,14,1)),(I648*13+H649)/14))</f>
        <v>0.00980756928880669</v>
      </c>
      <c r="J649" s="9" t="b">
        <f aca="false">IF(AND(ISNUMBER(F649),ISNUMBER(G649),ISNUMBER(F648),ISNUMBER(G648)),AND(F649&gt;G649,F648&lt;=G648),FALSE())</f>
        <v>0</v>
      </c>
      <c r="K649" s="9" t="b">
        <f aca="false">IF(AND(ISNUMBER(F649),ISNUMBER(G649),ISNUMBER(F648),ISNUMBER(G648)),AND(F649&lt;G649,F648&gt;=G648),FALSE())</f>
        <v>0</v>
      </c>
      <c r="L649" s="8" t="n">
        <f aca="false">IF(ISNUMBER(I649),E649-Inputs!$B$6*I649,"")</f>
        <v>0.877072319569981</v>
      </c>
      <c r="M649" s="9" t="b">
        <f aca="false">AND(Y648&gt;0,Z648)</f>
        <v>0</v>
      </c>
      <c r="N649" s="8" t="n">
        <f aca="false">B649*(1-Inputs!$B$12)</f>
        <v>0.898696878445272</v>
      </c>
      <c r="O649" s="10" t="n">
        <f aca="false">IF(M649,Y648*(N649-AB648)-Inputs!$B$9-Y648*AD648*Inputs!$B$13*(A649-AC648),0)</f>
        <v>0</v>
      </c>
      <c r="P649" s="10" t="n">
        <f aca="false">X648+O649</f>
        <v>1037.10316126448</v>
      </c>
      <c r="Q649" s="9" t="b">
        <f aca="false">AND(IF(M649,0,Y648)=0,AA648,IF(ISNUMBER(AE648),B649&gt;AE648,FALSE()))</f>
        <v>0</v>
      </c>
      <c r="R649" s="8" t="n">
        <f aca="false">B649*(1+Inputs!$B$12)</f>
        <v>0.899056429106783</v>
      </c>
      <c r="S649" s="11" t="n">
        <f aca="false">IF(Q649,MIN(P649*Inputs!$B$3/(R649-AE648),P649*Inputs!$B$11/R649),0)</f>
        <v>0</v>
      </c>
      <c r="T649" s="11" t="n">
        <f aca="false">IF(Q649,S649,IF(M649,0,Y648))</f>
        <v>0</v>
      </c>
      <c r="U649" s="8" t="n">
        <f aca="false">IF(Q649,AE648,AF648)</f>
        <v>0.850507391154866</v>
      </c>
      <c r="V649" s="9" t="b">
        <f aca="false">AND(T649&gt;0,D649&lt;=U649)</f>
        <v>0</v>
      </c>
      <c r="W649" s="10" t="n">
        <f aca="false">IF(V649,T649*(AK649-AB649)-Inputs!$B$9-T649*AD649*Inputs!$B$13*(A649-AC649),0)</f>
        <v>0</v>
      </c>
      <c r="X649" s="10" t="n">
        <f aca="false">P649-IF(Q649,Inputs!$B$9,0)+W649</f>
        <v>1037.10316126448</v>
      </c>
      <c r="Y649" s="11" t="n">
        <f aca="false">IF(V649,0,T649)</f>
        <v>0</v>
      </c>
      <c r="Z649" s="9" t="b">
        <f aca="false">AND(Y649&gt;0,K649)</f>
        <v>0</v>
      </c>
      <c r="AA649" s="9" t="b">
        <f aca="false">AND(Y649=0,J649,ISNUMBER(L649))</f>
        <v>0</v>
      </c>
      <c r="AB649" s="8" t="n">
        <f aca="false">IF(Q649,R649,AB648)</f>
        <v>0.868065965109487</v>
      </c>
      <c r="AC649" s="12" t="n">
        <f aca="false">IF(Q649,A649,AC648)</f>
        <v>45375</v>
      </c>
      <c r="AD649" s="8" t="n">
        <f aca="false">IF(Q649,B649,AD648)</f>
        <v>0.86789238663216</v>
      </c>
      <c r="AE649" s="8" t="str">
        <f aca="false">IF(AA649,L649,"")</f>
        <v/>
      </c>
      <c r="AF649" s="8" t="n">
        <f aca="false">U649</f>
        <v>0.850507391154866</v>
      </c>
      <c r="AG649" s="2" t="n">
        <f aca="false">AG648+IF(Q649,1,0)</f>
        <v>4</v>
      </c>
      <c r="AH649" s="2" t="n">
        <f aca="false">AG648</f>
        <v>4</v>
      </c>
      <c r="AI649" s="10" t="n">
        <f aca="false">X649+Y649*(E649-AB649)-Y649*AD649*Inputs!$B$13*(A649-AC649)</f>
        <v>1037.10316126448</v>
      </c>
      <c r="AJ649" s="10" t="n">
        <v>0</v>
      </c>
      <c r="AK649" s="8" t="n">
        <f aca="false">IF(AND(B649&lt;=U649,NOT(Q649)),B649,U649)*(1-Inputs!$B$12)</f>
        <v>0.850337289676635</v>
      </c>
    </row>
    <row r="650" customFormat="false" ht="15" hidden="false" customHeight="false" outlineLevel="0" collapsed="false">
      <c r="A650" s="6" t="n">
        <v>45434</v>
      </c>
      <c r="B650" s="7" t="n">
        <v>0.896687458147594</v>
      </c>
      <c r="C650" s="7" t="n">
        <v>0.898957344990229</v>
      </c>
      <c r="D650" s="7" t="n">
        <v>0.877898028974781</v>
      </c>
      <c r="E650" s="7" t="n">
        <v>0.882832440779685</v>
      </c>
      <c r="F650" s="8" t="n">
        <f aca="true">IF(ROW()-2&gt;=Inputs!$B$4,AVERAGE(OFFSET(E650,1-Inputs!$B$4,0,Inputs!$B$4,1)),"")</f>
        <v>0.906512136215863</v>
      </c>
      <c r="G650" s="8" t="n">
        <f aca="true">IF(ROW()-2&gt;=Inputs!$B$5,AVERAGE(OFFSET(E650,1-Inputs!$B$5,0,Inputs!$B$5,1)),"")</f>
        <v>0.887749621166111</v>
      </c>
      <c r="H650" s="8" t="n">
        <f aca="false">MAX(C650-D650,ABS(C650-E649),ABS(D650-E649))</f>
        <v>0.0210593160154485</v>
      </c>
      <c r="I650" s="8" t="n">
        <f aca="true">IF(ROW()-2&lt;14,"",IF(ROW()-2=14,AVERAGE(OFFSET(H650,-13,0,14,1)),(I649*13+H650)/14))</f>
        <v>0.0106112654835668</v>
      </c>
      <c r="J650" s="9" t="b">
        <f aca="false">IF(AND(ISNUMBER(F650),ISNUMBER(G650),ISNUMBER(F649),ISNUMBER(G649)),AND(F650&gt;G650,F649&lt;=G649),FALSE())</f>
        <v>0</v>
      </c>
      <c r="K650" s="9" t="b">
        <f aca="false">IF(AND(ISNUMBER(F650),ISNUMBER(G650),ISNUMBER(F649),ISNUMBER(G649)),AND(F650&lt;G650,F649&gt;=G649),FALSE())</f>
        <v>0</v>
      </c>
      <c r="L650" s="8" t="n">
        <f aca="false">IF(ISNUMBER(I650),E650-Inputs!$B$6*I650,"")</f>
        <v>0.861609909812551</v>
      </c>
      <c r="M650" s="9" t="b">
        <f aca="false">AND(Y649&gt;0,Z649)</f>
        <v>0</v>
      </c>
      <c r="N650" s="8" t="n">
        <f aca="false">B650*(1-Inputs!$B$12)</f>
        <v>0.896508120655965</v>
      </c>
      <c r="O650" s="10" t="n">
        <f aca="false">IF(M650,Y649*(N650-AB649)-Inputs!$B$9-Y649*AD649*Inputs!$B$13*(A650-AC649),0)</f>
        <v>0</v>
      </c>
      <c r="P650" s="10" t="n">
        <f aca="false">X649+O650</f>
        <v>1037.10316126448</v>
      </c>
      <c r="Q650" s="9" t="b">
        <f aca="false">AND(IF(M650,0,Y649)=0,AA649,IF(ISNUMBER(AE649),B650&gt;AE649,FALSE()))</f>
        <v>0</v>
      </c>
      <c r="R650" s="8" t="n">
        <f aca="false">B650*(1+Inputs!$B$12)</f>
        <v>0.896866795639224</v>
      </c>
      <c r="S650" s="11" t="n">
        <f aca="false">IF(Q650,MIN(P650*Inputs!$B$3/(R650-AE649),P650*Inputs!$B$11/R650),0)</f>
        <v>0</v>
      </c>
      <c r="T650" s="11" t="n">
        <f aca="false">IF(Q650,S650,IF(M650,0,Y649))</f>
        <v>0</v>
      </c>
      <c r="U650" s="8" t="n">
        <f aca="false">IF(Q650,AE649,AF649)</f>
        <v>0.850507391154866</v>
      </c>
      <c r="V650" s="9" t="b">
        <f aca="false">AND(T650&gt;0,D650&lt;=U650)</f>
        <v>0</v>
      </c>
      <c r="W650" s="10" t="n">
        <f aca="false">IF(V650,T650*(AK650-AB650)-Inputs!$B$9-T650*AD650*Inputs!$B$13*(A650-AC650),0)</f>
        <v>0</v>
      </c>
      <c r="X650" s="10" t="n">
        <f aca="false">P650-IF(Q650,Inputs!$B$9,0)+W650</f>
        <v>1037.10316126448</v>
      </c>
      <c r="Y650" s="11" t="n">
        <f aca="false">IF(V650,0,T650)</f>
        <v>0</v>
      </c>
      <c r="Z650" s="9" t="b">
        <f aca="false">AND(Y650&gt;0,K650)</f>
        <v>0</v>
      </c>
      <c r="AA650" s="9" t="b">
        <f aca="false">AND(Y650=0,J650,ISNUMBER(L650))</f>
        <v>0</v>
      </c>
      <c r="AB650" s="8" t="n">
        <f aca="false">IF(Q650,R650,AB649)</f>
        <v>0.868065965109487</v>
      </c>
      <c r="AC650" s="12" t="n">
        <f aca="false">IF(Q650,A650,AC649)</f>
        <v>45375</v>
      </c>
      <c r="AD650" s="8" t="n">
        <f aca="false">IF(Q650,B650,AD649)</f>
        <v>0.86789238663216</v>
      </c>
      <c r="AE650" s="8" t="str">
        <f aca="false">IF(AA650,L650,"")</f>
        <v/>
      </c>
      <c r="AF650" s="8" t="n">
        <f aca="false">U650</f>
        <v>0.850507391154866</v>
      </c>
      <c r="AG650" s="2" t="n">
        <f aca="false">AG649+IF(Q650,1,0)</f>
        <v>4</v>
      </c>
      <c r="AH650" s="2" t="n">
        <f aca="false">AG649</f>
        <v>4</v>
      </c>
      <c r="AI650" s="10" t="n">
        <f aca="false">X650+Y650*(E650-AB650)-Y650*AD650*Inputs!$B$13*(A650-AC650)</f>
        <v>1037.10316126448</v>
      </c>
      <c r="AJ650" s="10" t="n">
        <v>0</v>
      </c>
      <c r="AK650" s="8" t="n">
        <f aca="false">IF(AND(B650&lt;=U650,NOT(Q650)),B650,U650)*(1-Inputs!$B$12)</f>
        <v>0.850337289676635</v>
      </c>
    </row>
    <row r="651" customFormat="false" ht="15" hidden="false" customHeight="false" outlineLevel="0" collapsed="false">
      <c r="A651" s="6" t="n">
        <v>45435</v>
      </c>
      <c r="B651" s="7" t="n">
        <v>0.882832440779685</v>
      </c>
      <c r="C651" s="7" t="n">
        <v>0.88662175590933</v>
      </c>
      <c r="D651" s="7" t="n">
        <v>0.880955556171753</v>
      </c>
      <c r="E651" s="7" t="n">
        <v>0.883725069216846</v>
      </c>
      <c r="F651" s="8" t="n">
        <f aca="true">IF(ROW()-2&gt;=Inputs!$B$4,AVERAGE(OFFSET(E651,1-Inputs!$B$4,0,Inputs!$B$4,1)),"")</f>
        <v>0.905601587021264</v>
      </c>
      <c r="G651" s="8" t="n">
        <f aca="true">IF(ROW()-2&gt;=Inputs!$B$5,AVERAGE(OFFSET(E651,1-Inputs!$B$5,0,Inputs!$B$5,1)),"")</f>
        <v>0.888193252314865</v>
      </c>
      <c r="H651" s="8" t="n">
        <f aca="false">MAX(C651-D651,ABS(C651-E650),ABS(D651-E650))</f>
        <v>0.00566619973757709</v>
      </c>
      <c r="I651" s="8" t="n">
        <f aca="true">IF(ROW()-2&lt;14,"",IF(ROW()-2=14,AVERAGE(OFFSET(H651,-13,0,14,1)),(I650*13+H651)/14))</f>
        <v>0.0102580465017104</v>
      </c>
      <c r="J651" s="9" t="b">
        <f aca="false">IF(AND(ISNUMBER(F651),ISNUMBER(G651),ISNUMBER(F650),ISNUMBER(G650)),AND(F651&gt;G651,F650&lt;=G650),FALSE())</f>
        <v>0</v>
      </c>
      <c r="K651" s="9" t="b">
        <f aca="false">IF(AND(ISNUMBER(F651),ISNUMBER(G651),ISNUMBER(F650),ISNUMBER(G650)),AND(F651&lt;G651,F650&gt;=G650),FALSE())</f>
        <v>0</v>
      </c>
      <c r="L651" s="8" t="n">
        <f aca="false">IF(ISNUMBER(I651),E651-Inputs!$B$6*I651,"")</f>
        <v>0.863208976213425</v>
      </c>
      <c r="M651" s="9" t="b">
        <f aca="false">AND(Y650&gt;0,Z650)</f>
        <v>0</v>
      </c>
      <c r="N651" s="8" t="n">
        <f aca="false">B651*(1-Inputs!$B$12)</f>
        <v>0.882655874291529</v>
      </c>
      <c r="O651" s="10" t="n">
        <f aca="false">IF(M651,Y650*(N651-AB650)-Inputs!$B$9-Y650*AD650*Inputs!$B$13*(A651-AC650),0)</f>
        <v>0</v>
      </c>
      <c r="P651" s="10" t="n">
        <f aca="false">X650+O651</f>
        <v>1037.10316126448</v>
      </c>
      <c r="Q651" s="9" t="b">
        <f aca="false">AND(IF(M651,0,Y650)=0,AA650,IF(ISNUMBER(AE650),B651&gt;AE650,FALSE()))</f>
        <v>0</v>
      </c>
      <c r="R651" s="8" t="n">
        <f aca="false">B651*(1+Inputs!$B$12)</f>
        <v>0.88300900726784</v>
      </c>
      <c r="S651" s="11" t="n">
        <f aca="false">IF(Q651,MIN(P651*Inputs!$B$3/(R651-AE650),P651*Inputs!$B$11/R651),0)</f>
        <v>0</v>
      </c>
      <c r="T651" s="11" t="n">
        <f aca="false">IF(Q651,S651,IF(M651,0,Y650))</f>
        <v>0</v>
      </c>
      <c r="U651" s="8" t="n">
        <f aca="false">IF(Q651,AE650,AF650)</f>
        <v>0.850507391154866</v>
      </c>
      <c r="V651" s="9" t="b">
        <f aca="false">AND(T651&gt;0,D651&lt;=U651)</f>
        <v>0</v>
      </c>
      <c r="W651" s="10" t="n">
        <f aca="false">IF(V651,T651*(AK651-AB651)-Inputs!$B$9-T651*AD651*Inputs!$B$13*(A651-AC651),0)</f>
        <v>0</v>
      </c>
      <c r="X651" s="10" t="n">
        <f aca="false">P651-IF(Q651,Inputs!$B$9,0)+W651</f>
        <v>1037.10316126448</v>
      </c>
      <c r="Y651" s="11" t="n">
        <f aca="false">IF(V651,0,T651)</f>
        <v>0</v>
      </c>
      <c r="Z651" s="9" t="b">
        <f aca="false">AND(Y651&gt;0,K651)</f>
        <v>0</v>
      </c>
      <c r="AA651" s="9" t="b">
        <f aca="false">AND(Y651=0,J651,ISNUMBER(L651))</f>
        <v>0</v>
      </c>
      <c r="AB651" s="8" t="n">
        <f aca="false">IF(Q651,R651,AB650)</f>
        <v>0.868065965109487</v>
      </c>
      <c r="AC651" s="12" t="n">
        <f aca="false">IF(Q651,A651,AC650)</f>
        <v>45375</v>
      </c>
      <c r="AD651" s="8" t="n">
        <f aca="false">IF(Q651,B651,AD650)</f>
        <v>0.86789238663216</v>
      </c>
      <c r="AE651" s="8" t="str">
        <f aca="false">IF(AA651,L651,"")</f>
        <v/>
      </c>
      <c r="AF651" s="8" t="n">
        <f aca="false">U651</f>
        <v>0.850507391154866</v>
      </c>
      <c r="AG651" s="2" t="n">
        <f aca="false">AG650+IF(Q651,1,0)</f>
        <v>4</v>
      </c>
      <c r="AH651" s="2" t="n">
        <f aca="false">AG650</f>
        <v>4</v>
      </c>
      <c r="AI651" s="10" t="n">
        <f aca="false">X651+Y651*(E651-AB651)-Y651*AD651*Inputs!$B$13*(A651-AC651)</f>
        <v>1037.10316126448</v>
      </c>
      <c r="AJ651" s="10" t="n">
        <v>0</v>
      </c>
      <c r="AK651" s="8" t="n">
        <f aca="false">IF(AND(B651&lt;=U651,NOT(Q651)),B651,U651)*(1-Inputs!$B$12)</f>
        <v>0.850337289676635</v>
      </c>
    </row>
    <row r="652" customFormat="false" ht="15" hidden="false" customHeight="false" outlineLevel="0" collapsed="false">
      <c r="A652" s="6" t="n">
        <v>45436</v>
      </c>
      <c r="B652" s="7" t="n">
        <v>0.883725069216846</v>
      </c>
      <c r="C652" s="7" t="n">
        <v>0.885586426786443</v>
      </c>
      <c r="D652" s="7" t="n">
        <v>0.879104805438567</v>
      </c>
      <c r="E652" s="7" t="n">
        <v>0.884968569432796</v>
      </c>
      <c r="F652" s="8" t="n">
        <f aca="true">IF(ROW()-2&gt;=Inputs!$B$4,AVERAGE(OFFSET(E652,1-Inputs!$B$4,0,Inputs!$B$4,1)),"")</f>
        <v>0.90426967342735</v>
      </c>
      <c r="G652" s="8" t="n">
        <f aca="true">IF(ROW()-2&gt;=Inputs!$B$5,AVERAGE(OFFSET(E652,1-Inputs!$B$5,0,Inputs!$B$5,1)),"")</f>
        <v>0.888640338374334</v>
      </c>
      <c r="H652" s="8" t="n">
        <f aca="false">MAX(C652-D652,ABS(C652-E651),ABS(D652-E651))</f>
        <v>0.00648162134787622</v>
      </c>
      <c r="I652" s="8" t="n">
        <f aca="true">IF(ROW()-2&lt;14,"",IF(ROW()-2=14,AVERAGE(OFFSET(H652,-13,0,14,1)),(I651*13+H652)/14))</f>
        <v>0.00998830184786512</v>
      </c>
      <c r="J652" s="9" t="b">
        <f aca="false">IF(AND(ISNUMBER(F652),ISNUMBER(G652),ISNUMBER(F651),ISNUMBER(G651)),AND(F652&gt;G652,F651&lt;=G651),FALSE())</f>
        <v>0</v>
      </c>
      <c r="K652" s="9" t="b">
        <f aca="false">IF(AND(ISNUMBER(F652),ISNUMBER(G652),ISNUMBER(F651),ISNUMBER(G651)),AND(F652&lt;G652,F651&gt;=G651),FALSE())</f>
        <v>0</v>
      </c>
      <c r="L652" s="8" t="n">
        <f aca="false">IF(ISNUMBER(I652),E652-Inputs!$B$6*I652,"")</f>
        <v>0.864991965737066</v>
      </c>
      <c r="M652" s="9" t="b">
        <f aca="false">AND(Y651&gt;0,Z651)</f>
        <v>0</v>
      </c>
      <c r="N652" s="8" t="n">
        <f aca="false">B652*(1-Inputs!$B$12)</f>
        <v>0.883548324203002</v>
      </c>
      <c r="O652" s="10" t="n">
        <f aca="false">IF(M652,Y651*(N652-AB651)-Inputs!$B$9-Y651*AD651*Inputs!$B$13*(A652-AC651),0)</f>
        <v>0</v>
      </c>
      <c r="P652" s="10" t="n">
        <f aca="false">X651+O652</f>
        <v>1037.10316126448</v>
      </c>
      <c r="Q652" s="9" t="b">
        <f aca="false">AND(IF(M652,0,Y651)=0,AA651,IF(ISNUMBER(AE651),B652&gt;AE651,FALSE()))</f>
        <v>0</v>
      </c>
      <c r="R652" s="8" t="n">
        <f aca="false">B652*(1+Inputs!$B$12)</f>
        <v>0.883901814230689</v>
      </c>
      <c r="S652" s="11" t="n">
        <f aca="false">IF(Q652,MIN(P652*Inputs!$B$3/(R652-AE651),P652*Inputs!$B$11/R652),0)</f>
        <v>0</v>
      </c>
      <c r="T652" s="11" t="n">
        <f aca="false">IF(Q652,S652,IF(M652,0,Y651))</f>
        <v>0</v>
      </c>
      <c r="U652" s="8" t="n">
        <f aca="false">IF(Q652,AE651,AF651)</f>
        <v>0.850507391154866</v>
      </c>
      <c r="V652" s="9" t="b">
        <f aca="false">AND(T652&gt;0,D652&lt;=U652)</f>
        <v>0</v>
      </c>
      <c r="W652" s="10" t="n">
        <f aca="false">IF(V652,T652*(AK652-AB652)-Inputs!$B$9-T652*AD652*Inputs!$B$13*(A652-AC652),0)</f>
        <v>0</v>
      </c>
      <c r="X652" s="10" t="n">
        <f aca="false">P652-IF(Q652,Inputs!$B$9,0)+W652</f>
        <v>1037.10316126448</v>
      </c>
      <c r="Y652" s="11" t="n">
        <f aca="false">IF(V652,0,T652)</f>
        <v>0</v>
      </c>
      <c r="Z652" s="9" t="b">
        <f aca="false">AND(Y652&gt;0,K652)</f>
        <v>0</v>
      </c>
      <c r="AA652" s="9" t="b">
        <f aca="false">AND(Y652=0,J652,ISNUMBER(L652))</f>
        <v>0</v>
      </c>
      <c r="AB652" s="8" t="n">
        <f aca="false">IF(Q652,R652,AB651)</f>
        <v>0.868065965109487</v>
      </c>
      <c r="AC652" s="12" t="n">
        <f aca="false">IF(Q652,A652,AC651)</f>
        <v>45375</v>
      </c>
      <c r="AD652" s="8" t="n">
        <f aca="false">IF(Q652,B652,AD651)</f>
        <v>0.86789238663216</v>
      </c>
      <c r="AE652" s="8" t="str">
        <f aca="false">IF(AA652,L652,"")</f>
        <v/>
      </c>
      <c r="AF652" s="8" t="n">
        <f aca="false">U652</f>
        <v>0.850507391154866</v>
      </c>
      <c r="AG652" s="2" t="n">
        <f aca="false">AG651+IF(Q652,1,0)</f>
        <v>4</v>
      </c>
      <c r="AH652" s="2" t="n">
        <f aca="false">AG651</f>
        <v>4</v>
      </c>
      <c r="AI652" s="10" t="n">
        <f aca="false">X652+Y652*(E652-AB652)-Y652*AD652*Inputs!$B$13*(A652-AC652)</f>
        <v>1037.10316126448</v>
      </c>
      <c r="AJ652" s="10" t="n">
        <v>0</v>
      </c>
      <c r="AK652" s="8" t="n">
        <f aca="false">IF(AND(B652&lt;=U652,NOT(Q652)),B652,U652)*(1-Inputs!$B$12)</f>
        <v>0.850337289676635</v>
      </c>
    </row>
    <row r="653" customFormat="false" ht="15" hidden="false" customHeight="false" outlineLevel="0" collapsed="false">
      <c r="A653" s="6" t="n">
        <v>45437</v>
      </c>
      <c r="B653" s="7" t="n">
        <v>0.884968569432796</v>
      </c>
      <c r="C653" s="7" t="n">
        <v>0.891854886554024</v>
      </c>
      <c r="D653" s="7" t="n">
        <v>0.883996465245723</v>
      </c>
      <c r="E653" s="7" t="n">
        <v>0.8888445638792</v>
      </c>
      <c r="F653" s="8" t="n">
        <f aca="true">IF(ROW()-2&gt;=Inputs!$B$4,AVERAGE(OFFSET(E653,1-Inputs!$B$4,0,Inputs!$B$4,1)),"")</f>
        <v>0.903319720552396</v>
      </c>
      <c r="G653" s="8" t="n">
        <f aca="true">IF(ROW()-2&gt;=Inputs!$B$5,AVERAGE(OFFSET(E653,1-Inputs!$B$5,0,Inputs!$B$5,1)),"")</f>
        <v>0.889106023933967</v>
      </c>
      <c r="H653" s="8" t="n">
        <f aca="false">MAX(C653-D653,ABS(C653-E652),ABS(D653-E652))</f>
        <v>0.00785842130830095</v>
      </c>
      <c r="I653" s="8" t="n">
        <f aca="true">IF(ROW()-2&lt;14,"",IF(ROW()-2=14,AVERAGE(OFFSET(H653,-13,0,14,1)),(I652*13+H653)/14))</f>
        <v>0.00983616752361053</v>
      </c>
      <c r="J653" s="9" t="b">
        <f aca="false">IF(AND(ISNUMBER(F653),ISNUMBER(G653),ISNUMBER(F652),ISNUMBER(G652)),AND(F653&gt;G653,F652&lt;=G652),FALSE())</f>
        <v>0</v>
      </c>
      <c r="K653" s="9" t="b">
        <f aca="false">IF(AND(ISNUMBER(F653),ISNUMBER(G653),ISNUMBER(F652),ISNUMBER(G652)),AND(F653&lt;G653,F652&gt;=G652),FALSE())</f>
        <v>0</v>
      </c>
      <c r="L653" s="8" t="n">
        <f aca="false">IF(ISNUMBER(I653),E653-Inputs!$B$6*I653,"")</f>
        <v>0.869172228831979</v>
      </c>
      <c r="M653" s="9" t="b">
        <f aca="false">AND(Y652&gt;0,Z652)</f>
        <v>0</v>
      </c>
      <c r="N653" s="8" t="n">
        <f aca="false">B653*(1-Inputs!$B$12)</f>
        <v>0.884791575718909</v>
      </c>
      <c r="O653" s="10" t="n">
        <f aca="false">IF(M653,Y652*(N653-AB652)-Inputs!$B$9-Y652*AD652*Inputs!$B$13*(A653-AC652),0)</f>
        <v>0</v>
      </c>
      <c r="P653" s="10" t="n">
        <f aca="false">X652+O653</f>
        <v>1037.10316126448</v>
      </c>
      <c r="Q653" s="9" t="b">
        <f aca="false">AND(IF(M653,0,Y652)=0,AA652,IF(ISNUMBER(AE652),B653&gt;AE652,FALSE()))</f>
        <v>0</v>
      </c>
      <c r="R653" s="8" t="n">
        <f aca="false">B653*(1+Inputs!$B$12)</f>
        <v>0.885145563146682</v>
      </c>
      <c r="S653" s="11" t="n">
        <f aca="false">IF(Q653,MIN(P653*Inputs!$B$3/(R653-AE652),P653*Inputs!$B$11/R653),0)</f>
        <v>0</v>
      </c>
      <c r="T653" s="11" t="n">
        <f aca="false">IF(Q653,S653,IF(M653,0,Y652))</f>
        <v>0</v>
      </c>
      <c r="U653" s="8" t="n">
        <f aca="false">IF(Q653,AE652,AF652)</f>
        <v>0.850507391154866</v>
      </c>
      <c r="V653" s="9" t="b">
        <f aca="false">AND(T653&gt;0,D653&lt;=U653)</f>
        <v>0</v>
      </c>
      <c r="W653" s="10" t="n">
        <f aca="false">IF(V653,T653*(AK653-AB653)-Inputs!$B$9-T653*AD653*Inputs!$B$13*(A653-AC653),0)</f>
        <v>0</v>
      </c>
      <c r="X653" s="10" t="n">
        <f aca="false">P653-IF(Q653,Inputs!$B$9,0)+W653</f>
        <v>1037.10316126448</v>
      </c>
      <c r="Y653" s="11" t="n">
        <f aca="false">IF(V653,0,T653)</f>
        <v>0</v>
      </c>
      <c r="Z653" s="9" t="b">
        <f aca="false">AND(Y653&gt;0,K653)</f>
        <v>0</v>
      </c>
      <c r="AA653" s="9" t="b">
        <f aca="false">AND(Y653=0,J653,ISNUMBER(L653))</f>
        <v>0</v>
      </c>
      <c r="AB653" s="8" t="n">
        <f aca="false">IF(Q653,R653,AB652)</f>
        <v>0.868065965109487</v>
      </c>
      <c r="AC653" s="12" t="n">
        <f aca="false">IF(Q653,A653,AC652)</f>
        <v>45375</v>
      </c>
      <c r="AD653" s="8" t="n">
        <f aca="false">IF(Q653,B653,AD652)</f>
        <v>0.86789238663216</v>
      </c>
      <c r="AE653" s="8" t="str">
        <f aca="false">IF(AA653,L653,"")</f>
        <v/>
      </c>
      <c r="AF653" s="8" t="n">
        <f aca="false">U653</f>
        <v>0.850507391154866</v>
      </c>
      <c r="AG653" s="2" t="n">
        <f aca="false">AG652+IF(Q653,1,0)</f>
        <v>4</v>
      </c>
      <c r="AH653" s="2" t="n">
        <f aca="false">AG652</f>
        <v>4</v>
      </c>
      <c r="AI653" s="10" t="n">
        <f aca="false">X653+Y653*(E653-AB653)-Y653*AD653*Inputs!$B$13*(A653-AC653)</f>
        <v>1037.10316126448</v>
      </c>
      <c r="AJ653" s="10" t="n">
        <v>0</v>
      </c>
      <c r="AK653" s="8" t="n">
        <f aca="false">IF(AND(B653&lt;=U653,NOT(Q653)),B653,U653)*(1-Inputs!$B$12)</f>
        <v>0.850337289676635</v>
      </c>
    </row>
    <row r="654" customFormat="false" ht="15" hidden="false" customHeight="false" outlineLevel="0" collapsed="false">
      <c r="A654" s="6" t="n">
        <v>45438</v>
      </c>
      <c r="B654" s="7" t="n">
        <v>0.8888445638792</v>
      </c>
      <c r="C654" s="7" t="n">
        <v>0.893731942649311</v>
      </c>
      <c r="D654" s="7" t="n">
        <v>0.886190983962366</v>
      </c>
      <c r="E654" s="7" t="n">
        <v>0.891830241682322</v>
      </c>
      <c r="F654" s="8" t="n">
        <f aca="true">IF(ROW()-2&gt;=Inputs!$B$4,AVERAGE(OFFSET(E654,1-Inputs!$B$4,0,Inputs!$B$4,1)),"")</f>
        <v>0.902180609700011</v>
      </c>
      <c r="G654" s="8" t="n">
        <f aca="true">IF(ROW()-2&gt;=Inputs!$B$5,AVERAGE(OFFSET(E654,1-Inputs!$B$5,0,Inputs!$B$5,1)),"")</f>
        <v>0.889755330478584</v>
      </c>
      <c r="H654" s="8" t="n">
        <f aca="false">MAX(C654-D654,ABS(C654-E653),ABS(D654-E653))</f>
        <v>0.00754095868694538</v>
      </c>
      <c r="I654" s="8" t="n">
        <f aca="true">IF(ROW()-2&lt;14,"",IF(ROW()-2=14,AVERAGE(OFFSET(H654,-13,0,14,1)),(I653*13+H654)/14))</f>
        <v>0.00967222403527731</v>
      </c>
      <c r="J654" s="9" t="b">
        <f aca="false">IF(AND(ISNUMBER(F654),ISNUMBER(G654),ISNUMBER(F653),ISNUMBER(G653)),AND(F654&gt;G654,F653&lt;=G653),FALSE())</f>
        <v>0</v>
      </c>
      <c r="K654" s="9" t="b">
        <f aca="false">IF(AND(ISNUMBER(F654),ISNUMBER(G654),ISNUMBER(F653),ISNUMBER(G653)),AND(F654&lt;G654,F653&gt;=G653),FALSE())</f>
        <v>0</v>
      </c>
      <c r="L654" s="8" t="n">
        <f aca="false">IF(ISNUMBER(I654),E654-Inputs!$B$6*I654,"")</f>
        <v>0.872485793611768</v>
      </c>
      <c r="M654" s="9" t="b">
        <f aca="false">AND(Y653&gt;0,Z653)</f>
        <v>0</v>
      </c>
      <c r="N654" s="8" t="n">
        <f aca="false">B654*(1-Inputs!$B$12)</f>
        <v>0.888666794966424</v>
      </c>
      <c r="O654" s="10" t="n">
        <f aca="false">IF(M654,Y653*(N654-AB653)-Inputs!$B$9-Y653*AD653*Inputs!$B$13*(A654-AC653),0)</f>
        <v>0</v>
      </c>
      <c r="P654" s="10" t="n">
        <f aca="false">X653+O654</f>
        <v>1037.10316126448</v>
      </c>
      <c r="Q654" s="9" t="b">
        <f aca="false">AND(IF(M654,0,Y653)=0,AA653,IF(ISNUMBER(AE653),B654&gt;AE653,FALSE()))</f>
        <v>0</v>
      </c>
      <c r="R654" s="8" t="n">
        <f aca="false">B654*(1+Inputs!$B$12)</f>
        <v>0.889022332791976</v>
      </c>
      <c r="S654" s="11" t="n">
        <f aca="false">IF(Q654,MIN(P654*Inputs!$B$3/(R654-AE653),P654*Inputs!$B$11/R654),0)</f>
        <v>0</v>
      </c>
      <c r="T654" s="11" t="n">
        <f aca="false">IF(Q654,S654,IF(M654,0,Y653))</f>
        <v>0</v>
      </c>
      <c r="U654" s="8" t="n">
        <f aca="false">IF(Q654,AE653,AF653)</f>
        <v>0.850507391154866</v>
      </c>
      <c r="V654" s="9" t="b">
        <f aca="false">AND(T654&gt;0,D654&lt;=U654)</f>
        <v>0</v>
      </c>
      <c r="W654" s="10" t="n">
        <f aca="false">IF(V654,T654*(AK654-AB654)-Inputs!$B$9-T654*AD654*Inputs!$B$13*(A654-AC654),0)</f>
        <v>0</v>
      </c>
      <c r="X654" s="10" t="n">
        <f aca="false">P654-IF(Q654,Inputs!$B$9,0)+W654</f>
        <v>1037.10316126448</v>
      </c>
      <c r="Y654" s="11" t="n">
        <f aca="false">IF(V654,0,T654)</f>
        <v>0</v>
      </c>
      <c r="Z654" s="9" t="b">
        <f aca="false">AND(Y654&gt;0,K654)</f>
        <v>0</v>
      </c>
      <c r="AA654" s="9" t="b">
        <f aca="false">AND(Y654=0,J654,ISNUMBER(L654))</f>
        <v>0</v>
      </c>
      <c r="AB654" s="8" t="n">
        <f aca="false">IF(Q654,R654,AB653)</f>
        <v>0.868065965109487</v>
      </c>
      <c r="AC654" s="12" t="n">
        <f aca="false">IF(Q654,A654,AC653)</f>
        <v>45375</v>
      </c>
      <c r="AD654" s="8" t="n">
        <f aca="false">IF(Q654,B654,AD653)</f>
        <v>0.86789238663216</v>
      </c>
      <c r="AE654" s="8" t="str">
        <f aca="false">IF(AA654,L654,"")</f>
        <v/>
      </c>
      <c r="AF654" s="8" t="n">
        <f aca="false">U654</f>
        <v>0.850507391154866</v>
      </c>
      <c r="AG654" s="2" t="n">
        <f aca="false">AG653+IF(Q654,1,0)</f>
        <v>4</v>
      </c>
      <c r="AH654" s="2" t="n">
        <f aca="false">AG653</f>
        <v>4</v>
      </c>
      <c r="AI654" s="10" t="n">
        <f aca="false">X654+Y654*(E654-AB654)-Y654*AD654*Inputs!$B$13*(A654-AC654)</f>
        <v>1037.10316126448</v>
      </c>
      <c r="AJ654" s="10" t="n">
        <v>0</v>
      </c>
      <c r="AK654" s="8" t="n">
        <f aca="false">IF(AND(B654&lt;=U654,NOT(Q654)),B654,U654)*(1-Inputs!$B$12)</f>
        <v>0.850337289676635</v>
      </c>
    </row>
    <row r="655" customFormat="false" ht="15" hidden="false" customHeight="false" outlineLevel="0" collapsed="false">
      <c r="A655" s="6" t="n">
        <v>45439</v>
      </c>
      <c r="B655" s="7" t="n">
        <v>0.891830241682322</v>
      </c>
      <c r="C655" s="7" t="n">
        <v>0.893223059246972</v>
      </c>
      <c r="D655" s="7" t="n">
        <v>0.888602335075739</v>
      </c>
      <c r="E655" s="7" t="n">
        <v>0.889073890534846</v>
      </c>
      <c r="F655" s="8" t="n">
        <f aca="true">IF(ROW()-2&gt;=Inputs!$B$4,AVERAGE(OFFSET(E655,1-Inputs!$B$4,0,Inputs!$B$4,1)),"")</f>
        <v>0.900849801243922</v>
      </c>
      <c r="G655" s="8" t="n">
        <f aca="true">IF(ROW()-2&gt;=Inputs!$B$5,AVERAGE(OFFSET(E655,1-Inputs!$B$5,0,Inputs!$B$5,1)),"")</f>
        <v>0.890282311768784</v>
      </c>
      <c r="H655" s="8" t="n">
        <f aca="false">MAX(C655-D655,ABS(C655-E654),ABS(D655-E654))</f>
        <v>0.0046207241712326</v>
      </c>
      <c r="I655" s="8" t="n">
        <f aca="true">IF(ROW()-2&lt;14,"",IF(ROW()-2=14,AVERAGE(OFFSET(H655,-13,0,14,1)),(I654*13+H655)/14))</f>
        <v>0.00931140261641697</v>
      </c>
      <c r="J655" s="9" t="b">
        <f aca="false">IF(AND(ISNUMBER(F655),ISNUMBER(G655),ISNUMBER(F654),ISNUMBER(G654)),AND(F655&gt;G655,F654&lt;=G654),FALSE())</f>
        <v>0</v>
      </c>
      <c r="K655" s="9" t="b">
        <f aca="false">IF(AND(ISNUMBER(F655),ISNUMBER(G655),ISNUMBER(F654),ISNUMBER(G654)),AND(F655&lt;G655,F654&gt;=G654),FALSE())</f>
        <v>0</v>
      </c>
      <c r="L655" s="8" t="n">
        <f aca="false">IF(ISNUMBER(I655),E655-Inputs!$B$6*I655,"")</f>
        <v>0.870451085302012</v>
      </c>
      <c r="M655" s="9" t="b">
        <f aca="false">AND(Y654&gt;0,Z654)</f>
        <v>0</v>
      </c>
      <c r="N655" s="8" t="n">
        <f aca="false">B655*(1-Inputs!$B$12)</f>
        <v>0.891651875633986</v>
      </c>
      <c r="O655" s="10" t="n">
        <f aca="false">IF(M655,Y654*(N655-AB654)-Inputs!$B$9-Y654*AD654*Inputs!$B$13*(A655-AC654),0)</f>
        <v>0</v>
      </c>
      <c r="P655" s="10" t="n">
        <f aca="false">X654+O655</f>
        <v>1037.10316126448</v>
      </c>
      <c r="Q655" s="9" t="b">
        <f aca="false">AND(IF(M655,0,Y654)=0,AA654,IF(ISNUMBER(AE654),B655&gt;AE654,FALSE()))</f>
        <v>0</v>
      </c>
      <c r="R655" s="8" t="n">
        <f aca="false">B655*(1+Inputs!$B$12)</f>
        <v>0.892008607730659</v>
      </c>
      <c r="S655" s="11" t="n">
        <f aca="false">IF(Q655,MIN(P655*Inputs!$B$3/(R655-AE654),P655*Inputs!$B$11/R655),0)</f>
        <v>0</v>
      </c>
      <c r="T655" s="11" t="n">
        <f aca="false">IF(Q655,S655,IF(M655,0,Y654))</f>
        <v>0</v>
      </c>
      <c r="U655" s="8" t="n">
        <f aca="false">IF(Q655,AE654,AF654)</f>
        <v>0.850507391154866</v>
      </c>
      <c r="V655" s="9" t="b">
        <f aca="false">AND(T655&gt;0,D655&lt;=U655)</f>
        <v>0</v>
      </c>
      <c r="W655" s="10" t="n">
        <f aca="false">IF(V655,T655*(AK655-AB655)-Inputs!$B$9-T655*AD655*Inputs!$B$13*(A655-AC655),0)</f>
        <v>0</v>
      </c>
      <c r="X655" s="10" t="n">
        <f aca="false">P655-IF(Q655,Inputs!$B$9,0)+W655</f>
        <v>1037.10316126448</v>
      </c>
      <c r="Y655" s="11" t="n">
        <f aca="false">IF(V655,0,T655)</f>
        <v>0</v>
      </c>
      <c r="Z655" s="9" t="b">
        <f aca="false">AND(Y655&gt;0,K655)</f>
        <v>0</v>
      </c>
      <c r="AA655" s="9" t="b">
        <f aca="false">AND(Y655=0,J655,ISNUMBER(L655))</f>
        <v>0</v>
      </c>
      <c r="AB655" s="8" t="n">
        <f aca="false">IF(Q655,R655,AB654)</f>
        <v>0.868065965109487</v>
      </c>
      <c r="AC655" s="12" t="n">
        <f aca="false">IF(Q655,A655,AC654)</f>
        <v>45375</v>
      </c>
      <c r="AD655" s="8" t="n">
        <f aca="false">IF(Q655,B655,AD654)</f>
        <v>0.86789238663216</v>
      </c>
      <c r="AE655" s="8" t="str">
        <f aca="false">IF(AA655,L655,"")</f>
        <v/>
      </c>
      <c r="AF655" s="8" t="n">
        <f aca="false">U655</f>
        <v>0.850507391154866</v>
      </c>
      <c r="AG655" s="2" t="n">
        <f aca="false">AG654+IF(Q655,1,0)</f>
        <v>4</v>
      </c>
      <c r="AH655" s="2" t="n">
        <f aca="false">AG654</f>
        <v>4</v>
      </c>
      <c r="AI655" s="10" t="n">
        <f aca="false">X655+Y655*(E655-AB655)-Y655*AD655*Inputs!$B$13*(A655-AC655)</f>
        <v>1037.10316126448</v>
      </c>
      <c r="AJ655" s="10" t="n">
        <v>0</v>
      </c>
      <c r="AK655" s="8" t="n">
        <f aca="false">IF(AND(B655&lt;=U655,NOT(Q655)),B655,U655)*(1-Inputs!$B$12)</f>
        <v>0.850337289676635</v>
      </c>
    </row>
    <row r="656" customFormat="false" ht="15" hidden="false" customHeight="false" outlineLevel="0" collapsed="false">
      <c r="A656" s="6" t="n">
        <v>45440</v>
      </c>
      <c r="B656" s="7" t="n">
        <v>0.889073890534846</v>
      </c>
      <c r="C656" s="7" t="n">
        <v>0.889207956968883</v>
      </c>
      <c r="D656" s="7" t="n">
        <v>0.877068412421467</v>
      </c>
      <c r="E656" s="7" t="n">
        <v>0.88531049236357</v>
      </c>
      <c r="F656" s="8" t="n">
        <f aca="true">IF(ROW()-2&gt;=Inputs!$B$4,AVERAGE(OFFSET(E656,1-Inputs!$B$4,0,Inputs!$B$4,1)),"")</f>
        <v>0.899785277848735</v>
      </c>
      <c r="G656" s="8" t="n">
        <f aca="true">IF(ROW()-2&gt;=Inputs!$B$5,AVERAGE(OFFSET(E656,1-Inputs!$B$5,0,Inputs!$B$5,1)),"")</f>
        <v>0.890787068984109</v>
      </c>
      <c r="H656" s="8" t="n">
        <f aca="false">MAX(C656-D656,ABS(C656-E655),ABS(D656-E655))</f>
        <v>0.0121395445474159</v>
      </c>
      <c r="I656" s="8" t="n">
        <f aca="true">IF(ROW()-2&lt;14,"",IF(ROW()-2=14,AVERAGE(OFFSET(H656,-13,0,14,1)),(I655*13+H656)/14))</f>
        <v>0.00951341275434547</v>
      </c>
      <c r="J656" s="9" t="b">
        <f aca="false">IF(AND(ISNUMBER(F656),ISNUMBER(G656),ISNUMBER(F655),ISNUMBER(G655)),AND(F656&gt;G656,F655&lt;=G655),FALSE())</f>
        <v>0</v>
      </c>
      <c r="K656" s="9" t="b">
        <f aca="false">IF(AND(ISNUMBER(F656),ISNUMBER(G656),ISNUMBER(F655),ISNUMBER(G655)),AND(F656&lt;G656,F655&gt;=G655),FALSE())</f>
        <v>0</v>
      </c>
      <c r="L656" s="8" t="n">
        <f aca="false">IF(ISNUMBER(I656),E656-Inputs!$B$6*I656,"")</f>
        <v>0.866283666854879</v>
      </c>
      <c r="M656" s="9" t="b">
        <f aca="false">AND(Y655&gt;0,Z655)</f>
        <v>0</v>
      </c>
      <c r="N656" s="8" t="n">
        <f aca="false">B656*(1-Inputs!$B$12)</f>
        <v>0.888896075756739</v>
      </c>
      <c r="O656" s="10" t="n">
        <f aca="false">IF(M656,Y655*(N656-AB655)-Inputs!$B$9-Y655*AD655*Inputs!$B$13*(A656-AC655),0)</f>
        <v>0</v>
      </c>
      <c r="P656" s="10" t="n">
        <f aca="false">X655+O656</f>
        <v>1037.10316126448</v>
      </c>
      <c r="Q656" s="9" t="b">
        <f aca="false">AND(IF(M656,0,Y655)=0,AA655,IF(ISNUMBER(AE655),B656&gt;AE655,FALSE()))</f>
        <v>0</v>
      </c>
      <c r="R656" s="8" t="n">
        <f aca="false">B656*(1+Inputs!$B$12)</f>
        <v>0.889251705312953</v>
      </c>
      <c r="S656" s="11" t="n">
        <f aca="false">IF(Q656,MIN(P656*Inputs!$B$3/(R656-AE655),P656*Inputs!$B$11/R656),0)</f>
        <v>0</v>
      </c>
      <c r="T656" s="11" t="n">
        <f aca="false">IF(Q656,S656,IF(M656,0,Y655))</f>
        <v>0</v>
      </c>
      <c r="U656" s="8" t="n">
        <f aca="false">IF(Q656,AE655,AF655)</f>
        <v>0.850507391154866</v>
      </c>
      <c r="V656" s="9" t="b">
        <f aca="false">AND(T656&gt;0,D656&lt;=U656)</f>
        <v>0</v>
      </c>
      <c r="W656" s="10" t="n">
        <f aca="false">IF(V656,T656*(AK656-AB656)-Inputs!$B$9-T656*AD656*Inputs!$B$13*(A656-AC656),0)</f>
        <v>0</v>
      </c>
      <c r="X656" s="10" t="n">
        <f aca="false">P656-IF(Q656,Inputs!$B$9,0)+W656</f>
        <v>1037.10316126448</v>
      </c>
      <c r="Y656" s="11" t="n">
        <f aca="false">IF(V656,0,T656)</f>
        <v>0</v>
      </c>
      <c r="Z656" s="9" t="b">
        <f aca="false">AND(Y656&gt;0,K656)</f>
        <v>0</v>
      </c>
      <c r="AA656" s="9" t="b">
        <f aca="false">AND(Y656=0,J656,ISNUMBER(L656))</f>
        <v>0</v>
      </c>
      <c r="AB656" s="8" t="n">
        <f aca="false">IF(Q656,R656,AB655)</f>
        <v>0.868065965109487</v>
      </c>
      <c r="AC656" s="12" t="n">
        <f aca="false">IF(Q656,A656,AC655)</f>
        <v>45375</v>
      </c>
      <c r="AD656" s="8" t="n">
        <f aca="false">IF(Q656,B656,AD655)</f>
        <v>0.86789238663216</v>
      </c>
      <c r="AE656" s="8" t="str">
        <f aca="false">IF(AA656,L656,"")</f>
        <v/>
      </c>
      <c r="AF656" s="8" t="n">
        <f aca="false">U656</f>
        <v>0.850507391154866</v>
      </c>
      <c r="AG656" s="2" t="n">
        <f aca="false">AG655+IF(Q656,1,0)</f>
        <v>4</v>
      </c>
      <c r="AH656" s="2" t="n">
        <f aca="false">AG655</f>
        <v>4</v>
      </c>
      <c r="AI656" s="10" t="n">
        <f aca="false">X656+Y656*(E656-AB656)-Y656*AD656*Inputs!$B$13*(A656-AC656)</f>
        <v>1037.10316126448</v>
      </c>
      <c r="AJ656" s="10" t="n">
        <v>0</v>
      </c>
      <c r="AK656" s="8" t="n">
        <f aca="false">IF(AND(B656&lt;=U656,NOT(Q656)),B656,U656)*(1-Inputs!$B$12)</f>
        <v>0.850337289676635</v>
      </c>
    </row>
    <row r="657" customFormat="false" ht="15" hidden="false" customHeight="false" outlineLevel="0" collapsed="false">
      <c r="A657" s="6" t="n">
        <v>45441</v>
      </c>
      <c r="B657" s="7" t="n">
        <v>0.88531049236357</v>
      </c>
      <c r="C657" s="7" t="n">
        <v>0.891645029459028</v>
      </c>
      <c r="D657" s="7" t="n">
        <v>0.883935044846247</v>
      </c>
      <c r="E657" s="7" t="n">
        <v>0.887606932433162</v>
      </c>
      <c r="F657" s="8" t="n">
        <f aca="true">IF(ROW()-2&gt;=Inputs!$B$4,AVERAGE(OFFSET(E657,1-Inputs!$B$4,0,Inputs!$B$4,1)),"")</f>
        <v>0.898432777058346</v>
      </c>
      <c r="G657" s="8" t="n">
        <f aca="true">IF(ROW()-2&gt;=Inputs!$B$5,AVERAGE(OFFSET(E657,1-Inputs!$B$5,0,Inputs!$B$5,1)),"")</f>
        <v>0.891152340849359</v>
      </c>
      <c r="H657" s="8" t="n">
        <f aca="false">MAX(C657-D657,ABS(C657-E656),ABS(D657-E656))</f>
        <v>0.0077099846127815</v>
      </c>
      <c r="I657" s="8" t="n">
        <f aca="true">IF(ROW()-2&lt;14,"",IF(ROW()-2=14,AVERAGE(OFFSET(H657,-13,0,14,1)),(I656*13+H657)/14))</f>
        <v>0.00938459645851947</v>
      </c>
      <c r="J657" s="9" t="b">
        <f aca="false">IF(AND(ISNUMBER(F657),ISNUMBER(G657),ISNUMBER(F656),ISNUMBER(G656)),AND(F657&gt;G657,F656&lt;=G656),FALSE())</f>
        <v>0</v>
      </c>
      <c r="K657" s="9" t="b">
        <f aca="false">IF(AND(ISNUMBER(F657),ISNUMBER(G657),ISNUMBER(F656),ISNUMBER(G656)),AND(F657&lt;G657,F656&gt;=G656),FALSE())</f>
        <v>0</v>
      </c>
      <c r="L657" s="8" t="n">
        <f aca="false">IF(ISNUMBER(I657),E657-Inputs!$B$6*I657,"")</f>
        <v>0.868837739516123</v>
      </c>
      <c r="M657" s="9" t="b">
        <f aca="false">AND(Y656&gt;0,Z656)</f>
        <v>0</v>
      </c>
      <c r="N657" s="8" t="n">
        <f aca="false">B657*(1-Inputs!$B$12)</f>
        <v>0.885133430265098</v>
      </c>
      <c r="O657" s="10" t="n">
        <f aca="false">IF(M657,Y656*(N657-AB656)-Inputs!$B$9-Y656*AD656*Inputs!$B$13*(A657-AC656),0)</f>
        <v>0</v>
      </c>
      <c r="P657" s="10" t="n">
        <f aca="false">X656+O657</f>
        <v>1037.10316126448</v>
      </c>
      <c r="Q657" s="9" t="b">
        <f aca="false">AND(IF(M657,0,Y656)=0,AA656,IF(ISNUMBER(AE656),B657&gt;AE656,FALSE()))</f>
        <v>0</v>
      </c>
      <c r="R657" s="8" t="n">
        <f aca="false">B657*(1+Inputs!$B$12)</f>
        <v>0.885487554462043</v>
      </c>
      <c r="S657" s="11" t="n">
        <f aca="false">IF(Q657,MIN(P657*Inputs!$B$3/(R657-AE656),P657*Inputs!$B$11/R657),0)</f>
        <v>0</v>
      </c>
      <c r="T657" s="11" t="n">
        <f aca="false">IF(Q657,S657,IF(M657,0,Y656))</f>
        <v>0</v>
      </c>
      <c r="U657" s="8" t="n">
        <f aca="false">IF(Q657,AE656,AF656)</f>
        <v>0.850507391154866</v>
      </c>
      <c r="V657" s="9" t="b">
        <f aca="false">AND(T657&gt;0,D657&lt;=U657)</f>
        <v>0</v>
      </c>
      <c r="W657" s="10" t="n">
        <f aca="false">IF(V657,T657*(AK657-AB657)-Inputs!$B$9-T657*AD657*Inputs!$B$13*(A657-AC657),0)</f>
        <v>0</v>
      </c>
      <c r="X657" s="10" t="n">
        <f aca="false">P657-IF(Q657,Inputs!$B$9,0)+W657</f>
        <v>1037.10316126448</v>
      </c>
      <c r="Y657" s="11" t="n">
        <f aca="false">IF(V657,0,T657)</f>
        <v>0</v>
      </c>
      <c r="Z657" s="9" t="b">
        <f aca="false">AND(Y657&gt;0,K657)</f>
        <v>0</v>
      </c>
      <c r="AA657" s="9" t="b">
        <f aca="false">AND(Y657=0,J657,ISNUMBER(L657))</f>
        <v>0</v>
      </c>
      <c r="AB657" s="8" t="n">
        <f aca="false">IF(Q657,R657,AB656)</f>
        <v>0.868065965109487</v>
      </c>
      <c r="AC657" s="12" t="n">
        <f aca="false">IF(Q657,A657,AC656)</f>
        <v>45375</v>
      </c>
      <c r="AD657" s="8" t="n">
        <f aca="false">IF(Q657,B657,AD656)</f>
        <v>0.86789238663216</v>
      </c>
      <c r="AE657" s="8" t="str">
        <f aca="false">IF(AA657,L657,"")</f>
        <v/>
      </c>
      <c r="AF657" s="8" t="n">
        <f aca="false">U657</f>
        <v>0.850507391154866</v>
      </c>
      <c r="AG657" s="2" t="n">
        <f aca="false">AG656+IF(Q657,1,0)</f>
        <v>4</v>
      </c>
      <c r="AH657" s="2" t="n">
        <f aca="false">AG656</f>
        <v>4</v>
      </c>
      <c r="AI657" s="10" t="n">
        <f aca="false">X657+Y657*(E657-AB657)-Y657*AD657*Inputs!$B$13*(A657-AC657)</f>
        <v>1037.10316126448</v>
      </c>
      <c r="AJ657" s="10" t="n">
        <v>0</v>
      </c>
      <c r="AK657" s="8" t="n">
        <f aca="false">IF(AND(B657&lt;=U657,NOT(Q657)),B657,U657)*(1-Inputs!$B$12)</f>
        <v>0.850337289676635</v>
      </c>
    </row>
    <row r="658" customFormat="false" ht="15" hidden="false" customHeight="false" outlineLevel="0" collapsed="false">
      <c r="A658" s="6" t="n">
        <v>45442</v>
      </c>
      <c r="B658" s="7" t="n">
        <v>0.887606932433162</v>
      </c>
      <c r="C658" s="7" t="n">
        <v>0.891492789969359</v>
      </c>
      <c r="D658" s="7" t="n">
        <v>0.880774460789872</v>
      </c>
      <c r="E658" s="7" t="n">
        <v>0.880950991799686</v>
      </c>
      <c r="F658" s="8" t="n">
        <f aca="true">IF(ROW()-2&gt;=Inputs!$B$4,AVERAGE(OFFSET(E658,1-Inputs!$B$4,0,Inputs!$B$4,1)),"")</f>
        <v>0.896762400749738</v>
      </c>
      <c r="G658" s="8" t="n">
        <f aca="true">IF(ROW()-2&gt;=Inputs!$B$5,AVERAGE(OFFSET(E658,1-Inputs!$B$5,0,Inputs!$B$5,1)),"")</f>
        <v>0.891193748559608</v>
      </c>
      <c r="H658" s="8" t="n">
        <f aca="false">MAX(C658-D658,ABS(C658-E657),ABS(D658-E657))</f>
        <v>0.0107183291794875</v>
      </c>
      <c r="I658" s="8" t="n">
        <f aca="true">IF(ROW()-2&lt;14,"",IF(ROW()-2=14,AVERAGE(OFFSET(H658,-13,0,14,1)),(I657*13+H658)/14))</f>
        <v>0.00947986308144576</v>
      </c>
      <c r="J658" s="9" t="b">
        <f aca="false">IF(AND(ISNUMBER(F658),ISNUMBER(G658),ISNUMBER(F657),ISNUMBER(G657)),AND(F658&gt;G658,F657&lt;=G657),FALSE())</f>
        <v>0</v>
      </c>
      <c r="K658" s="9" t="b">
        <f aca="false">IF(AND(ISNUMBER(F658),ISNUMBER(G658),ISNUMBER(F657),ISNUMBER(G657)),AND(F658&lt;G658,F657&gt;=G657),FALSE())</f>
        <v>0</v>
      </c>
      <c r="L658" s="8" t="n">
        <f aca="false">IF(ISNUMBER(I658),E658-Inputs!$B$6*I658,"")</f>
        <v>0.861991265636795</v>
      </c>
      <c r="M658" s="9" t="b">
        <f aca="false">AND(Y657&gt;0,Z657)</f>
        <v>0</v>
      </c>
      <c r="N658" s="8" t="n">
        <f aca="false">B658*(1-Inputs!$B$12)</f>
        <v>0.887429411046675</v>
      </c>
      <c r="O658" s="10" t="n">
        <f aca="false">IF(M658,Y657*(N658-AB657)-Inputs!$B$9-Y657*AD657*Inputs!$B$13*(A658-AC657),0)</f>
        <v>0</v>
      </c>
      <c r="P658" s="10" t="n">
        <f aca="false">X657+O658</f>
        <v>1037.10316126448</v>
      </c>
      <c r="Q658" s="9" t="b">
        <f aca="false">AND(IF(M658,0,Y657)=0,AA657,IF(ISNUMBER(AE657),B658&gt;AE657,FALSE()))</f>
        <v>0</v>
      </c>
      <c r="R658" s="8" t="n">
        <f aca="false">B658*(1+Inputs!$B$12)</f>
        <v>0.887784453819648</v>
      </c>
      <c r="S658" s="11" t="n">
        <f aca="false">IF(Q658,MIN(P658*Inputs!$B$3/(R658-AE657),P658*Inputs!$B$11/R658),0)</f>
        <v>0</v>
      </c>
      <c r="T658" s="11" t="n">
        <f aca="false">IF(Q658,S658,IF(M658,0,Y657))</f>
        <v>0</v>
      </c>
      <c r="U658" s="8" t="n">
        <f aca="false">IF(Q658,AE657,AF657)</f>
        <v>0.850507391154866</v>
      </c>
      <c r="V658" s="9" t="b">
        <f aca="false">AND(T658&gt;0,D658&lt;=U658)</f>
        <v>0</v>
      </c>
      <c r="W658" s="10" t="n">
        <f aca="false">IF(V658,T658*(AK658-AB658)-Inputs!$B$9-T658*AD658*Inputs!$B$13*(A658-AC658),0)</f>
        <v>0</v>
      </c>
      <c r="X658" s="10" t="n">
        <f aca="false">P658-IF(Q658,Inputs!$B$9,0)+W658</f>
        <v>1037.10316126448</v>
      </c>
      <c r="Y658" s="11" t="n">
        <f aca="false">IF(V658,0,T658)</f>
        <v>0</v>
      </c>
      <c r="Z658" s="9" t="b">
        <f aca="false">AND(Y658&gt;0,K658)</f>
        <v>0</v>
      </c>
      <c r="AA658" s="9" t="b">
        <f aca="false">AND(Y658=0,J658,ISNUMBER(L658))</f>
        <v>0</v>
      </c>
      <c r="AB658" s="8" t="n">
        <f aca="false">IF(Q658,R658,AB657)</f>
        <v>0.868065965109487</v>
      </c>
      <c r="AC658" s="12" t="n">
        <f aca="false">IF(Q658,A658,AC657)</f>
        <v>45375</v>
      </c>
      <c r="AD658" s="8" t="n">
        <f aca="false">IF(Q658,B658,AD657)</f>
        <v>0.86789238663216</v>
      </c>
      <c r="AE658" s="8" t="str">
        <f aca="false">IF(AA658,L658,"")</f>
        <v/>
      </c>
      <c r="AF658" s="8" t="n">
        <f aca="false">U658</f>
        <v>0.850507391154866</v>
      </c>
      <c r="AG658" s="2" t="n">
        <f aca="false">AG657+IF(Q658,1,0)</f>
        <v>4</v>
      </c>
      <c r="AH658" s="2" t="n">
        <f aca="false">AG657</f>
        <v>4</v>
      </c>
      <c r="AI658" s="10" t="n">
        <f aca="false">X658+Y658*(E658-AB658)-Y658*AD658*Inputs!$B$13*(A658-AC658)</f>
        <v>1037.10316126448</v>
      </c>
      <c r="AJ658" s="10" t="n">
        <v>0</v>
      </c>
      <c r="AK658" s="8" t="n">
        <f aca="false">IF(AND(B658&lt;=U658,NOT(Q658)),B658,U658)*(1-Inputs!$B$12)</f>
        <v>0.850337289676635</v>
      </c>
    </row>
    <row r="659" customFormat="false" ht="15" hidden="false" customHeight="false" outlineLevel="0" collapsed="false">
      <c r="A659" s="6" t="n">
        <v>45443</v>
      </c>
      <c r="B659" s="7" t="n">
        <v>0.880950991799686</v>
      </c>
      <c r="C659" s="7" t="n">
        <v>0.894013808770053</v>
      </c>
      <c r="D659" s="7" t="n">
        <v>0.880476545395127</v>
      </c>
      <c r="E659" s="7" t="n">
        <v>0.893781103719232</v>
      </c>
      <c r="F659" s="8" t="n">
        <f aca="true">IF(ROW()-2&gt;=Inputs!$B$4,AVERAGE(OFFSET(E659,1-Inputs!$B$4,0,Inputs!$B$4,1)),"")</f>
        <v>0.895764811104069</v>
      </c>
      <c r="G659" s="8" t="n">
        <f aca="true">IF(ROW()-2&gt;=Inputs!$B$5,AVERAGE(OFFSET(E659,1-Inputs!$B$5,0,Inputs!$B$5,1)),"")</f>
        <v>0.891547501401971</v>
      </c>
      <c r="H659" s="8" t="n">
        <f aca="false">MAX(C659-D659,ABS(C659-E658),ABS(D659-E658))</f>
        <v>0.0135372633749251</v>
      </c>
      <c r="I659" s="8" t="n">
        <f aca="true">IF(ROW()-2&lt;14,"",IF(ROW()-2=14,AVERAGE(OFFSET(H659,-13,0,14,1)),(I658*13+H659)/14))</f>
        <v>0.00976967738812285</v>
      </c>
      <c r="J659" s="9" t="b">
        <f aca="false">IF(AND(ISNUMBER(F659),ISNUMBER(G659),ISNUMBER(F658),ISNUMBER(G658)),AND(F659&gt;G659,F658&lt;=G658),FALSE())</f>
        <v>0</v>
      </c>
      <c r="K659" s="9" t="b">
        <f aca="false">IF(AND(ISNUMBER(F659),ISNUMBER(G659),ISNUMBER(F658),ISNUMBER(G658)),AND(F659&lt;G659,F658&gt;=G658),FALSE())</f>
        <v>0</v>
      </c>
      <c r="L659" s="8" t="n">
        <f aca="false">IF(ISNUMBER(I659),E659-Inputs!$B$6*I659,"")</f>
        <v>0.874241748942987</v>
      </c>
      <c r="M659" s="9" t="b">
        <f aca="false">AND(Y658&gt;0,Z658)</f>
        <v>0</v>
      </c>
      <c r="N659" s="8" t="n">
        <f aca="false">B659*(1-Inputs!$B$12)</f>
        <v>0.880774801601326</v>
      </c>
      <c r="O659" s="10" t="n">
        <f aca="false">IF(M659,Y658*(N659-AB658)-Inputs!$B$9-Y658*AD658*Inputs!$B$13*(A659-AC658),0)</f>
        <v>0</v>
      </c>
      <c r="P659" s="10" t="n">
        <f aca="false">X658+O659</f>
        <v>1037.10316126448</v>
      </c>
      <c r="Q659" s="9" t="b">
        <f aca="false">AND(IF(M659,0,Y658)=0,AA658,IF(ISNUMBER(AE658),B659&gt;AE658,FALSE()))</f>
        <v>0</v>
      </c>
      <c r="R659" s="8" t="n">
        <f aca="false">B659*(1+Inputs!$B$12)</f>
        <v>0.881127181998046</v>
      </c>
      <c r="S659" s="11" t="n">
        <f aca="false">IF(Q659,MIN(P659*Inputs!$B$3/(R659-AE658),P659*Inputs!$B$11/R659),0)</f>
        <v>0</v>
      </c>
      <c r="T659" s="11" t="n">
        <f aca="false">IF(Q659,S659,IF(M659,0,Y658))</f>
        <v>0</v>
      </c>
      <c r="U659" s="8" t="n">
        <f aca="false">IF(Q659,AE658,AF658)</f>
        <v>0.850507391154866</v>
      </c>
      <c r="V659" s="9" t="b">
        <f aca="false">AND(T659&gt;0,D659&lt;=U659)</f>
        <v>0</v>
      </c>
      <c r="W659" s="10" t="n">
        <f aca="false">IF(V659,T659*(AK659-AB659)-Inputs!$B$9-T659*AD659*Inputs!$B$13*(A659-AC659),0)</f>
        <v>0</v>
      </c>
      <c r="X659" s="10" t="n">
        <f aca="false">P659-IF(Q659,Inputs!$B$9,0)+W659</f>
        <v>1037.10316126448</v>
      </c>
      <c r="Y659" s="11" t="n">
        <f aca="false">IF(V659,0,T659)</f>
        <v>0</v>
      </c>
      <c r="Z659" s="9" t="b">
        <f aca="false">AND(Y659&gt;0,K659)</f>
        <v>0</v>
      </c>
      <c r="AA659" s="9" t="b">
        <f aca="false">AND(Y659=0,J659,ISNUMBER(L659))</f>
        <v>0</v>
      </c>
      <c r="AB659" s="8" t="n">
        <f aca="false">IF(Q659,R659,AB658)</f>
        <v>0.868065965109487</v>
      </c>
      <c r="AC659" s="12" t="n">
        <f aca="false">IF(Q659,A659,AC658)</f>
        <v>45375</v>
      </c>
      <c r="AD659" s="8" t="n">
        <f aca="false">IF(Q659,B659,AD658)</f>
        <v>0.86789238663216</v>
      </c>
      <c r="AE659" s="8" t="str">
        <f aca="false">IF(AA659,L659,"")</f>
        <v/>
      </c>
      <c r="AF659" s="8" t="n">
        <f aca="false">U659</f>
        <v>0.850507391154866</v>
      </c>
      <c r="AG659" s="2" t="n">
        <f aca="false">AG658+IF(Q659,1,0)</f>
        <v>4</v>
      </c>
      <c r="AH659" s="2" t="n">
        <f aca="false">AG658</f>
        <v>4</v>
      </c>
      <c r="AI659" s="10" t="n">
        <f aca="false">X659+Y659*(E659-AB659)-Y659*AD659*Inputs!$B$13*(A659-AC659)</f>
        <v>1037.10316126448</v>
      </c>
      <c r="AJ659" s="10" t="n">
        <v>0</v>
      </c>
      <c r="AK659" s="8" t="n">
        <f aca="false">IF(AND(B659&lt;=U659,NOT(Q659)),B659,U659)*(1-Inputs!$B$12)</f>
        <v>0.850337289676635</v>
      </c>
    </row>
    <row r="660" customFormat="false" ht="15" hidden="false" customHeight="false" outlineLevel="0" collapsed="false">
      <c r="A660" s="6" t="n">
        <v>45444</v>
      </c>
      <c r="B660" s="7" t="n">
        <v>0.893781103719232</v>
      </c>
      <c r="C660" s="7" t="n">
        <v>0.901530525681004</v>
      </c>
      <c r="D660" s="7" t="n">
        <v>0.891538755838867</v>
      </c>
      <c r="E660" s="7" t="n">
        <v>0.899291081290066</v>
      </c>
      <c r="F660" s="8" t="n">
        <f aca="true">IF(ROW()-2&gt;=Inputs!$B$4,AVERAGE(OFFSET(E660,1-Inputs!$B$4,0,Inputs!$B$4,1)),"")</f>
        <v>0.894979100305513</v>
      </c>
      <c r="G660" s="8" t="n">
        <f aca="true">IF(ROW()-2&gt;=Inputs!$B$5,AVERAGE(OFFSET(E660,1-Inputs!$B$5,0,Inputs!$B$5,1)),"")</f>
        <v>0.892049595652246</v>
      </c>
      <c r="H660" s="8" t="n">
        <f aca="false">MAX(C660-D660,ABS(C660-E659),ABS(D660-E659))</f>
        <v>0.0099917698421369</v>
      </c>
      <c r="I660" s="8" t="n">
        <f aca="true">IF(ROW()-2&lt;14,"",IF(ROW()-2=14,AVERAGE(OFFSET(H660,-13,0,14,1)),(I659*13+H660)/14))</f>
        <v>0.00978554113483814</v>
      </c>
      <c r="J660" s="9" t="b">
        <f aca="false">IF(AND(ISNUMBER(F660),ISNUMBER(G660),ISNUMBER(F659),ISNUMBER(G659)),AND(F660&gt;G660,F659&lt;=G659),FALSE())</f>
        <v>0</v>
      </c>
      <c r="K660" s="9" t="b">
        <f aca="false">IF(AND(ISNUMBER(F660),ISNUMBER(G660),ISNUMBER(F659),ISNUMBER(G659)),AND(F660&lt;G660,F659&gt;=G659),FALSE())</f>
        <v>0</v>
      </c>
      <c r="L660" s="8" t="n">
        <f aca="false">IF(ISNUMBER(I660),E660-Inputs!$B$6*I660,"")</f>
        <v>0.87971999902039</v>
      </c>
      <c r="M660" s="9" t="b">
        <f aca="false">AND(Y659&gt;0,Z659)</f>
        <v>0</v>
      </c>
      <c r="N660" s="8" t="n">
        <f aca="false">B660*(1-Inputs!$B$12)</f>
        <v>0.893602347498489</v>
      </c>
      <c r="O660" s="10" t="n">
        <f aca="false">IF(M660,Y659*(N660-AB659)-Inputs!$B$9-Y659*AD659*Inputs!$B$13*(A660-AC659),0)</f>
        <v>0</v>
      </c>
      <c r="P660" s="10" t="n">
        <f aca="false">X659+O660</f>
        <v>1037.10316126448</v>
      </c>
      <c r="Q660" s="9" t="b">
        <f aca="false">AND(IF(M660,0,Y659)=0,AA659,IF(ISNUMBER(AE659),B660&gt;AE659,FALSE()))</f>
        <v>0</v>
      </c>
      <c r="R660" s="8" t="n">
        <f aca="false">B660*(1+Inputs!$B$12)</f>
        <v>0.893959859939976</v>
      </c>
      <c r="S660" s="11" t="n">
        <f aca="false">IF(Q660,MIN(P660*Inputs!$B$3/(R660-AE659),P660*Inputs!$B$11/R660),0)</f>
        <v>0</v>
      </c>
      <c r="T660" s="11" t="n">
        <f aca="false">IF(Q660,S660,IF(M660,0,Y659))</f>
        <v>0</v>
      </c>
      <c r="U660" s="8" t="n">
        <f aca="false">IF(Q660,AE659,AF659)</f>
        <v>0.850507391154866</v>
      </c>
      <c r="V660" s="9" t="b">
        <f aca="false">AND(T660&gt;0,D660&lt;=U660)</f>
        <v>0</v>
      </c>
      <c r="W660" s="10" t="n">
        <f aca="false">IF(V660,T660*(AK660-AB660)-Inputs!$B$9-T660*AD660*Inputs!$B$13*(A660-AC660),0)</f>
        <v>0</v>
      </c>
      <c r="X660" s="10" t="n">
        <f aca="false">P660-IF(Q660,Inputs!$B$9,0)+W660</f>
        <v>1037.10316126448</v>
      </c>
      <c r="Y660" s="11" t="n">
        <f aca="false">IF(V660,0,T660)</f>
        <v>0</v>
      </c>
      <c r="Z660" s="9" t="b">
        <f aca="false">AND(Y660&gt;0,K660)</f>
        <v>0</v>
      </c>
      <c r="AA660" s="9" t="b">
        <f aca="false">AND(Y660=0,J660,ISNUMBER(L660))</f>
        <v>0</v>
      </c>
      <c r="AB660" s="8" t="n">
        <f aca="false">IF(Q660,R660,AB659)</f>
        <v>0.868065965109487</v>
      </c>
      <c r="AC660" s="12" t="n">
        <f aca="false">IF(Q660,A660,AC659)</f>
        <v>45375</v>
      </c>
      <c r="AD660" s="8" t="n">
        <f aca="false">IF(Q660,B660,AD659)</f>
        <v>0.86789238663216</v>
      </c>
      <c r="AE660" s="8" t="str">
        <f aca="false">IF(AA660,L660,"")</f>
        <v/>
      </c>
      <c r="AF660" s="8" t="n">
        <f aca="false">U660</f>
        <v>0.850507391154866</v>
      </c>
      <c r="AG660" s="2" t="n">
        <f aca="false">AG659+IF(Q660,1,0)</f>
        <v>4</v>
      </c>
      <c r="AH660" s="2" t="n">
        <f aca="false">AG659</f>
        <v>4</v>
      </c>
      <c r="AI660" s="10" t="n">
        <f aca="false">X660+Y660*(E660-AB660)-Y660*AD660*Inputs!$B$13*(A660-AC660)</f>
        <v>1037.10316126448</v>
      </c>
      <c r="AJ660" s="10" t="n">
        <v>0</v>
      </c>
      <c r="AK660" s="8" t="n">
        <f aca="false">IF(AND(B660&lt;=U660,NOT(Q660)),B660,U660)*(1-Inputs!$B$12)</f>
        <v>0.850337289676635</v>
      </c>
    </row>
    <row r="661" customFormat="false" ht="15" hidden="false" customHeight="false" outlineLevel="0" collapsed="false">
      <c r="A661" s="6" t="n">
        <v>45445</v>
      </c>
      <c r="B661" s="7" t="n">
        <v>0.899291081290066</v>
      </c>
      <c r="C661" s="7" t="n">
        <v>0.899346933822792</v>
      </c>
      <c r="D661" s="7" t="n">
        <v>0.883419143973809</v>
      </c>
      <c r="E661" s="7" t="n">
        <v>0.885122418081445</v>
      </c>
      <c r="F661" s="8" t="n">
        <f aca="true">IF(ROW()-2&gt;=Inputs!$B$4,AVERAGE(OFFSET(E661,1-Inputs!$B$4,0,Inputs!$B$4,1)),"")</f>
        <v>0.893753550948743</v>
      </c>
      <c r="G661" s="8" t="n">
        <f aca="true">IF(ROW()-2&gt;=Inputs!$B$5,AVERAGE(OFFSET(E661,1-Inputs!$B$5,0,Inputs!$B$5,1)),"")</f>
        <v>0.892266648315844</v>
      </c>
      <c r="H661" s="8" t="n">
        <f aca="false">MAX(C661-D661,ABS(C661-E660),ABS(D661-E660))</f>
        <v>0.0159277898489834</v>
      </c>
      <c r="I661" s="8" t="n">
        <f aca="true">IF(ROW()-2&lt;14,"",IF(ROW()-2=14,AVERAGE(OFFSET(H661,-13,0,14,1)),(I660*13+H661)/14))</f>
        <v>0.0102242731858485</v>
      </c>
      <c r="J661" s="9" t="b">
        <f aca="false">IF(AND(ISNUMBER(F661),ISNUMBER(G661),ISNUMBER(F660),ISNUMBER(G660)),AND(F661&gt;G661,F660&lt;=G660),FALSE())</f>
        <v>0</v>
      </c>
      <c r="K661" s="9" t="b">
        <f aca="false">IF(AND(ISNUMBER(F661),ISNUMBER(G661),ISNUMBER(F660),ISNUMBER(G660)),AND(F661&lt;G661,F660&gt;=G660),FALSE())</f>
        <v>0</v>
      </c>
      <c r="L661" s="8" t="n">
        <f aca="false">IF(ISNUMBER(I661),E661-Inputs!$B$6*I661,"")</f>
        <v>0.864673871709748</v>
      </c>
      <c r="M661" s="9" t="b">
        <f aca="false">AND(Y660&gt;0,Z660)</f>
        <v>0</v>
      </c>
      <c r="N661" s="8" t="n">
        <f aca="false">B661*(1-Inputs!$B$12)</f>
        <v>0.899111223073808</v>
      </c>
      <c r="O661" s="10" t="n">
        <f aca="false">IF(M661,Y660*(N661-AB660)-Inputs!$B$9-Y660*AD660*Inputs!$B$13*(A661-AC660),0)</f>
        <v>0</v>
      </c>
      <c r="P661" s="10" t="n">
        <f aca="false">X660+O661</f>
        <v>1037.10316126448</v>
      </c>
      <c r="Q661" s="9" t="b">
        <f aca="false">AND(IF(M661,0,Y660)=0,AA660,IF(ISNUMBER(AE660),B661&gt;AE660,FALSE()))</f>
        <v>0</v>
      </c>
      <c r="R661" s="8" t="n">
        <f aca="false">B661*(1+Inputs!$B$12)</f>
        <v>0.899470939506324</v>
      </c>
      <c r="S661" s="11" t="n">
        <f aca="false">IF(Q661,MIN(P661*Inputs!$B$3/(R661-AE660),P661*Inputs!$B$11/R661),0)</f>
        <v>0</v>
      </c>
      <c r="T661" s="11" t="n">
        <f aca="false">IF(Q661,S661,IF(M661,0,Y660))</f>
        <v>0</v>
      </c>
      <c r="U661" s="8" t="n">
        <f aca="false">IF(Q661,AE660,AF660)</f>
        <v>0.850507391154866</v>
      </c>
      <c r="V661" s="9" t="b">
        <f aca="false">AND(T661&gt;0,D661&lt;=U661)</f>
        <v>0</v>
      </c>
      <c r="W661" s="10" t="n">
        <f aca="false">IF(V661,T661*(AK661-AB661)-Inputs!$B$9-T661*AD661*Inputs!$B$13*(A661-AC661),0)</f>
        <v>0</v>
      </c>
      <c r="X661" s="10" t="n">
        <f aca="false">P661-IF(Q661,Inputs!$B$9,0)+W661</f>
        <v>1037.10316126448</v>
      </c>
      <c r="Y661" s="11" t="n">
        <f aca="false">IF(V661,0,T661)</f>
        <v>0</v>
      </c>
      <c r="Z661" s="9" t="b">
        <f aca="false">AND(Y661&gt;0,K661)</f>
        <v>0</v>
      </c>
      <c r="AA661" s="9" t="b">
        <f aca="false">AND(Y661=0,J661,ISNUMBER(L661))</f>
        <v>0</v>
      </c>
      <c r="AB661" s="8" t="n">
        <f aca="false">IF(Q661,R661,AB660)</f>
        <v>0.868065965109487</v>
      </c>
      <c r="AC661" s="12" t="n">
        <f aca="false">IF(Q661,A661,AC660)</f>
        <v>45375</v>
      </c>
      <c r="AD661" s="8" t="n">
        <f aca="false">IF(Q661,B661,AD660)</f>
        <v>0.86789238663216</v>
      </c>
      <c r="AE661" s="8" t="str">
        <f aca="false">IF(AA661,L661,"")</f>
        <v/>
      </c>
      <c r="AF661" s="8" t="n">
        <f aca="false">U661</f>
        <v>0.850507391154866</v>
      </c>
      <c r="AG661" s="2" t="n">
        <f aca="false">AG660+IF(Q661,1,0)</f>
        <v>4</v>
      </c>
      <c r="AH661" s="2" t="n">
        <f aca="false">AG660</f>
        <v>4</v>
      </c>
      <c r="AI661" s="10" t="n">
        <f aca="false">X661+Y661*(E661-AB661)-Y661*AD661*Inputs!$B$13*(A661-AC661)</f>
        <v>1037.10316126448</v>
      </c>
      <c r="AJ661" s="10" t="n">
        <v>0</v>
      </c>
      <c r="AK661" s="8" t="n">
        <f aca="false">IF(AND(B661&lt;=U661,NOT(Q661)),B661,U661)*(1-Inputs!$B$12)</f>
        <v>0.850337289676635</v>
      </c>
    </row>
    <row r="662" customFormat="false" ht="15" hidden="false" customHeight="false" outlineLevel="0" collapsed="false">
      <c r="A662" s="6" t="n">
        <v>45446</v>
      </c>
      <c r="B662" s="7" t="n">
        <v>0.885122418081445</v>
      </c>
      <c r="C662" s="7" t="n">
        <v>0.894253907758524</v>
      </c>
      <c r="D662" s="7" t="n">
        <v>0.884974453091296</v>
      </c>
      <c r="E662" s="7" t="n">
        <v>0.890041982893882</v>
      </c>
      <c r="F662" s="8" t="n">
        <f aca="true">IF(ROW()-2&gt;=Inputs!$B$4,AVERAGE(OFFSET(E662,1-Inputs!$B$4,0,Inputs!$B$4,1)),"")</f>
        <v>0.892649394513396</v>
      </c>
      <c r="G662" s="8" t="n">
        <f aca="true">IF(ROW()-2&gt;=Inputs!$B$5,AVERAGE(OFFSET(E662,1-Inputs!$B$5,0,Inputs!$B$5,1)),"")</f>
        <v>0.892563261787233</v>
      </c>
      <c r="H662" s="8" t="n">
        <f aca="false">MAX(C662-D662,ABS(C662-E661),ABS(D662-E661))</f>
        <v>0.00927945466722735</v>
      </c>
      <c r="I662" s="8" t="n">
        <f aca="true">IF(ROW()-2&lt;14,"",IF(ROW()-2=14,AVERAGE(OFFSET(H662,-13,0,14,1)),(I661*13+H662)/14))</f>
        <v>0.0101567861488041</v>
      </c>
      <c r="J662" s="9" t="b">
        <f aca="false">IF(AND(ISNUMBER(F662),ISNUMBER(G662),ISNUMBER(F661),ISNUMBER(G661)),AND(F662&gt;G662,F661&lt;=G661),FALSE())</f>
        <v>0</v>
      </c>
      <c r="K662" s="9" t="b">
        <f aca="false">IF(AND(ISNUMBER(F662),ISNUMBER(G662),ISNUMBER(F661),ISNUMBER(G661)),AND(F662&lt;G662,F661&gt;=G661),FALSE())</f>
        <v>0</v>
      </c>
      <c r="L662" s="8" t="n">
        <f aca="false">IF(ISNUMBER(I662),E662-Inputs!$B$6*I662,"")</f>
        <v>0.869728410596273</v>
      </c>
      <c r="M662" s="9" t="b">
        <f aca="false">AND(Y661&gt;0,Z661)</f>
        <v>0</v>
      </c>
      <c r="N662" s="8" t="n">
        <f aca="false">B662*(1-Inputs!$B$12)</f>
        <v>0.884945393597829</v>
      </c>
      <c r="O662" s="10" t="n">
        <f aca="false">IF(M662,Y661*(N662-AB661)-Inputs!$B$9-Y661*AD661*Inputs!$B$13*(A662-AC661),0)</f>
        <v>0</v>
      </c>
      <c r="P662" s="10" t="n">
        <f aca="false">X661+O662</f>
        <v>1037.10316126448</v>
      </c>
      <c r="Q662" s="9" t="b">
        <f aca="false">AND(IF(M662,0,Y661)=0,AA661,IF(ISNUMBER(AE661),B662&gt;AE661,FALSE()))</f>
        <v>0</v>
      </c>
      <c r="R662" s="8" t="n">
        <f aca="false">B662*(1+Inputs!$B$12)</f>
        <v>0.885299442565062</v>
      </c>
      <c r="S662" s="11" t="n">
        <f aca="false">IF(Q662,MIN(P662*Inputs!$B$3/(R662-AE661),P662*Inputs!$B$11/R662),0)</f>
        <v>0</v>
      </c>
      <c r="T662" s="11" t="n">
        <f aca="false">IF(Q662,S662,IF(M662,0,Y661))</f>
        <v>0</v>
      </c>
      <c r="U662" s="8" t="n">
        <f aca="false">IF(Q662,AE661,AF661)</f>
        <v>0.850507391154866</v>
      </c>
      <c r="V662" s="9" t="b">
        <f aca="false">AND(T662&gt;0,D662&lt;=U662)</f>
        <v>0</v>
      </c>
      <c r="W662" s="10" t="n">
        <f aca="false">IF(V662,T662*(AK662-AB662)-Inputs!$B$9-T662*AD662*Inputs!$B$13*(A662-AC662),0)</f>
        <v>0</v>
      </c>
      <c r="X662" s="10" t="n">
        <f aca="false">P662-IF(Q662,Inputs!$B$9,0)+W662</f>
        <v>1037.10316126448</v>
      </c>
      <c r="Y662" s="11" t="n">
        <f aca="false">IF(V662,0,T662)</f>
        <v>0</v>
      </c>
      <c r="Z662" s="9" t="b">
        <f aca="false">AND(Y662&gt;0,K662)</f>
        <v>0</v>
      </c>
      <c r="AA662" s="9" t="b">
        <f aca="false">AND(Y662=0,J662,ISNUMBER(L662))</f>
        <v>0</v>
      </c>
      <c r="AB662" s="8" t="n">
        <f aca="false">IF(Q662,R662,AB661)</f>
        <v>0.868065965109487</v>
      </c>
      <c r="AC662" s="12" t="n">
        <f aca="false">IF(Q662,A662,AC661)</f>
        <v>45375</v>
      </c>
      <c r="AD662" s="8" t="n">
        <f aca="false">IF(Q662,B662,AD661)</f>
        <v>0.86789238663216</v>
      </c>
      <c r="AE662" s="8" t="str">
        <f aca="false">IF(AA662,L662,"")</f>
        <v/>
      </c>
      <c r="AF662" s="8" t="n">
        <f aca="false">U662</f>
        <v>0.850507391154866</v>
      </c>
      <c r="AG662" s="2" t="n">
        <f aca="false">AG661+IF(Q662,1,0)</f>
        <v>4</v>
      </c>
      <c r="AH662" s="2" t="n">
        <f aca="false">AG661</f>
        <v>4</v>
      </c>
      <c r="AI662" s="10" t="n">
        <f aca="false">X662+Y662*(E662-AB662)-Y662*AD662*Inputs!$B$13*(A662-AC662)</f>
        <v>1037.10316126448</v>
      </c>
      <c r="AJ662" s="10" t="n">
        <v>0</v>
      </c>
      <c r="AK662" s="8" t="n">
        <f aca="false">IF(AND(B662&lt;=U662,NOT(Q662)),B662,U662)*(1-Inputs!$B$12)</f>
        <v>0.850337289676635</v>
      </c>
    </row>
    <row r="663" customFormat="false" ht="15" hidden="false" customHeight="false" outlineLevel="0" collapsed="false">
      <c r="A663" s="6" t="n">
        <v>45447</v>
      </c>
      <c r="B663" s="7" t="n">
        <v>0.890041982893882</v>
      </c>
      <c r="C663" s="7" t="n">
        <v>0.892827045502928</v>
      </c>
      <c r="D663" s="7" t="n">
        <v>0.880583141540087</v>
      </c>
      <c r="E663" s="7" t="n">
        <v>0.883063102570258</v>
      </c>
      <c r="F663" s="8" t="n">
        <f aca="true">IF(ROW()-2&gt;=Inputs!$B$4,AVERAGE(OFFSET(E663,1-Inputs!$B$4,0,Inputs!$B$4,1)),"")</f>
        <v>0.891164685834003</v>
      </c>
      <c r="G663" s="8" t="n">
        <f aca="true">IF(ROW()-2&gt;=Inputs!$B$5,AVERAGE(OFFSET(E663,1-Inputs!$B$5,0,Inputs!$B$5,1)),"")</f>
        <v>0.892626756559549</v>
      </c>
      <c r="H663" s="8" t="n">
        <f aca="false">MAX(C663-D663,ABS(C663-E662),ABS(D663-E662))</f>
        <v>0.0122439039628409</v>
      </c>
      <c r="I663" s="8" t="n">
        <f aca="true">IF(ROW()-2&lt;14,"",IF(ROW()-2=14,AVERAGE(OFFSET(H663,-13,0,14,1)),(I662*13+H663)/14))</f>
        <v>0.0103058659926639</v>
      </c>
      <c r="J663" s="9" t="b">
        <f aca="false">IF(AND(ISNUMBER(F663),ISNUMBER(G663),ISNUMBER(F662),ISNUMBER(G662)),AND(F663&gt;G663,F662&lt;=G662),FALSE())</f>
        <v>0</v>
      </c>
      <c r="K663" s="9" t="b">
        <f aca="false">IF(AND(ISNUMBER(F663),ISNUMBER(G663),ISNUMBER(F662),ISNUMBER(G662)),AND(F663&lt;G663,F662&gt;=G662),FALSE())</f>
        <v>1</v>
      </c>
      <c r="L663" s="8" t="n">
        <f aca="false">IF(ISNUMBER(I663),E663-Inputs!$B$6*I663,"")</f>
        <v>0.862451370584931</v>
      </c>
      <c r="M663" s="9" t="b">
        <f aca="false">AND(Y662&gt;0,Z662)</f>
        <v>0</v>
      </c>
      <c r="N663" s="8" t="n">
        <f aca="false">B663*(1-Inputs!$B$12)</f>
        <v>0.889863974497303</v>
      </c>
      <c r="O663" s="10" t="n">
        <f aca="false">IF(M663,Y662*(N663-AB662)-Inputs!$B$9-Y662*AD662*Inputs!$B$13*(A663-AC662),0)</f>
        <v>0</v>
      </c>
      <c r="P663" s="10" t="n">
        <f aca="false">X662+O663</f>
        <v>1037.10316126448</v>
      </c>
      <c r="Q663" s="9" t="b">
        <f aca="false">AND(IF(M663,0,Y662)=0,AA662,IF(ISNUMBER(AE662),B663&gt;AE662,FALSE()))</f>
        <v>0</v>
      </c>
      <c r="R663" s="8" t="n">
        <f aca="false">B663*(1+Inputs!$B$12)</f>
        <v>0.89021999129046</v>
      </c>
      <c r="S663" s="11" t="n">
        <f aca="false">IF(Q663,MIN(P663*Inputs!$B$3/(R663-AE662),P663*Inputs!$B$11/R663),0)</f>
        <v>0</v>
      </c>
      <c r="T663" s="11" t="n">
        <f aca="false">IF(Q663,S663,IF(M663,0,Y662))</f>
        <v>0</v>
      </c>
      <c r="U663" s="8" t="n">
        <f aca="false">IF(Q663,AE662,AF662)</f>
        <v>0.850507391154866</v>
      </c>
      <c r="V663" s="9" t="b">
        <f aca="false">AND(T663&gt;0,D663&lt;=U663)</f>
        <v>0</v>
      </c>
      <c r="W663" s="10" t="n">
        <f aca="false">IF(V663,T663*(AK663-AB663)-Inputs!$B$9-T663*AD663*Inputs!$B$13*(A663-AC663),0)</f>
        <v>0</v>
      </c>
      <c r="X663" s="10" t="n">
        <f aca="false">P663-IF(Q663,Inputs!$B$9,0)+W663</f>
        <v>1037.10316126448</v>
      </c>
      <c r="Y663" s="11" t="n">
        <f aca="false">IF(V663,0,T663)</f>
        <v>0</v>
      </c>
      <c r="Z663" s="9" t="b">
        <f aca="false">AND(Y663&gt;0,K663)</f>
        <v>0</v>
      </c>
      <c r="AA663" s="9" t="b">
        <f aca="false">AND(Y663=0,J663,ISNUMBER(L663))</f>
        <v>0</v>
      </c>
      <c r="AB663" s="8" t="n">
        <f aca="false">IF(Q663,R663,AB662)</f>
        <v>0.868065965109487</v>
      </c>
      <c r="AC663" s="12" t="n">
        <f aca="false">IF(Q663,A663,AC662)</f>
        <v>45375</v>
      </c>
      <c r="AD663" s="8" t="n">
        <f aca="false">IF(Q663,B663,AD662)</f>
        <v>0.86789238663216</v>
      </c>
      <c r="AE663" s="8" t="str">
        <f aca="false">IF(AA663,L663,"")</f>
        <v/>
      </c>
      <c r="AF663" s="8" t="n">
        <f aca="false">U663</f>
        <v>0.850507391154866</v>
      </c>
      <c r="AG663" s="2" t="n">
        <f aca="false">AG662+IF(Q663,1,0)</f>
        <v>4</v>
      </c>
      <c r="AH663" s="2" t="n">
        <f aca="false">AG662</f>
        <v>4</v>
      </c>
      <c r="AI663" s="10" t="n">
        <f aca="false">X663+Y663*(E663-AB663)-Y663*AD663*Inputs!$B$13*(A663-AC663)</f>
        <v>1037.10316126448</v>
      </c>
      <c r="AJ663" s="10" t="n">
        <v>0</v>
      </c>
      <c r="AK663" s="8" t="n">
        <f aca="false">IF(AND(B663&lt;=U663,NOT(Q663)),B663,U663)*(1-Inputs!$B$12)</f>
        <v>0.850337289676635</v>
      </c>
    </row>
    <row r="664" customFormat="false" ht="15" hidden="false" customHeight="false" outlineLevel="0" collapsed="false">
      <c r="A664" s="6" t="n">
        <v>45448</v>
      </c>
      <c r="B664" s="7" t="n">
        <v>0.883063102570258</v>
      </c>
      <c r="C664" s="7" t="n">
        <v>0.885332879364492</v>
      </c>
      <c r="D664" s="7" t="n">
        <v>0.881498552501861</v>
      </c>
      <c r="E664" s="7" t="n">
        <v>0.883849115072905</v>
      </c>
      <c r="F664" s="8" t="n">
        <f aca="true">IF(ROW()-2&gt;=Inputs!$B$4,AVERAGE(OFFSET(E664,1-Inputs!$B$4,0,Inputs!$B$4,1)),"")</f>
        <v>0.890179020997108</v>
      </c>
      <c r="G664" s="8" t="n">
        <f aca="true">IF(ROW()-2&gt;=Inputs!$B$5,AVERAGE(OFFSET(E664,1-Inputs!$B$5,0,Inputs!$B$5,1)),"")</f>
        <v>0.892738872313126</v>
      </c>
      <c r="H664" s="8" t="n">
        <f aca="false">MAX(C664-D664,ABS(C664-E663),ABS(D664-E663))</f>
        <v>0.0038343268626313</v>
      </c>
      <c r="I664" s="8" t="n">
        <f aca="true">IF(ROW()-2&lt;14,"",IF(ROW()-2=14,AVERAGE(OFFSET(H664,-13,0,14,1)),(I663*13+H664)/14))</f>
        <v>0.00984361319766159</v>
      </c>
      <c r="J664" s="9" t="b">
        <f aca="false">IF(AND(ISNUMBER(F664),ISNUMBER(G664),ISNUMBER(F663),ISNUMBER(G663)),AND(F664&gt;G664,F663&lt;=G663),FALSE())</f>
        <v>0</v>
      </c>
      <c r="K664" s="9" t="b">
        <f aca="false">IF(AND(ISNUMBER(F664),ISNUMBER(G664),ISNUMBER(F663),ISNUMBER(G663)),AND(F664&lt;G664,F663&gt;=G663),FALSE())</f>
        <v>0</v>
      </c>
      <c r="L664" s="8" t="n">
        <f aca="false">IF(ISNUMBER(I664),E664-Inputs!$B$6*I664,"")</f>
        <v>0.864161888677582</v>
      </c>
      <c r="M664" s="9" t="b">
        <f aca="false">AND(Y663&gt;0,Z663)</f>
        <v>0</v>
      </c>
      <c r="N664" s="8" t="n">
        <f aca="false">B664*(1-Inputs!$B$12)</f>
        <v>0.882886489949744</v>
      </c>
      <c r="O664" s="10" t="n">
        <f aca="false">IF(M664,Y663*(N664-AB663)-Inputs!$B$9-Y663*AD663*Inputs!$B$13*(A664-AC663),0)</f>
        <v>0</v>
      </c>
      <c r="P664" s="10" t="n">
        <f aca="false">X663+O664</f>
        <v>1037.10316126448</v>
      </c>
      <c r="Q664" s="9" t="b">
        <f aca="false">AND(IF(M664,0,Y663)=0,AA663,IF(ISNUMBER(AE663),B664&gt;AE663,FALSE()))</f>
        <v>0</v>
      </c>
      <c r="R664" s="8" t="n">
        <f aca="false">B664*(1+Inputs!$B$12)</f>
        <v>0.883239715190772</v>
      </c>
      <c r="S664" s="11" t="n">
        <f aca="false">IF(Q664,MIN(P664*Inputs!$B$3/(R664-AE663),P664*Inputs!$B$11/R664),0)</f>
        <v>0</v>
      </c>
      <c r="T664" s="11" t="n">
        <f aca="false">IF(Q664,S664,IF(M664,0,Y663))</f>
        <v>0</v>
      </c>
      <c r="U664" s="8" t="n">
        <f aca="false">IF(Q664,AE663,AF663)</f>
        <v>0.850507391154866</v>
      </c>
      <c r="V664" s="9" t="b">
        <f aca="false">AND(T664&gt;0,D664&lt;=U664)</f>
        <v>0</v>
      </c>
      <c r="W664" s="10" t="n">
        <f aca="false">IF(V664,T664*(AK664-AB664)-Inputs!$B$9-T664*AD664*Inputs!$B$13*(A664-AC664),0)</f>
        <v>0</v>
      </c>
      <c r="X664" s="10" t="n">
        <f aca="false">P664-IF(Q664,Inputs!$B$9,0)+W664</f>
        <v>1037.10316126448</v>
      </c>
      <c r="Y664" s="11" t="n">
        <f aca="false">IF(V664,0,T664)</f>
        <v>0</v>
      </c>
      <c r="Z664" s="9" t="b">
        <f aca="false">AND(Y664&gt;0,K664)</f>
        <v>0</v>
      </c>
      <c r="AA664" s="9" t="b">
        <f aca="false">AND(Y664=0,J664,ISNUMBER(L664))</f>
        <v>0</v>
      </c>
      <c r="AB664" s="8" t="n">
        <f aca="false">IF(Q664,R664,AB663)</f>
        <v>0.868065965109487</v>
      </c>
      <c r="AC664" s="12" t="n">
        <f aca="false">IF(Q664,A664,AC663)</f>
        <v>45375</v>
      </c>
      <c r="AD664" s="8" t="n">
        <f aca="false">IF(Q664,B664,AD663)</f>
        <v>0.86789238663216</v>
      </c>
      <c r="AE664" s="8" t="str">
        <f aca="false">IF(AA664,L664,"")</f>
        <v/>
      </c>
      <c r="AF664" s="8" t="n">
        <f aca="false">U664</f>
        <v>0.850507391154866</v>
      </c>
      <c r="AG664" s="2" t="n">
        <f aca="false">AG663+IF(Q664,1,0)</f>
        <v>4</v>
      </c>
      <c r="AH664" s="2" t="n">
        <f aca="false">AG663</f>
        <v>4</v>
      </c>
      <c r="AI664" s="10" t="n">
        <f aca="false">X664+Y664*(E664-AB664)-Y664*AD664*Inputs!$B$13*(A664-AC664)</f>
        <v>1037.10316126448</v>
      </c>
      <c r="AJ664" s="10" t="n">
        <v>0</v>
      </c>
      <c r="AK664" s="8" t="n">
        <f aca="false">IF(AND(B664&lt;=U664,NOT(Q664)),B664,U664)*(1-Inputs!$B$12)</f>
        <v>0.850337289676635</v>
      </c>
    </row>
    <row r="665" customFormat="false" ht="15" hidden="false" customHeight="false" outlineLevel="0" collapsed="false">
      <c r="A665" s="6" t="n">
        <v>45449</v>
      </c>
      <c r="B665" s="7" t="n">
        <v>0.883849115072905</v>
      </c>
      <c r="C665" s="7" t="n">
        <v>0.883900941785997</v>
      </c>
      <c r="D665" s="7" t="n">
        <v>0.879734238089762</v>
      </c>
      <c r="E665" s="7" t="n">
        <v>0.882039116915264</v>
      </c>
      <c r="F665" s="8" t="n">
        <f aca="true">IF(ROW()-2&gt;=Inputs!$B$4,AVERAGE(OFFSET(E665,1-Inputs!$B$4,0,Inputs!$B$4,1)),"")</f>
        <v>0.889327021538173</v>
      </c>
      <c r="G665" s="8" t="n">
        <f aca="true">IF(ROW()-2&gt;=Inputs!$B$5,AVERAGE(OFFSET(E665,1-Inputs!$B$5,0,Inputs!$B$5,1)),"")</f>
        <v>0.892896446935928</v>
      </c>
      <c r="H665" s="8" t="n">
        <f aca="false">MAX(C665-D665,ABS(C665-E664),ABS(D665-E664))</f>
        <v>0.00416670369623418</v>
      </c>
      <c r="I665" s="8" t="n">
        <f aca="true">IF(ROW()-2&lt;14,"",IF(ROW()-2=14,AVERAGE(OFFSET(H665,-13,0,14,1)),(I664*13+H665)/14))</f>
        <v>0.00943811966184534</v>
      </c>
      <c r="J665" s="9" t="b">
        <f aca="false">IF(AND(ISNUMBER(F665),ISNUMBER(G665),ISNUMBER(F664),ISNUMBER(G664)),AND(F665&gt;G665,F664&lt;=G664),FALSE())</f>
        <v>0</v>
      </c>
      <c r="K665" s="9" t="b">
        <f aca="false">IF(AND(ISNUMBER(F665),ISNUMBER(G665),ISNUMBER(F664),ISNUMBER(G664)),AND(F665&lt;G665,F664&gt;=G664),FALSE())</f>
        <v>0</v>
      </c>
      <c r="L665" s="8" t="n">
        <f aca="false">IF(ISNUMBER(I665),E665-Inputs!$B$6*I665,"")</f>
        <v>0.863162877591574</v>
      </c>
      <c r="M665" s="9" t="b">
        <f aca="false">AND(Y664&gt;0,Z664)</f>
        <v>0</v>
      </c>
      <c r="N665" s="8" t="n">
        <f aca="false">B665*(1-Inputs!$B$12)</f>
        <v>0.883672345249891</v>
      </c>
      <c r="O665" s="10" t="n">
        <f aca="false">IF(M665,Y664*(N665-AB664)-Inputs!$B$9-Y664*AD664*Inputs!$B$13*(A665-AC664),0)</f>
        <v>0</v>
      </c>
      <c r="P665" s="10" t="n">
        <f aca="false">X664+O665</f>
        <v>1037.10316126448</v>
      </c>
      <c r="Q665" s="9" t="b">
        <f aca="false">AND(IF(M665,0,Y664)=0,AA664,IF(ISNUMBER(AE664),B665&gt;AE664,FALSE()))</f>
        <v>0</v>
      </c>
      <c r="R665" s="8" t="n">
        <f aca="false">B665*(1+Inputs!$B$12)</f>
        <v>0.88402588489592</v>
      </c>
      <c r="S665" s="11" t="n">
        <f aca="false">IF(Q665,MIN(P665*Inputs!$B$3/(R665-AE664),P665*Inputs!$B$11/R665),0)</f>
        <v>0</v>
      </c>
      <c r="T665" s="11" t="n">
        <f aca="false">IF(Q665,S665,IF(M665,0,Y664))</f>
        <v>0</v>
      </c>
      <c r="U665" s="8" t="n">
        <f aca="false">IF(Q665,AE664,AF664)</f>
        <v>0.850507391154866</v>
      </c>
      <c r="V665" s="9" t="b">
        <f aca="false">AND(T665&gt;0,D665&lt;=U665)</f>
        <v>0</v>
      </c>
      <c r="W665" s="10" t="n">
        <f aca="false">IF(V665,T665*(AK665-AB665)-Inputs!$B$9-T665*AD665*Inputs!$B$13*(A665-AC665),0)</f>
        <v>0</v>
      </c>
      <c r="X665" s="10" t="n">
        <f aca="false">P665-IF(Q665,Inputs!$B$9,0)+W665</f>
        <v>1037.10316126448</v>
      </c>
      <c r="Y665" s="11" t="n">
        <f aca="false">IF(V665,0,T665)</f>
        <v>0</v>
      </c>
      <c r="Z665" s="9" t="b">
        <f aca="false">AND(Y665&gt;0,K665)</f>
        <v>0</v>
      </c>
      <c r="AA665" s="9" t="b">
        <f aca="false">AND(Y665=0,J665,ISNUMBER(L665))</f>
        <v>0</v>
      </c>
      <c r="AB665" s="8" t="n">
        <f aca="false">IF(Q665,R665,AB664)</f>
        <v>0.868065965109487</v>
      </c>
      <c r="AC665" s="12" t="n">
        <f aca="false">IF(Q665,A665,AC664)</f>
        <v>45375</v>
      </c>
      <c r="AD665" s="8" t="n">
        <f aca="false">IF(Q665,B665,AD664)</f>
        <v>0.86789238663216</v>
      </c>
      <c r="AE665" s="8" t="str">
        <f aca="false">IF(AA665,L665,"")</f>
        <v/>
      </c>
      <c r="AF665" s="8" t="n">
        <f aca="false">U665</f>
        <v>0.850507391154866</v>
      </c>
      <c r="AG665" s="2" t="n">
        <f aca="false">AG664+IF(Q665,1,0)</f>
        <v>4</v>
      </c>
      <c r="AH665" s="2" t="n">
        <f aca="false">AG664</f>
        <v>4</v>
      </c>
      <c r="AI665" s="10" t="n">
        <f aca="false">X665+Y665*(E665-AB665)-Y665*AD665*Inputs!$B$13*(A665-AC665)</f>
        <v>1037.10316126448</v>
      </c>
      <c r="AJ665" s="10" t="n">
        <v>0</v>
      </c>
      <c r="AK665" s="8" t="n">
        <f aca="false">IF(AND(B665&lt;=U665,NOT(Q665)),B665,U665)*(1-Inputs!$B$12)</f>
        <v>0.850337289676635</v>
      </c>
    </row>
    <row r="666" customFormat="false" ht="15" hidden="false" customHeight="false" outlineLevel="0" collapsed="false">
      <c r="A666" s="6" t="n">
        <v>45450</v>
      </c>
      <c r="B666" s="7" t="n">
        <v>0.882039116915264</v>
      </c>
      <c r="C666" s="7" t="n">
        <v>0.884089267338572</v>
      </c>
      <c r="D666" s="7" t="n">
        <v>0.881253619650118</v>
      </c>
      <c r="E666" s="7" t="n">
        <v>0.882682630999535</v>
      </c>
      <c r="F666" s="8" t="n">
        <f aca="true">IF(ROW()-2&gt;=Inputs!$B$4,AVERAGE(OFFSET(E666,1-Inputs!$B$4,0,Inputs!$B$4,1)),"")</f>
        <v>0.888619752661001</v>
      </c>
      <c r="G666" s="8" t="n">
        <f aca="true">IF(ROW()-2&gt;=Inputs!$B$5,AVERAGE(OFFSET(E666,1-Inputs!$B$5,0,Inputs!$B$5,1)),"")</f>
        <v>0.892814312374901</v>
      </c>
      <c r="H666" s="8" t="n">
        <f aca="false">MAX(C666-D666,ABS(C666-E665),ABS(D666-E665))</f>
        <v>0.00283564768845479</v>
      </c>
      <c r="I666" s="8" t="n">
        <f aca="true">IF(ROW()-2&lt;14,"",IF(ROW()-2=14,AVERAGE(OFFSET(H666,-13,0,14,1)),(I665*13+H666)/14))</f>
        <v>0.00896651452088887</v>
      </c>
      <c r="J666" s="9" t="b">
        <f aca="false">IF(AND(ISNUMBER(F666),ISNUMBER(G666),ISNUMBER(F665),ISNUMBER(G665)),AND(F666&gt;G666,F665&lt;=G665),FALSE())</f>
        <v>0</v>
      </c>
      <c r="K666" s="9" t="b">
        <f aca="false">IF(AND(ISNUMBER(F666),ISNUMBER(G666),ISNUMBER(F665),ISNUMBER(G665)),AND(F666&lt;G666,F665&gt;=G665),FALSE())</f>
        <v>0</v>
      </c>
      <c r="L666" s="8" t="n">
        <f aca="false">IF(ISNUMBER(I666),E666-Inputs!$B$6*I666,"")</f>
        <v>0.864749601957757</v>
      </c>
      <c r="M666" s="9" t="b">
        <f aca="false">AND(Y665&gt;0,Z665)</f>
        <v>0</v>
      </c>
      <c r="N666" s="8" t="n">
        <f aca="false">B666*(1-Inputs!$B$12)</f>
        <v>0.881862709091881</v>
      </c>
      <c r="O666" s="10" t="n">
        <f aca="false">IF(M666,Y665*(N666-AB665)-Inputs!$B$9-Y665*AD665*Inputs!$B$13*(A666-AC665),0)</f>
        <v>0</v>
      </c>
      <c r="P666" s="10" t="n">
        <f aca="false">X665+O666</f>
        <v>1037.10316126448</v>
      </c>
      <c r="Q666" s="9" t="b">
        <f aca="false">AND(IF(M666,0,Y665)=0,AA665,IF(ISNUMBER(AE665),B666&gt;AE665,FALSE()))</f>
        <v>0</v>
      </c>
      <c r="R666" s="8" t="n">
        <f aca="false">B666*(1+Inputs!$B$12)</f>
        <v>0.882215524738647</v>
      </c>
      <c r="S666" s="11" t="n">
        <f aca="false">IF(Q666,MIN(P666*Inputs!$B$3/(R666-AE665),P666*Inputs!$B$11/R666),0)</f>
        <v>0</v>
      </c>
      <c r="T666" s="11" t="n">
        <f aca="false">IF(Q666,S666,IF(M666,0,Y665))</f>
        <v>0</v>
      </c>
      <c r="U666" s="8" t="n">
        <f aca="false">IF(Q666,AE665,AF665)</f>
        <v>0.850507391154866</v>
      </c>
      <c r="V666" s="9" t="b">
        <f aca="false">AND(T666&gt;0,D666&lt;=U666)</f>
        <v>0</v>
      </c>
      <c r="W666" s="10" t="n">
        <f aca="false">IF(V666,T666*(AK666-AB666)-Inputs!$B$9-T666*AD666*Inputs!$B$13*(A666-AC666),0)</f>
        <v>0</v>
      </c>
      <c r="X666" s="10" t="n">
        <f aca="false">P666-IF(Q666,Inputs!$B$9,0)+W666</f>
        <v>1037.10316126448</v>
      </c>
      <c r="Y666" s="11" t="n">
        <f aca="false">IF(V666,0,T666)</f>
        <v>0</v>
      </c>
      <c r="Z666" s="9" t="b">
        <f aca="false">AND(Y666&gt;0,K666)</f>
        <v>0</v>
      </c>
      <c r="AA666" s="9" t="b">
        <f aca="false">AND(Y666=0,J666,ISNUMBER(L666))</f>
        <v>0</v>
      </c>
      <c r="AB666" s="8" t="n">
        <f aca="false">IF(Q666,R666,AB665)</f>
        <v>0.868065965109487</v>
      </c>
      <c r="AC666" s="12" t="n">
        <f aca="false">IF(Q666,A666,AC665)</f>
        <v>45375</v>
      </c>
      <c r="AD666" s="8" t="n">
        <f aca="false">IF(Q666,B666,AD665)</f>
        <v>0.86789238663216</v>
      </c>
      <c r="AE666" s="8" t="str">
        <f aca="false">IF(AA666,L666,"")</f>
        <v/>
      </c>
      <c r="AF666" s="8" t="n">
        <f aca="false">U666</f>
        <v>0.850507391154866</v>
      </c>
      <c r="AG666" s="2" t="n">
        <f aca="false">AG665+IF(Q666,1,0)</f>
        <v>4</v>
      </c>
      <c r="AH666" s="2" t="n">
        <f aca="false">AG665</f>
        <v>4</v>
      </c>
      <c r="AI666" s="10" t="n">
        <f aca="false">X666+Y666*(E666-AB666)-Y666*AD666*Inputs!$B$13*(A666-AC666)</f>
        <v>1037.10316126448</v>
      </c>
      <c r="AJ666" s="10" t="n">
        <v>0</v>
      </c>
      <c r="AK666" s="8" t="n">
        <f aca="false">IF(AND(B666&lt;=U666,NOT(Q666)),B666,U666)*(1-Inputs!$B$12)</f>
        <v>0.850337289676635</v>
      </c>
    </row>
    <row r="667" customFormat="false" ht="15" hidden="false" customHeight="false" outlineLevel="0" collapsed="false">
      <c r="A667" s="6" t="n">
        <v>45451</v>
      </c>
      <c r="B667" s="7" t="n">
        <v>0.882682630999535</v>
      </c>
      <c r="C667" s="7" t="n">
        <v>0.88690731434572</v>
      </c>
      <c r="D667" s="7" t="n">
        <v>0.879547543079793</v>
      </c>
      <c r="E667" s="7" t="n">
        <v>0.8843832273094</v>
      </c>
      <c r="F667" s="8" t="n">
        <f aca="true">IF(ROW()-2&gt;=Inputs!$B$4,AVERAGE(OFFSET(E667,1-Inputs!$B$4,0,Inputs!$B$4,1)),"")</f>
        <v>0.887748054144886</v>
      </c>
      <c r="G667" s="8" t="n">
        <f aca="true">IF(ROW()-2&gt;=Inputs!$B$5,AVERAGE(OFFSET(E667,1-Inputs!$B$5,0,Inputs!$B$5,1)),"")</f>
        <v>0.892786490989056</v>
      </c>
      <c r="H667" s="8" t="n">
        <f aca="false">MAX(C667-D667,ABS(C667-E666),ABS(D667-E666))</f>
        <v>0.00735977126592735</v>
      </c>
      <c r="I667" s="8" t="n">
        <f aca="true">IF(ROW()-2&lt;14,"",IF(ROW()-2=14,AVERAGE(OFFSET(H667,-13,0,14,1)),(I666*13+H667)/14))</f>
        <v>0.00885174714553448</v>
      </c>
      <c r="J667" s="9" t="b">
        <f aca="false">IF(AND(ISNUMBER(F667),ISNUMBER(G667),ISNUMBER(F666),ISNUMBER(G666)),AND(F667&gt;G667,F666&lt;=G666),FALSE())</f>
        <v>0</v>
      </c>
      <c r="K667" s="9" t="b">
        <f aca="false">IF(AND(ISNUMBER(F667),ISNUMBER(G667),ISNUMBER(F666),ISNUMBER(G666)),AND(F667&lt;G667,F666&gt;=G666),FALSE())</f>
        <v>0</v>
      </c>
      <c r="L667" s="8" t="n">
        <f aca="false">IF(ISNUMBER(I667),E667-Inputs!$B$6*I667,"")</f>
        <v>0.866679733018331</v>
      </c>
      <c r="M667" s="9" t="b">
        <f aca="false">AND(Y666&gt;0,Z666)</f>
        <v>0</v>
      </c>
      <c r="N667" s="8" t="n">
        <f aca="false">B667*(1-Inputs!$B$12)</f>
        <v>0.882506094473335</v>
      </c>
      <c r="O667" s="10" t="n">
        <f aca="false">IF(M667,Y666*(N667-AB666)-Inputs!$B$9-Y666*AD666*Inputs!$B$13*(A667-AC666),0)</f>
        <v>0</v>
      </c>
      <c r="P667" s="10" t="n">
        <f aca="false">X666+O667</f>
        <v>1037.10316126448</v>
      </c>
      <c r="Q667" s="9" t="b">
        <f aca="false">AND(IF(M667,0,Y666)=0,AA666,IF(ISNUMBER(AE666),B667&gt;AE666,FALSE()))</f>
        <v>0</v>
      </c>
      <c r="R667" s="8" t="n">
        <f aca="false">B667*(1+Inputs!$B$12)</f>
        <v>0.882859167525734</v>
      </c>
      <c r="S667" s="11" t="n">
        <f aca="false">IF(Q667,MIN(P667*Inputs!$B$3/(R667-AE666),P667*Inputs!$B$11/R667),0)</f>
        <v>0</v>
      </c>
      <c r="T667" s="11" t="n">
        <f aca="false">IF(Q667,S667,IF(M667,0,Y666))</f>
        <v>0</v>
      </c>
      <c r="U667" s="8" t="n">
        <f aca="false">IF(Q667,AE666,AF666)</f>
        <v>0.850507391154866</v>
      </c>
      <c r="V667" s="9" t="b">
        <f aca="false">AND(T667&gt;0,D667&lt;=U667)</f>
        <v>0</v>
      </c>
      <c r="W667" s="10" t="n">
        <f aca="false">IF(V667,T667*(AK667-AB667)-Inputs!$B$9-T667*AD667*Inputs!$B$13*(A667-AC667),0)</f>
        <v>0</v>
      </c>
      <c r="X667" s="10" t="n">
        <f aca="false">P667-IF(Q667,Inputs!$B$9,0)+W667</f>
        <v>1037.10316126448</v>
      </c>
      <c r="Y667" s="11" t="n">
        <f aca="false">IF(V667,0,T667)</f>
        <v>0</v>
      </c>
      <c r="Z667" s="9" t="b">
        <f aca="false">AND(Y667&gt;0,K667)</f>
        <v>0</v>
      </c>
      <c r="AA667" s="9" t="b">
        <f aca="false">AND(Y667=0,J667,ISNUMBER(L667))</f>
        <v>0</v>
      </c>
      <c r="AB667" s="8" t="n">
        <f aca="false">IF(Q667,R667,AB666)</f>
        <v>0.868065965109487</v>
      </c>
      <c r="AC667" s="12" t="n">
        <f aca="false">IF(Q667,A667,AC666)</f>
        <v>45375</v>
      </c>
      <c r="AD667" s="8" t="n">
        <f aca="false">IF(Q667,B667,AD666)</f>
        <v>0.86789238663216</v>
      </c>
      <c r="AE667" s="8" t="str">
        <f aca="false">IF(AA667,L667,"")</f>
        <v/>
      </c>
      <c r="AF667" s="8" t="n">
        <f aca="false">U667</f>
        <v>0.850507391154866</v>
      </c>
      <c r="AG667" s="2" t="n">
        <f aca="false">AG666+IF(Q667,1,0)</f>
        <v>4</v>
      </c>
      <c r="AH667" s="2" t="n">
        <f aca="false">AG666</f>
        <v>4</v>
      </c>
      <c r="AI667" s="10" t="n">
        <f aca="false">X667+Y667*(E667-AB667)-Y667*AD667*Inputs!$B$13*(A667-AC667)</f>
        <v>1037.10316126448</v>
      </c>
      <c r="AJ667" s="10" t="n">
        <v>0</v>
      </c>
      <c r="AK667" s="8" t="n">
        <f aca="false">IF(AND(B667&lt;=U667,NOT(Q667)),B667,U667)*(1-Inputs!$B$12)</f>
        <v>0.850337289676635</v>
      </c>
    </row>
    <row r="668" customFormat="false" ht="15" hidden="false" customHeight="false" outlineLevel="0" collapsed="false">
      <c r="A668" s="6" t="n">
        <v>45452</v>
      </c>
      <c r="B668" s="7" t="n">
        <v>0.8843832273094</v>
      </c>
      <c r="C668" s="7" t="n">
        <v>0.88551891749672</v>
      </c>
      <c r="D668" s="7" t="n">
        <v>0.883553050741655</v>
      </c>
      <c r="E668" s="7" t="n">
        <v>0.884502738811728</v>
      </c>
      <c r="F668" s="8" t="n">
        <f aca="true">IF(ROW()-2&gt;=Inputs!$B$4,AVERAGE(OFFSET(E668,1-Inputs!$B$4,0,Inputs!$B$4,1)),"")</f>
        <v>0.887029358396671</v>
      </c>
      <c r="G668" s="8" t="n">
        <f aca="true">IF(ROW()-2&gt;=Inputs!$B$5,AVERAGE(OFFSET(E668,1-Inputs!$B$5,0,Inputs!$B$5,1)),"")</f>
        <v>0.893036411746941</v>
      </c>
      <c r="H668" s="8" t="n">
        <f aca="false">MAX(C668-D668,ABS(C668-E667),ABS(D668-E667))</f>
        <v>0.00196586675506549</v>
      </c>
      <c r="I668" s="8" t="n">
        <f aca="true">IF(ROW()-2&lt;14,"",IF(ROW()-2=14,AVERAGE(OFFSET(H668,-13,0,14,1)),(I667*13+H668)/14))</f>
        <v>0.00835989854621527</v>
      </c>
      <c r="J668" s="9" t="b">
        <f aca="false">IF(AND(ISNUMBER(F668),ISNUMBER(G668),ISNUMBER(F667),ISNUMBER(G667)),AND(F668&gt;G668,F667&lt;=G667),FALSE())</f>
        <v>0</v>
      </c>
      <c r="K668" s="9" t="b">
        <f aca="false">IF(AND(ISNUMBER(F668),ISNUMBER(G668),ISNUMBER(F667),ISNUMBER(G667)),AND(F668&lt;G668,F667&gt;=G667),FALSE())</f>
        <v>0</v>
      </c>
      <c r="L668" s="8" t="n">
        <f aca="false">IF(ISNUMBER(I668),E668-Inputs!$B$6*I668,"")</f>
        <v>0.867782941719297</v>
      </c>
      <c r="M668" s="9" t="b">
        <f aca="false">AND(Y667&gt;0,Z667)</f>
        <v>0</v>
      </c>
      <c r="N668" s="8" t="n">
        <f aca="false">B668*(1-Inputs!$B$12)</f>
        <v>0.884206350663939</v>
      </c>
      <c r="O668" s="10" t="n">
        <f aca="false">IF(M668,Y667*(N668-AB667)-Inputs!$B$9-Y667*AD667*Inputs!$B$13*(A668-AC667),0)</f>
        <v>0</v>
      </c>
      <c r="P668" s="10" t="n">
        <f aca="false">X667+O668</f>
        <v>1037.10316126448</v>
      </c>
      <c r="Q668" s="9" t="b">
        <f aca="false">AND(IF(M668,0,Y667)=0,AA667,IF(ISNUMBER(AE667),B668&gt;AE667,FALSE()))</f>
        <v>0</v>
      </c>
      <c r="R668" s="8" t="n">
        <f aca="false">B668*(1+Inputs!$B$12)</f>
        <v>0.884560103954862</v>
      </c>
      <c r="S668" s="11" t="n">
        <f aca="false">IF(Q668,MIN(P668*Inputs!$B$3/(R668-AE667),P668*Inputs!$B$11/R668),0)</f>
        <v>0</v>
      </c>
      <c r="T668" s="11" t="n">
        <f aca="false">IF(Q668,S668,IF(M668,0,Y667))</f>
        <v>0</v>
      </c>
      <c r="U668" s="8" t="n">
        <f aca="false">IF(Q668,AE667,AF667)</f>
        <v>0.850507391154866</v>
      </c>
      <c r="V668" s="9" t="b">
        <f aca="false">AND(T668&gt;0,D668&lt;=U668)</f>
        <v>0</v>
      </c>
      <c r="W668" s="10" t="n">
        <f aca="false">IF(V668,T668*(AK668-AB668)-Inputs!$B$9-T668*AD668*Inputs!$B$13*(A668-AC668),0)</f>
        <v>0</v>
      </c>
      <c r="X668" s="10" t="n">
        <f aca="false">P668-IF(Q668,Inputs!$B$9,0)+W668</f>
        <v>1037.10316126448</v>
      </c>
      <c r="Y668" s="11" t="n">
        <f aca="false">IF(V668,0,T668)</f>
        <v>0</v>
      </c>
      <c r="Z668" s="9" t="b">
        <f aca="false">AND(Y668&gt;0,K668)</f>
        <v>0</v>
      </c>
      <c r="AA668" s="9" t="b">
        <f aca="false">AND(Y668=0,J668,ISNUMBER(L668))</f>
        <v>0</v>
      </c>
      <c r="AB668" s="8" t="n">
        <f aca="false">IF(Q668,R668,AB667)</f>
        <v>0.868065965109487</v>
      </c>
      <c r="AC668" s="12" t="n">
        <f aca="false">IF(Q668,A668,AC667)</f>
        <v>45375</v>
      </c>
      <c r="AD668" s="8" t="n">
        <f aca="false">IF(Q668,B668,AD667)</f>
        <v>0.86789238663216</v>
      </c>
      <c r="AE668" s="8" t="str">
        <f aca="false">IF(AA668,L668,"")</f>
        <v/>
      </c>
      <c r="AF668" s="8" t="n">
        <f aca="false">U668</f>
        <v>0.850507391154866</v>
      </c>
      <c r="AG668" s="2" t="n">
        <f aca="false">AG667+IF(Q668,1,0)</f>
        <v>4</v>
      </c>
      <c r="AH668" s="2" t="n">
        <f aca="false">AG667</f>
        <v>4</v>
      </c>
      <c r="AI668" s="10" t="n">
        <f aca="false">X668+Y668*(E668-AB668)-Y668*AD668*Inputs!$B$13*(A668-AC668)</f>
        <v>1037.10316126448</v>
      </c>
      <c r="AJ668" s="10" t="n">
        <v>0</v>
      </c>
      <c r="AK668" s="8" t="n">
        <f aca="false">IF(AND(B668&lt;=U668,NOT(Q668)),B668,U668)*(1-Inputs!$B$12)</f>
        <v>0.850337289676635</v>
      </c>
    </row>
    <row r="669" customFormat="false" ht="15" hidden="false" customHeight="false" outlineLevel="0" collapsed="false">
      <c r="A669" s="6" t="n">
        <v>45453</v>
      </c>
      <c r="B669" s="7" t="n">
        <v>0.884502738811728</v>
      </c>
      <c r="C669" s="7" t="n">
        <v>0.890109138576712</v>
      </c>
      <c r="D669" s="7" t="n">
        <v>0.881769591415516</v>
      </c>
      <c r="E669" s="7" t="n">
        <v>0.888574224972651</v>
      </c>
      <c r="F669" s="8" t="n">
        <f aca="true">IF(ROW()-2&gt;=Inputs!$B$4,AVERAGE(OFFSET(E669,1-Inputs!$B$4,0,Inputs!$B$4,1)),"")</f>
        <v>0.886623696737924</v>
      </c>
      <c r="G669" s="8" t="n">
        <f aca="true">IF(ROW()-2&gt;=Inputs!$B$5,AVERAGE(OFFSET(E669,1-Inputs!$B$5,0,Inputs!$B$5,1)),"")</f>
        <v>0.893450571910567</v>
      </c>
      <c r="H669" s="8" t="n">
        <f aca="false">MAX(C669-D669,ABS(C669-E668),ABS(D669-E668))</f>
        <v>0.008339547161196</v>
      </c>
      <c r="I669" s="8" t="n">
        <f aca="true">IF(ROW()-2&lt;14,"",IF(ROW()-2=14,AVERAGE(OFFSET(H669,-13,0,14,1)),(I668*13+H669)/14))</f>
        <v>0.00835844487585675</v>
      </c>
      <c r="J669" s="9" t="b">
        <f aca="false">IF(AND(ISNUMBER(F669),ISNUMBER(G669),ISNUMBER(F668),ISNUMBER(G668)),AND(F669&gt;G669,F668&lt;=G668),FALSE())</f>
        <v>0</v>
      </c>
      <c r="K669" s="9" t="b">
        <f aca="false">IF(AND(ISNUMBER(F669),ISNUMBER(G669),ISNUMBER(F668),ISNUMBER(G668)),AND(F669&lt;G669,F668&gt;=G668),FALSE())</f>
        <v>0</v>
      </c>
      <c r="L669" s="8" t="n">
        <f aca="false">IF(ISNUMBER(I669),E669-Inputs!$B$6*I669,"")</f>
        <v>0.871857335220937</v>
      </c>
      <c r="M669" s="9" t="b">
        <f aca="false">AND(Y668&gt;0,Z668)</f>
        <v>0</v>
      </c>
      <c r="N669" s="8" t="n">
        <f aca="false">B669*(1-Inputs!$B$12)</f>
        <v>0.884325838263965</v>
      </c>
      <c r="O669" s="10" t="n">
        <f aca="false">IF(M669,Y668*(N669-AB668)-Inputs!$B$9-Y668*AD668*Inputs!$B$13*(A669-AC668),0)</f>
        <v>0</v>
      </c>
      <c r="P669" s="10" t="n">
        <f aca="false">X668+O669</f>
        <v>1037.10316126448</v>
      </c>
      <c r="Q669" s="9" t="b">
        <f aca="false">AND(IF(M669,0,Y668)=0,AA668,IF(ISNUMBER(AE668),B669&gt;AE668,FALSE()))</f>
        <v>0</v>
      </c>
      <c r="R669" s="8" t="n">
        <f aca="false">B669*(1+Inputs!$B$12)</f>
        <v>0.88467963935949</v>
      </c>
      <c r="S669" s="11" t="n">
        <f aca="false">IF(Q669,MIN(P669*Inputs!$B$3/(R669-AE668),P669*Inputs!$B$11/R669),0)</f>
        <v>0</v>
      </c>
      <c r="T669" s="11" t="n">
        <f aca="false">IF(Q669,S669,IF(M669,0,Y668))</f>
        <v>0</v>
      </c>
      <c r="U669" s="8" t="n">
        <f aca="false">IF(Q669,AE668,AF668)</f>
        <v>0.850507391154866</v>
      </c>
      <c r="V669" s="9" t="b">
        <f aca="false">AND(T669&gt;0,D669&lt;=U669)</f>
        <v>0</v>
      </c>
      <c r="W669" s="10" t="n">
        <f aca="false">IF(V669,T669*(AK669-AB669)-Inputs!$B$9-T669*AD669*Inputs!$B$13*(A669-AC669),0)</f>
        <v>0</v>
      </c>
      <c r="X669" s="10" t="n">
        <f aca="false">P669-IF(Q669,Inputs!$B$9,0)+W669</f>
        <v>1037.10316126448</v>
      </c>
      <c r="Y669" s="11" t="n">
        <f aca="false">IF(V669,0,T669)</f>
        <v>0</v>
      </c>
      <c r="Z669" s="9" t="b">
        <f aca="false">AND(Y669&gt;0,K669)</f>
        <v>0</v>
      </c>
      <c r="AA669" s="9" t="b">
        <f aca="false">AND(Y669=0,J669,ISNUMBER(L669))</f>
        <v>0</v>
      </c>
      <c r="AB669" s="8" t="n">
        <f aca="false">IF(Q669,R669,AB668)</f>
        <v>0.868065965109487</v>
      </c>
      <c r="AC669" s="12" t="n">
        <f aca="false">IF(Q669,A669,AC668)</f>
        <v>45375</v>
      </c>
      <c r="AD669" s="8" t="n">
        <f aca="false">IF(Q669,B669,AD668)</f>
        <v>0.86789238663216</v>
      </c>
      <c r="AE669" s="8" t="str">
        <f aca="false">IF(AA669,L669,"")</f>
        <v/>
      </c>
      <c r="AF669" s="8" t="n">
        <f aca="false">U669</f>
        <v>0.850507391154866</v>
      </c>
      <c r="AG669" s="2" t="n">
        <f aca="false">AG668+IF(Q669,1,0)</f>
        <v>4</v>
      </c>
      <c r="AH669" s="2" t="n">
        <f aca="false">AG668</f>
        <v>4</v>
      </c>
      <c r="AI669" s="10" t="n">
        <f aca="false">X669+Y669*(E669-AB669)-Y669*AD669*Inputs!$B$13*(A669-AC669)</f>
        <v>1037.10316126448</v>
      </c>
      <c r="AJ669" s="10" t="n">
        <v>0</v>
      </c>
      <c r="AK669" s="8" t="n">
        <f aca="false">IF(AND(B669&lt;=U669,NOT(Q669)),B669,U669)*(1-Inputs!$B$12)</f>
        <v>0.850337289676635</v>
      </c>
    </row>
    <row r="670" customFormat="false" ht="15" hidden="false" customHeight="false" outlineLevel="0" collapsed="false">
      <c r="A670" s="6" t="n">
        <v>45454</v>
      </c>
      <c r="B670" s="7" t="n">
        <v>0.888574224972651</v>
      </c>
      <c r="C670" s="7" t="n">
        <v>0.900618008017588</v>
      </c>
      <c r="D670" s="7" t="n">
        <v>0.887490948045588</v>
      </c>
      <c r="E670" s="7" t="n">
        <v>0.897938379511188</v>
      </c>
      <c r="F670" s="8" t="n">
        <f aca="true">IF(ROW()-2&gt;=Inputs!$B$4,AVERAGE(OFFSET(E670,1-Inputs!$B$4,0,Inputs!$B$4,1)),"")</f>
        <v>0.887378993674499</v>
      </c>
      <c r="G670" s="8" t="n">
        <f aca="true">IF(ROW()-2&gt;=Inputs!$B$5,AVERAGE(OFFSET(E670,1-Inputs!$B$5,0,Inputs!$B$5,1)),"")</f>
        <v>0.894060246885974</v>
      </c>
      <c r="H670" s="8" t="n">
        <f aca="false">MAX(C670-D670,ABS(C670-E669),ABS(D670-E669))</f>
        <v>0.0131270599719999</v>
      </c>
      <c r="I670" s="8" t="n">
        <f aca="true">IF(ROW()-2&lt;14,"",IF(ROW()-2=14,AVERAGE(OFFSET(H670,-13,0,14,1)),(I669*13+H670)/14))</f>
        <v>0.00869906023986697</v>
      </c>
      <c r="J670" s="9" t="b">
        <f aca="false">IF(AND(ISNUMBER(F670),ISNUMBER(G670),ISNUMBER(F669),ISNUMBER(G669)),AND(F670&gt;G670,F669&lt;=G669),FALSE())</f>
        <v>0</v>
      </c>
      <c r="K670" s="9" t="b">
        <f aca="false">IF(AND(ISNUMBER(F670),ISNUMBER(G670),ISNUMBER(F669),ISNUMBER(G669)),AND(F670&lt;G670,F669&gt;=G669),FALSE())</f>
        <v>0</v>
      </c>
      <c r="L670" s="8" t="n">
        <f aca="false">IF(ISNUMBER(I670),E670-Inputs!$B$6*I670,"")</f>
        <v>0.880540259031454</v>
      </c>
      <c r="M670" s="9" t="b">
        <f aca="false">AND(Y669&gt;0,Z669)</f>
        <v>0</v>
      </c>
      <c r="N670" s="8" t="n">
        <f aca="false">B670*(1-Inputs!$B$12)</f>
        <v>0.888396510127656</v>
      </c>
      <c r="O670" s="10" t="n">
        <f aca="false">IF(M670,Y669*(N670-AB669)-Inputs!$B$9-Y669*AD669*Inputs!$B$13*(A670-AC669),0)</f>
        <v>0</v>
      </c>
      <c r="P670" s="10" t="n">
        <f aca="false">X669+O670</f>
        <v>1037.10316126448</v>
      </c>
      <c r="Q670" s="9" t="b">
        <f aca="false">AND(IF(M670,0,Y669)=0,AA669,IF(ISNUMBER(AE669),B670&gt;AE669,FALSE()))</f>
        <v>0</v>
      </c>
      <c r="R670" s="8" t="n">
        <f aca="false">B670*(1+Inputs!$B$12)</f>
        <v>0.888751939817645</v>
      </c>
      <c r="S670" s="11" t="n">
        <f aca="false">IF(Q670,MIN(P670*Inputs!$B$3/(R670-AE669),P670*Inputs!$B$11/R670),0)</f>
        <v>0</v>
      </c>
      <c r="T670" s="11" t="n">
        <f aca="false">IF(Q670,S670,IF(M670,0,Y669))</f>
        <v>0</v>
      </c>
      <c r="U670" s="8" t="n">
        <f aca="false">IF(Q670,AE669,AF669)</f>
        <v>0.850507391154866</v>
      </c>
      <c r="V670" s="9" t="b">
        <f aca="false">AND(T670&gt;0,D670&lt;=U670)</f>
        <v>0</v>
      </c>
      <c r="W670" s="10" t="n">
        <f aca="false">IF(V670,T670*(AK670-AB670)-Inputs!$B$9-T670*AD670*Inputs!$B$13*(A670-AC670),0)</f>
        <v>0</v>
      </c>
      <c r="X670" s="10" t="n">
        <f aca="false">P670-IF(Q670,Inputs!$B$9,0)+W670</f>
        <v>1037.10316126448</v>
      </c>
      <c r="Y670" s="11" t="n">
        <f aca="false">IF(V670,0,T670)</f>
        <v>0</v>
      </c>
      <c r="Z670" s="9" t="b">
        <f aca="false">AND(Y670&gt;0,K670)</f>
        <v>0</v>
      </c>
      <c r="AA670" s="9" t="b">
        <f aca="false">AND(Y670=0,J670,ISNUMBER(L670))</f>
        <v>0</v>
      </c>
      <c r="AB670" s="8" t="n">
        <f aca="false">IF(Q670,R670,AB669)</f>
        <v>0.868065965109487</v>
      </c>
      <c r="AC670" s="12" t="n">
        <f aca="false">IF(Q670,A670,AC669)</f>
        <v>45375</v>
      </c>
      <c r="AD670" s="8" t="n">
        <f aca="false">IF(Q670,B670,AD669)</f>
        <v>0.86789238663216</v>
      </c>
      <c r="AE670" s="8" t="str">
        <f aca="false">IF(AA670,L670,"")</f>
        <v/>
      </c>
      <c r="AF670" s="8" t="n">
        <f aca="false">U670</f>
        <v>0.850507391154866</v>
      </c>
      <c r="AG670" s="2" t="n">
        <f aca="false">AG669+IF(Q670,1,0)</f>
        <v>4</v>
      </c>
      <c r="AH670" s="2" t="n">
        <f aca="false">AG669</f>
        <v>4</v>
      </c>
      <c r="AI670" s="10" t="n">
        <f aca="false">X670+Y670*(E670-AB670)-Y670*AD670*Inputs!$B$13*(A670-AC670)</f>
        <v>1037.10316126448</v>
      </c>
      <c r="AJ670" s="10" t="n">
        <v>0</v>
      </c>
      <c r="AK670" s="8" t="n">
        <f aca="false">IF(AND(B670&lt;=U670,NOT(Q670)),B670,U670)*(1-Inputs!$B$12)</f>
        <v>0.850337289676635</v>
      </c>
    </row>
    <row r="671" customFormat="false" ht="15" hidden="false" customHeight="false" outlineLevel="0" collapsed="false">
      <c r="A671" s="6" t="n">
        <v>45455</v>
      </c>
      <c r="B671" s="7" t="n">
        <v>0.897938379511188</v>
      </c>
      <c r="C671" s="7" t="n">
        <v>0.90870704053663</v>
      </c>
      <c r="D671" s="7" t="n">
        <v>0.894470793735715</v>
      </c>
      <c r="E671" s="7" t="n">
        <v>0.906698436748157</v>
      </c>
      <c r="F671" s="8" t="n">
        <f aca="true">IF(ROW()-2&gt;=Inputs!$B$4,AVERAGE(OFFSET(E671,1-Inputs!$B$4,0,Inputs!$B$4,1)),"")</f>
        <v>0.888527662051065</v>
      </c>
      <c r="G671" s="8" t="n">
        <f aca="true">IF(ROW()-2&gt;=Inputs!$B$5,AVERAGE(OFFSET(E671,1-Inputs!$B$5,0,Inputs!$B$5,1)),"")</f>
        <v>0.894736320047405</v>
      </c>
      <c r="H671" s="8" t="n">
        <f aca="false">MAX(C671-D671,ABS(C671-E670),ABS(D671-E670))</f>
        <v>0.0142362468009152</v>
      </c>
      <c r="I671" s="8" t="n">
        <f aca="true">IF(ROW()-2&lt;14,"",IF(ROW()-2=14,AVERAGE(OFFSET(H671,-13,0,14,1)),(I670*13+H671)/14))</f>
        <v>0.00909457356565613</v>
      </c>
      <c r="J671" s="9" t="b">
        <f aca="false">IF(AND(ISNUMBER(F671),ISNUMBER(G671),ISNUMBER(F670),ISNUMBER(G670)),AND(F671&gt;G671,F670&lt;=G670),FALSE())</f>
        <v>0</v>
      </c>
      <c r="K671" s="9" t="b">
        <f aca="false">IF(AND(ISNUMBER(F671),ISNUMBER(G671),ISNUMBER(F670),ISNUMBER(G670)),AND(F671&lt;G671,F670&gt;=G670),FALSE())</f>
        <v>0</v>
      </c>
      <c r="L671" s="8" t="n">
        <f aca="false">IF(ISNUMBER(I671),E671-Inputs!$B$6*I671,"")</f>
        <v>0.888509289616845</v>
      </c>
      <c r="M671" s="9" t="b">
        <f aca="false">AND(Y670&gt;0,Z670)</f>
        <v>0</v>
      </c>
      <c r="N671" s="8" t="n">
        <f aca="false">B671*(1-Inputs!$B$12)</f>
        <v>0.897758791835286</v>
      </c>
      <c r="O671" s="10" t="n">
        <f aca="false">IF(M671,Y670*(N671-AB670)-Inputs!$B$9-Y670*AD670*Inputs!$B$13*(A671-AC670),0)</f>
        <v>0</v>
      </c>
      <c r="P671" s="10" t="n">
        <f aca="false">X670+O671</f>
        <v>1037.10316126448</v>
      </c>
      <c r="Q671" s="9" t="b">
        <f aca="false">AND(IF(M671,0,Y670)=0,AA670,IF(ISNUMBER(AE670),B671&gt;AE670,FALSE()))</f>
        <v>0</v>
      </c>
      <c r="R671" s="8" t="n">
        <f aca="false">B671*(1+Inputs!$B$12)</f>
        <v>0.89811796718709</v>
      </c>
      <c r="S671" s="11" t="n">
        <f aca="false">IF(Q671,MIN(P671*Inputs!$B$3/(R671-AE670),P671*Inputs!$B$11/R671),0)</f>
        <v>0</v>
      </c>
      <c r="T671" s="11" t="n">
        <f aca="false">IF(Q671,S671,IF(M671,0,Y670))</f>
        <v>0</v>
      </c>
      <c r="U671" s="8" t="n">
        <f aca="false">IF(Q671,AE670,AF670)</f>
        <v>0.850507391154866</v>
      </c>
      <c r="V671" s="9" t="b">
        <f aca="false">AND(T671&gt;0,D671&lt;=U671)</f>
        <v>0</v>
      </c>
      <c r="W671" s="10" t="n">
        <f aca="false">IF(V671,T671*(AK671-AB671)-Inputs!$B$9-T671*AD671*Inputs!$B$13*(A671-AC671),0)</f>
        <v>0</v>
      </c>
      <c r="X671" s="10" t="n">
        <f aca="false">P671-IF(Q671,Inputs!$B$9,0)+W671</f>
        <v>1037.10316126448</v>
      </c>
      <c r="Y671" s="11" t="n">
        <f aca="false">IF(V671,0,T671)</f>
        <v>0</v>
      </c>
      <c r="Z671" s="9" t="b">
        <f aca="false">AND(Y671&gt;0,K671)</f>
        <v>0</v>
      </c>
      <c r="AA671" s="9" t="b">
        <f aca="false">AND(Y671=0,J671,ISNUMBER(L671))</f>
        <v>0</v>
      </c>
      <c r="AB671" s="8" t="n">
        <f aca="false">IF(Q671,R671,AB670)</f>
        <v>0.868065965109487</v>
      </c>
      <c r="AC671" s="12" t="n">
        <f aca="false">IF(Q671,A671,AC670)</f>
        <v>45375</v>
      </c>
      <c r="AD671" s="8" t="n">
        <f aca="false">IF(Q671,B671,AD670)</f>
        <v>0.86789238663216</v>
      </c>
      <c r="AE671" s="8" t="str">
        <f aca="false">IF(AA671,L671,"")</f>
        <v/>
      </c>
      <c r="AF671" s="8" t="n">
        <f aca="false">U671</f>
        <v>0.850507391154866</v>
      </c>
      <c r="AG671" s="2" t="n">
        <f aca="false">AG670+IF(Q671,1,0)</f>
        <v>4</v>
      </c>
      <c r="AH671" s="2" t="n">
        <f aca="false">AG670</f>
        <v>4</v>
      </c>
      <c r="AI671" s="10" t="n">
        <f aca="false">X671+Y671*(E671-AB671)-Y671*AD671*Inputs!$B$13*(A671-AC671)</f>
        <v>1037.10316126448</v>
      </c>
      <c r="AJ671" s="10" t="n">
        <v>0</v>
      </c>
      <c r="AK671" s="8" t="n">
        <f aca="false">IF(AND(B671&lt;=U671,NOT(Q671)),B671,U671)*(1-Inputs!$B$12)</f>
        <v>0.850337289676635</v>
      </c>
    </row>
    <row r="672" customFormat="false" ht="15" hidden="false" customHeight="false" outlineLevel="0" collapsed="false">
      <c r="A672" s="6" t="n">
        <v>45456</v>
      </c>
      <c r="B672" s="7" t="n">
        <v>0.906698436748157</v>
      </c>
      <c r="C672" s="7" t="n">
        <v>0.916299168704787</v>
      </c>
      <c r="D672" s="7" t="n">
        <v>0.906270267712392</v>
      </c>
      <c r="E672" s="7" t="n">
        <v>0.915197159710897</v>
      </c>
      <c r="F672" s="8" t="n">
        <f aca="true">IF(ROW()-2&gt;=Inputs!$B$4,AVERAGE(OFFSET(E672,1-Inputs!$B$4,0,Inputs!$B$4,1)),"")</f>
        <v>0.89003909156497</v>
      </c>
      <c r="G672" s="8" t="n">
        <f aca="true">IF(ROW()-2&gt;=Inputs!$B$5,AVERAGE(OFFSET(E672,1-Inputs!$B$5,0,Inputs!$B$5,1)),"")</f>
        <v>0.89556971242313</v>
      </c>
      <c r="H672" s="8" t="n">
        <f aca="false">MAX(C672-D672,ABS(C672-E671),ABS(D672-E671))</f>
        <v>0.0100289009923952</v>
      </c>
      <c r="I672" s="8" t="n">
        <f aca="true">IF(ROW()-2&lt;14,"",IF(ROW()-2=14,AVERAGE(OFFSET(H672,-13,0,14,1)),(I671*13+H672)/14))</f>
        <v>0.00916131123899464</v>
      </c>
      <c r="J672" s="9" t="b">
        <f aca="false">IF(AND(ISNUMBER(F672),ISNUMBER(G672),ISNUMBER(F671),ISNUMBER(G671)),AND(F672&gt;G672,F671&lt;=G671),FALSE())</f>
        <v>0</v>
      </c>
      <c r="K672" s="9" t="b">
        <f aca="false">IF(AND(ISNUMBER(F672),ISNUMBER(G672),ISNUMBER(F671),ISNUMBER(G671)),AND(F672&lt;G672,F671&gt;=G671),FALSE())</f>
        <v>0</v>
      </c>
      <c r="L672" s="8" t="n">
        <f aca="false">IF(ISNUMBER(I672),E672-Inputs!$B$6*I672,"")</f>
        <v>0.896874537232908</v>
      </c>
      <c r="M672" s="9" t="b">
        <f aca="false">AND(Y671&gt;0,Z671)</f>
        <v>0</v>
      </c>
      <c r="N672" s="8" t="n">
        <f aca="false">B672*(1-Inputs!$B$12)</f>
        <v>0.906517097060807</v>
      </c>
      <c r="O672" s="10" t="n">
        <f aca="false">IF(M672,Y671*(N672-AB671)-Inputs!$B$9-Y671*AD671*Inputs!$B$13*(A672-AC671),0)</f>
        <v>0</v>
      </c>
      <c r="P672" s="10" t="n">
        <f aca="false">X671+O672</f>
        <v>1037.10316126448</v>
      </c>
      <c r="Q672" s="9" t="b">
        <f aca="false">AND(IF(M672,0,Y671)=0,AA671,IF(ISNUMBER(AE671),B672&gt;AE671,FALSE()))</f>
        <v>0</v>
      </c>
      <c r="R672" s="8" t="n">
        <f aca="false">B672*(1+Inputs!$B$12)</f>
        <v>0.906879776435506</v>
      </c>
      <c r="S672" s="11" t="n">
        <f aca="false">IF(Q672,MIN(P672*Inputs!$B$3/(R672-AE671),P672*Inputs!$B$11/R672),0)</f>
        <v>0</v>
      </c>
      <c r="T672" s="11" t="n">
        <f aca="false">IF(Q672,S672,IF(M672,0,Y671))</f>
        <v>0</v>
      </c>
      <c r="U672" s="8" t="n">
        <f aca="false">IF(Q672,AE671,AF671)</f>
        <v>0.850507391154866</v>
      </c>
      <c r="V672" s="9" t="b">
        <f aca="false">AND(T672&gt;0,D672&lt;=U672)</f>
        <v>0</v>
      </c>
      <c r="W672" s="10" t="n">
        <f aca="false">IF(V672,T672*(AK672-AB672)-Inputs!$B$9-T672*AD672*Inputs!$B$13*(A672-AC672),0)</f>
        <v>0</v>
      </c>
      <c r="X672" s="10" t="n">
        <f aca="false">P672-IF(Q672,Inputs!$B$9,0)+W672</f>
        <v>1037.10316126448</v>
      </c>
      <c r="Y672" s="11" t="n">
        <f aca="false">IF(V672,0,T672)</f>
        <v>0</v>
      </c>
      <c r="Z672" s="9" t="b">
        <f aca="false">AND(Y672&gt;0,K672)</f>
        <v>0</v>
      </c>
      <c r="AA672" s="9" t="b">
        <f aca="false">AND(Y672=0,J672,ISNUMBER(L672))</f>
        <v>0</v>
      </c>
      <c r="AB672" s="8" t="n">
        <f aca="false">IF(Q672,R672,AB671)</f>
        <v>0.868065965109487</v>
      </c>
      <c r="AC672" s="12" t="n">
        <f aca="false">IF(Q672,A672,AC671)</f>
        <v>45375</v>
      </c>
      <c r="AD672" s="8" t="n">
        <f aca="false">IF(Q672,B672,AD671)</f>
        <v>0.86789238663216</v>
      </c>
      <c r="AE672" s="8" t="str">
        <f aca="false">IF(AA672,L672,"")</f>
        <v/>
      </c>
      <c r="AF672" s="8" t="n">
        <f aca="false">U672</f>
        <v>0.850507391154866</v>
      </c>
      <c r="AG672" s="2" t="n">
        <f aca="false">AG671+IF(Q672,1,0)</f>
        <v>4</v>
      </c>
      <c r="AH672" s="2" t="n">
        <f aca="false">AG671</f>
        <v>4</v>
      </c>
      <c r="AI672" s="10" t="n">
        <f aca="false">X672+Y672*(E672-AB672)-Y672*AD672*Inputs!$B$13*(A672-AC672)</f>
        <v>1037.10316126448</v>
      </c>
      <c r="AJ672" s="10" t="n">
        <v>0</v>
      </c>
      <c r="AK672" s="8" t="n">
        <f aca="false">IF(AND(B672&lt;=U672,NOT(Q672)),B672,U672)*(1-Inputs!$B$12)</f>
        <v>0.850337289676635</v>
      </c>
    </row>
    <row r="673" customFormat="false" ht="15" hidden="false" customHeight="false" outlineLevel="0" collapsed="false">
      <c r="A673" s="6" t="n">
        <v>45457</v>
      </c>
      <c r="B673" s="7" t="n">
        <v>0.915197159710897</v>
      </c>
      <c r="C673" s="7" t="n">
        <v>0.919014291589887</v>
      </c>
      <c r="D673" s="7" t="n">
        <v>0.91407924103714</v>
      </c>
      <c r="E673" s="7" t="n">
        <v>0.918838989141965</v>
      </c>
      <c r="F673" s="8" t="n">
        <f aca="true">IF(ROW()-2&gt;=Inputs!$B$4,AVERAGE(OFFSET(E673,1-Inputs!$B$4,0,Inputs!$B$4,1)),"")</f>
        <v>0.891538812828108</v>
      </c>
      <c r="G673" s="8" t="n">
        <f aca="true">IF(ROW()-2&gt;=Inputs!$B$5,AVERAGE(OFFSET(E673,1-Inputs!$B$5,0,Inputs!$B$5,1)),"")</f>
        <v>0.896373532452074</v>
      </c>
      <c r="H673" s="8" t="n">
        <f aca="false">MAX(C673-D673,ABS(C673-E672),ABS(D673-E672))</f>
        <v>0.00493505055274712</v>
      </c>
      <c r="I673" s="8" t="n">
        <f aca="true">IF(ROW()-2&lt;14,"",IF(ROW()-2=14,AVERAGE(OFFSET(H673,-13,0,14,1)),(I672*13+H673)/14))</f>
        <v>0.00885943547569124</v>
      </c>
      <c r="J673" s="9" t="b">
        <f aca="false">IF(AND(ISNUMBER(F673),ISNUMBER(G673),ISNUMBER(F672),ISNUMBER(G672)),AND(F673&gt;G673,F672&lt;=G672),FALSE())</f>
        <v>0</v>
      </c>
      <c r="K673" s="9" t="b">
        <f aca="false">IF(AND(ISNUMBER(F673),ISNUMBER(G673),ISNUMBER(F672),ISNUMBER(G672)),AND(F673&lt;G673,F672&gt;=G672),FALSE())</f>
        <v>0</v>
      </c>
      <c r="L673" s="8" t="n">
        <f aca="false">IF(ISNUMBER(I673),E673-Inputs!$B$6*I673,"")</f>
        <v>0.901120118190583</v>
      </c>
      <c r="M673" s="9" t="b">
        <f aca="false">AND(Y672&gt;0,Z672)</f>
        <v>0</v>
      </c>
      <c r="N673" s="8" t="n">
        <f aca="false">B673*(1-Inputs!$B$12)</f>
        <v>0.915014120278955</v>
      </c>
      <c r="O673" s="10" t="n">
        <f aca="false">IF(M673,Y672*(N673-AB672)-Inputs!$B$9-Y672*AD672*Inputs!$B$13*(A673-AC672),0)</f>
        <v>0</v>
      </c>
      <c r="P673" s="10" t="n">
        <f aca="false">X672+O673</f>
        <v>1037.10316126448</v>
      </c>
      <c r="Q673" s="9" t="b">
        <f aca="false">AND(IF(M673,0,Y672)=0,AA672,IF(ISNUMBER(AE672),B673&gt;AE672,FALSE()))</f>
        <v>0</v>
      </c>
      <c r="R673" s="8" t="n">
        <f aca="false">B673*(1+Inputs!$B$12)</f>
        <v>0.91538019914284</v>
      </c>
      <c r="S673" s="11" t="n">
        <f aca="false">IF(Q673,MIN(P673*Inputs!$B$3/(R673-AE672),P673*Inputs!$B$11/R673),0)</f>
        <v>0</v>
      </c>
      <c r="T673" s="11" t="n">
        <f aca="false">IF(Q673,S673,IF(M673,0,Y672))</f>
        <v>0</v>
      </c>
      <c r="U673" s="8" t="n">
        <f aca="false">IF(Q673,AE672,AF672)</f>
        <v>0.850507391154866</v>
      </c>
      <c r="V673" s="9" t="b">
        <f aca="false">AND(T673&gt;0,D673&lt;=U673)</f>
        <v>0</v>
      </c>
      <c r="W673" s="10" t="n">
        <f aca="false">IF(V673,T673*(AK673-AB673)-Inputs!$B$9-T673*AD673*Inputs!$B$13*(A673-AC673),0)</f>
        <v>0</v>
      </c>
      <c r="X673" s="10" t="n">
        <f aca="false">P673-IF(Q673,Inputs!$B$9,0)+W673</f>
        <v>1037.10316126448</v>
      </c>
      <c r="Y673" s="11" t="n">
        <f aca="false">IF(V673,0,T673)</f>
        <v>0</v>
      </c>
      <c r="Z673" s="9" t="b">
        <f aca="false">AND(Y673&gt;0,K673)</f>
        <v>0</v>
      </c>
      <c r="AA673" s="9" t="b">
        <f aca="false">AND(Y673=0,J673,ISNUMBER(L673))</f>
        <v>0</v>
      </c>
      <c r="AB673" s="8" t="n">
        <f aca="false">IF(Q673,R673,AB672)</f>
        <v>0.868065965109487</v>
      </c>
      <c r="AC673" s="12" t="n">
        <f aca="false">IF(Q673,A673,AC672)</f>
        <v>45375</v>
      </c>
      <c r="AD673" s="8" t="n">
        <f aca="false">IF(Q673,B673,AD672)</f>
        <v>0.86789238663216</v>
      </c>
      <c r="AE673" s="8" t="str">
        <f aca="false">IF(AA673,L673,"")</f>
        <v/>
      </c>
      <c r="AF673" s="8" t="n">
        <f aca="false">U673</f>
        <v>0.850507391154866</v>
      </c>
      <c r="AG673" s="2" t="n">
        <f aca="false">AG672+IF(Q673,1,0)</f>
        <v>4</v>
      </c>
      <c r="AH673" s="2" t="n">
        <f aca="false">AG672</f>
        <v>4</v>
      </c>
      <c r="AI673" s="10" t="n">
        <f aca="false">X673+Y673*(E673-AB673)-Y673*AD673*Inputs!$B$13*(A673-AC673)</f>
        <v>1037.10316126448</v>
      </c>
      <c r="AJ673" s="10" t="n">
        <v>0</v>
      </c>
      <c r="AK673" s="8" t="n">
        <f aca="false">IF(AND(B673&lt;=U673,NOT(Q673)),B673,U673)*(1-Inputs!$B$12)</f>
        <v>0.850337289676635</v>
      </c>
    </row>
    <row r="674" customFormat="false" ht="15" hidden="false" customHeight="false" outlineLevel="0" collapsed="false">
      <c r="A674" s="6" t="n">
        <v>45458</v>
      </c>
      <c r="B674" s="7" t="n">
        <v>0.918838989141965</v>
      </c>
      <c r="C674" s="7" t="n">
        <v>0.924889091867961</v>
      </c>
      <c r="D674" s="7" t="n">
        <v>0.915574876701057</v>
      </c>
      <c r="E674" s="7" t="n">
        <v>0.922959704282402</v>
      </c>
      <c r="F674" s="8" t="n">
        <f aca="true">IF(ROW()-2&gt;=Inputs!$B$4,AVERAGE(OFFSET(E674,1-Inputs!$B$4,0,Inputs!$B$4,1)),"")</f>
        <v>0.893095285958112</v>
      </c>
      <c r="G674" s="8" t="n">
        <f aca="true">IF(ROW()-2&gt;=Inputs!$B$5,AVERAGE(OFFSET(E674,1-Inputs!$B$5,0,Inputs!$B$5,1)),"")</f>
        <v>0.897286686373491</v>
      </c>
      <c r="H674" s="8" t="n">
        <f aca="false">MAX(C674-D674,ABS(C674-E673),ABS(D674-E673))</f>
        <v>0.00931421516690412</v>
      </c>
      <c r="I674" s="8" t="n">
        <f aca="true">IF(ROW()-2&lt;14,"",IF(ROW()-2=14,AVERAGE(OFFSET(H674,-13,0,14,1)),(I673*13+H674)/14))</f>
        <v>0.0088919197393493</v>
      </c>
      <c r="J674" s="9" t="b">
        <f aca="false">IF(AND(ISNUMBER(F674),ISNUMBER(G674),ISNUMBER(F673),ISNUMBER(G673)),AND(F674&gt;G674,F673&lt;=G673),FALSE())</f>
        <v>0</v>
      </c>
      <c r="K674" s="9" t="b">
        <f aca="false">IF(AND(ISNUMBER(F674),ISNUMBER(G674),ISNUMBER(F673),ISNUMBER(G673)),AND(F674&lt;G674,F673&gt;=G673),FALSE())</f>
        <v>0</v>
      </c>
      <c r="L674" s="8" t="n">
        <f aca="false">IF(ISNUMBER(I674),E674-Inputs!$B$6*I674,"")</f>
        <v>0.905175864803704</v>
      </c>
      <c r="M674" s="9" t="b">
        <f aca="false">AND(Y673&gt;0,Z673)</f>
        <v>0</v>
      </c>
      <c r="N674" s="8" t="n">
        <f aca="false">B674*(1-Inputs!$B$12)</f>
        <v>0.918655221344137</v>
      </c>
      <c r="O674" s="10" t="n">
        <f aca="false">IF(M674,Y673*(N674-AB673)-Inputs!$B$9-Y673*AD673*Inputs!$B$13*(A674-AC673),0)</f>
        <v>0</v>
      </c>
      <c r="P674" s="10" t="n">
        <f aca="false">X673+O674</f>
        <v>1037.10316126448</v>
      </c>
      <c r="Q674" s="9" t="b">
        <f aca="false">AND(IF(M674,0,Y673)=0,AA673,IF(ISNUMBER(AE673),B674&gt;AE673,FALSE()))</f>
        <v>0</v>
      </c>
      <c r="R674" s="8" t="n">
        <f aca="false">B674*(1+Inputs!$B$12)</f>
        <v>0.919022756939794</v>
      </c>
      <c r="S674" s="11" t="n">
        <f aca="false">IF(Q674,MIN(P674*Inputs!$B$3/(R674-AE673),P674*Inputs!$B$11/R674),0)</f>
        <v>0</v>
      </c>
      <c r="T674" s="11" t="n">
        <f aca="false">IF(Q674,S674,IF(M674,0,Y673))</f>
        <v>0</v>
      </c>
      <c r="U674" s="8" t="n">
        <f aca="false">IF(Q674,AE673,AF673)</f>
        <v>0.850507391154866</v>
      </c>
      <c r="V674" s="9" t="b">
        <f aca="false">AND(T674&gt;0,D674&lt;=U674)</f>
        <v>0</v>
      </c>
      <c r="W674" s="10" t="n">
        <f aca="false">IF(V674,T674*(AK674-AB674)-Inputs!$B$9-T674*AD674*Inputs!$B$13*(A674-AC674),0)</f>
        <v>0</v>
      </c>
      <c r="X674" s="10" t="n">
        <f aca="false">P674-IF(Q674,Inputs!$B$9,0)+W674</f>
        <v>1037.10316126448</v>
      </c>
      <c r="Y674" s="11" t="n">
        <f aca="false">IF(V674,0,T674)</f>
        <v>0</v>
      </c>
      <c r="Z674" s="9" t="b">
        <f aca="false">AND(Y674&gt;0,K674)</f>
        <v>0</v>
      </c>
      <c r="AA674" s="9" t="b">
        <f aca="false">AND(Y674=0,J674,ISNUMBER(L674))</f>
        <v>0</v>
      </c>
      <c r="AB674" s="8" t="n">
        <f aca="false">IF(Q674,R674,AB673)</f>
        <v>0.868065965109487</v>
      </c>
      <c r="AC674" s="12" t="n">
        <f aca="false">IF(Q674,A674,AC673)</f>
        <v>45375</v>
      </c>
      <c r="AD674" s="8" t="n">
        <f aca="false">IF(Q674,B674,AD673)</f>
        <v>0.86789238663216</v>
      </c>
      <c r="AE674" s="8" t="str">
        <f aca="false">IF(AA674,L674,"")</f>
        <v/>
      </c>
      <c r="AF674" s="8" t="n">
        <f aca="false">U674</f>
        <v>0.850507391154866</v>
      </c>
      <c r="AG674" s="2" t="n">
        <f aca="false">AG673+IF(Q674,1,0)</f>
        <v>4</v>
      </c>
      <c r="AH674" s="2" t="n">
        <f aca="false">AG673</f>
        <v>4</v>
      </c>
      <c r="AI674" s="10" t="n">
        <f aca="false">X674+Y674*(E674-AB674)-Y674*AD674*Inputs!$B$13*(A674-AC674)</f>
        <v>1037.10316126448</v>
      </c>
      <c r="AJ674" s="10" t="n">
        <v>0</v>
      </c>
      <c r="AK674" s="8" t="n">
        <f aca="false">IF(AND(B674&lt;=U674,NOT(Q674)),B674,U674)*(1-Inputs!$B$12)</f>
        <v>0.850337289676635</v>
      </c>
    </row>
    <row r="675" customFormat="false" ht="15" hidden="false" customHeight="false" outlineLevel="0" collapsed="false">
      <c r="A675" s="6" t="n">
        <v>45459</v>
      </c>
      <c r="B675" s="7" t="n">
        <v>0.922959704282402</v>
      </c>
      <c r="C675" s="7" t="n">
        <v>0.923943036300896</v>
      </c>
      <c r="D675" s="7" t="n">
        <v>0.913783299235738</v>
      </c>
      <c r="E675" s="7" t="n">
        <v>0.921164063789797</v>
      </c>
      <c r="F675" s="8" t="n">
        <f aca="true">IF(ROW()-2&gt;=Inputs!$B$4,AVERAGE(OFFSET(E675,1-Inputs!$B$4,0,Inputs!$B$4,1)),"")</f>
        <v>0.89469979462086</v>
      </c>
      <c r="G675" s="8" t="n">
        <f aca="true">IF(ROW()-2&gt;=Inputs!$B$5,AVERAGE(OFFSET(E675,1-Inputs!$B$5,0,Inputs!$B$5,1)),"")</f>
        <v>0.898141790686645</v>
      </c>
      <c r="H675" s="8" t="n">
        <f aca="false">MAX(C675-D675,ABS(C675-E674),ABS(D675-E674))</f>
        <v>0.0101597370651576</v>
      </c>
      <c r="I675" s="8" t="n">
        <f aca="true">IF(ROW()-2&lt;14,"",IF(ROW()-2=14,AVERAGE(OFFSET(H675,-13,0,14,1)),(I674*13+H675)/14))</f>
        <v>0.00898247811976418</v>
      </c>
      <c r="J675" s="9" t="b">
        <f aca="false">IF(AND(ISNUMBER(F675),ISNUMBER(G675),ISNUMBER(F674),ISNUMBER(G674)),AND(F675&gt;G675,F674&lt;=G674),FALSE())</f>
        <v>0</v>
      </c>
      <c r="K675" s="9" t="b">
        <f aca="false">IF(AND(ISNUMBER(F675),ISNUMBER(G675),ISNUMBER(F674),ISNUMBER(G674)),AND(F675&lt;G675,F674&gt;=G674),FALSE())</f>
        <v>0</v>
      </c>
      <c r="L675" s="8" t="n">
        <f aca="false">IF(ISNUMBER(I675),E675-Inputs!$B$6*I675,"")</f>
        <v>0.903199107550269</v>
      </c>
      <c r="M675" s="9" t="b">
        <f aca="false">AND(Y674&gt;0,Z674)</f>
        <v>0</v>
      </c>
      <c r="N675" s="8" t="n">
        <f aca="false">B675*(1-Inputs!$B$12)</f>
        <v>0.922775112341546</v>
      </c>
      <c r="O675" s="10" t="n">
        <f aca="false">IF(M675,Y674*(N675-AB674)-Inputs!$B$9-Y674*AD674*Inputs!$B$13*(A675-AC674),0)</f>
        <v>0</v>
      </c>
      <c r="P675" s="10" t="n">
        <f aca="false">X674+O675</f>
        <v>1037.10316126448</v>
      </c>
      <c r="Q675" s="9" t="b">
        <f aca="false">AND(IF(M675,0,Y674)=0,AA674,IF(ISNUMBER(AE674),B675&gt;AE674,FALSE()))</f>
        <v>0</v>
      </c>
      <c r="R675" s="8" t="n">
        <f aca="false">B675*(1+Inputs!$B$12)</f>
        <v>0.923144296223259</v>
      </c>
      <c r="S675" s="11" t="n">
        <f aca="false">IF(Q675,MIN(P675*Inputs!$B$3/(R675-AE674),P675*Inputs!$B$11/R675),0)</f>
        <v>0</v>
      </c>
      <c r="T675" s="11" t="n">
        <f aca="false">IF(Q675,S675,IF(M675,0,Y674))</f>
        <v>0</v>
      </c>
      <c r="U675" s="8" t="n">
        <f aca="false">IF(Q675,AE674,AF674)</f>
        <v>0.850507391154866</v>
      </c>
      <c r="V675" s="9" t="b">
        <f aca="false">AND(T675&gt;0,D675&lt;=U675)</f>
        <v>0</v>
      </c>
      <c r="W675" s="10" t="n">
        <f aca="false">IF(V675,T675*(AK675-AB675)-Inputs!$B$9-T675*AD675*Inputs!$B$13*(A675-AC675),0)</f>
        <v>0</v>
      </c>
      <c r="X675" s="10" t="n">
        <f aca="false">P675-IF(Q675,Inputs!$B$9,0)+W675</f>
        <v>1037.10316126448</v>
      </c>
      <c r="Y675" s="11" t="n">
        <f aca="false">IF(V675,0,T675)</f>
        <v>0</v>
      </c>
      <c r="Z675" s="9" t="b">
        <f aca="false">AND(Y675&gt;0,K675)</f>
        <v>0</v>
      </c>
      <c r="AA675" s="9" t="b">
        <f aca="false">AND(Y675=0,J675,ISNUMBER(L675))</f>
        <v>0</v>
      </c>
      <c r="AB675" s="8" t="n">
        <f aca="false">IF(Q675,R675,AB674)</f>
        <v>0.868065965109487</v>
      </c>
      <c r="AC675" s="12" t="n">
        <f aca="false">IF(Q675,A675,AC674)</f>
        <v>45375</v>
      </c>
      <c r="AD675" s="8" t="n">
        <f aca="false">IF(Q675,B675,AD674)</f>
        <v>0.86789238663216</v>
      </c>
      <c r="AE675" s="8" t="str">
        <f aca="false">IF(AA675,L675,"")</f>
        <v/>
      </c>
      <c r="AF675" s="8" t="n">
        <f aca="false">U675</f>
        <v>0.850507391154866</v>
      </c>
      <c r="AG675" s="2" t="n">
        <f aca="false">AG674+IF(Q675,1,0)</f>
        <v>4</v>
      </c>
      <c r="AH675" s="2" t="n">
        <f aca="false">AG674</f>
        <v>4</v>
      </c>
      <c r="AI675" s="10" t="n">
        <f aca="false">X675+Y675*(E675-AB675)-Y675*AD675*Inputs!$B$13*(A675-AC675)</f>
        <v>1037.10316126448</v>
      </c>
      <c r="AJ675" s="10" t="n">
        <v>0</v>
      </c>
      <c r="AK675" s="8" t="n">
        <f aca="false">IF(AND(B675&lt;=U675,NOT(Q675)),B675,U675)*(1-Inputs!$B$12)</f>
        <v>0.850337289676635</v>
      </c>
    </row>
    <row r="676" customFormat="false" ht="15" hidden="false" customHeight="false" outlineLevel="0" collapsed="false">
      <c r="A676" s="6" t="n">
        <v>45460</v>
      </c>
      <c r="B676" s="7" t="n">
        <v>0.921164063789797</v>
      </c>
      <c r="C676" s="7" t="n">
        <v>0.930770318376568</v>
      </c>
      <c r="D676" s="7" t="n">
        <v>0.917774560939329</v>
      </c>
      <c r="E676" s="7" t="n">
        <v>0.929082184250345</v>
      </c>
      <c r="F676" s="8" t="n">
        <f aca="true">IF(ROW()-2&gt;=Inputs!$B$4,AVERAGE(OFFSET(E676,1-Inputs!$B$4,0,Inputs!$B$4,1)),"")</f>
        <v>0.896888379215198</v>
      </c>
      <c r="G676" s="8" t="n">
        <f aca="true">IF(ROW()-2&gt;=Inputs!$B$5,AVERAGE(OFFSET(E676,1-Inputs!$B$5,0,Inputs!$B$5,1)),"")</f>
        <v>0.899083414299389</v>
      </c>
      <c r="H676" s="8" t="n">
        <f aca="false">MAX(C676-D676,ABS(C676-E675),ABS(D676-E675))</f>
        <v>0.0129957574372391</v>
      </c>
      <c r="I676" s="8" t="n">
        <f aca="true">IF(ROW()-2&lt;14,"",IF(ROW()-2=14,AVERAGE(OFFSET(H676,-13,0,14,1)),(I675*13+H676)/14))</f>
        <v>0.00926914092815525</v>
      </c>
      <c r="J676" s="9" t="b">
        <f aca="false">IF(AND(ISNUMBER(F676),ISNUMBER(G676),ISNUMBER(F675),ISNUMBER(G675)),AND(F676&gt;G676,F675&lt;=G675),FALSE())</f>
        <v>0</v>
      </c>
      <c r="K676" s="9" t="b">
        <f aca="false">IF(AND(ISNUMBER(F676),ISNUMBER(G676),ISNUMBER(F675),ISNUMBER(G675)),AND(F676&lt;G676,F675&gt;=G675),FALSE())</f>
        <v>0</v>
      </c>
      <c r="L676" s="8" t="n">
        <f aca="false">IF(ISNUMBER(I676),E676-Inputs!$B$6*I676,"")</f>
        <v>0.910543902394035</v>
      </c>
      <c r="M676" s="9" t="b">
        <f aca="false">AND(Y675&gt;0,Z675)</f>
        <v>0</v>
      </c>
      <c r="N676" s="8" t="n">
        <f aca="false">B676*(1-Inputs!$B$12)</f>
        <v>0.920979830977039</v>
      </c>
      <c r="O676" s="10" t="n">
        <f aca="false">IF(M676,Y675*(N676-AB675)-Inputs!$B$9-Y675*AD675*Inputs!$B$13*(A676-AC675),0)</f>
        <v>0</v>
      </c>
      <c r="P676" s="10" t="n">
        <f aca="false">X675+O676</f>
        <v>1037.10316126448</v>
      </c>
      <c r="Q676" s="9" t="b">
        <f aca="false">AND(IF(M676,0,Y675)=0,AA675,IF(ISNUMBER(AE675),B676&gt;AE675,FALSE()))</f>
        <v>0</v>
      </c>
      <c r="R676" s="8" t="n">
        <f aca="false">B676*(1+Inputs!$B$12)</f>
        <v>0.921348296602555</v>
      </c>
      <c r="S676" s="11" t="n">
        <f aca="false">IF(Q676,MIN(P676*Inputs!$B$3/(R676-AE675),P676*Inputs!$B$11/R676),0)</f>
        <v>0</v>
      </c>
      <c r="T676" s="11" t="n">
        <f aca="false">IF(Q676,S676,IF(M676,0,Y675))</f>
        <v>0</v>
      </c>
      <c r="U676" s="8" t="n">
        <f aca="false">IF(Q676,AE675,AF675)</f>
        <v>0.850507391154866</v>
      </c>
      <c r="V676" s="9" t="b">
        <f aca="false">AND(T676&gt;0,D676&lt;=U676)</f>
        <v>0</v>
      </c>
      <c r="W676" s="10" t="n">
        <f aca="false">IF(V676,T676*(AK676-AB676)-Inputs!$B$9-T676*AD676*Inputs!$B$13*(A676-AC676),0)</f>
        <v>0</v>
      </c>
      <c r="X676" s="10" t="n">
        <f aca="false">P676-IF(Q676,Inputs!$B$9,0)+W676</f>
        <v>1037.10316126448</v>
      </c>
      <c r="Y676" s="11" t="n">
        <f aca="false">IF(V676,0,T676)</f>
        <v>0</v>
      </c>
      <c r="Z676" s="9" t="b">
        <f aca="false">AND(Y676&gt;0,K676)</f>
        <v>0</v>
      </c>
      <c r="AA676" s="9" t="b">
        <f aca="false">AND(Y676=0,J676,ISNUMBER(L676))</f>
        <v>0</v>
      </c>
      <c r="AB676" s="8" t="n">
        <f aca="false">IF(Q676,R676,AB675)</f>
        <v>0.868065965109487</v>
      </c>
      <c r="AC676" s="12" t="n">
        <f aca="false">IF(Q676,A676,AC675)</f>
        <v>45375</v>
      </c>
      <c r="AD676" s="8" t="n">
        <f aca="false">IF(Q676,B676,AD675)</f>
        <v>0.86789238663216</v>
      </c>
      <c r="AE676" s="8" t="str">
        <f aca="false">IF(AA676,L676,"")</f>
        <v/>
      </c>
      <c r="AF676" s="8" t="n">
        <f aca="false">U676</f>
        <v>0.850507391154866</v>
      </c>
      <c r="AG676" s="2" t="n">
        <f aca="false">AG675+IF(Q676,1,0)</f>
        <v>4</v>
      </c>
      <c r="AH676" s="2" t="n">
        <f aca="false">AG675</f>
        <v>4</v>
      </c>
      <c r="AI676" s="10" t="n">
        <f aca="false">X676+Y676*(E676-AB676)-Y676*AD676*Inputs!$B$13*(A676-AC676)</f>
        <v>1037.10316126448</v>
      </c>
      <c r="AJ676" s="10" t="n">
        <v>0</v>
      </c>
      <c r="AK676" s="8" t="n">
        <f aca="false">IF(AND(B676&lt;=U676,NOT(Q676)),B676,U676)*(1-Inputs!$B$12)</f>
        <v>0.850337289676635</v>
      </c>
    </row>
    <row r="677" customFormat="false" ht="15" hidden="false" customHeight="false" outlineLevel="0" collapsed="false">
      <c r="A677" s="6" t="n">
        <v>45461</v>
      </c>
      <c r="B677" s="7" t="n">
        <v>0.929082184250345</v>
      </c>
      <c r="C677" s="7" t="n">
        <v>0.932725571305812</v>
      </c>
      <c r="D677" s="7" t="n">
        <v>0.925110851323431</v>
      </c>
      <c r="E677" s="7" t="n">
        <v>0.928639568359311</v>
      </c>
      <c r="F677" s="8" t="n">
        <f aca="true">IF(ROW()-2&gt;=Inputs!$B$4,AVERAGE(OFFSET(E677,1-Inputs!$B$4,0,Inputs!$B$4,1)),"")</f>
        <v>0.898940011011506</v>
      </c>
      <c r="G677" s="8" t="n">
        <f aca="true">IF(ROW()-2&gt;=Inputs!$B$5,AVERAGE(OFFSET(E677,1-Inputs!$B$5,0,Inputs!$B$5,1)),"")</f>
        <v>0.899991069504237</v>
      </c>
      <c r="H677" s="8" t="n">
        <f aca="false">MAX(C677-D677,ABS(C677-E676),ABS(D677-E676))</f>
        <v>0.00761471998238106</v>
      </c>
      <c r="I677" s="8" t="n">
        <f aca="true">IF(ROW()-2&lt;14,"",IF(ROW()-2=14,AVERAGE(OFFSET(H677,-13,0,14,1)),(I676*13+H677)/14))</f>
        <v>0.0091509680034571</v>
      </c>
      <c r="J677" s="9" t="b">
        <f aca="false">IF(AND(ISNUMBER(F677),ISNUMBER(G677),ISNUMBER(F676),ISNUMBER(G676)),AND(F677&gt;G677,F676&lt;=G676),FALSE())</f>
        <v>0</v>
      </c>
      <c r="K677" s="9" t="b">
        <f aca="false">IF(AND(ISNUMBER(F677),ISNUMBER(G677),ISNUMBER(F676),ISNUMBER(G676)),AND(F677&lt;G677,F676&gt;=G676),FALSE())</f>
        <v>0</v>
      </c>
      <c r="L677" s="8" t="n">
        <f aca="false">IF(ISNUMBER(I677),E677-Inputs!$B$6*I677,"")</f>
        <v>0.910337632352397</v>
      </c>
      <c r="M677" s="9" t="b">
        <f aca="false">AND(Y676&gt;0,Z676)</f>
        <v>0</v>
      </c>
      <c r="N677" s="8" t="n">
        <f aca="false">B677*(1-Inputs!$B$12)</f>
        <v>0.928896367813495</v>
      </c>
      <c r="O677" s="10" t="n">
        <f aca="false">IF(M677,Y676*(N677-AB676)-Inputs!$B$9-Y676*AD676*Inputs!$B$13*(A677-AC676),0)</f>
        <v>0</v>
      </c>
      <c r="P677" s="10" t="n">
        <f aca="false">X676+O677</f>
        <v>1037.10316126448</v>
      </c>
      <c r="Q677" s="9" t="b">
        <f aca="false">AND(IF(M677,0,Y676)=0,AA676,IF(ISNUMBER(AE676),B677&gt;AE676,FALSE()))</f>
        <v>0</v>
      </c>
      <c r="R677" s="8" t="n">
        <f aca="false">B677*(1+Inputs!$B$12)</f>
        <v>0.929268000687195</v>
      </c>
      <c r="S677" s="11" t="n">
        <f aca="false">IF(Q677,MIN(P677*Inputs!$B$3/(R677-AE676),P677*Inputs!$B$11/R677),0)</f>
        <v>0</v>
      </c>
      <c r="T677" s="11" t="n">
        <f aca="false">IF(Q677,S677,IF(M677,0,Y676))</f>
        <v>0</v>
      </c>
      <c r="U677" s="8" t="n">
        <f aca="false">IF(Q677,AE676,AF676)</f>
        <v>0.850507391154866</v>
      </c>
      <c r="V677" s="9" t="b">
        <f aca="false">AND(T677&gt;0,D677&lt;=U677)</f>
        <v>0</v>
      </c>
      <c r="W677" s="10" t="n">
        <f aca="false">IF(V677,T677*(AK677-AB677)-Inputs!$B$9-T677*AD677*Inputs!$B$13*(A677-AC677),0)</f>
        <v>0</v>
      </c>
      <c r="X677" s="10" t="n">
        <f aca="false">P677-IF(Q677,Inputs!$B$9,0)+W677</f>
        <v>1037.10316126448</v>
      </c>
      <c r="Y677" s="11" t="n">
        <f aca="false">IF(V677,0,T677)</f>
        <v>0</v>
      </c>
      <c r="Z677" s="9" t="b">
        <f aca="false">AND(Y677&gt;0,K677)</f>
        <v>0</v>
      </c>
      <c r="AA677" s="9" t="b">
        <f aca="false">AND(Y677=0,J677,ISNUMBER(L677))</f>
        <v>0</v>
      </c>
      <c r="AB677" s="8" t="n">
        <f aca="false">IF(Q677,R677,AB676)</f>
        <v>0.868065965109487</v>
      </c>
      <c r="AC677" s="12" t="n">
        <f aca="false">IF(Q677,A677,AC676)</f>
        <v>45375</v>
      </c>
      <c r="AD677" s="8" t="n">
        <f aca="false">IF(Q677,B677,AD676)</f>
        <v>0.86789238663216</v>
      </c>
      <c r="AE677" s="8" t="str">
        <f aca="false">IF(AA677,L677,"")</f>
        <v/>
      </c>
      <c r="AF677" s="8" t="n">
        <f aca="false">U677</f>
        <v>0.850507391154866</v>
      </c>
      <c r="AG677" s="2" t="n">
        <f aca="false">AG676+IF(Q677,1,0)</f>
        <v>4</v>
      </c>
      <c r="AH677" s="2" t="n">
        <f aca="false">AG676</f>
        <v>4</v>
      </c>
      <c r="AI677" s="10" t="n">
        <f aca="false">X677+Y677*(E677-AB677)-Y677*AD677*Inputs!$B$13*(A677-AC677)</f>
        <v>1037.10316126448</v>
      </c>
      <c r="AJ677" s="10" t="n">
        <v>0</v>
      </c>
      <c r="AK677" s="8" t="n">
        <f aca="false">IF(AND(B677&lt;=U677,NOT(Q677)),B677,U677)*(1-Inputs!$B$12)</f>
        <v>0.850337289676635</v>
      </c>
    </row>
    <row r="678" customFormat="false" ht="15" hidden="false" customHeight="false" outlineLevel="0" collapsed="false">
      <c r="A678" s="6" t="n">
        <v>45462</v>
      </c>
      <c r="B678" s="7" t="n">
        <v>0.928639568359311</v>
      </c>
      <c r="C678" s="7" t="n">
        <v>0.930733508075489</v>
      </c>
      <c r="D678" s="7" t="n">
        <v>0.921295018112296</v>
      </c>
      <c r="E678" s="7" t="n">
        <v>0.924009822639889</v>
      </c>
      <c r="F678" s="8" t="n">
        <f aca="true">IF(ROW()-2&gt;=Inputs!$B$4,AVERAGE(OFFSET(E678,1-Inputs!$B$4,0,Inputs!$B$4,1)),"")</f>
        <v>0.901092952553516</v>
      </c>
      <c r="G678" s="8" t="n">
        <f aca="true">IF(ROW()-2&gt;=Inputs!$B$5,AVERAGE(OFFSET(E678,1-Inputs!$B$5,0,Inputs!$B$5,1)),"")</f>
        <v>0.90072739605943</v>
      </c>
      <c r="H678" s="8" t="n">
        <f aca="false">MAX(C678-D678,ABS(C678-E677),ABS(D678-E677))</f>
        <v>0.00943848996319308</v>
      </c>
      <c r="I678" s="8" t="n">
        <f aca="true">IF(ROW()-2&lt;14,"",IF(ROW()-2=14,AVERAGE(OFFSET(H678,-13,0,14,1)),(I677*13+H678)/14))</f>
        <v>0.00917150528629538</v>
      </c>
      <c r="J678" s="9" t="b">
        <f aca="false">IF(AND(ISNUMBER(F678),ISNUMBER(G678),ISNUMBER(F677),ISNUMBER(G677)),AND(F678&gt;G678,F677&lt;=G677),FALSE())</f>
        <v>1</v>
      </c>
      <c r="K678" s="9" t="b">
        <f aca="false">IF(AND(ISNUMBER(F678),ISNUMBER(G678),ISNUMBER(F677),ISNUMBER(G677)),AND(F678&lt;G678,F677&gt;=G677),FALSE())</f>
        <v>0</v>
      </c>
      <c r="L678" s="8" t="n">
        <f aca="false">IF(ISNUMBER(I678),E678-Inputs!$B$6*I678,"")</f>
        <v>0.905666812067299</v>
      </c>
      <c r="M678" s="9" t="b">
        <f aca="false">AND(Y677&gt;0,Z677)</f>
        <v>0</v>
      </c>
      <c r="N678" s="8" t="n">
        <f aca="false">B678*(1-Inputs!$B$12)</f>
        <v>0.928453840445639</v>
      </c>
      <c r="O678" s="10" t="n">
        <f aca="false">IF(M678,Y677*(N678-AB677)-Inputs!$B$9-Y677*AD677*Inputs!$B$13*(A678-AC677),0)</f>
        <v>0</v>
      </c>
      <c r="P678" s="10" t="n">
        <f aca="false">X677+O678</f>
        <v>1037.10316126448</v>
      </c>
      <c r="Q678" s="9" t="b">
        <f aca="false">AND(IF(M678,0,Y677)=0,AA677,IF(ISNUMBER(AE677),B678&gt;AE677,FALSE()))</f>
        <v>0</v>
      </c>
      <c r="R678" s="8" t="n">
        <f aca="false">B678*(1+Inputs!$B$12)</f>
        <v>0.928825296272983</v>
      </c>
      <c r="S678" s="11" t="n">
        <f aca="false">IF(Q678,MIN(P678*Inputs!$B$3/(R678-AE677),P678*Inputs!$B$11/R678),0)</f>
        <v>0</v>
      </c>
      <c r="T678" s="11" t="n">
        <f aca="false">IF(Q678,S678,IF(M678,0,Y677))</f>
        <v>0</v>
      </c>
      <c r="U678" s="8" t="n">
        <f aca="false">IF(Q678,AE677,AF677)</f>
        <v>0.850507391154866</v>
      </c>
      <c r="V678" s="9" t="b">
        <f aca="false">AND(T678&gt;0,D678&lt;=U678)</f>
        <v>0</v>
      </c>
      <c r="W678" s="10" t="n">
        <f aca="false">IF(V678,T678*(AK678-AB678)-Inputs!$B$9-T678*AD678*Inputs!$B$13*(A678-AC678),0)</f>
        <v>0</v>
      </c>
      <c r="X678" s="10" t="n">
        <f aca="false">P678-IF(Q678,Inputs!$B$9,0)+W678</f>
        <v>1037.10316126448</v>
      </c>
      <c r="Y678" s="11" t="n">
        <f aca="false">IF(V678,0,T678)</f>
        <v>0</v>
      </c>
      <c r="Z678" s="9" t="b">
        <f aca="false">AND(Y678&gt;0,K678)</f>
        <v>0</v>
      </c>
      <c r="AA678" s="9" t="b">
        <f aca="false">AND(Y678=0,J678,ISNUMBER(L678))</f>
        <v>1</v>
      </c>
      <c r="AB678" s="8" t="n">
        <f aca="false">IF(Q678,R678,AB677)</f>
        <v>0.868065965109487</v>
      </c>
      <c r="AC678" s="12" t="n">
        <f aca="false">IF(Q678,A678,AC677)</f>
        <v>45375</v>
      </c>
      <c r="AD678" s="8" t="n">
        <f aca="false">IF(Q678,B678,AD677)</f>
        <v>0.86789238663216</v>
      </c>
      <c r="AE678" s="8" t="n">
        <f aca="false">IF(AA678,L678,"")</f>
        <v>0.905666812067299</v>
      </c>
      <c r="AF678" s="8" t="n">
        <f aca="false">U678</f>
        <v>0.850507391154866</v>
      </c>
      <c r="AG678" s="2" t="n">
        <f aca="false">AG677+IF(Q678,1,0)</f>
        <v>4</v>
      </c>
      <c r="AH678" s="2" t="n">
        <f aca="false">AG677</f>
        <v>4</v>
      </c>
      <c r="AI678" s="10" t="n">
        <f aca="false">X678+Y678*(E678-AB678)-Y678*AD678*Inputs!$B$13*(A678-AC678)</f>
        <v>1037.10316126448</v>
      </c>
      <c r="AJ678" s="10" t="n">
        <v>0</v>
      </c>
      <c r="AK678" s="8" t="n">
        <f aca="false">IF(AND(B678&lt;=U678,NOT(Q678)),B678,U678)*(1-Inputs!$B$12)</f>
        <v>0.850337289676635</v>
      </c>
    </row>
    <row r="679" customFormat="false" ht="15" hidden="false" customHeight="false" outlineLevel="0" collapsed="false">
      <c r="A679" s="6" t="n">
        <v>45463</v>
      </c>
      <c r="B679" s="7" t="n">
        <v>0.924009822639889</v>
      </c>
      <c r="C679" s="7" t="n">
        <v>0.936498287485331</v>
      </c>
      <c r="D679" s="7" t="n">
        <v>0.91871486959386</v>
      </c>
      <c r="E679" s="7" t="n">
        <v>0.930816099672908</v>
      </c>
      <c r="F679" s="8" t="n">
        <f aca="true">IF(ROW()-2&gt;=Inputs!$B$4,AVERAGE(OFFSET(E679,1-Inputs!$B$4,0,Inputs!$B$4,1)),"")</f>
        <v>0.9029447023512</v>
      </c>
      <c r="G679" s="8" t="n">
        <f aca="true">IF(ROW()-2&gt;=Inputs!$B$5,AVERAGE(OFFSET(E679,1-Inputs!$B$5,0,Inputs!$B$5,1)),"")</f>
        <v>0.901556880331502</v>
      </c>
      <c r="H679" s="8" t="n">
        <f aca="false">MAX(C679-D679,ABS(C679-E678),ABS(D679-E678))</f>
        <v>0.0177834178914709</v>
      </c>
      <c r="I679" s="8" t="n">
        <f aca="true">IF(ROW()-2&lt;14,"",IF(ROW()-2=14,AVERAGE(OFFSET(H679,-13,0,14,1)),(I678*13+H679)/14))</f>
        <v>0.00978664190095077</v>
      </c>
      <c r="J679" s="9" t="b">
        <f aca="false">IF(AND(ISNUMBER(F679),ISNUMBER(G679),ISNUMBER(F678),ISNUMBER(G678)),AND(F679&gt;G679,F678&lt;=G678),FALSE())</f>
        <v>0</v>
      </c>
      <c r="K679" s="9" t="b">
        <f aca="false">IF(AND(ISNUMBER(F679),ISNUMBER(G679),ISNUMBER(F678),ISNUMBER(G678)),AND(F679&lt;G679,F678&gt;=G678),FALSE())</f>
        <v>0</v>
      </c>
      <c r="L679" s="8" t="n">
        <f aca="false">IF(ISNUMBER(I679),E679-Inputs!$B$6*I679,"")</f>
        <v>0.911242815871006</v>
      </c>
      <c r="M679" s="9" t="b">
        <f aca="false">AND(Y678&gt;0,Z678)</f>
        <v>0</v>
      </c>
      <c r="N679" s="8" t="n">
        <f aca="false">B679*(1-Inputs!$B$12)</f>
        <v>0.923825020675361</v>
      </c>
      <c r="O679" s="10" t="n">
        <f aca="false">IF(M679,Y678*(N679-AB678)-Inputs!$B$9-Y678*AD678*Inputs!$B$13*(A679-AC678),0)</f>
        <v>0</v>
      </c>
      <c r="P679" s="10" t="n">
        <f aca="false">X678+O679</f>
        <v>1037.10316126448</v>
      </c>
      <c r="Q679" s="9" t="b">
        <f aca="false">AND(IF(M679,0,Y678)=0,AA678,IF(ISNUMBER(AE678),B679&gt;AE678,FALSE()))</f>
        <v>1</v>
      </c>
      <c r="R679" s="8" t="n">
        <f aca="false">B679*(1+Inputs!$B$12)</f>
        <v>0.924194624604417</v>
      </c>
      <c r="S679" s="11" t="n">
        <f aca="false">IF(Q679,MIN(P679*Inputs!$B$3/(R679-AE678),P679*Inputs!$B$11/R679),0)</f>
        <v>559.754779031112</v>
      </c>
      <c r="T679" s="11" t="n">
        <f aca="false">IF(Q679,S679,IF(M679,0,Y678))</f>
        <v>559.754779031112</v>
      </c>
      <c r="U679" s="8" t="n">
        <f aca="false">IF(Q679,AE678,AF678)</f>
        <v>0.905666812067299</v>
      </c>
      <c r="V679" s="9" t="b">
        <f aca="false">AND(T679&gt;0,D679&lt;=U679)</f>
        <v>0</v>
      </c>
      <c r="W679" s="10" t="n">
        <f aca="false">IF(V679,T679*(AK679-AB679)-Inputs!$B$9-T679*AD679*Inputs!$B$13*(A679-AC679),0)</f>
        <v>0</v>
      </c>
      <c r="X679" s="10" t="n">
        <f aca="false">P679-IF(Q679,Inputs!$B$9,0)+W679</f>
        <v>1036.10316126448</v>
      </c>
      <c r="Y679" s="11" t="n">
        <f aca="false">IF(V679,0,T679)</f>
        <v>559.754779031112</v>
      </c>
      <c r="Z679" s="9" t="b">
        <f aca="false">AND(Y679&gt;0,K679)</f>
        <v>0</v>
      </c>
      <c r="AA679" s="9" t="b">
        <f aca="false">AND(Y679=0,J679,ISNUMBER(L679))</f>
        <v>0</v>
      </c>
      <c r="AB679" s="8" t="n">
        <f aca="false">IF(Q679,R679,AB678)</f>
        <v>0.924194624604417</v>
      </c>
      <c r="AC679" s="12" t="n">
        <f aca="false">IF(Q679,A679,AC678)</f>
        <v>45463</v>
      </c>
      <c r="AD679" s="8" t="n">
        <f aca="false">IF(Q679,B679,AD678)</f>
        <v>0.924009822639889</v>
      </c>
      <c r="AE679" s="8" t="str">
        <f aca="false">IF(AA679,L679,"")</f>
        <v/>
      </c>
      <c r="AF679" s="8" t="n">
        <f aca="false">U679</f>
        <v>0.905666812067299</v>
      </c>
      <c r="AG679" s="2" t="n">
        <f aca="false">AG678+IF(Q679,1,0)</f>
        <v>5</v>
      </c>
      <c r="AH679" s="2" t="n">
        <f aca="false">AG678</f>
        <v>4</v>
      </c>
      <c r="AI679" s="10" t="n">
        <f aca="false">X679+Y679*(E679-AB679)-Y679*AD679*Inputs!$B$13*(A679-AC679)</f>
        <v>1039.8095635783</v>
      </c>
      <c r="AJ679" s="10" t="n">
        <v>0</v>
      </c>
      <c r="AK679" s="8" t="n">
        <f aca="false">IF(AND(B679&lt;=U679,NOT(Q679)),B679,U679)*(1-Inputs!$B$12)</f>
        <v>0.905485678704885</v>
      </c>
    </row>
    <row r="680" customFormat="false" ht="15" hidden="false" customHeight="false" outlineLevel="0" collapsed="false">
      <c r="A680" s="6" t="n">
        <v>45464</v>
      </c>
      <c r="B680" s="7" t="n">
        <v>0.930816099672908</v>
      </c>
      <c r="C680" s="7" t="n">
        <v>0.936875113528787</v>
      </c>
      <c r="D680" s="7" t="n">
        <v>0.926176582380505</v>
      </c>
      <c r="E680" s="7" t="n">
        <v>0.930122916842388</v>
      </c>
      <c r="F680" s="8" t="n">
        <f aca="true">IF(ROW()-2&gt;=Inputs!$B$4,AVERAGE(OFFSET(E680,1-Inputs!$B$4,0,Inputs!$B$4,1)),"")</f>
        <v>0.904486294128816</v>
      </c>
      <c r="G680" s="8" t="n">
        <f aca="true">IF(ROW()-2&gt;=Inputs!$B$5,AVERAGE(OFFSET(E680,1-Inputs!$B$5,0,Inputs!$B$5,1)),"")</f>
        <v>0.902107030864906</v>
      </c>
      <c r="H680" s="8" t="n">
        <f aca="false">MAX(C680-D680,ABS(C680-E679),ABS(D680-E679))</f>
        <v>0.0106985311482821</v>
      </c>
      <c r="I680" s="8" t="n">
        <f aca="true">IF(ROW()-2&lt;14,"",IF(ROW()-2=14,AVERAGE(OFFSET(H680,-13,0,14,1)),(I679*13+H680)/14))</f>
        <v>0.00985177684718873</v>
      </c>
      <c r="J680" s="9" t="b">
        <f aca="false">IF(AND(ISNUMBER(F680),ISNUMBER(G680),ISNUMBER(F679),ISNUMBER(G679)),AND(F680&gt;G680,F679&lt;=G679),FALSE())</f>
        <v>0</v>
      </c>
      <c r="K680" s="9" t="b">
        <f aca="false">IF(AND(ISNUMBER(F680),ISNUMBER(G680),ISNUMBER(F679),ISNUMBER(G679)),AND(F680&lt;G680,F679&gt;=G679),FALSE())</f>
        <v>0</v>
      </c>
      <c r="L680" s="8" t="n">
        <f aca="false">IF(ISNUMBER(I680),E680-Inputs!$B$6*I680,"")</f>
        <v>0.910419363148011</v>
      </c>
      <c r="M680" s="9" t="b">
        <f aca="false">AND(Y679&gt;0,Z679)</f>
        <v>0</v>
      </c>
      <c r="N680" s="8" t="n">
        <f aca="false">B680*(1-Inputs!$B$12)</f>
        <v>0.930629936452973</v>
      </c>
      <c r="O680" s="10" t="n">
        <f aca="false">IF(M680,Y679*(N680-AB679)-Inputs!$B$9-Y679*AD679*Inputs!$B$13*(A680-AC679),0)</f>
        <v>0</v>
      </c>
      <c r="P680" s="10" t="n">
        <f aca="false">X679+O680</f>
        <v>1036.10316126448</v>
      </c>
      <c r="Q680" s="9" t="b">
        <f aca="false">AND(IF(M680,0,Y679)=0,AA679,IF(ISNUMBER(AE679),B680&gt;AE679,FALSE()))</f>
        <v>0</v>
      </c>
      <c r="R680" s="8" t="n">
        <f aca="false">B680*(1+Inputs!$B$12)</f>
        <v>0.931002262892842</v>
      </c>
      <c r="S680" s="11" t="n">
        <f aca="false">IF(Q680,MIN(P680*Inputs!$B$3/(R680-AE679),P680*Inputs!$B$11/R680),0)</f>
        <v>0</v>
      </c>
      <c r="T680" s="11" t="n">
        <f aca="false">IF(Q680,S680,IF(M680,0,Y679))</f>
        <v>559.754779031112</v>
      </c>
      <c r="U680" s="8" t="n">
        <f aca="false">IF(Q680,AE679,AF679)</f>
        <v>0.905666812067299</v>
      </c>
      <c r="V680" s="9" t="b">
        <f aca="false">AND(T680&gt;0,D680&lt;=U680)</f>
        <v>0</v>
      </c>
      <c r="W680" s="10" t="n">
        <f aca="false">IF(V680,T680*(AK680-AB680)-Inputs!$B$9-T680*AD680*Inputs!$B$13*(A680-AC680),0)</f>
        <v>0</v>
      </c>
      <c r="X680" s="10" t="n">
        <f aca="false">P680-IF(Q680,Inputs!$B$9,0)+W680</f>
        <v>1036.10316126448</v>
      </c>
      <c r="Y680" s="11" t="n">
        <f aca="false">IF(V680,0,T680)</f>
        <v>559.754779031112</v>
      </c>
      <c r="Z680" s="9" t="b">
        <f aca="false">AND(Y680&gt;0,K680)</f>
        <v>0</v>
      </c>
      <c r="AA680" s="9" t="b">
        <f aca="false">AND(Y680=0,J680,ISNUMBER(L680))</f>
        <v>0</v>
      </c>
      <c r="AB680" s="8" t="n">
        <f aca="false">IF(Q680,R680,AB679)</f>
        <v>0.924194624604417</v>
      </c>
      <c r="AC680" s="12" t="n">
        <f aca="false">IF(Q680,A680,AC679)</f>
        <v>45463</v>
      </c>
      <c r="AD680" s="8" t="n">
        <f aca="false">IF(Q680,B680,AD679)</f>
        <v>0.924009822639889</v>
      </c>
      <c r="AE680" s="8" t="str">
        <f aca="false">IF(AA680,L680,"")</f>
        <v/>
      </c>
      <c r="AF680" s="8" t="n">
        <f aca="false">U680</f>
        <v>0.905666812067299</v>
      </c>
      <c r="AG680" s="2" t="n">
        <f aca="false">AG679+IF(Q680,1,0)</f>
        <v>5</v>
      </c>
      <c r="AH680" s="2" t="n">
        <f aca="false">AG679</f>
        <v>5</v>
      </c>
      <c r="AI680" s="10" t="n">
        <f aca="false">X680+Y680*(E680-AB680)-Y680*AD680*Inputs!$B$13*(A680-AC680)</f>
        <v>1039.32944369832</v>
      </c>
      <c r="AJ680" s="10" t="n">
        <v>0</v>
      </c>
      <c r="AK680" s="8" t="n">
        <f aca="false">IF(AND(B680&lt;=U680,NOT(Q680)),B680,U680)*(1-Inputs!$B$12)</f>
        <v>0.905485678704885</v>
      </c>
    </row>
    <row r="681" customFormat="false" ht="15" hidden="false" customHeight="false" outlineLevel="0" collapsed="false">
      <c r="A681" s="6" t="n">
        <v>45465</v>
      </c>
      <c r="B681" s="7" t="n">
        <v>0.930122916842388</v>
      </c>
      <c r="C681" s="7" t="n">
        <v>0.931674536635607</v>
      </c>
      <c r="D681" s="7" t="n">
        <v>0.916587951936153</v>
      </c>
      <c r="E681" s="7" t="n">
        <v>0.916705865043706</v>
      </c>
      <c r="F681" s="8" t="n">
        <f aca="true">IF(ROW()-2&gt;=Inputs!$B$4,AVERAGE(OFFSET(E681,1-Inputs!$B$4,0,Inputs!$B$4,1)),"")</f>
        <v>0.906065466476929</v>
      </c>
      <c r="G681" s="8" t="n">
        <f aca="true">IF(ROW()-2&gt;=Inputs!$B$5,AVERAGE(OFFSET(E681,1-Inputs!$B$5,0,Inputs!$B$5,1)),"")</f>
        <v>0.902402427103604</v>
      </c>
      <c r="H681" s="8" t="n">
        <f aca="false">MAX(C681-D681,ABS(C681-E680),ABS(D681-E680))</f>
        <v>0.0150865846994533</v>
      </c>
      <c r="I681" s="8" t="n">
        <f aca="true">IF(ROW()-2&lt;14,"",IF(ROW()-2=14,AVERAGE(OFFSET(H681,-13,0,14,1)),(I680*13+H681)/14))</f>
        <v>0.0102256916937791</v>
      </c>
      <c r="J681" s="9" t="b">
        <f aca="false">IF(AND(ISNUMBER(F681),ISNUMBER(G681),ISNUMBER(F680),ISNUMBER(G680)),AND(F681&gt;G681,F680&lt;=G680),FALSE())</f>
        <v>0</v>
      </c>
      <c r="K681" s="9" t="b">
        <f aca="false">IF(AND(ISNUMBER(F681),ISNUMBER(G681),ISNUMBER(F680),ISNUMBER(G680)),AND(F681&lt;G681,F680&gt;=G680),FALSE())</f>
        <v>0</v>
      </c>
      <c r="L681" s="8" t="n">
        <f aca="false">IF(ISNUMBER(I681),E681-Inputs!$B$6*I681,"")</f>
        <v>0.896254481656148</v>
      </c>
      <c r="M681" s="9" t="b">
        <f aca="false">AND(Y680&gt;0,Z680)</f>
        <v>0</v>
      </c>
      <c r="N681" s="8" t="n">
        <f aca="false">B681*(1-Inputs!$B$12)</f>
        <v>0.92993689225902</v>
      </c>
      <c r="O681" s="10" t="n">
        <f aca="false">IF(M681,Y680*(N681-AB680)-Inputs!$B$9-Y680*AD680*Inputs!$B$13*(A681-AC680),0)</f>
        <v>0</v>
      </c>
      <c r="P681" s="10" t="n">
        <f aca="false">X680+O681</f>
        <v>1036.10316126448</v>
      </c>
      <c r="Q681" s="9" t="b">
        <f aca="false">AND(IF(M681,0,Y680)=0,AA680,IF(ISNUMBER(AE680),B681&gt;AE680,FALSE()))</f>
        <v>0</v>
      </c>
      <c r="R681" s="8" t="n">
        <f aca="false">B681*(1+Inputs!$B$12)</f>
        <v>0.930308941425757</v>
      </c>
      <c r="S681" s="11" t="n">
        <f aca="false">IF(Q681,MIN(P681*Inputs!$B$3/(R681-AE680),P681*Inputs!$B$11/R681),0)</f>
        <v>0</v>
      </c>
      <c r="T681" s="11" t="n">
        <f aca="false">IF(Q681,S681,IF(M681,0,Y680))</f>
        <v>559.754779031112</v>
      </c>
      <c r="U681" s="8" t="n">
        <f aca="false">IF(Q681,AE680,AF680)</f>
        <v>0.905666812067299</v>
      </c>
      <c r="V681" s="9" t="b">
        <f aca="false">AND(T681&gt;0,D681&lt;=U681)</f>
        <v>0</v>
      </c>
      <c r="W681" s="10" t="n">
        <f aca="false">IF(V681,T681*(AK681-AB681)-Inputs!$B$9-T681*AD681*Inputs!$B$13*(A681-AC681),0)</f>
        <v>0</v>
      </c>
      <c r="X681" s="10" t="n">
        <f aca="false">P681-IF(Q681,Inputs!$B$9,0)+W681</f>
        <v>1036.10316126448</v>
      </c>
      <c r="Y681" s="11" t="n">
        <f aca="false">IF(V681,0,T681)</f>
        <v>559.754779031112</v>
      </c>
      <c r="Z681" s="9" t="b">
        <f aca="false">AND(Y681&gt;0,K681)</f>
        <v>0</v>
      </c>
      <c r="AA681" s="9" t="b">
        <f aca="false">AND(Y681=0,J681,ISNUMBER(L681))</f>
        <v>0</v>
      </c>
      <c r="AB681" s="8" t="n">
        <f aca="false">IF(Q681,R681,AB680)</f>
        <v>0.924194624604417</v>
      </c>
      <c r="AC681" s="12" t="n">
        <f aca="false">IF(Q681,A681,AC680)</f>
        <v>45463</v>
      </c>
      <c r="AD681" s="8" t="n">
        <f aca="false">IF(Q681,B681,AD680)</f>
        <v>0.924009822639889</v>
      </c>
      <c r="AE681" s="8" t="str">
        <f aca="false">IF(AA681,L681,"")</f>
        <v/>
      </c>
      <c r="AF681" s="8" t="n">
        <f aca="false">U681</f>
        <v>0.905666812067299</v>
      </c>
      <c r="AG681" s="2" t="n">
        <f aca="false">AG680+IF(Q681,1,0)</f>
        <v>5</v>
      </c>
      <c r="AH681" s="2" t="n">
        <f aca="false">AG680</f>
        <v>5</v>
      </c>
      <c r="AI681" s="10" t="n">
        <f aca="false">X681+Y681*(E681-AB681)-Y681*AD681*Inputs!$B$13*(A681-AC681)</f>
        <v>1031.72707735565</v>
      </c>
      <c r="AJ681" s="10" t="n">
        <v>0</v>
      </c>
      <c r="AK681" s="8" t="n">
        <f aca="false">IF(AND(B681&lt;=U681,NOT(Q681)),B681,U681)*(1-Inputs!$B$12)</f>
        <v>0.905485678704885</v>
      </c>
    </row>
    <row r="682" customFormat="false" ht="15" hidden="false" customHeight="false" outlineLevel="0" collapsed="false">
      <c r="A682" s="6" t="n">
        <v>45466</v>
      </c>
      <c r="B682" s="7" t="n">
        <v>0.916705865043706</v>
      </c>
      <c r="C682" s="7" t="n">
        <v>0.920862013413445</v>
      </c>
      <c r="D682" s="7" t="n">
        <v>0.910654747833666</v>
      </c>
      <c r="E682" s="7" t="n">
        <v>0.914594463344722</v>
      </c>
      <c r="F682" s="8" t="n">
        <f aca="true">IF(ROW()-2&gt;=Inputs!$B$4,AVERAGE(OFFSET(E682,1-Inputs!$B$4,0,Inputs!$B$4,1)),"")</f>
        <v>0.907293090499471</v>
      </c>
      <c r="G682" s="8" t="n">
        <f aca="true">IF(ROW()-2&gt;=Inputs!$B$5,AVERAGE(OFFSET(E682,1-Inputs!$B$5,0,Inputs!$B$5,1)),"")</f>
        <v>0.902462179544277</v>
      </c>
      <c r="H682" s="8" t="n">
        <f aca="false">MAX(C682-D682,ABS(C682-E681),ABS(D682-E681))</f>
        <v>0.0102072655797788</v>
      </c>
      <c r="I682" s="8" t="n">
        <f aca="true">IF(ROW()-2&lt;14,"",IF(ROW()-2=14,AVERAGE(OFFSET(H682,-13,0,14,1)),(I681*13+H682)/14))</f>
        <v>0.010224375542779</v>
      </c>
      <c r="J682" s="9" t="b">
        <f aca="false">IF(AND(ISNUMBER(F682),ISNUMBER(G682),ISNUMBER(F681),ISNUMBER(G681)),AND(F682&gt;G682,F681&lt;=G681),FALSE())</f>
        <v>0</v>
      </c>
      <c r="K682" s="9" t="b">
        <f aca="false">IF(AND(ISNUMBER(F682),ISNUMBER(G682),ISNUMBER(F681),ISNUMBER(G681)),AND(F682&lt;G682,F681&gt;=G681),FALSE())</f>
        <v>0</v>
      </c>
      <c r="L682" s="8" t="n">
        <f aca="false">IF(ISNUMBER(I682),E682-Inputs!$B$6*I682,"")</f>
        <v>0.894145712259164</v>
      </c>
      <c r="M682" s="9" t="b">
        <f aca="false">AND(Y681&gt;0,Z681)</f>
        <v>0</v>
      </c>
      <c r="N682" s="8" t="n">
        <f aca="false">B682*(1-Inputs!$B$12)</f>
        <v>0.916522523870697</v>
      </c>
      <c r="O682" s="10" t="n">
        <f aca="false">IF(M682,Y681*(N682-AB681)-Inputs!$B$9-Y681*AD681*Inputs!$B$13*(A682-AC681),0)</f>
        <v>0</v>
      </c>
      <c r="P682" s="10" t="n">
        <f aca="false">X681+O682</f>
        <v>1036.10316126448</v>
      </c>
      <c r="Q682" s="9" t="b">
        <f aca="false">AND(IF(M682,0,Y681)=0,AA681,IF(ISNUMBER(AE681),B682&gt;AE681,FALSE()))</f>
        <v>0</v>
      </c>
      <c r="R682" s="8" t="n">
        <f aca="false">B682*(1+Inputs!$B$12)</f>
        <v>0.916889206216714</v>
      </c>
      <c r="S682" s="11" t="n">
        <f aca="false">IF(Q682,MIN(P682*Inputs!$B$3/(R682-AE681),P682*Inputs!$B$11/R682),0)</f>
        <v>0</v>
      </c>
      <c r="T682" s="11" t="n">
        <f aca="false">IF(Q682,S682,IF(M682,0,Y681))</f>
        <v>559.754779031112</v>
      </c>
      <c r="U682" s="8" t="n">
        <f aca="false">IF(Q682,AE681,AF681)</f>
        <v>0.905666812067299</v>
      </c>
      <c r="V682" s="9" t="b">
        <f aca="false">AND(T682&gt;0,D682&lt;=U682)</f>
        <v>0</v>
      </c>
      <c r="W682" s="10" t="n">
        <f aca="false">IF(V682,T682*(AK682-AB682)-Inputs!$B$9-T682*AD682*Inputs!$B$13*(A682-AC682),0)</f>
        <v>0</v>
      </c>
      <c r="X682" s="10" t="n">
        <f aca="false">P682-IF(Q682,Inputs!$B$9,0)+W682</f>
        <v>1036.10316126448</v>
      </c>
      <c r="Y682" s="11" t="n">
        <f aca="false">IF(V682,0,T682)</f>
        <v>559.754779031112</v>
      </c>
      <c r="Z682" s="9" t="b">
        <f aca="false">AND(Y682&gt;0,K682)</f>
        <v>0</v>
      </c>
      <c r="AA682" s="9" t="b">
        <f aca="false">AND(Y682=0,J682,ISNUMBER(L682))</f>
        <v>0</v>
      </c>
      <c r="AB682" s="8" t="n">
        <f aca="false">IF(Q682,R682,AB681)</f>
        <v>0.924194624604417</v>
      </c>
      <c r="AC682" s="12" t="n">
        <f aca="false">IF(Q682,A682,AC681)</f>
        <v>45463</v>
      </c>
      <c r="AD682" s="8" t="n">
        <f aca="false">IF(Q682,B682,AD681)</f>
        <v>0.924009822639889</v>
      </c>
      <c r="AE682" s="8" t="str">
        <f aca="false">IF(AA682,L682,"")</f>
        <v/>
      </c>
      <c r="AF682" s="8" t="n">
        <f aca="false">U682</f>
        <v>0.905666812067299</v>
      </c>
      <c r="AG682" s="2" t="n">
        <f aca="false">AG681+IF(Q682,1,0)</f>
        <v>5</v>
      </c>
      <c r="AH682" s="2" t="n">
        <f aca="false">AG681</f>
        <v>5</v>
      </c>
      <c r="AI682" s="10" t="n">
        <f aca="false">X682+Y682*(E682-AB682)-Y682*AD682*Inputs!$B$13*(A682-AC682)</f>
        <v>1030.45310268634</v>
      </c>
      <c r="AJ682" s="10" t="n">
        <v>0</v>
      </c>
      <c r="AK682" s="8" t="n">
        <f aca="false">IF(AND(B682&lt;=U682,NOT(Q682)),B682,U682)*(1-Inputs!$B$12)</f>
        <v>0.905485678704885</v>
      </c>
    </row>
    <row r="683" customFormat="false" ht="15" hidden="false" customHeight="false" outlineLevel="0" collapsed="false">
      <c r="A683" s="6" t="n">
        <v>45467</v>
      </c>
      <c r="B683" s="7" t="n">
        <v>0.914594463344722</v>
      </c>
      <c r="C683" s="7" t="n">
        <v>0.925106564560134</v>
      </c>
      <c r="D683" s="7" t="n">
        <v>0.912946164682525</v>
      </c>
      <c r="E683" s="7" t="n">
        <v>0.922382207500395</v>
      </c>
      <c r="F683" s="8" t="n">
        <f aca="true">IF(ROW()-2&gt;=Inputs!$B$4,AVERAGE(OFFSET(E683,1-Inputs!$B$4,0,Inputs!$B$4,1)),"")</f>
        <v>0.909259045745978</v>
      </c>
      <c r="G683" s="8" t="n">
        <f aca="true">IF(ROW()-2&gt;=Inputs!$B$5,AVERAGE(OFFSET(E683,1-Inputs!$B$5,0,Inputs!$B$5,1)),"")</f>
        <v>0.902752951266719</v>
      </c>
      <c r="H683" s="8" t="n">
        <f aca="false">MAX(C683-D683,ABS(C683-E682),ABS(D683-E682))</f>
        <v>0.012160399877609</v>
      </c>
      <c r="I683" s="8" t="n">
        <f aca="true">IF(ROW()-2&lt;14,"",IF(ROW()-2=14,AVERAGE(OFFSET(H683,-13,0,14,1)),(I682*13+H683)/14))</f>
        <v>0.0103626629952669</v>
      </c>
      <c r="J683" s="9" t="b">
        <f aca="false">IF(AND(ISNUMBER(F683),ISNUMBER(G683),ISNUMBER(F682),ISNUMBER(G682)),AND(F683&gt;G683,F682&lt;=G682),FALSE())</f>
        <v>0</v>
      </c>
      <c r="K683" s="9" t="b">
        <f aca="false">IF(AND(ISNUMBER(F683),ISNUMBER(G683),ISNUMBER(F682),ISNUMBER(G682)),AND(F683&lt;G683,F682&gt;=G682),FALSE())</f>
        <v>0</v>
      </c>
      <c r="L683" s="8" t="n">
        <f aca="false">IF(ISNUMBER(I683),E683-Inputs!$B$6*I683,"")</f>
        <v>0.901656881509861</v>
      </c>
      <c r="M683" s="9" t="b">
        <f aca="false">AND(Y682&gt;0,Z682)</f>
        <v>0</v>
      </c>
      <c r="N683" s="8" t="n">
        <f aca="false">B683*(1-Inputs!$B$12)</f>
        <v>0.914411544452053</v>
      </c>
      <c r="O683" s="10" t="n">
        <f aca="false">IF(M683,Y682*(N683-AB682)-Inputs!$B$9-Y682*AD682*Inputs!$B$13*(A683-AC682),0)</f>
        <v>0</v>
      </c>
      <c r="P683" s="10" t="n">
        <f aca="false">X682+O683</f>
        <v>1036.10316126448</v>
      </c>
      <c r="Q683" s="9" t="b">
        <f aca="false">AND(IF(M683,0,Y682)=0,AA682,IF(ISNUMBER(AE682),B683&gt;AE682,FALSE()))</f>
        <v>0</v>
      </c>
      <c r="R683" s="8" t="n">
        <f aca="false">B683*(1+Inputs!$B$12)</f>
        <v>0.914777382237391</v>
      </c>
      <c r="S683" s="11" t="n">
        <f aca="false">IF(Q683,MIN(P683*Inputs!$B$3/(R683-AE682),P683*Inputs!$B$11/R683),0)</f>
        <v>0</v>
      </c>
      <c r="T683" s="11" t="n">
        <f aca="false">IF(Q683,S683,IF(M683,0,Y682))</f>
        <v>559.754779031112</v>
      </c>
      <c r="U683" s="8" t="n">
        <f aca="false">IF(Q683,AE682,AF682)</f>
        <v>0.905666812067299</v>
      </c>
      <c r="V683" s="9" t="b">
        <f aca="false">AND(T683&gt;0,D683&lt;=U683)</f>
        <v>0</v>
      </c>
      <c r="W683" s="10" t="n">
        <f aca="false">IF(V683,T683*(AK683-AB683)-Inputs!$B$9-T683*AD683*Inputs!$B$13*(A683-AC683),0)</f>
        <v>0</v>
      </c>
      <c r="X683" s="10" t="n">
        <f aca="false">P683-IF(Q683,Inputs!$B$9,0)+W683</f>
        <v>1036.10316126448</v>
      </c>
      <c r="Y683" s="11" t="n">
        <f aca="false">IF(V683,0,T683)</f>
        <v>559.754779031112</v>
      </c>
      <c r="Z683" s="9" t="b">
        <f aca="false">AND(Y683&gt;0,K683)</f>
        <v>0</v>
      </c>
      <c r="AA683" s="9" t="b">
        <f aca="false">AND(Y683=0,J683,ISNUMBER(L683))</f>
        <v>0</v>
      </c>
      <c r="AB683" s="8" t="n">
        <f aca="false">IF(Q683,R683,AB682)</f>
        <v>0.924194624604417</v>
      </c>
      <c r="AC683" s="12" t="n">
        <f aca="false">IF(Q683,A683,AC682)</f>
        <v>45463</v>
      </c>
      <c r="AD683" s="8" t="n">
        <f aca="false">IF(Q683,B683,AD682)</f>
        <v>0.924009822639889</v>
      </c>
      <c r="AE683" s="8" t="str">
        <f aca="false">IF(AA683,L683,"")</f>
        <v/>
      </c>
      <c r="AF683" s="8" t="n">
        <f aca="false">U683</f>
        <v>0.905666812067299</v>
      </c>
      <c r="AG683" s="2" t="n">
        <f aca="false">AG682+IF(Q683,1,0)</f>
        <v>5</v>
      </c>
      <c r="AH683" s="2" t="n">
        <f aca="false">AG682</f>
        <v>5</v>
      </c>
      <c r="AI683" s="10" t="n">
        <f aca="false">X683+Y683*(E683-AB683)-Y683*AD683*Inputs!$B$13*(A683-AC683)</f>
        <v>1034.7202222175</v>
      </c>
      <c r="AJ683" s="10" t="n">
        <v>0</v>
      </c>
      <c r="AK683" s="8" t="n">
        <f aca="false">IF(AND(B683&lt;=U683,NOT(Q683)),B683,U683)*(1-Inputs!$B$12)</f>
        <v>0.905485678704885</v>
      </c>
    </row>
    <row r="684" customFormat="false" ht="15" hidden="false" customHeight="false" outlineLevel="0" collapsed="false">
      <c r="A684" s="6" t="n">
        <v>45468</v>
      </c>
      <c r="B684" s="7" t="n">
        <v>0.922382207500395</v>
      </c>
      <c r="C684" s="7" t="n">
        <v>0.931638262673751</v>
      </c>
      <c r="D684" s="7" t="n">
        <v>0.919687937293025</v>
      </c>
      <c r="E684" s="7" t="n">
        <v>0.931528201094922</v>
      </c>
      <c r="F684" s="8" t="n">
        <f aca="true">IF(ROW()-2&gt;=Inputs!$B$4,AVERAGE(OFFSET(E684,1-Inputs!$B$4,0,Inputs!$B$4,1)),"")</f>
        <v>0.911643000047079</v>
      </c>
      <c r="G684" s="8" t="n">
        <f aca="true">IF(ROW()-2&gt;=Inputs!$B$5,AVERAGE(OFFSET(E684,1-Inputs!$B$5,0,Inputs!$B$5,1)),"")</f>
        <v>0.903091266114017</v>
      </c>
      <c r="H684" s="8" t="n">
        <f aca="false">MAX(C684-D684,ABS(C684-E683),ABS(D684-E683))</f>
        <v>0.011950325380726</v>
      </c>
      <c r="I684" s="8" t="n">
        <f aca="true">IF(ROW()-2&lt;14,"",IF(ROW()-2=14,AVERAGE(OFFSET(H684,-13,0,14,1)),(I683*13+H684)/14))</f>
        <v>0.0104760674513711</v>
      </c>
      <c r="J684" s="9" t="b">
        <f aca="false">IF(AND(ISNUMBER(F684),ISNUMBER(G684),ISNUMBER(F683),ISNUMBER(G683)),AND(F684&gt;G684,F683&lt;=G683),FALSE())</f>
        <v>0</v>
      </c>
      <c r="K684" s="9" t="b">
        <f aca="false">IF(AND(ISNUMBER(F684),ISNUMBER(G684),ISNUMBER(F683),ISNUMBER(G683)),AND(F684&lt;G684,F683&gt;=G683),FALSE())</f>
        <v>0</v>
      </c>
      <c r="L684" s="8" t="n">
        <f aca="false">IF(ISNUMBER(I684),E684-Inputs!$B$6*I684,"")</f>
        <v>0.91057606619218</v>
      </c>
      <c r="M684" s="9" t="b">
        <f aca="false">AND(Y683&gt;0,Z683)</f>
        <v>0</v>
      </c>
      <c r="N684" s="8" t="n">
        <f aca="false">B684*(1-Inputs!$B$12)</f>
        <v>0.922197731058895</v>
      </c>
      <c r="O684" s="10" t="n">
        <f aca="false">IF(M684,Y683*(N684-AB683)-Inputs!$B$9-Y683*AD683*Inputs!$B$13*(A684-AC683),0)</f>
        <v>0</v>
      </c>
      <c r="P684" s="10" t="n">
        <f aca="false">X683+O684</f>
        <v>1036.10316126448</v>
      </c>
      <c r="Q684" s="9" t="b">
        <f aca="false">AND(IF(M684,0,Y683)=0,AA683,IF(ISNUMBER(AE683),B684&gt;AE683,FALSE()))</f>
        <v>0</v>
      </c>
      <c r="R684" s="8" t="n">
        <f aca="false">B684*(1+Inputs!$B$12)</f>
        <v>0.922566683941895</v>
      </c>
      <c r="S684" s="11" t="n">
        <f aca="false">IF(Q684,MIN(P684*Inputs!$B$3/(R684-AE683),P684*Inputs!$B$11/R684),0)</f>
        <v>0</v>
      </c>
      <c r="T684" s="11" t="n">
        <f aca="false">IF(Q684,S684,IF(M684,0,Y683))</f>
        <v>559.754779031112</v>
      </c>
      <c r="U684" s="8" t="n">
        <f aca="false">IF(Q684,AE683,AF683)</f>
        <v>0.905666812067299</v>
      </c>
      <c r="V684" s="9" t="b">
        <f aca="false">AND(T684&gt;0,D684&lt;=U684)</f>
        <v>0</v>
      </c>
      <c r="W684" s="10" t="n">
        <f aca="false">IF(V684,T684*(AK684-AB684)-Inputs!$B$9-T684*AD684*Inputs!$B$13*(A684-AC684),0)</f>
        <v>0</v>
      </c>
      <c r="X684" s="10" t="n">
        <f aca="false">P684-IF(Q684,Inputs!$B$9,0)+W684</f>
        <v>1036.10316126448</v>
      </c>
      <c r="Y684" s="11" t="n">
        <f aca="false">IF(V684,0,T684)</f>
        <v>559.754779031112</v>
      </c>
      <c r="Z684" s="9" t="b">
        <f aca="false">AND(Y684&gt;0,K684)</f>
        <v>0</v>
      </c>
      <c r="AA684" s="9" t="b">
        <f aca="false">AND(Y684=0,J684,ISNUMBER(L684))</f>
        <v>0</v>
      </c>
      <c r="AB684" s="8" t="n">
        <f aca="false">IF(Q684,R684,AB683)</f>
        <v>0.924194624604417</v>
      </c>
      <c r="AC684" s="12" t="n">
        <f aca="false">IF(Q684,A684,AC683)</f>
        <v>45463</v>
      </c>
      <c r="AD684" s="8" t="n">
        <f aca="false">IF(Q684,B684,AD683)</f>
        <v>0.924009822639889</v>
      </c>
      <c r="AE684" s="8" t="str">
        <f aca="false">IF(AA684,L684,"")</f>
        <v/>
      </c>
      <c r="AF684" s="8" t="n">
        <f aca="false">U684</f>
        <v>0.905666812067299</v>
      </c>
      <c r="AG684" s="2" t="n">
        <f aca="false">AG683+IF(Q684,1,0)</f>
        <v>5</v>
      </c>
      <c r="AH684" s="2" t="n">
        <f aca="false">AG683</f>
        <v>5</v>
      </c>
      <c r="AI684" s="10" t="n">
        <f aca="false">X684+Y684*(E684-AB684)-Y684*AD684*Inputs!$B$13*(A684-AC684)</f>
        <v>1039.74762836317</v>
      </c>
      <c r="AJ684" s="10" t="n">
        <v>0</v>
      </c>
      <c r="AK684" s="8" t="n">
        <f aca="false">IF(AND(B684&lt;=U684,NOT(Q684)),B684,U684)*(1-Inputs!$B$12)</f>
        <v>0.905485678704885</v>
      </c>
    </row>
    <row r="685" customFormat="false" ht="15" hidden="false" customHeight="false" outlineLevel="0" collapsed="false">
      <c r="A685" s="6" t="n">
        <v>45469</v>
      </c>
      <c r="B685" s="7" t="n">
        <v>0.931528201094922</v>
      </c>
      <c r="C685" s="7" t="n">
        <v>0.935319230157227</v>
      </c>
      <c r="D685" s="7" t="n">
        <v>0.925554315143125</v>
      </c>
      <c r="E685" s="7" t="n">
        <v>0.927550722534875</v>
      </c>
      <c r="F685" s="8" t="n">
        <f aca="true">IF(ROW()-2&gt;=Inputs!$B$4,AVERAGE(OFFSET(E685,1-Inputs!$B$4,0,Inputs!$B$4,1)),"")</f>
        <v>0.913918580328059</v>
      </c>
      <c r="G685" s="8" t="n">
        <f aca="true">IF(ROW()-2&gt;=Inputs!$B$5,AVERAGE(OFFSET(E685,1-Inputs!$B$5,0,Inputs!$B$5,1)),"")</f>
        <v>0.903328479371582</v>
      </c>
      <c r="H685" s="8" t="n">
        <f aca="false">MAX(C685-D685,ABS(C685-E684),ABS(D685-E684))</f>
        <v>0.00976491501410226</v>
      </c>
      <c r="I685" s="8" t="n">
        <f aca="true">IF(ROW()-2&lt;14,"",IF(ROW()-2=14,AVERAGE(OFFSET(H685,-13,0,14,1)),(I684*13+H685)/14))</f>
        <v>0.0104252708487091</v>
      </c>
      <c r="J685" s="9" t="b">
        <f aca="false">IF(AND(ISNUMBER(F685),ISNUMBER(G685),ISNUMBER(F684),ISNUMBER(G684)),AND(F685&gt;G685,F684&lt;=G684),FALSE())</f>
        <v>0</v>
      </c>
      <c r="K685" s="9" t="b">
        <f aca="false">IF(AND(ISNUMBER(F685),ISNUMBER(G685),ISNUMBER(F684),ISNUMBER(G684)),AND(F685&lt;G685,F684&gt;=G684),FALSE())</f>
        <v>0</v>
      </c>
      <c r="L685" s="8" t="n">
        <f aca="false">IF(ISNUMBER(I685),E685-Inputs!$B$6*I685,"")</f>
        <v>0.906700180837457</v>
      </c>
      <c r="M685" s="9" t="b">
        <f aca="false">AND(Y684&gt;0,Z684)</f>
        <v>0</v>
      </c>
      <c r="N685" s="8" t="n">
        <f aca="false">B685*(1-Inputs!$B$12)</f>
        <v>0.931341895454703</v>
      </c>
      <c r="O685" s="10" t="n">
        <f aca="false">IF(M685,Y684*(N685-AB684)-Inputs!$B$9-Y684*AD684*Inputs!$B$13*(A685-AC684),0)</f>
        <v>0</v>
      </c>
      <c r="P685" s="10" t="n">
        <f aca="false">X684+O685</f>
        <v>1036.10316126448</v>
      </c>
      <c r="Q685" s="9" t="b">
        <f aca="false">AND(IF(M685,0,Y684)=0,AA684,IF(ISNUMBER(AE684),B685&gt;AE684,FALSE()))</f>
        <v>0</v>
      </c>
      <c r="R685" s="8" t="n">
        <f aca="false">B685*(1+Inputs!$B$12)</f>
        <v>0.931714506735141</v>
      </c>
      <c r="S685" s="11" t="n">
        <f aca="false">IF(Q685,MIN(P685*Inputs!$B$3/(R685-AE684),P685*Inputs!$B$11/R685),0)</f>
        <v>0</v>
      </c>
      <c r="T685" s="11" t="n">
        <f aca="false">IF(Q685,S685,IF(M685,0,Y684))</f>
        <v>559.754779031112</v>
      </c>
      <c r="U685" s="8" t="n">
        <f aca="false">IF(Q685,AE684,AF684)</f>
        <v>0.905666812067299</v>
      </c>
      <c r="V685" s="9" t="b">
        <f aca="false">AND(T685&gt;0,D685&lt;=U685)</f>
        <v>0</v>
      </c>
      <c r="W685" s="10" t="n">
        <f aca="false">IF(V685,T685*(AK685-AB685)-Inputs!$B$9-T685*AD685*Inputs!$B$13*(A685-AC685),0)</f>
        <v>0</v>
      </c>
      <c r="X685" s="10" t="n">
        <f aca="false">P685-IF(Q685,Inputs!$B$9,0)+W685</f>
        <v>1036.10316126448</v>
      </c>
      <c r="Y685" s="11" t="n">
        <f aca="false">IF(V685,0,T685)</f>
        <v>559.754779031112</v>
      </c>
      <c r="Z685" s="9" t="b">
        <f aca="false">AND(Y685&gt;0,K685)</f>
        <v>0</v>
      </c>
      <c r="AA685" s="9" t="b">
        <f aca="false">AND(Y685=0,J685,ISNUMBER(L685))</f>
        <v>0</v>
      </c>
      <c r="AB685" s="8" t="n">
        <f aca="false">IF(Q685,R685,AB684)</f>
        <v>0.924194624604417</v>
      </c>
      <c r="AC685" s="12" t="n">
        <f aca="false">IF(Q685,A685,AC684)</f>
        <v>45463</v>
      </c>
      <c r="AD685" s="8" t="n">
        <f aca="false">IF(Q685,B685,AD684)</f>
        <v>0.924009822639889</v>
      </c>
      <c r="AE685" s="8" t="str">
        <f aca="false">IF(AA685,L685,"")</f>
        <v/>
      </c>
      <c r="AF685" s="8" t="n">
        <f aca="false">U685</f>
        <v>0.905666812067299</v>
      </c>
      <c r="AG685" s="2" t="n">
        <f aca="false">AG684+IF(Q685,1,0)</f>
        <v>5</v>
      </c>
      <c r="AH685" s="2" t="n">
        <f aca="false">AG684</f>
        <v>5</v>
      </c>
      <c r="AI685" s="10" t="n">
        <f aca="false">X685+Y685*(E685-AB685)-Y685*AD685*Inputs!$B$13*(A685-AC685)</f>
        <v>1037.42910825283</v>
      </c>
      <c r="AJ685" s="10" t="n">
        <v>0</v>
      </c>
      <c r="AK685" s="8" t="n">
        <f aca="false">IF(AND(B685&lt;=U685,NOT(Q685)),B685,U685)*(1-Inputs!$B$12)</f>
        <v>0.905485678704885</v>
      </c>
    </row>
    <row r="686" customFormat="false" ht="15" hidden="false" customHeight="false" outlineLevel="0" collapsed="false">
      <c r="A686" s="6" t="n">
        <v>45470</v>
      </c>
      <c r="B686" s="7" t="n">
        <v>0.927550722534875</v>
      </c>
      <c r="C686" s="7" t="n">
        <v>0.933101092012369</v>
      </c>
      <c r="D686" s="7" t="n">
        <v>0.925521750717422</v>
      </c>
      <c r="E686" s="7" t="n">
        <v>0.930142023323082</v>
      </c>
      <c r="F686" s="8" t="n">
        <f aca="true">IF(ROW()-2&gt;=Inputs!$B$4,AVERAGE(OFFSET(E686,1-Inputs!$B$4,0,Inputs!$B$4,1)),"")</f>
        <v>0.916291549944236</v>
      </c>
      <c r="G686" s="8" t="n">
        <f aca="true">IF(ROW()-2&gt;=Inputs!$B$5,AVERAGE(OFFSET(E686,1-Inputs!$B$5,0,Inputs!$B$5,1)),"")</f>
        <v>0.903799300632697</v>
      </c>
      <c r="H686" s="8" t="n">
        <f aca="false">MAX(C686-D686,ABS(C686-E685),ABS(D686-E685))</f>
        <v>0.00757934129494664</v>
      </c>
      <c r="I686" s="8" t="n">
        <f aca="true">IF(ROW()-2&lt;14,"",IF(ROW()-2=14,AVERAGE(OFFSET(H686,-13,0,14,1)),(I685*13+H686)/14))</f>
        <v>0.0102219901662975</v>
      </c>
      <c r="J686" s="9" t="b">
        <f aca="false">IF(AND(ISNUMBER(F686),ISNUMBER(G686),ISNUMBER(F685),ISNUMBER(G685)),AND(F686&gt;G686,F685&lt;=G685),FALSE())</f>
        <v>0</v>
      </c>
      <c r="K686" s="9" t="b">
        <f aca="false">IF(AND(ISNUMBER(F686),ISNUMBER(G686),ISNUMBER(F685),ISNUMBER(G685)),AND(F686&lt;G686,F685&gt;=G685),FALSE())</f>
        <v>0</v>
      </c>
      <c r="L686" s="8" t="n">
        <f aca="false">IF(ISNUMBER(I686),E686-Inputs!$B$6*I686,"")</f>
        <v>0.909698042990487</v>
      </c>
      <c r="M686" s="9" t="b">
        <f aca="false">AND(Y685&gt;0,Z685)</f>
        <v>0</v>
      </c>
      <c r="N686" s="8" t="n">
        <f aca="false">B686*(1-Inputs!$B$12)</f>
        <v>0.927365212390368</v>
      </c>
      <c r="O686" s="10" t="n">
        <f aca="false">IF(M686,Y685*(N686-AB685)-Inputs!$B$9-Y685*AD685*Inputs!$B$13*(A686-AC685),0)</f>
        <v>0</v>
      </c>
      <c r="P686" s="10" t="n">
        <f aca="false">X685+O686</f>
        <v>1036.10316126448</v>
      </c>
      <c r="Q686" s="9" t="b">
        <f aca="false">AND(IF(M686,0,Y685)=0,AA685,IF(ISNUMBER(AE685),B686&gt;AE685,FALSE()))</f>
        <v>0</v>
      </c>
      <c r="R686" s="8" t="n">
        <f aca="false">B686*(1+Inputs!$B$12)</f>
        <v>0.927736232679382</v>
      </c>
      <c r="S686" s="11" t="n">
        <f aca="false">IF(Q686,MIN(P686*Inputs!$B$3/(R686-AE685),P686*Inputs!$B$11/R686),0)</f>
        <v>0</v>
      </c>
      <c r="T686" s="11" t="n">
        <f aca="false">IF(Q686,S686,IF(M686,0,Y685))</f>
        <v>559.754779031112</v>
      </c>
      <c r="U686" s="8" t="n">
        <f aca="false">IF(Q686,AE685,AF685)</f>
        <v>0.905666812067299</v>
      </c>
      <c r="V686" s="9" t="b">
        <f aca="false">AND(T686&gt;0,D686&lt;=U686)</f>
        <v>0</v>
      </c>
      <c r="W686" s="10" t="n">
        <f aca="false">IF(V686,T686*(AK686-AB686)-Inputs!$B$9-T686*AD686*Inputs!$B$13*(A686-AC686),0)</f>
        <v>0</v>
      </c>
      <c r="X686" s="10" t="n">
        <f aca="false">P686-IF(Q686,Inputs!$B$9,0)+W686</f>
        <v>1036.10316126448</v>
      </c>
      <c r="Y686" s="11" t="n">
        <f aca="false">IF(V686,0,T686)</f>
        <v>559.754779031112</v>
      </c>
      <c r="Z686" s="9" t="b">
        <f aca="false">AND(Y686&gt;0,K686)</f>
        <v>0</v>
      </c>
      <c r="AA686" s="9" t="b">
        <f aca="false">AND(Y686=0,J686,ISNUMBER(L686))</f>
        <v>0</v>
      </c>
      <c r="AB686" s="8" t="n">
        <f aca="false">IF(Q686,R686,AB685)</f>
        <v>0.924194624604417</v>
      </c>
      <c r="AC686" s="12" t="n">
        <f aca="false">IF(Q686,A686,AC685)</f>
        <v>45463</v>
      </c>
      <c r="AD686" s="8" t="n">
        <f aca="false">IF(Q686,B686,AD685)</f>
        <v>0.924009822639889</v>
      </c>
      <c r="AE686" s="8" t="str">
        <f aca="false">IF(AA686,L686,"")</f>
        <v/>
      </c>
      <c r="AF686" s="8" t="n">
        <f aca="false">U686</f>
        <v>0.905666812067299</v>
      </c>
      <c r="AG686" s="2" t="n">
        <f aca="false">AG685+IF(Q686,1,0)</f>
        <v>5</v>
      </c>
      <c r="AH686" s="2" t="n">
        <f aca="false">AG685</f>
        <v>5</v>
      </c>
      <c r="AI686" s="10" t="n">
        <f aca="false">X686+Y686*(E686-AB686)-Y686*AD686*Inputs!$B$13*(A686-AC686)</f>
        <v>1038.78749377509</v>
      </c>
      <c r="AJ686" s="10" t="n">
        <v>0</v>
      </c>
      <c r="AK686" s="8" t="n">
        <f aca="false">IF(AND(B686&lt;=U686,NOT(Q686)),B686,U686)*(1-Inputs!$B$12)</f>
        <v>0.905485678704885</v>
      </c>
    </row>
    <row r="687" customFormat="false" ht="15" hidden="false" customHeight="false" outlineLevel="0" collapsed="false">
      <c r="A687" s="6" t="n">
        <v>45471</v>
      </c>
      <c r="B687" s="7" t="n">
        <v>0.930142023323082</v>
      </c>
      <c r="C687" s="7" t="n">
        <v>0.937592120292513</v>
      </c>
      <c r="D687" s="7" t="n">
        <v>0.917508504658383</v>
      </c>
      <c r="E687" s="7" t="n">
        <v>0.934747811100219</v>
      </c>
      <c r="F687" s="8" t="n">
        <f aca="true">IF(ROW()-2&gt;=Inputs!$B$4,AVERAGE(OFFSET(E687,1-Inputs!$B$4,0,Inputs!$B$4,1)),"")</f>
        <v>0.918809779133777</v>
      </c>
      <c r="G687" s="8" t="n">
        <f aca="true">IF(ROW()-2&gt;=Inputs!$B$5,AVERAGE(OFFSET(E687,1-Inputs!$B$5,0,Inputs!$B$5,1)),"")</f>
        <v>0.904201117889883</v>
      </c>
      <c r="H687" s="8" t="n">
        <f aca="false">MAX(C687-D687,ABS(C687-E686),ABS(D687-E686))</f>
        <v>0.02008361563413</v>
      </c>
      <c r="I687" s="8" t="n">
        <f aca="true">IF(ROW()-2&lt;14,"",IF(ROW()-2=14,AVERAGE(OFFSET(H687,-13,0,14,1)),(I686*13+H687)/14))</f>
        <v>0.0109263919854284</v>
      </c>
      <c r="J687" s="9" t="b">
        <f aca="false">IF(AND(ISNUMBER(F687),ISNUMBER(G687),ISNUMBER(F686),ISNUMBER(G686)),AND(F687&gt;G687,F686&lt;=G686),FALSE())</f>
        <v>0</v>
      </c>
      <c r="K687" s="9" t="b">
        <f aca="false">IF(AND(ISNUMBER(F687),ISNUMBER(G687),ISNUMBER(F686),ISNUMBER(G686)),AND(F687&lt;G687,F686&gt;=G686),FALSE())</f>
        <v>0</v>
      </c>
      <c r="L687" s="8" t="n">
        <f aca="false">IF(ISNUMBER(I687),E687-Inputs!$B$6*I687,"")</f>
        <v>0.912895027129363</v>
      </c>
      <c r="M687" s="9" t="b">
        <f aca="false">AND(Y686&gt;0,Z686)</f>
        <v>0</v>
      </c>
      <c r="N687" s="8" t="n">
        <f aca="false">B687*(1-Inputs!$B$12)</f>
        <v>0.929955994918418</v>
      </c>
      <c r="O687" s="10" t="n">
        <f aca="false">IF(M687,Y686*(N687-AB686)-Inputs!$B$9-Y686*AD686*Inputs!$B$13*(A687-AC686),0)</f>
        <v>0</v>
      </c>
      <c r="P687" s="10" t="n">
        <f aca="false">X686+O687</f>
        <v>1036.10316126448</v>
      </c>
      <c r="Q687" s="9" t="b">
        <f aca="false">AND(IF(M687,0,Y686)=0,AA686,IF(ISNUMBER(AE686),B687&gt;AE686,FALSE()))</f>
        <v>0</v>
      </c>
      <c r="R687" s="8" t="n">
        <f aca="false">B687*(1+Inputs!$B$12)</f>
        <v>0.930328051727747</v>
      </c>
      <c r="S687" s="11" t="n">
        <f aca="false">IF(Q687,MIN(P687*Inputs!$B$3/(R687-AE686),P687*Inputs!$B$11/R687),0)</f>
        <v>0</v>
      </c>
      <c r="T687" s="11" t="n">
        <f aca="false">IF(Q687,S687,IF(M687,0,Y686))</f>
        <v>559.754779031112</v>
      </c>
      <c r="U687" s="8" t="n">
        <f aca="false">IF(Q687,AE686,AF686)</f>
        <v>0.905666812067299</v>
      </c>
      <c r="V687" s="9" t="b">
        <f aca="false">AND(T687&gt;0,D687&lt;=U687)</f>
        <v>0</v>
      </c>
      <c r="W687" s="10" t="n">
        <f aca="false">IF(V687,T687*(AK687-AB687)-Inputs!$B$9-T687*AD687*Inputs!$B$13*(A687-AC687),0)</f>
        <v>0</v>
      </c>
      <c r="X687" s="10" t="n">
        <f aca="false">P687-IF(Q687,Inputs!$B$9,0)+W687</f>
        <v>1036.10316126448</v>
      </c>
      <c r="Y687" s="11" t="n">
        <f aca="false">IF(V687,0,T687)</f>
        <v>559.754779031112</v>
      </c>
      <c r="Z687" s="9" t="b">
        <f aca="false">AND(Y687&gt;0,K687)</f>
        <v>0</v>
      </c>
      <c r="AA687" s="9" t="b">
        <f aca="false">AND(Y687=0,J687,ISNUMBER(L687))</f>
        <v>0</v>
      </c>
      <c r="AB687" s="8" t="n">
        <f aca="false">IF(Q687,R687,AB686)</f>
        <v>0.924194624604417</v>
      </c>
      <c r="AC687" s="12" t="n">
        <f aca="false">IF(Q687,A687,AC686)</f>
        <v>45463</v>
      </c>
      <c r="AD687" s="8" t="n">
        <f aca="false">IF(Q687,B687,AD686)</f>
        <v>0.924009822639889</v>
      </c>
      <c r="AE687" s="8" t="str">
        <f aca="false">IF(AA687,L687,"")</f>
        <v/>
      </c>
      <c r="AF687" s="8" t="n">
        <f aca="false">U687</f>
        <v>0.905666812067299</v>
      </c>
      <c r="AG687" s="2" t="n">
        <f aca="false">AG686+IF(Q687,1,0)</f>
        <v>5</v>
      </c>
      <c r="AH687" s="2" t="n">
        <f aca="false">AG686</f>
        <v>5</v>
      </c>
      <c r="AI687" s="10" t="n">
        <f aca="false">X687+Y687*(E687-AB687)-Y687*AD687*Inputs!$B$13*(A687-AC687)</f>
        <v>1041.27349801669</v>
      </c>
      <c r="AJ687" s="10" t="n">
        <v>0</v>
      </c>
      <c r="AK687" s="8" t="n">
        <f aca="false">IF(AND(B687&lt;=U687,NOT(Q687)),B687,U687)*(1-Inputs!$B$12)</f>
        <v>0.905485678704885</v>
      </c>
    </row>
    <row r="688" customFormat="false" ht="15" hidden="false" customHeight="false" outlineLevel="0" collapsed="false">
      <c r="A688" s="6" t="n">
        <v>45472</v>
      </c>
      <c r="B688" s="7" t="n">
        <v>0.934747811100219</v>
      </c>
      <c r="C688" s="7" t="n">
        <v>0.941294722099443</v>
      </c>
      <c r="D688" s="7" t="n">
        <v>0.928682459490218</v>
      </c>
      <c r="E688" s="7" t="n">
        <v>0.933939210887483</v>
      </c>
      <c r="F688" s="8" t="n">
        <f aca="true">IF(ROW()-2&gt;=Inputs!$B$4,AVERAGE(OFFSET(E688,1-Inputs!$B$4,0,Inputs!$B$4,1)),"")</f>
        <v>0.921281602737565</v>
      </c>
      <c r="G688" s="8" t="n">
        <f aca="true">IF(ROW()-2&gt;=Inputs!$B$5,AVERAGE(OFFSET(E688,1-Inputs!$B$5,0,Inputs!$B$5,1)),"")</f>
        <v>0.904592731748196</v>
      </c>
      <c r="H688" s="8" t="n">
        <f aca="false">MAX(C688-D688,ABS(C688-E687),ABS(D688-E687))</f>
        <v>0.0126122626092245</v>
      </c>
      <c r="I688" s="8" t="n">
        <f aca="true">IF(ROW()-2&lt;14,"",IF(ROW()-2=14,AVERAGE(OFFSET(H688,-13,0,14,1)),(I687*13+H688)/14))</f>
        <v>0.0110468113156995</v>
      </c>
      <c r="J688" s="9" t="b">
        <f aca="false">IF(AND(ISNUMBER(F688),ISNUMBER(G688),ISNUMBER(F687),ISNUMBER(G687)),AND(F688&gt;G688,F687&lt;=G687),FALSE())</f>
        <v>0</v>
      </c>
      <c r="K688" s="9" t="b">
        <f aca="false">IF(AND(ISNUMBER(F688),ISNUMBER(G688),ISNUMBER(F687),ISNUMBER(G687)),AND(F688&lt;G688,F687&gt;=G687),FALSE())</f>
        <v>0</v>
      </c>
      <c r="L688" s="8" t="n">
        <f aca="false">IF(ISNUMBER(I688),E688-Inputs!$B$6*I688,"")</f>
        <v>0.911845588256084</v>
      </c>
      <c r="M688" s="9" t="b">
        <f aca="false">AND(Y687&gt;0,Z687)</f>
        <v>0</v>
      </c>
      <c r="N688" s="8" t="n">
        <f aca="false">B688*(1-Inputs!$B$12)</f>
        <v>0.934560861537999</v>
      </c>
      <c r="O688" s="10" t="n">
        <f aca="false">IF(M688,Y687*(N688-AB687)-Inputs!$B$9-Y687*AD687*Inputs!$B$13*(A688-AC687),0)</f>
        <v>0</v>
      </c>
      <c r="P688" s="10" t="n">
        <f aca="false">X687+O688</f>
        <v>1036.10316126448</v>
      </c>
      <c r="Q688" s="9" t="b">
        <f aca="false">AND(IF(M688,0,Y687)=0,AA687,IF(ISNUMBER(AE687),B688&gt;AE687,FALSE()))</f>
        <v>0</v>
      </c>
      <c r="R688" s="8" t="n">
        <f aca="false">B688*(1+Inputs!$B$12)</f>
        <v>0.934934760662439</v>
      </c>
      <c r="S688" s="11" t="n">
        <f aca="false">IF(Q688,MIN(P688*Inputs!$B$3/(R688-AE687),P688*Inputs!$B$11/R688),0)</f>
        <v>0</v>
      </c>
      <c r="T688" s="11" t="n">
        <f aca="false">IF(Q688,S688,IF(M688,0,Y687))</f>
        <v>559.754779031112</v>
      </c>
      <c r="U688" s="8" t="n">
        <f aca="false">IF(Q688,AE687,AF687)</f>
        <v>0.905666812067299</v>
      </c>
      <c r="V688" s="9" t="b">
        <f aca="false">AND(T688&gt;0,D688&lt;=U688)</f>
        <v>0</v>
      </c>
      <c r="W688" s="10" t="n">
        <f aca="false">IF(V688,T688*(AK688-AB688)-Inputs!$B$9-T688*AD688*Inputs!$B$13*(A688-AC688),0)</f>
        <v>0</v>
      </c>
      <c r="X688" s="10" t="n">
        <f aca="false">P688-IF(Q688,Inputs!$B$9,0)+W688</f>
        <v>1036.10316126448</v>
      </c>
      <c r="Y688" s="11" t="n">
        <f aca="false">IF(V688,0,T688)</f>
        <v>559.754779031112</v>
      </c>
      <c r="Z688" s="9" t="b">
        <f aca="false">AND(Y688&gt;0,K688)</f>
        <v>0</v>
      </c>
      <c r="AA688" s="9" t="b">
        <f aca="false">AND(Y688=0,J688,ISNUMBER(L688))</f>
        <v>0</v>
      </c>
      <c r="AB688" s="8" t="n">
        <f aca="false">IF(Q688,R688,AB687)</f>
        <v>0.924194624604417</v>
      </c>
      <c r="AC688" s="12" t="n">
        <f aca="false">IF(Q688,A688,AC687)</f>
        <v>45463</v>
      </c>
      <c r="AD688" s="8" t="n">
        <f aca="false">IF(Q688,B688,AD687)</f>
        <v>0.924009822639889</v>
      </c>
      <c r="AE688" s="8" t="str">
        <f aca="false">IF(AA688,L688,"")</f>
        <v/>
      </c>
      <c r="AF688" s="8" t="n">
        <f aca="false">U688</f>
        <v>0.905666812067299</v>
      </c>
      <c r="AG688" s="2" t="n">
        <f aca="false">AG687+IF(Q688,1,0)</f>
        <v>5</v>
      </c>
      <c r="AH688" s="2" t="n">
        <f aca="false">AG687</f>
        <v>5</v>
      </c>
      <c r="AI688" s="10" t="n">
        <f aca="false">X688+Y688*(E688-AB688)-Y688*AD688*Inputs!$B$13*(A688-AC688)</f>
        <v>1040.72877270543</v>
      </c>
      <c r="AJ688" s="10" t="n">
        <v>0</v>
      </c>
      <c r="AK688" s="8" t="n">
        <f aca="false">IF(AND(B688&lt;=U688,NOT(Q688)),B688,U688)*(1-Inputs!$B$12)</f>
        <v>0.905485678704885</v>
      </c>
    </row>
    <row r="689" customFormat="false" ht="15" hidden="false" customHeight="false" outlineLevel="0" collapsed="false">
      <c r="A689" s="6" t="n">
        <v>45473</v>
      </c>
      <c r="B689" s="7" t="n">
        <v>0.933939210887483</v>
      </c>
      <c r="C689" s="7" t="n">
        <v>0.939004684698955</v>
      </c>
      <c r="D689" s="7" t="n">
        <v>0.926712787754361</v>
      </c>
      <c r="E689" s="7" t="n">
        <v>0.936724491919421</v>
      </c>
      <c r="F689" s="8" t="n">
        <f aca="true">IF(ROW()-2&gt;=Inputs!$B$4,AVERAGE(OFFSET(E689,1-Inputs!$B$4,0,Inputs!$B$4,1)),"")</f>
        <v>0.923689116084904</v>
      </c>
      <c r="G689" s="8" t="n">
        <f aca="true">IF(ROW()-2&gt;=Inputs!$B$5,AVERAGE(OFFSET(E689,1-Inputs!$B$5,0,Inputs!$B$5,1)),"")</f>
        <v>0.905052563653932</v>
      </c>
      <c r="H689" s="8" t="n">
        <f aca="false">MAX(C689-D689,ABS(C689-E688),ABS(D689-E688))</f>
        <v>0.0122918969445944</v>
      </c>
      <c r="I689" s="8" t="n">
        <f aca="true">IF(ROW()-2&lt;14,"",IF(ROW()-2=14,AVERAGE(OFFSET(H689,-13,0,14,1)),(I688*13+H689)/14))</f>
        <v>0.0111357460034777</v>
      </c>
      <c r="J689" s="9" t="b">
        <f aca="false">IF(AND(ISNUMBER(F689),ISNUMBER(G689),ISNUMBER(F688),ISNUMBER(G688)),AND(F689&gt;G689,F688&lt;=G688),FALSE())</f>
        <v>0</v>
      </c>
      <c r="K689" s="9" t="b">
        <f aca="false">IF(AND(ISNUMBER(F689),ISNUMBER(G689),ISNUMBER(F688),ISNUMBER(G688)),AND(F689&lt;G689,F688&gt;=G688),FALSE())</f>
        <v>0</v>
      </c>
      <c r="L689" s="8" t="n">
        <f aca="false">IF(ISNUMBER(I689),E689-Inputs!$B$6*I689,"")</f>
        <v>0.914452999912465</v>
      </c>
      <c r="M689" s="9" t="b">
        <f aca="false">AND(Y688&gt;0,Z688)</f>
        <v>0</v>
      </c>
      <c r="N689" s="8" t="n">
        <f aca="false">B689*(1-Inputs!$B$12)</f>
        <v>0.933752423045305</v>
      </c>
      <c r="O689" s="10" t="n">
        <f aca="false">IF(M689,Y688*(N689-AB688)-Inputs!$B$9-Y688*AD688*Inputs!$B$13*(A689-AC688),0)</f>
        <v>0</v>
      </c>
      <c r="P689" s="10" t="n">
        <f aca="false">X688+O689</f>
        <v>1036.10316126448</v>
      </c>
      <c r="Q689" s="9" t="b">
        <f aca="false">AND(IF(M689,0,Y688)=0,AA688,IF(ISNUMBER(AE688),B689&gt;AE688,FALSE()))</f>
        <v>0</v>
      </c>
      <c r="R689" s="8" t="n">
        <f aca="false">B689*(1+Inputs!$B$12)</f>
        <v>0.93412599872966</v>
      </c>
      <c r="S689" s="11" t="n">
        <f aca="false">IF(Q689,MIN(P689*Inputs!$B$3/(R689-AE688),P689*Inputs!$B$11/R689),0)</f>
        <v>0</v>
      </c>
      <c r="T689" s="11" t="n">
        <f aca="false">IF(Q689,S689,IF(M689,0,Y688))</f>
        <v>559.754779031112</v>
      </c>
      <c r="U689" s="8" t="n">
        <f aca="false">IF(Q689,AE688,AF688)</f>
        <v>0.905666812067299</v>
      </c>
      <c r="V689" s="9" t="b">
        <f aca="false">AND(T689&gt;0,D689&lt;=U689)</f>
        <v>0</v>
      </c>
      <c r="W689" s="10" t="n">
        <f aca="false">IF(V689,T689*(AK689-AB689)-Inputs!$B$9-T689*AD689*Inputs!$B$13*(A689-AC689),0)</f>
        <v>0</v>
      </c>
      <c r="X689" s="10" t="n">
        <f aca="false">P689-IF(Q689,Inputs!$B$9,0)+W689</f>
        <v>1036.10316126448</v>
      </c>
      <c r="Y689" s="11" t="n">
        <f aca="false">IF(V689,0,T689)</f>
        <v>559.754779031112</v>
      </c>
      <c r="Z689" s="9" t="b">
        <f aca="false">AND(Y689&gt;0,K689)</f>
        <v>0</v>
      </c>
      <c r="AA689" s="9" t="b">
        <f aca="false">AND(Y689=0,J689,ISNUMBER(L689))</f>
        <v>0</v>
      </c>
      <c r="AB689" s="8" t="n">
        <f aca="false">IF(Q689,R689,AB688)</f>
        <v>0.924194624604417</v>
      </c>
      <c r="AC689" s="12" t="n">
        <f aca="false">IF(Q689,A689,AC688)</f>
        <v>45463</v>
      </c>
      <c r="AD689" s="8" t="n">
        <f aca="false">IF(Q689,B689,AD688)</f>
        <v>0.924009822639889</v>
      </c>
      <c r="AE689" s="8" t="str">
        <f aca="false">IF(AA689,L689,"")</f>
        <v/>
      </c>
      <c r="AF689" s="8" t="n">
        <f aca="false">U689</f>
        <v>0.905666812067299</v>
      </c>
      <c r="AG689" s="2" t="n">
        <f aca="false">AG688+IF(Q689,1,0)</f>
        <v>5</v>
      </c>
      <c r="AH689" s="2" t="n">
        <f aca="false">AG688</f>
        <v>5</v>
      </c>
      <c r="AI689" s="10" t="n">
        <f aca="false">X689+Y689*(E689-AB689)-Y689*AD689*Inputs!$B$13*(A689-AC689)</f>
        <v>1042.19573959615</v>
      </c>
      <c r="AJ689" s="10" t="n">
        <v>0</v>
      </c>
      <c r="AK689" s="8" t="n">
        <f aca="false">IF(AND(B689&lt;=U689,NOT(Q689)),B689,U689)*(1-Inputs!$B$12)</f>
        <v>0.905485678704885</v>
      </c>
    </row>
    <row r="690" customFormat="false" ht="15" hidden="false" customHeight="false" outlineLevel="0" collapsed="false">
      <c r="A690" s="6" t="n">
        <v>45474</v>
      </c>
      <c r="B690" s="7" t="n">
        <v>0.936724491919421</v>
      </c>
      <c r="C690" s="7" t="n">
        <v>0.941352682524604</v>
      </c>
      <c r="D690" s="7" t="n">
        <v>0.925959213062256</v>
      </c>
      <c r="E690" s="7" t="n">
        <v>0.926194912780931</v>
      </c>
      <c r="F690" s="8" t="n">
        <f aca="true">IF(ROW()-2&gt;=Inputs!$B$4,AVERAGE(OFFSET(E690,1-Inputs!$B$4,0,Inputs!$B$4,1)),"")</f>
        <v>0.925101942748391</v>
      </c>
      <c r="G690" s="8" t="n">
        <f aca="true">IF(ROW()-2&gt;=Inputs!$B$5,AVERAGE(OFFSET(E690,1-Inputs!$B$5,0,Inputs!$B$5,1)),"")</f>
        <v>0.905276355964326</v>
      </c>
      <c r="H690" s="8" t="n">
        <f aca="false">MAX(C690-D690,ABS(C690-E689),ABS(D690-E689))</f>
        <v>0.0153934694623479</v>
      </c>
      <c r="I690" s="8" t="n">
        <f aca="true">IF(ROW()-2&lt;14,"",IF(ROW()-2=14,AVERAGE(OFFSET(H690,-13,0,14,1)),(I689*13+H690)/14))</f>
        <v>0.0114398691076827</v>
      </c>
      <c r="J690" s="9" t="b">
        <f aca="false">IF(AND(ISNUMBER(F690),ISNUMBER(G690),ISNUMBER(F689),ISNUMBER(G689)),AND(F690&gt;G690,F689&lt;=G689),FALSE())</f>
        <v>0</v>
      </c>
      <c r="K690" s="9" t="b">
        <f aca="false">IF(AND(ISNUMBER(F690),ISNUMBER(G690),ISNUMBER(F689),ISNUMBER(G689)),AND(F690&lt;G690,F689&gt;=G689),FALSE())</f>
        <v>0</v>
      </c>
      <c r="L690" s="8" t="n">
        <f aca="false">IF(ISNUMBER(I690),E690-Inputs!$B$6*I690,"")</f>
        <v>0.903315174565565</v>
      </c>
      <c r="M690" s="9" t="b">
        <f aca="false">AND(Y689&gt;0,Z689)</f>
        <v>0</v>
      </c>
      <c r="N690" s="8" t="n">
        <f aca="false">B690*(1-Inputs!$B$12)</f>
        <v>0.936537147021037</v>
      </c>
      <c r="O690" s="10" t="n">
        <f aca="false">IF(M690,Y689*(N690-AB689)-Inputs!$B$9-Y689*AD689*Inputs!$B$13*(A690-AC689),0)</f>
        <v>0</v>
      </c>
      <c r="P690" s="10" t="n">
        <f aca="false">X689+O690</f>
        <v>1036.10316126448</v>
      </c>
      <c r="Q690" s="9" t="b">
        <f aca="false">AND(IF(M690,0,Y689)=0,AA689,IF(ISNUMBER(AE689),B690&gt;AE689,FALSE()))</f>
        <v>0</v>
      </c>
      <c r="R690" s="8" t="n">
        <f aca="false">B690*(1+Inputs!$B$12)</f>
        <v>0.936911836817804</v>
      </c>
      <c r="S690" s="11" t="n">
        <f aca="false">IF(Q690,MIN(P690*Inputs!$B$3/(R690-AE689),P690*Inputs!$B$11/R690),0)</f>
        <v>0</v>
      </c>
      <c r="T690" s="11" t="n">
        <f aca="false">IF(Q690,S690,IF(M690,0,Y689))</f>
        <v>559.754779031112</v>
      </c>
      <c r="U690" s="8" t="n">
        <f aca="false">IF(Q690,AE689,AF689)</f>
        <v>0.905666812067299</v>
      </c>
      <c r="V690" s="9" t="b">
        <f aca="false">AND(T690&gt;0,D690&lt;=U690)</f>
        <v>0</v>
      </c>
      <c r="W690" s="10" t="n">
        <f aca="false">IF(V690,T690*(AK690-AB690)-Inputs!$B$9-T690*AD690*Inputs!$B$13*(A690-AC690),0)</f>
        <v>0</v>
      </c>
      <c r="X690" s="10" t="n">
        <f aca="false">P690-IF(Q690,Inputs!$B$9,0)+W690</f>
        <v>1036.10316126448</v>
      </c>
      <c r="Y690" s="11" t="n">
        <f aca="false">IF(V690,0,T690)</f>
        <v>559.754779031112</v>
      </c>
      <c r="Z690" s="9" t="b">
        <f aca="false">AND(Y690&gt;0,K690)</f>
        <v>0</v>
      </c>
      <c r="AA690" s="9" t="b">
        <f aca="false">AND(Y690=0,J690,ISNUMBER(L690))</f>
        <v>0</v>
      </c>
      <c r="AB690" s="8" t="n">
        <f aca="false">IF(Q690,R690,AB689)</f>
        <v>0.924194624604417</v>
      </c>
      <c r="AC690" s="12" t="n">
        <f aca="false">IF(Q690,A690,AC689)</f>
        <v>45463</v>
      </c>
      <c r="AD690" s="8" t="n">
        <f aca="false">IF(Q690,B690,AD689)</f>
        <v>0.924009822639889</v>
      </c>
      <c r="AE690" s="8" t="str">
        <f aca="false">IF(AA690,L690,"")</f>
        <v/>
      </c>
      <c r="AF690" s="8" t="n">
        <f aca="false">U690</f>
        <v>0.905666812067299</v>
      </c>
      <c r="AG690" s="2" t="n">
        <f aca="false">AG689+IF(Q690,1,0)</f>
        <v>5</v>
      </c>
      <c r="AH690" s="2" t="n">
        <f aca="false">AG689</f>
        <v>5</v>
      </c>
      <c r="AI690" s="10" t="n">
        <f aca="false">X690+Y690*(E690-AB690)-Y690*AD690*Inputs!$B$13*(A690-AC690)</f>
        <v>1036.20964987435</v>
      </c>
      <c r="AJ690" s="10" t="n">
        <v>0</v>
      </c>
      <c r="AK690" s="8" t="n">
        <f aca="false">IF(AND(B690&lt;=U690,NOT(Q690)),B690,U690)*(1-Inputs!$B$12)</f>
        <v>0.905485678704885</v>
      </c>
    </row>
    <row r="691" customFormat="false" ht="15" hidden="false" customHeight="false" outlineLevel="0" collapsed="false">
      <c r="A691" s="6" t="n">
        <v>45475</v>
      </c>
      <c r="B691" s="7" t="n">
        <v>0.926194912780931</v>
      </c>
      <c r="C691" s="7" t="n">
        <v>0.928528145400696</v>
      </c>
      <c r="D691" s="7" t="n">
        <v>0.9218584150795</v>
      </c>
      <c r="E691" s="7" t="n">
        <v>0.925810744055715</v>
      </c>
      <c r="F691" s="8" t="n">
        <f aca="true">IF(ROW()-2&gt;=Inputs!$B$4,AVERAGE(OFFSET(E691,1-Inputs!$B$4,0,Inputs!$B$4,1)),"")</f>
        <v>0.926057558113769</v>
      </c>
      <c r="G691" s="8" t="n">
        <f aca="true">IF(ROW()-2&gt;=Inputs!$B$5,AVERAGE(OFFSET(E691,1-Inputs!$B$5,0,Inputs!$B$5,1)),"")</f>
        <v>0.905599902741104</v>
      </c>
      <c r="H691" s="8" t="n">
        <f aca="false">MAX(C691-D691,ABS(C691-E690),ABS(D691-E690))</f>
        <v>0.00666973032119544</v>
      </c>
      <c r="I691" s="8" t="n">
        <f aca="true">IF(ROW()-2&lt;14,"",IF(ROW()-2=14,AVERAGE(OFFSET(H691,-13,0,14,1)),(I690*13+H691)/14))</f>
        <v>0.0110991449086479</v>
      </c>
      <c r="J691" s="9" t="b">
        <f aca="false">IF(AND(ISNUMBER(F691),ISNUMBER(G691),ISNUMBER(F690),ISNUMBER(G690)),AND(F691&gt;G691,F690&lt;=G690),FALSE())</f>
        <v>0</v>
      </c>
      <c r="K691" s="9" t="b">
        <f aca="false">IF(AND(ISNUMBER(F691),ISNUMBER(G691),ISNUMBER(F690),ISNUMBER(G690)),AND(F691&lt;G691,F690&gt;=G690),FALSE())</f>
        <v>0</v>
      </c>
      <c r="L691" s="8" t="n">
        <f aca="false">IF(ISNUMBER(I691),E691-Inputs!$B$6*I691,"")</f>
        <v>0.903612454238419</v>
      </c>
      <c r="M691" s="9" t="b">
        <f aca="false">AND(Y690&gt;0,Z690)</f>
        <v>0</v>
      </c>
      <c r="N691" s="8" t="n">
        <f aca="false">B691*(1-Inputs!$B$12)</f>
        <v>0.926009673798375</v>
      </c>
      <c r="O691" s="10" t="n">
        <f aca="false">IF(M691,Y690*(N691-AB690)-Inputs!$B$9-Y690*AD690*Inputs!$B$13*(A691-AC690),0)</f>
        <v>0</v>
      </c>
      <c r="P691" s="10" t="n">
        <f aca="false">X690+O691</f>
        <v>1036.10316126448</v>
      </c>
      <c r="Q691" s="9" t="b">
        <f aca="false">AND(IF(M691,0,Y690)=0,AA690,IF(ISNUMBER(AE690),B691&gt;AE690,FALSE()))</f>
        <v>0</v>
      </c>
      <c r="R691" s="8" t="n">
        <f aca="false">B691*(1+Inputs!$B$12)</f>
        <v>0.926380151763487</v>
      </c>
      <c r="S691" s="11" t="n">
        <f aca="false">IF(Q691,MIN(P691*Inputs!$B$3/(R691-AE690),P691*Inputs!$B$11/R691),0)</f>
        <v>0</v>
      </c>
      <c r="T691" s="11" t="n">
        <f aca="false">IF(Q691,S691,IF(M691,0,Y690))</f>
        <v>559.754779031112</v>
      </c>
      <c r="U691" s="8" t="n">
        <f aca="false">IF(Q691,AE690,AF690)</f>
        <v>0.905666812067299</v>
      </c>
      <c r="V691" s="9" t="b">
        <f aca="false">AND(T691&gt;0,D691&lt;=U691)</f>
        <v>0</v>
      </c>
      <c r="W691" s="10" t="n">
        <f aca="false">IF(V691,T691*(AK691-AB691)-Inputs!$B$9-T691*AD691*Inputs!$B$13*(A691-AC691),0)</f>
        <v>0</v>
      </c>
      <c r="X691" s="10" t="n">
        <f aca="false">P691-IF(Q691,Inputs!$B$9,0)+W691</f>
        <v>1036.10316126448</v>
      </c>
      <c r="Y691" s="11" t="n">
        <f aca="false">IF(V691,0,T691)</f>
        <v>559.754779031112</v>
      </c>
      <c r="Z691" s="9" t="b">
        <f aca="false">AND(Y691&gt;0,K691)</f>
        <v>0</v>
      </c>
      <c r="AA691" s="9" t="b">
        <f aca="false">AND(Y691=0,J691,ISNUMBER(L691))</f>
        <v>0</v>
      </c>
      <c r="AB691" s="8" t="n">
        <f aca="false">IF(Q691,R691,AB690)</f>
        <v>0.924194624604417</v>
      </c>
      <c r="AC691" s="12" t="n">
        <f aca="false">IF(Q691,A691,AC690)</f>
        <v>45463</v>
      </c>
      <c r="AD691" s="8" t="n">
        <f aca="false">IF(Q691,B691,AD690)</f>
        <v>0.924009822639889</v>
      </c>
      <c r="AE691" s="8" t="str">
        <f aca="false">IF(AA691,L691,"")</f>
        <v/>
      </c>
      <c r="AF691" s="8" t="n">
        <f aca="false">U691</f>
        <v>0.905666812067299</v>
      </c>
      <c r="AG691" s="2" t="n">
        <f aca="false">AG690+IF(Q691,1,0)</f>
        <v>5</v>
      </c>
      <c r="AH691" s="2" t="n">
        <f aca="false">AG690</f>
        <v>5</v>
      </c>
      <c r="AI691" s="10" t="n">
        <f aca="false">X691+Y691*(E691-AB691)-Y691*AD691*Inputs!$B$13*(A691-AC691)</f>
        <v>1035.9025021166</v>
      </c>
      <c r="AJ691" s="10" t="n">
        <v>0</v>
      </c>
      <c r="AK691" s="8" t="n">
        <f aca="false">IF(AND(B691&lt;=U691,NOT(Q691)),B691,U691)*(1-Inputs!$B$12)</f>
        <v>0.905485678704885</v>
      </c>
    </row>
    <row r="692" customFormat="false" ht="15" hidden="false" customHeight="false" outlineLevel="0" collapsed="false">
      <c r="A692" s="6" t="n">
        <v>45476</v>
      </c>
      <c r="B692" s="7" t="n">
        <v>0.925810744055715</v>
      </c>
      <c r="C692" s="7" t="n">
        <v>0.937070102107453</v>
      </c>
      <c r="D692" s="7" t="n">
        <v>0.924899707213662</v>
      </c>
      <c r="E692" s="7" t="n">
        <v>0.933947963406794</v>
      </c>
      <c r="F692" s="8" t="n">
        <f aca="true">IF(ROW()-2&gt;=Inputs!$B$4,AVERAGE(OFFSET(E692,1-Inputs!$B$4,0,Inputs!$B$4,1)),"")</f>
        <v>0.926995098298564</v>
      </c>
      <c r="G692" s="8" t="n">
        <f aca="true">IF(ROW()-2&gt;=Inputs!$B$5,AVERAGE(OFFSET(E692,1-Inputs!$B$5,0,Inputs!$B$5,1)),"")</f>
        <v>0.906036359777224</v>
      </c>
      <c r="H692" s="8" t="n">
        <f aca="false">MAX(C692-D692,ABS(C692-E691),ABS(D692-E691))</f>
        <v>0.0121703948937908</v>
      </c>
      <c r="I692" s="8" t="n">
        <f aca="true">IF(ROW()-2&lt;14,"",IF(ROW()-2=14,AVERAGE(OFFSET(H692,-13,0,14,1)),(I691*13+H692)/14))</f>
        <v>0.0111756627647296</v>
      </c>
      <c r="J692" s="9" t="b">
        <f aca="false">IF(AND(ISNUMBER(F692),ISNUMBER(G692),ISNUMBER(F691),ISNUMBER(G691)),AND(F692&gt;G692,F691&lt;=G691),FALSE())</f>
        <v>0</v>
      </c>
      <c r="K692" s="9" t="b">
        <f aca="false">IF(AND(ISNUMBER(F692),ISNUMBER(G692),ISNUMBER(F691),ISNUMBER(G691)),AND(F692&lt;G692,F691&gt;=G691),FALSE())</f>
        <v>0</v>
      </c>
      <c r="L692" s="8" t="n">
        <f aca="false">IF(ISNUMBER(I692),E692-Inputs!$B$6*I692,"")</f>
        <v>0.911596637877335</v>
      </c>
      <c r="M692" s="9" t="b">
        <f aca="false">AND(Y691&gt;0,Z691)</f>
        <v>0</v>
      </c>
      <c r="N692" s="8" t="n">
        <f aca="false">B692*(1-Inputs!$B$12)</f>
        <v>0.925625581906904</v>
      </c>
      <c r="O692" s="10" t="n">
        <f aca="false">IF(M692,Y691*(N692-AB691)-Inputs!$B$9-Y691*AD691*Inputs!$B$13*(A692-AC691),0)</f>
        <v>0</v>
      </c>
      <c r="P692" s="10" t="n">
        <f aca="false">X691+O692</f>
        <v>1036.10316126448</v>
      </c>
      <c r="Q692" s="9" t="b">
        <f aca="false">AND(IF(M692,0,Y691)=0,AA691,IF(ISNUMBER(AE691),B692&gt;AE691,FALSE()))</f>
        <v>0</v>
      </c>
      <c r="R692" s="8" t="n">
        <f aca="false">B692*(1+Inputs!$B$12)</f>
        <v>0.925995906204526</v>
      </c>
      <c r="S692" s="11" t="n">
        <f aca="false">IF(Q692,MIN(P692*Inputs!$B$3/(R692-AE691),P692*Inputs!$B$11/R692),0)</f>
        <v>0</v>
      </c>
      <c r="T692" s="11" t="n">
        <f aca="false">IF(Q692,S692,IF(M692,0,Y691))</f>
        <v>559.754779031112</v>
      </c>
      <c r="U692" s="8" t="n">
        <f aca="false">IF(Q692,AE691,AF691)</f>
        <v>0.905666812067299</v>
      </c>
      <c r="V692" s="9" t="b">
        <f aca="false">AND(T692&gt;0,D692&lt;=U692)</f>
        <v>0</v>
      </c>
      <c r="W692" s="10" t="n">
        <f aca="false">IF(V692,T692*(AK692-AB692)-Inputs!$B$9-T692*AD692*Inputs!$B$13*(A692-AC692),0)</f>
        <v>0</v>
      </c>
      <c r="X692" s="10" t="n">
        <f aca="false">P692-IF(Q692,Inputs!$B$9,0)+W692</f>
        <v>1036.10316126448</v>
      </c>
      <c r="Y692" s="11" t="n">
        <f aca="false">IF(V692,0,T692)</f>
        <v>559.754779031112</v>
      </c>
      <c r="Z692" s="9" t="b">
        <f aca="false">AND(Y692&gt;0,K692)</f>
        <v>0</v>
      </c>
      <c r="AA692" s="9" t="b">
        <f aca="false">AND(Y692=0,J692,ISNUMBER(L692))</f>
        <v>0</v>
      </c>
      <c r="AB692" s="8" t="n">
        <f aca="false">IF(Q692,R692,AB691)</f>
        <v>0.924194624604417</v>
      </c>
      <c r="AC692" s="12" t="n">
        <f aca="false">IF(Q692,A692,AC691)</f>
        <v>45463</v>
      </c>
      <c r="AD692" s="8" t="n">
        <f aca="false">IF(Q692,B692,AD691)</f>
        <v>0.924009822639889</v>
      </c>
      <c r="AE692" s="8" t="str">
        <f aca="false">IF(AA692,L692,"")</f>
        <v/>
      </c>
      <c r="AF692" s="8" t="n">
        <f aca="false">U692</f>
        <v>0.905666812067299</v>
      </c>
      <c r="AG692" s="2" t="n">
        <f aca="false">AG691+IF(Q692,1,0)</f>
        <v>5</v>
      </c>
      <c r="AH692" s="2" t="n">
        <f aca="false">AG691</f>
        <v>5</v>
      </c>
      <c r="AI692" s="10" t="n">
        <f aca="false">X692+Y692*(E692-AB692)-Y692*AD692*Inputs!$B$13*(A692-AC692)</f>
        <v>1040.36524205854</v>
      </c>
      <c r="AJ692" s="10" t="n">
        <v>0</v>
      </c>
      <c r="AK692" s="8" t="n">
        <f aca="false">IF(AND(B692&lt;=U692,NOT(Q692)),B692,U692)*(1-Inputs!$B$12)</f>
        <v>0.905485678704885</v>
      </c>
    </row>
    <row r="693" customFormat="false" ht="15" hidden="false" customHeight="false" outlineLevel="0" collapsed="false">
      <c r="A693" s="6" t="n">
        <v>45477</v>
      </c>
      <c r="B693" s="7" t="n">
        <v>0.933947963406794</v>
      </c>
      <c r="C693" s="7" t="n">
        <v>0.939834868837244</v>
      </c>
      <c r="D693" s="7" t="n">
        <v>0.933599462171921</v>
      </c>
      <c r="E693" s="7" t="n">
        <v>0.933850318925401</v>
      </c>
      <c r="F693" s="8" t="n">
        <f aca="true">IF(ROW()-2&gt;=Inputs!$B$4,AVERAGE(OFFSET(E693,1-Inputs!$B$4,0,Inputs!$B$4,1)),"")</f>
        <v>0.927745664787735</v>
      </c>
      <c r="G693" s="8" t="n">
        <f aca="true">IF(ROW()-2&gt;=Inputs!$B$5,AVERAGE(OFFSET(E693,1-Inputs!$B$5,0,Inputs!$B$5,1)),"")</f>
        <v>0.906458220632569</v>
      </c>
      <c r="H693" s="8" t="n">
        <f aca="false">MAX(C693-D693,ABS(C693-E692),ABS(D693-E692))</f>
        <v>0.00623540666532307</v>
      </c>
      <c r="I693" s="8" t="n">
        <f aca="true">IF(ROW()-2&lt;14,"",IF(ROW()-2=14,AVERAGE(OFFSET(H693,-13,0,14,1)),(I692*13+H693)/14))</f>
        <v>0.0108227873290577</v>
      </c>
      <c r="J693" s="9" t="b">
        <f aca="false">IF(AND(ISNUMBER(F693),ISNUMBER(G693),ISNUMBER(F692),ISNUMBER(G692)),AND(F693&gt;G693,F692&lt;=G692),FALSE())</f>
        <v>0</v>
      </c>
      <c r="K693" s="9" t="b">
        <f aca="false">IF(AND(ISNUMBER(F693),ISNUMBER(G693),ISNUMBER(F692),ISNUMBER(G692)),AND(F693&lt;G693,F692&gt;=G692),FALSE())</f>
        <v>0</v>
      </c>
      <c r="L693" s="8" t="n">
        <f aca="false">IF(ISNUMBER(I693),E693-Inputs!$B$6*I693,"")</f>
        <v>0.912204744267286</v>
      </c>
      <c r="M693" s="9" t="b">
        <f aca="false">AND(Y692&gt;0,Z692)</f>
        <v>0</v>
      </c>
      <c r="N693" s="8" t="n">
        <f aca="false">B693*(1-Inputs!$B$12)</f>
        <v>0.933761173814113</v>
      </c>
      <c r="O693" s="10" t="n">
        <f aca="false">IF(M693,Y692*(N693-AB692)-Inputs!$B$9-Y692*AD692*Inputs!$B$13*(A693-AC692),0)</f>
        <v>0</v>
      </c>
      <c r="P693" s="10" t="n">
        <f aca="false">X692+O693</f>
        <v>1036.10316126448</v>
      </c>
      <c r="Q693" s="9" t="b">
        <f aca="false">AND(IF(M693,0,Y692)=0,AA692,IF(ISNUMBER(AE692),B693&gt;AE692,FALSE()))</f>
        <v>0</v>
      </c>
      <c r="R693" s="8" t="n">
        <f aca="false">B693*(1+Inputs!$B$12)</f>
        <v>0.934134752999476</v>
      </c>
      <c r="S693" s="11" t="n">
        <f aca="false">IF(Q693,MIN(P693*Inputs!$B$3/(R693-AE692),P693*Inputs!$B$11/R693),0)</f>
        <v>0</v>
      </c>
      <c r="T693" s="11" t="n">
        <f aca="false">IF(Q693,S693,IF(M693,0,Y692))</f>
        <v>559.754779031112</v>
      </c>
      <c r="U693" s="8" t="n">
        <f aca="false">IF(Q693,AE692,AF692)</f>
        <v>0.905666812067299</v>
      </c>
      <c r="V693" s="9" t="b">
        <f aca="false">AND(T693&gt;0,D693&lt;=U693)</f>
        <v>0</v>
      </c>
      <c r="W693" s="10" t="n">
        <f aca="false">IF(V693,T693*(AK693-AB693)-Inputs!$B$9-T693*AD693*Inputs!$B$13*(A693-AC693),0)</f>
        <v>0</v>
      </c>
      <c r="X693" s="10" t="n">
        <f aca="false">P693-IF(Q693,Inputs!$B$9,0)+W693</f>
        <v>1036.10316126448</v>
      </c>
      <c r="Y693" s="11" t="n">
        <f aca="false">IF(V693,0,T693)</f>
        <v>559.754779031112</v>
      </c>
      <c r="Z693" s="9" t="b">
        <f aca="false">AND(Y693&gt;0,K693)</f>
        <v>0</v>
      </c>
      <c r="AA693" s="9" t="b">
        <f aca="false">AND(Y693=0,J693,ISNUMBER(L693))</f>
        <v>0</v>
      </c>
      <c r="AB693" s="8" t="n">
        <f aca="false">IF(Q693,R693,AB692)</f>
        <v>0.924194624604417</v>
      </c>
      <c r="AC693" s="12" t="n">
        <f aca="false">IF(Q693,A693,AC692)</f>
        <v>45463</v>
      </c>
      <c r="AD693" s="8" t="n">
        <f aca="false">IF(Q693,B693,AD692)</f>
        <v>0.924009822639889</v>
      </c>
      <c r="AE693" s="8" t="str">
        <f aca="false">IF(AA693,L693,"")</f>
        <v/>
      </c>
      <c r="AF693" s="8" t="n">
        <f aca="false">U693</f>
        <v>0.905666812067299</v>
      </c>
      <c r="AG693" s="2" t="n">
        <f aca="false">AG692+IF(Q693,1,0)</f>
        <v>5</v>
      </c>
      <c r="AH693" s="2" t="n">
        <f aca="false">AG692</f>
        <v>5</v>
      </c>
      <c r="AI693" s="10" t="n">
        <f aca="false">X693+Y693*(E693-AB693)-Y693*AD693*Inputs!$B$13*(A693-AC693)</f>
        <v>1040.21847761558</v>
      </c>
      <c r="AJ693" s="10" t="n">
        <v>0</v>
      </c>
      <c r="AK693" s="8" t="n">
        <f aca="false">IF(AND(B693&lt;=U693,NOT(Q693)),B693,U693)*(1-Inputs!$B$12)</f>
        <v>0.905485678704885</v>
      </c>
    </row>
    <row r="694" customFormat="false" ht="15" hidden="false" customHeight="false" outlineLevel="0" collapsed="false">
      <c r="A694" s="6" t="n">
        <v>45478</v>
      </c>
      <c r="B694" s="7" t="n">
        <v>0.933850318925401</v>
      </c>
      <c r="C694" s="7" t="n">
        <v>0.936849443376542</v>
      </c>
      <c r="D694" s="7" t="n">
        <v>0.927000545830171</v>
      </c>
      <c r="E694" s="7" t="n">
        <v>0.931782759461801</v>
      </c>
      <c r="F694" s="8" t="n">
        <f aca="true">IF(ROW()-2&gt;=Inputs!$B$4,AVERAGE(OFFSET(E694,1-Inputs!$B$4,0,Inputs!$B$4,1)),"")</f>
        <v>0.928186817546705</v>
      </c>
      <c r="G694" s="8" t="n">
        <f aca="true">IF(ROW()-2&gt;=Inputs!$B$5,AVERAGE(OFFSET(E694,1-Inputs!$B$5,0,Inputs!$B$5,1)),"")</f>
        <v>0.907022627585589</v>
      </c>
      <c r="H694" s="8" t="n">
        <f aca="false">MAX(C694-D694,ABS(C694-E693),ABS(D694-E693))</f>
        <v>0.00984889754637164</v>
      </c>
      <c r="I694" s="8" t="n">
        <f aca="true">IF(ROW()-2&lt;14,"",IF(ROW()-2=14,AVERAGE(OFFSET(H694,-13,0,14,1)),(I693*13+H694)/14))</f>
        <v>0.0107532237731515</v>
      </c>
      <c r="J694" s="9" t="b">
        <f aca="false">IF(AND(ISNUMBER(F694),ISNUMBER(G694),ISNUMBER(F693),ISNUMBER(G693)),AND(F694&gt;G694,F693&lt;=G693),FALSE())</f>
        <v>0</v>
      </c>
      <c r="K694" s="9" t="b">
        <f aca="false">IF(AND(ISNUMBER(F694),ISNUMBER(G694),ISNUMBER(F693),ISNUMBER(G693)),AND(F694&lt;G694,F693&gt;=G693),FALSE())</f>
        <v>0</v>
      </c>
      <c r="L694" s="8" t="n">
        <f aca="false">IF(ISNUMBER(I694),E694-Inputs!$B$6*I694,"")</f>
        <v>0.910276311915498</v>
      </c>
      <c r="M694" s="9" t="b">
        <f aca="false">AND(Y693&gt;0,Z693)</f>
        <v>0</v>
      </c>
      <c r="N694" s="8" t="n">
        <f aca="false">B694*(1-Inputs!$B$12)</f>
        <v>0.933663548861616</v>
      </c>
      <c r="O694" s="10" t="n">
        <f aca="false">IF(M694,Y693*(N694-AB693)-Inputs!$B$9-Y693*AD693*Inputs!$B$13*(A694-AC693),0)</f>
        <v>0</v>
      </c>
      <c r="P694" s="10" t="n">
        <f aca="false">X693+O694</f>
        <v>1036.10316126448</v>
      </c>
      <c r="Q694" s="9" t="b">
        <f aca="false">AND(IF(M694,0,Y693)=0,AA693,IF(ISNUMBER(AE693),B694&gt;AE693,FALSE()))</f>
        <v>0</v>
      </c>
      <c r="R694" s="8" t="n">
        <f aca="false">B694*(1+Inputs!$B$12)</f>
        <v>0.934037088989186</v>
      </c>
      <c r="S694" s="11" t="n">
        <f aca="false">IF(Q694,MIN(P694*Inputs!$B$3/(R694-AE693),P694*Inputs!$B$11/R694),0)</f>
        <v>0</v>
      </c>
      <c r="T694" s="11" t="n">
        <f aca="false">IF(Q694,S694,IF(M694,0,Y693))</f>
        <v>559.754779031112</v>
      </c>
      <c r="U694" s="8" t="n">
        <f aca="false">IF(Q694,AE693,AF693)</f>
        <v>0.905666812067299</v>
      </c>
      <c r="V694" s="9" t="b">
        <f aca="false">AND(T694&gt;0,D694&lt;=U694)</f>
        <v>0</v>
      </c>
      <c r="W694" s="10" t="n">
        <f aca="false">IF(V694,T694*(AK694-AB694)-Inputs!$B$9-T694*AD694*Inputs!$B$13*(A694-AC694),0)</f>
        <v>0</v>
      </c>
      <c r="X694" s="10" t="n">
        <f aca="false">P694-IF(Q694,Inputs!$B$9,0)+W694</f>
        <v>1036.10316126448</v>
      </c>
      <c r="Y694" s="11" t="n">
        <f aca="false">IF(V694,0,T694)</f>
        <v>559.754779031112</v>
      </c>
      <c r="Z694" s="9" t="b">
        <f aca="false">AND(Y694&gt;0,K694)</f>
        <v>0</v>
      </c>
      <c r="AA694" s="9" t="b">
        <f aca="false">AND(Y694=0,J694,ISNUMBER(L694))</f>
        <v>0</v>
      </c>
      <c r="AB694" s="8" t="n">
        <f aca="false">IF(Q694,R694,AB693)</f>
        <v>0.924194624604417</v>
      </c>
      <c r="AC694" s="12" t="n">
        <f aca="false">IF(Q694,A694,AC693)</f>
        <v>45463</v>
      </c>
      <c r="AD694" s="8" t="n">
        <f aca="false">IF(Q694,B694,AD693)</f>
        <v>0.924009822639889</v>
      </c>
      <c r="AE694" s="8" t="str">
        <f aca="false">IF(AA694,L694,"")</f>
        <v/>
      </c>
      <c r="AF694" s="8" t="n">
        <f aca="false">U694</f>
        <v>0.905666812067299</v>
      </c>
      <c r="AG694" s="2" t="n">
        <f aca="false">AG693+IF(Q694,1,0)</f>
        <v>5</v>
      </c>
      <c r="AH694" s="2" t="n">
        <f aca="false">AG693</f>
        <v>5</v>
      </c>
      <c r="AI694" s="10" t="n">
        <f aca="false">X694+Y694*(E694-AB694)-Y694*AD694*Inputs!$B$13*(A694-AC694)</f>
        <v>1038.96904384705</v>
      </c>
      <c r="AJ694" s="10" t="n">
        <v>0</v>
      </c>
      <c r="AK694" s="8" t="n">
        <f aca="false">IF(AND(B694&lt;=U694,NOT(Q694)),B694,U694)*(1-Inputs!$B$12)</f>
        <v>0.905485678704885</v>
      </c>
    </row>
    <row r="695" customFormat="false" ht="15" hidden="false" customHeight="false" outlineLevel="0" collapsed="false">
      <c r="A695" s="6" t="n">
        <v>45479</v>
      </c>
      <c r="B695" s="7" t="n">
        <v>0.931782759461801</v>
      </c>
      <c r="C695" s="7" t="n">
        <v>0.933871640603866</v>
      </c>
      <c r="D695" s="7" t="n">
        <v>0.925492065836608</v>
      </c>
      <c r="E695" s="7" t="n">
        <v>0.930018522745202</v>
      </c>
      <c r="F695" s="8" t="n">
        <f aca="true">IF(ROW()-2&gt;=Inputs!$B$4,AVERAGE(OFFSET(E695,1-Inputs!$B$4,0,Inputs!$B$4,1)),"")</f>
        <v>0.928629540494475</v>
      </c>
      <c r="G695" s="8" t="n">
        <f aca="true">IF(ROW()-2&gt;=Inputs!$B$5,AVERAGE(OFFSET(E695,1-Inputs!$B$5,0,Inputs!$B$5,1)),"")</f>
        <v>0.907641415918614</v>
      </c>
      <c r="H695" s="8" t="n">
        <f aca="false">MAX(C695-D695,ABS(C695-E694),ABS(D695-E694))</f>
        <v>0.00837957476725804</v>
      </c>
      <c r="I695" s="8" t="n">
        <f aca="true">IF(ROW()-2&lt;14,"",IF(ROW()-2=14,AVERAGE(OFFSET(H695,-13,0,14,1)),(I694*13+H695)/14))</f>
        <v>0.0105836774155877</v>
      </c>
      <c r="J695" s="9" t="b">
        <f aca="false">IF(AND(ISNUMBER(F695),ISNUMBER(G695),ISNUMBER(F694),ISNUMBER(G694)),AND(F695&gt;G695,F694&lt;=G694),FALSE())</f>
        <v>0</v>
      </c>
      <c r="K695" s="9" t="b">
        <f aca="false">IF(AND(ISNUMBER(F695),ISNUMBER(G695),ISNUMBER(F694),ISNUMBER(G694)),AND(F695&lt;G695,F694&gt;=G694),FALSE())</f>
        <v>0</v>
      </c>
      <c r="L695" s="8" t="n">
        <f aca="false">IF(ISNUMBER(I695),E695-Inputs!$B$6*I695,"")</f>
        <v>0.908851167914026</v>
      </c>
      <c r="M695" s="9" t="b">
        <f aca="false">AND(Y694&gt;0,Z694)</f>
        <v>0</v>
      </c>
      <c r="N695" s="8" t="n">
        <f aca="false">B695*(1-Inputs!$B$12)</f>
        <v>0.931596402909909</v>
      </c>
      <c r="O695" s="10" t="n">
        <f aca="false">IF(M695,Y694*(N695-AB694)-Inputs!$B$9-Y694*AD694*Inputs!$B$13*(A695-AC694),0)</f>
        <v>0</v>
      </c>
      <c r="P695" s="10" t="n">
        <f aca="false">X694+O695</f>
        <v>1036.10316126448</v>
      </c>
      <c r="Q695" s="9" t="b">
        <f aca="false">AND(IF(M695,0,Y694)=0,AA694,IF(ISNUMBER(AE694),B695&gt;AE694,FALSE()))</f>
        <v>0</v>
      </c>
      <c r="R695" s="8" t="n">
        <f aca="false">B695*(1+Inputs!$B$12)</f>
        <v>0.931969116013694</v>
      </c>
      <c r="S695" s="11" t="n">
        <f aca="false">IF(Q695,MIN(P695*Inputs!$B$3/(R695-AE694),P695*Inputs!$B$11/R695),0)</f>
        <v>0</v>
      </c>
      <c r="T695" s="11" t="n">
        <f aca="false">IF(Q695,S695,IF(M695,0,Y694))</f>
        <v>559.754779031112</v>
      </c>
      <c r="U695" s="8" t="n">
        <f aca="false">IF(Q695,AE694,AF694)</f>
        <v>0.905666812067299</v>
      </c>
      <c r="V695" s="9" t="b">
        <f aca="false">AND(T695&gt;0,D695&lt;=U695)</f>
        <v>0</v>
      </c>
      <c r="W695" s="10" t="n">
        <f aca="false">IF(V695,T695*(AK695-AB695)-Inputs!$B$9-T695*AD695*Inputs!$B$13*(A695-AC695),0)</f>
        <v>0</v>
      </c>
      <c r="X695" s="10" t="n">
        <f aca="false">P695-IF(Q695,Inputs!$B$9,0)+W695</f>
        <v>1036.10316126448</v>
      </c>
      <c r="Y695" s="11" t="n">
        <f aca="false">IF(V695,0,T695)</f>
        <v>559.754779031112</v>
      </c>
      <c r="Z695" s="9" t="b">
        <f aca="false">AND(Y695&gt;0,K695)</f>
        <v>0</v>
      </c>
      <c r="AA695" s="9" t="b">
        <f aca="false">AND(Y695=0,J695,ISNUMBER(L695))</f>
        <v>0</v>
      </c>
      <c r="AB695" s="8" t="n">
        <f aca="false">IF(Q695,R695,AB694)</f>
        <v>0.924194624604417</v>
      </c>
      <c r="AC695" s="12" t="n">
        <f aca="false">IF(Q695,A695,AC694)</f>
        <v>45463</v>
      </c>
      <c r="AD695" s="8" t="n">
        <f aca="false">IF(Q695,B695,AD694)</f>
        <v>0.924009822639889</v>
      </c>
      <c r="AE695" s="8" t="str">
        <f aca="false">IF(AA695,L695,"")</f>
        <v/>
      </c>
      <c r="AF695" s="8" t="n">
        <f aca="false">U695</f>
        <v>0.905666812067299</v>
      </c>
      <c r="AG695" s="2" t="n">
        <f aca="false">AG694+IF(Q695,1,0)</f>
        <v>5</v>
      </c>
      <c r="AH695" s="2" t="n">
        <f aca="false">AG694</f>
        <v>5</v>
      </c>
      <c r="AI695" s="10" t="n">
        <f aca="false">X695+Y695*(E695-AB695)-Y695*AD695*Inputs!$B$13*(A695-AC695)</f>
        <v>1037.88939643574</v>
      </c>
      <c r="AJ695" s="10" t="n">
        <v>0</v>
      </c>
      <c r="AK695" s="8" t="n">
        <f aca="false">IF(AND(B695&lt;=U695,NOT(Q695)),B695,U695)*(1-Inputs!$B$12)</f>
        <v>0.905485678704885</v>
      </c>
    </row>
    <row r="696" customFormat="false" ht="15" hidden="false" customHeight="false" outlineLevel="0" collapsed="false">
      <c r="A696" s="6" t="n">
        <v>45480</v>
      </c>
      <c r="B696" s="7" t="n">
        <v>0.930018522745202</v>
      </c>
      <c r="C696" s="7" t="n">
        <v>0.931396535101518</v>
      </c>
      <c r="D696" s="7" t="n">
        <v>0.920291893722417</v>
      </c>
      <c r="E696" s="7" t="n">
        <v>0.923146416988422</v>
      </c>
      <c r="F696" s="8" t="n">
        <f aca="true">IF(ROW()-2&gt;=Inputs!$B$4,AVERAGE(OFFSET(E696,1-Inputs!$B$4,0,Inputs!$B$4,1)),"")</f>
        <v>0.928332752131379</v>
      </c>
      <c r="G696" s="8" t="n">
        <f aca="true">IF(ROW()-2&gt;=Inputs!$B$5,AVERAGE(OFFSET(E696,1-Inputs!$B$5,0,Inputs!$B$5,1)),"")</f>
        <v>0.908167784087523</v>
      </c>
      <c r="H696" s="8" t="n">
        <f aca="false">MAX(C696-D696,ABS(C696-E695),ABS(D696-E695))</f>
        <v>0.0111046413791014</v>
      </c>
      <c r="I696" s="8" t="n">
        <f aca="true">IF(ROW()-2&lt;14,"",IF(ROW()-2=14,AVERAGE(OFFSET(H696,-13,0,14,1)),(I695*13+H696)/14))</f>
        <v>0.0106208891272673</v>
      </c>
      <c r="J696" s="9" t="b">
        <f aca="false">IF(AND(ISNUMBER(F696),ISNUMBER(G696),ISNUMBER(F695),ISNUMBER(G695)),AND(F696&gt;G696,F695&lt;=G695),FALSE())</f>
        <v>0</v>
      </c>
      <c r="K696" s="9" t="b">
        <f aca="false">IF(AND(ISNUMBER(F696),ISNUMBER(G696),ISNUMBER(F695),ISNUMBER(G695)),AND(F696&lt;G696,F695&gt;=G695),FALSE())</f>
        <v>0</v>
      </c>
      <c r="L696" s="8" t="n">
        <f aca="false">IF(ISNUMBER(I696),E696-Inputs!$B$6*I696,"")</f>
        <v>0.901904638733888</v>
      </c>
      <c r="M696" s="9" t="b">
        <f aca="false">AND(Y695&gt;0,Z695)</f>
        <v>0</v>
      </c>
      <c r="N696" s="8" t="n">
        <f aca="false">B696*(1-Inputs!$B$12)</f>
        <v>0.929832519040653</v>
      </c>
      <c r="O696" s="10" t="n">
        <f aca="false">IF(M696,Y695*(N696-AB695)-Inputs!$B$9-Y695*AD695*Inputs!$B$13*(A696-AC695),0)</f>
        <v>0</v>
      </c>
      <c r="P696" s="10" t="n">
        <f aca="false">X695+O696</f>
        <v>1036.10316126448</v>
      </c>
      <c r="Q696" s="9" t="b">
        <f aca="false">AND(IF(M696,0,Y695)=0,AA695,IF(ISNUMBER(AE695),B696&gt;AE695,FALSE()))</f>
        <v>0</v>
      </c>
      <c r="R696" s="8" t="n">
        <f aca="false">B696*(1+Inputs!$B$12)</f>
        <v>0.930204526449751</v>
      </c>
      <c r="S696" s="11" t="n">
        <f aca="false">IF(Q696,MIN(P696*Inputs!$B$3/(R696-AE695),P696*Inputs!$B$11/R696),0)</f>
        <v>0</v>
      </c>
      <c r="T696" s="11" t="n">
        <f aca="false">IF(Q696,S696,IF(M696,0,Y695))</f>
        <v>559.754779031112</v>
      </c>
      <c r="U696" s="8" t="n">
        <f aca="false">IF(Q696,AE695,AF695)</f>
        <v>0.905666812067299</v>
      </c>
      <c r="V696" s="9" t="b">
        <f aca="false">AND(T696&gt;0,D696&lt;=U696)</f>
        <v>0</v>
      </c>
      <c r="W696" s="10" t="n">
        <f aca="false">IF(V696,T696*(AK696-AB696)-Inputs!$B$9-T696*AD696*Inputs!$B$13*(A696-AC696),0)</f>
        <v>0</v>
      </c>
      <c r="X696" s="10" t="n">
        <f aca="false">P696-IF(Q696,Inputs!$B$9,0)+W696</f>
        <v>1036.10316126448</v>
      </c>
      <c r="Y696" s="11" t="n">
        <f aca="false">IF(V696,0,T696)</f>
        <v>559.754779031112</v>
      </c>
      <c r="Z696" s="9" t="b">
        <f aca="false">AND(Y696&gt;0,K696)</f>
        <v>0</v>
      </c>
      <c r="AA696" s="9" t="b">
        <f aca="false">AND(Y696=0,J696,ISNUMBER(L696))</f>
        <v>0</v>
      </c>
      <c r="AB696" s="8" t="n">
        <f aca="false">IF(Q696,R696,AB695)</f>
        <v>0.924194624604417</v>
      </c>
      <c r="AC696" s="12" t="n">
        <f aca="false">IF(Q696,A696,AC695)</f>
        <v>45463</v>
      </c>
      <c r="AD696" s="8" t="n">
        <f aca="false">IF(Q696,B696,AD695)</f>
        <v>0.924009822639889</v>
      </c>
      <c r="AE696" s="8" t="str">
        <f aca="false">IF(AA696,L696,"")</f>
        <v/>
      </c>
      <c r="AF696" s="8" t="n">
        <f aca="false">U696</f>
        <v>0.905666812067299</v>
      </c>
      <c r="AG696" s="2" t="n">
        <f aca="false">AG695+IF(Q696,1,0)</f>
        <v>5</v>
      </c>
      <c r="AH696" s="2" t="n">
        <f aca="false">AG695</f>
        <v>5</v>
      </c>
      <c r="AI696" s="10" t="n">
        <f aca="false">X696+Y696*(E696-AB696)-Y696*AD696*Inputs!$B$13*(A696-AC696)</f>
        <v>1033.95059491852</v>
      </c>
      <c r="AJ696" s="10" t="n">
        <v>0</v>
      </c>
      <c r="AK696" s="8" t="n">
        <f aca="false">IF(AND(B696&lt;=U696,NOT(Q696)),B696,U696)*(1-Inputs!$B$12)</f>
        <v>0.905485678704885</v>
      </c>
    </row>
    <row r="697" customFormat="false" ht="15" hidden="false" customHeight="false" outlineLevel="0" collapsed="false">
      <c r="A697" s="6" t="n">
        <v>45481</v>
      </c>
      <c r="B697" s="7" t="n">
        <v>0.923146416988422</v>
      </c>
      <c r="C697" s="7" t="n">
        <v>0.924279060636755</v>
      </c>
      <c r="D697" s="7" t="n">
        <v>0.922085600787152</v>
      </c>
      <c r="E697" s="7" t="n">
        <v>0.923153937914448</v>
      </c>
      <c r="F697" s="8" t="n">
        <f aca="true">IF(ROW()-2&gt;=Inputs!$B$4,AVERAGE(OFFSET(E697,1-Inputs!$B$4,0,Inputs!$B$4,1)),"")</f>
        <v>0.928058470609136</v>
      </c>
      <c r="G697" s="8" t="n">
        <f aca="true">IF(ROW()-2&gt;=Inputs!$B$5,AVERAGE(OFFSET(E697,1-Inputs!$B$5,0,Inputs!$B$5,1)),"")</f>
        <v>0.908594518893178</v>
      </c>
      <c r="H697" s="8" t="n">
        <f aca="false">MAX(C697-D697,ABS(C697-E696),ABS(D697-E696))</f>
        <v>0.00219345984960251</v>
      </c>
      <c r="I697" s="8" t="n">
        <f aca="true">IF(ROW()-2&lt;14,"",IF(ROW()-2=14,AVERAGE(OFFSET(H697,-13,0,14,1)),(I696*13+H697)/14))</f>
        <v>0.0100189298931483</v>
      </c>
      <c r="J697" s="9" t="b">
        <f aca="false">IF(AND(ISNUMBER(F697),ISNUMBER(G697),ISNUMBER(F696),ISNUMBER(G696)),AND(F697&gt;G697,F696&lt;=G696),FALSE())</f>
        <v>0</v>
      </c>
      <c r="K697" s="9" t="b">
        <f aca="false">IF(AND(ISNUMBER(F697),ISNUMBER(G697),ISNUMBER(F696),ISNUMBER(G696)),AND(F697&lt;G697,F696&gt;=G696),FALSE())</f>
        <v>0</v>
      </c>
      <c r="L697" s="8" t="n">
        <f aca="false">IF(ISNUMBER(I697),E697-Inputs!$B$6*I697,"")</f>
        <v>0.903116078128151</v>
      </c>
      <c r="M697" s="9" t="b">
        <f aca="false">AND(Y696&gt;0,Z696)</f>
        <v>0</v>
      </c>
      <c r="N697" s="8" t="n">
        <f aca="false">B697*(1-Inputs!$B$12)</f>
        <v>0.922961787705025</v>
      </c>
      <c r="O697" s="10" t="n">
        <f aca="false">IF(M697,Y696*(N697-AB696)-Inputs!$B$9-Y696*AD696*Inputs!$B$13*(A697-AC696),0)</f>
        <v>0</v>
      </c>
      <c r="P697" s="10" t="n">
        <f aca="false">X696+O697</f>
        <v>1036.10316126448</v>
      </c>
      <c r="Q697" s="9" t="b">
        <f aca="false">AND(IF(M697,0,Y696)=0,AA696,IF(ISNUMBER(AE696),B697&gt;AE696,FALSE()))</f>
        <v>0</v>
      </c>
      <c r="R697" s="8" t="n">
        <f aca="false">B697*(1+Inputs!$B$12)</f>
        <v>0.92333104627182</v>
      </c>
      <c r="S697" s="11" t="n">
        <f aca="false">IF(Q697,MIN(P697*Inputs!$B$3/(R697-AE696),P697*Inputs!$B$11/R697),0)</f>
        <v>0</v>
      </c>
      <c r="T697" s="11" t="n">
        <f aca="false">IF(Q697,S697,IF(M697,0,Y696))</f>
        <v>559.754779031112</v>
      </c>
      <c r="U697" s="8" t="n">
        <f aca="false">IF(Q697,AE696,AF696)</f>
        <v>0.905666812067299</v>
      </c>
      <c r="V697" s="9" t="b">
        <f aca="false">AND(T697&gt;0,D697&lt;=U697)</f>
        <v>0</v>
      </c>
      <c r="W697" s="10" t="n">
        <f aca="false">IF(V697,T697*(AK697-AB697)-Inputs!$B$9-T697*AD697*Inputs!$B$13*(A697-AC697),0)</f>
        <v>0</v>
      </c>
      <c r="X697" s="10" t="n">
        <f aca="false">P697-IF(Q697,Inputs!$B$9,0)+W697</f>
        <v>1036.10316126448</v>
      </c>
      <c r="Y697" s="11" t="n">
        <f aca="false">IF(V697,0,T697)</f>
        <v>559.754779031112</v>
      </c>
      <c r="Z697" s="9" t="b">
        <f aca="false">AND(Y697&gt;0,K697)</f>
        <v>0</v>
      </c>
      <c r="AA697" s="9" t="b">
        <f aca="false">AND(Y697=0,J697,ISNUMBER(L697))</f>
        <v>0</v>
      </c>
      <c r="AB697" s="8" t="n">
        <f aca="false">IF(Q697,R697,AB696)</f>
        <v>0.924194624604417</v>
      </c>
      <c r="AC697" s="12" t="n">
        <f aca="false">IF(Q697,A697,AC696)</f>
        <v>45463</v>
      </c>
      <c r="AD697" s="8" t="n">
        <f aca="false">IF(Q697,B697,AD696)</f>
        <v>0.924009822639889</v>
      </c>
      <c r="AE697" s="8" t="str">
        <f aca="false">IF(AA697,L697,"")</f>
        <v/>
      </c>
      <c r="AF697" s="8" t="n">
        <f aca="false">U697</f>
        <v>0.905666812067299</v>
      </c>
      <c r="AG697" s="2" t="n">
        <f aca="false">AG696+IF(Q697,1,0)</f>
        <v>5</v>
      </c>
      <c r="AH697" s="2" t="n">
        <f aca="false">AG696</f>
        <v>5</v>
      </c>
      <c r="AI697" s="10" t="n">
        <f aca="false">X697+Y697*(E697-AB697)-Y697*AD697*Inputs!$B$13*(A697-AC697)</f>
        <v>1033.86269731495</v>
      </c>
      <c r="AJ697" s="10" t="n">
        <v>0</v>
      </c>
      <c r="AK697" s="8" t="n">
        <f aca="false">IF(AND(B697&lt;=U697,NOT(Q697)),B697,U697)*(1-Inputs!$B$12)</f>
        <v>0.905485678704885</v>
      </c>
    </row>
    <row r="698" customFormat="false" ht="15" hidden="false" customHeight="false" outlineLevel="0" collapsed="false">
      <c r="A698" s="6" t="n">
        <v>45482</v>
      </c>
      <c r="B698" s="7" t="n">
        <v>0.923153937914448</v>
      </c>
      <c r="C698" s="7" t="n">
        <v>0.927901850169781</v>
      </c>
      <c r="D698" s="7" t="n">
        <v>0.91814871369416</v>
      </c>
      <c r="E698" s="7" t="n">
        <v>0.91871740357421</v>
      </c>
      <c r="F698" s="8" t="n">
        <f aca="true">IF(ROW()-2&gt;=Inputs!$B$4,AVERAGE(OFFSET(E698,1-Inputs!$B$4,0,Inputs!$B$4,1)),"")</f>
        <v>0.927793849655852</v>
      </c>
      <c r="G698" s="8" t="n">
        <f aca="true">IF(ROW()-2&gt;=Inputs!$B$5,AVERAGE(OFFSET(E698,1-Inputs!$B$5,0,Inputs!$B$5,1)),"")</f>
        <v>0.908991333889141</v>
      </c>
      <c r="H698" s="8" t="n">
        <f aca="false">MAX(C698-D698,ABS(C698-E697),ABS(D698-E697))</f>
        <v>0.00975313647562093</v>
      </c>
      <c r="I698" s="8" t="n">
        <f aca="true">IF(ROW()-2&lt;14,"",IF(ROW()-2=14,AVERAGE(OFFSET(H698,-13,0,14,1)),(I697*13+H698)/14))</f>
        <v>0.00999994464903924</v>
      </c>
      <c r="J698" s="9" t="b">
        <f aca="false">IF(AND(ISNUMBER(F698),ISNUMBER(G698),ISNUMBER(F697),ISNUMBER(G697)),AND(F698&gt;G698,F697&lt;=G697),FALSE())</f>
        <v>0</v>
      </c>
      <c r="K698" s="9" t="b">
        <f aca="false">IF(AND(ISNUMBER(F698),ISNUMBER(G698),ISNUMBER(F697),ISNUMBER(G697)),AND(F698&lt;G698,F697&gt;=G697),FALSE())</f>
        <v>0</v>
      </c>
      <c r="L698" s="8" t="n">
        <f aca="false">IF(ISNUMBER(I698),E698-Inputs!$B$6*I698,"")</f>
        <v>0.898717514276131</v>
      </c>
      <c r="M698" s="9" t="b">
        <f aca="false">AND(Y697&gt;0,Z697)</f>
        <v>0</v>
      </c>
      <c r="N698" s="8" t="n">
        <f aca="false">B698*(1-Inputs!$B$12)</f>
        <v>0.922969307126865</v>
      </c>
      <c r="O698" s="10" t="n">
        <f aca="false">IF(M698,Y697*(N698-AB697)-Inputs!$B$9-Y697*AD697*Inputs!$B$13*(A698-AC697),0)</f>
        <v>0</v>
      </c>
      <c r="P698" s="10" t="n">
        <f aca="false">X697+O698</f>
        <v>1036.10316126448</v>
      </c>
      <c r="Q698" s="9" t="b">
        <f aca="false">AND(IF(M698,0,Y697)=0,AA697,IF(ISNUMBER(AE697),B698&gt;AE697,FALSE()))</f>
        <v>0</v>
      </c>
      <c r="R698" s="8" t="n">
        <f aca="false">B698*(1+Inputs!$B$12)</f>
        <v>0.923338568702031</v>
      </c>
      <c r="S698" s="11" t="n">
        <f aca="false">IF(Q698,MIN(P698*Inputs!$B$3/(R698-AE697),P698*Inputs!$B$11/R698),0)</f>
        <v>0</v>
      </c>
      <c r="T698" s="11" t="n">
        <f aca="false">IF(Q698,S698,IF(M698,0,Y697))</f>
        <v>559.754779031112</v>
      </c>
      <c r="U698" s="8" t="n">
        <f aca="false">IF(Q698,AE697,AF697)</f>
        <v>0.905666812067299</v>
      </c>
      <c r="V698" s="9" t="b">
        <f aca="false">AND(T698&gt;0,D698&lt;=U698)</f>
        <v>0</v>
      </c>
      <c r="W698" s="10" t="n">
        <f aca="false">IF(V698,T698*(AK698-AB698)-Inputs!$B$9-T698*AD698*Inputs!$B$13*(A698-AC698),0)</f>
        <v>0</v>
      </c>
      <c r="X698" s="10" t="n">
        <f aca="false">P698-IF(Q698,Inputs!$B$9,0)+W698</f>
        <v>1036.10316126448</v>
      </c>
      <c r="Y698" s="11" t="n">
        <f aca="false">IF(V698,0,T698)</f>
        <v>559.754779031112</v>
      </c>
      <c r="Z698" s="9" t="b">
        <f aca="false">AND(Y698&gt;0,K698)</f>
        <v>0</v>
      </c>
      <c r="AA698" s="9" t="b">
        <f aca="false">AND(Y698=0,J698,ISNUMBER(L698))</f>
        <v>0</v>
      </c>
      <c r="AB698" s="8" t="n">
        <f aca="false">IF(Q698,R698,AB697)</f>
        <v>0.924194624604417</v>
      </c>
      <c r="AC698" s="12" t="n">
        <f aca="false">IF(Q698,A698,AC697)</f>
        <v>45463</v>
      </c>
      <c r="AD698" s="8" t="n">
        <f aca="false">IF(Q698,B698,AD697)</f>
        <v>0.924009822639889</v>
      </c>
      <c r="AE698" s="8" t="str">
        <f aca="false">IF(AA698,L698,"")</f>
        <v/>
      </c>
      <c r="AF698" s="8" t="n">
        <f aca="false">U698</f>
        <v>0.905666812067299</v>
      </c>
      <c r="AG698" s="2" t="n">
        <f aca="false">AG697+IF(Q698,1,0)</f>
        <v>5</v>
      </c>
      <c r="AH698" s="2" t="n">
        <f aca="false">AG697</f>
        <v>5</v>
      </c>
      <c r="AI698" s="10" t="n">
        <f aca="false">X698+Y698*(E698-AB698)-Y698*AD698*Inputs!$B$13*(A698-AC698)</f>
        <v>1031.28721853781</v>
      </c>
      <c r="AJ698" s="10" t="n">
        <v>0</v>
      </c>
      <c r="AK698" s="8" t="n">
        <f aca="false">IF(AND(B698&lt;=U698,NOT(Q698)),B698,U698)*(1-Inputs!$B$12)</f>
        <v>0.905485678704885</v>
      </c>
    </row>
    <row r="699" customFormat="false" ht="15" hidden="false" customHeight="false" outlineLevel="0" collapsed="false">
      <c r="A699" s="6" t="n">
        <v>45483</v>
      </c>
      <c r="B699" s="7" t="n">
        <v>0.91871740357421</v>
      </c>
      <c r="C699" s="7" t="n">
        <v>0.928241893401737</v>
      </c>
      <c r="D699" s="7" t="n">
        <v>0.917627493446236</v>
      </c>
      <c r="E699" s="7" t="n">
        <v>0.922131010818849</v>
      </c>
      <c r="F699" s="8" t="n">
        <f aca="true">IF(ROW()-2&gt;=Inputs!$B$4,AVERAGE(OFFSET(E699,1-Inputs!$B$4,0,Inputs!$B$4,1)),"")</f>
        <v>0.927359595213149</v>
      </c>
      <c r="G699" s="8" t="n">
        <f aca="true">IF(ROW()-2&gt;=Inputs!$B$5,AVERAGE(OFFSET(E699,1-Inputs!$B$5,0,Inputs!$B$5,1)),"")</f>
        <v>0.909500204942566</v>
      </c>
      <c r="H699" s="8" t="n">
        <f aca="false">MAX(C699-D699,ABS(C699-E698),ABS(D699-E698))</f>
        <v>0.0106143999555015</v>
      </c>
      <c r="I699" s="8" t="n">
        <f aca="true">IF(ROW()-2&lt;14,"",IF(ROW()-2=14,AVERAGE(OFFSET(H699,-13,0,14,1)),(I698*13+H699)/14))</f>
        <v>0.0100438343137865</v>
      </c>
      <c r="J699" s="9" t="b">
        <f aca="false">IF(AND(ISNUMBER(F699),ISNUMBER(G699),ISNUMBER(F698),ISNUMBER(G698)),AND(F699&gt;G699,F698&lt;=G698),FALSE())</f>
        <v>0</v>
      </c>
      <c r="K699" s="9" t="b">
        <f aca="false">IF(AND(ISNUMBER(F699),ISNUMBER(G699),ISNUMBER(F698),ISNUMBER(G698)),AND(F699&lt;G699,F698&gt;=G698),FALSE())</f>
        <v>0</v>
      </c>
      <c r="L699" s="8" t="n">
        <f aca="false">IF(ISNUMBER(I699),E699-Inputs!$B$6*I699,"")</f>
        <v>0.902043342191276</v>
      </c>
      <c r="M699" s="9" t="b">
        <f aca="false">AND(Y698&gt;0,Z698)</f>
        <v>0</v>
      </c>
      <c r="N699" s="8" t="n">
        <f aca="false">B699*(1-Inputs!$B$12)</f>
        <v>0.918533660093495</v>
      </c>
      <c r="O699" s="10" t="n">
        <f aca="false">IF(M699,Y698*(N699-AB698)-Inputs!$B$9-Y698*AD698*Inputs!$B$13*(A699-AC698),0)</f>
        <v>0</v>
      </c>
      <c r="P699" s="10" t="n">
        <f aca="false">X698+O699</f>
        <v>1036.10316126448</v>
      </c>
      <c r="Q699" s="9" t="b">
        <f aca="false">AND(IF(M699,0,Y698)=0,AA698,IF(ISNUMBER(AE698),B699&gt;AE698,FALSE()))</f>
        <v>0</v>
      </c>
      <c r="R699" s="8" t="n">
        <f aca="false">B699*(1+Inputs!$B$12)</f>
        <v>0.918901147054924</v>
      </c>
      <c r="S699" s="11" t="n">
        <f aca="false">IF(Q699,MIN(P699*Inputs!$B$3/(R699-AE698),P699*Inputs!$B$11/R699),0)</f>
        <v>0</v>
      </c>
      <c r="T699" s="11" t="n">
        <f aca="false">IF(Q699,S699,IF(M699,0,Y698))</f>
        <v>559.754779031112</v>
      </c>
      <c r="U699" s="8" t="n">
        <f aca="false">IF(Q699,AE698,AF698)</f>
        <v>0.905666812067299</v>
      </c>
      <c r="V699" s="9" t="b">
        <f aca="false">AND(T699&gt;0,D699&lt;=U699)</f>
        <v>0</v>
      </c>
      <c r="W699" s="10" t="n">
        <f aca="false">IF(V699,T699*(AK699-AB699)-Inputs!$B$9-T699*AD699*Inputs!$B$13*(A699-AC699),0)</f>
        <v>0</v>
      </c>
      <c r="X699" s="10" t="n">
        <f aca="false">P699-IF(Q699,Inputs!$B$9,0)+W699</f>
        <v>1036.10316126448</v>
      </c>
      <c r="Y699" s="11" t="n">
        <f aca="false">IF(V699,0,T699)</f>
        <v>559.754779031112</v>
      </c>
      <c r="Z699" s="9" t="b">
        <f aca="false">AND(Y699&gt;0,K699)</f>
        <v>0</v>
      </c>
      <c r="AA699" s="9" t="b">
        <f aca="false">AND(Y699=0,J699,ISNUMBER(L699))</f>
        <v>0</v>
      </c>
      <c r="AB699" s="8" t="n">
        <f aca="false">IF(Q699,R699,AB698)</f>
        <v>0.924194624604417</v>
      </c>
      <c r="AC699" s="12" t="n">
        <f aca="false">IF(Q699,A699,AC698)</f>
        <v>45463</v>
      </c>
      <c r="AD699" s="8" t="n">
        <f aca="false">IF(Q699,B699,AD698)</f>
        <v>0.924009822639889</v>
      </c>
      <c r="AE699" s="8" t="str">
        <f aca="false">IF(AA699,L699,"")</f>
        <v/>
      </c>
      <c r="AF699" s="8" t="n">
        <f aca="false">U699</f>
        <v>0.905666812067299</v>
      </c>
      <c r="AG699" s="2" t="n">
        <f aca="false">AG698+IF(Q699,1,0)</f>
        <v>5</v>
      </c>
      <c r="AH699" s="2" t="n">
        <f aca="false">AG698</f>
        <v>5</v>
      </c>
      <c r="AI699" s="10" t="n">
        <f aca="false">X699+Y699*(E699-AB699)-Y699*AD699*Inputs!$B$13*(A699-AC699)</f>
        <v>1033.10589402888</v>
      </c>
      <c r="AJ699" s="10" t="n">
        <v>0</v>
      </c>
      <c r="AK699" s="8" t="n">
        <f aca="false">IF(AND(B699&lt;=U699,NOT(Q699)),B699,U699)*(1-Inputs!$B$12)</f>
        <v>0.905485678704885</v>
      </c>
    </row>
    <row r="700" customFormat="false" ht="15" hidden="false" customHeight="false" outlineLevel="0" collapsed="false">
      <c r="A700" s="6" t="n">
        <v>45484</v>
      </c>
      <c r="B700" s="7" t="n">
        <v>0.922131010818849</v>
      </c>
      <c r="C700" s="7" t="n">
        <v>0.92474219316042</v>
      </c>
      <c r="D700" s="7" t="n">
        <v>0.918370965268635</v>
      </c>
      <c r="E700" s="7" t="n">
        <v>0.923437669462905</v>
      </c>
      <c r="F700" s="8" t="n">
        <f aca="true">IF(ROW()-2&gt;=Inputs!$B$4,AVERAGE(OFFSET(E700,1-Inputs!$B$4,0,Inputs!$B$4,1)),"")</f>
        <v>0.927025332844175</v>
      </c>
      <c r="G700" s="8" t="n">
        <f aca="true">IF(ROW()-2&gt;=Inputs!$B$5,AVERAGE(OFFSET(E700,1-Inputs!$B$5,0,Inputs!$B$5,1)),"")</f>
        <v>0.910312309516231</v>
      </c>
      <c r="H700" s="8" t="n">
        <f aca="false">MAX(C700-D700,ABS(C700-E699),ABS(D700-E699))</f>
        <v>0.00637122789178579</v>
      </c>
      <c r="I700" s="8" t="n">
        <f aca="true">IF(ROW()-2&lt;14,"",IF(ROW()-2=14,AVERAGE(OFFSET(H700,-13,0,14,1)),(I699*13+H700)/14))</f>
        <v>0.00978150528364363</v>
      </c>
      <c r="J700" s="9" t="b">
        <f aca="false">IF(AND(ISNUMBER(F700),ISNUMBER(G700),ISNUMBER(F699),ISNUMBER(G699)),AND(F700&gt;G700,F699&lt;=G699),FALSE())</f>
        <v>0</v>
      </c>
      <c r="K700" s="9" t="b">
        <f aca="false">IF(AND(ISNUMBER(F700),ISNUMBER(G700),ISNUMBER(F699),ISNUMBER(G699)),AND(F700&lt;G700,F699&gt;=G699),FALSE())</f>
        <v>0</v>
      </c>
      <c r="L700" s="8" t="n">
        <f aca="false">IF(ISNUMBER(I700),E700-Inputs!$B$6*I700,"")</f>
        <v>0.903874658895618</v>
      </c>
      <c r="M700" s="9" t="b">
        <f aca="false">AND(Y699&gt;0,Z699)</f>
        <v>0</v>
      </c>
      <c r="N700" s="8" t="n">
        <f aca="false">B700*(1-Inputs!$B$12)</f>
        <v>0.921946584616686</v>
      </c>
      <c r="O700" s="10" t="n">
        <f aca="false">IF(M700,Y699*(N700-AB699)-Inputs!$B$9-Y699*AD699*Inputs!$B$13*(A700-AC699),0)</f>
        <v>0</v>
      </c>
      <c r="P700" s="10" t="n">
        <f aca="false">X699+O700</f>
        <v>1036.10316126448</v>
      </c>
      <c r="Q700" s="9" t="b">
        <f aca="false">AND(IF(M700,0,Y699)=0,AA699,IF(ISNUMBER(AE699),B700&gt;AE699,FALSE()))</f>
        <v>0</v>
      </c>
      <c r="R700" s="8" t="n">
        <f aca="false">B700*(1+Inputs!$B$12)</f>
        <v>0.922315437021013</v>
      </c>
      <c r="S700" s="11" t="n">
        <f aca="false">IF(Q700,MIN(P700*Inputs!$B$3/(R700-AE699),P700*Inputs!$B$11/R700),0)</f>
        <v>0</v>
      </c>
      <c r="T700" s="11" t="n">
        <f aca="false">IF(Q700,S700,IF(M700,0,Y699))</f>
        <v>559.754779031112</v>
      </c>
      <c r="U700" s="8" t="n">
        <f aca="false">IF(Q700,AE699,AF699)</f>
        <v>0.905666812067299</v>
      </c>
      <c r="V700" s="9" t="b">
        <f aca="false">AND(T700&gt;0,D700&lt;=U700)</f>
        <v>0</v>
      </c>
      <c r="W700" s="10" t="n">
        <f aca="false">IF(V700,T700*(AK700-AB700)-Inputs!$B$9-T700*AD700*Inputs!$B$13*(A700-AC700),0)</f>
        <v>0</v>
      </c>
      <c r="X700" s="10" t="n">
        <f aca="false">P700-IF(Q700,Inputs!$B$9,0)+W700</f>
        <v>1036.10316126448</v>
      </c>
      <c r="Y700" s="11" t="n">
        <f aca="false">IF(V700,0,T700)</f>
        <v>559.754779031112</v>
      </c>
      <c r="Z700" s="9" t="b">
        <f aca="false">AND(Y700&gt;0,K700)</f>
        <v>0</v>
      </c>
      <c r="AA700" s="9" t="b">
        <f aca="false">AND(Y700=0,J700,ISNUMBER(L700))</f>
        <v>0</v>
      </c>
      <c r="AB700" s="8" t="n">
        <f aca="false">IF(Q700,R700,AB699)</f>
        <v>0.924194624604417</v>
      </c>
      <c r="AC700" s="12" t="n">
        <f aca="false">IF(Q700,A700,AC699)</f>
        <v>45463</v>
      </c>
      <c r="AD700" s="8" t="n">
        <f aca="false">IF(Q700,B700,AD699)</f>
        <v>0.924009822639889</v>
      </c>
      <c r="AE700" s="8" t="str">
        <f aca="false">IF(AA700,L700,"")</f>
        <v/>
      </c>
      <c r="AF700" s="8" t="n">
        <f aca="false">U700</f>
        <v>0.905666812067299</v>
      </c>
      <c r="AG700" s="2" t="n">
        <f aca="false">AG699+IF(Q700,1,0)</f>
        <v>5</v>
      </c>
      <c r="AH700" s="2" t="n">
        <f aca="false">AG699</f>
        <v>5</v>
      </c>
      <c r="AI700" s="10" t="n">
        <f aca="false">X700+Y700*(E700-AB700)-Y700*AD700*Inputs!$B$13*(A700-AC700)</f>
        <v>1033.7451949716</v>
      </c>
      <c r="AJ700" s="10" t="n">
        <v>0</v>
      </c>
      <c r="AK700" s="8" t="n">
        <f aca="false">IF(AND(B700&lt;=U700,NOT(Q700)),B700,U700)*(1-Inputs!$B$12)</f>
        <v>0.905485678704885</v>
      </c>
    </row>
    <row r="701" customFormat="false" ht="15" hidden="false" customHeight="false" outlineLevel="0" collapsed="false">
      <c r="A701" s="6" t="n">
        <v>45485</v>
      </c>
      <c r="B701" s="7" t="n">
        <v>0.923437669462905</v>
      </c>
      <c r="C701" s="7" t="n">
        <v>0.924843489800423</v>
      </c>
      <c r="D701" s="7" t="n">
        <v>0.922564777198603</v>
      </c>
      <c r="E701" s="7" t="n">
        <v>0.923093414677691</v>
      </c>
      <c r="F701" s="8" t="n">
        <f aca="true">IF(ROW()-2&gt;=Inputs!$B$4,AVERAGE(OFFSET(E701,1-Inputs!$B$4,0,Inputs!$B$4,1)),"")</f>
        <v>0.927344710325875</v>
      </c>
      <c r="G701" s="8" t="n">
        <f aca="true">IF(ROW()-2&gt;=Inputs!$B$5,AVERAGE(OFFSET(E701,1-Inputs!$B$5,0,Inputs!$B$5,1)),"")</f>
        <v>0.911099676425448</v>
      </c>
      <c r="H701" s="8" t="n">
        <f aca="false">MAX(C701-D701,ABS(C701-E700),ABS(D701-E700))</f>
        <v>0.00227871260181922</v>
      </c>
      <c r="I701" s="8" t="n">
        <f aca="true">IF(ROW()-2&lt;14,"",IF(ROW()-2=14,AVERAGE(OFFSET(H701,-13,0,14,1)),(I700*13+H701)/14))</f>
        <v>0.00924559152065617</v>
      </c>
      <c r="J701" s="9" t="b">
        <f aca="false">IF(AND(ISNUMBER(F701),ISNUMBER(G701),ISNUMBER(F700),ISNUMBER(G700)),AND(F701&gt;G701,F700&lt;=G700),FALSE())</f>
        <v>0</v>
      </c>
      <c r="K701" s="9" t="b">
        <f aca="false">IF(AND(ISNUMBER(F701),ISNUMBER(G701),ISNUMBER(F700),ISNUMBER(G700)),AND(F701&lt;G701,F700&gt;=G700),FALSE())</f>
        <v>0</v>
      </c>
      <c r="L701" s="8" t="n">
        <f aca="false">IF(ISNUMBER(I701),E701-Inputs!$B$6*I701,"")</f>
        <v>0.904602231636379</v>
      </c>
      <c r="M701" s="9" t="b">
        <f aca="false">AND(Y700&gt;0,Z700)</f>
        <v>0</v>
      </c>
      <c r="N701" s="8" t="n">
        <f aca="false">B701*(1-Inputs!$B$12)</f>
        <v>0.923252981929013</v>
      </c>
      <c r="O701" s="10" t="n">
        <f aca="false">IF(M701,Y700*(N701-AB700)-Inputs!$B$9-Y700*AD700*Inputs!$B$13*(A701-AC700),0)</f>
        <v>0</v>
      </c>
      <c r="P701" s="10" t="n">
        <f aca="false">X700+O701</f>
        <v>1036.10316126448</v>
      </c>
      <c r="Q701" s="9" t="b">
        <f aca="false">AND(IF(M701,0,Y700)=0,AA700,IF(ISNUMBER(AE700),B701&gt;AE700,FALSE()))</f>
        <v>0</v>
      </c>
      <c r="R701" s="8" t="n">
        <f aca="false">B701*(1+Inputs!$B$12)</f>
        <v>0.923622356996798</v>
      </c>
      <c r="S701" s="11" t="n">
        <f aca="false">IF(Q701,MIN(P701*Inputs!$B$3/(R701-AE700),P701*Inputs!$B$11/R701),0)</f>
        <v>0</v>
      </c>
      <c r="T701" s="11" t="n">
        <f aca="false">IF(Q701,S701,IF(M701,0,Y700))</f>
        <v>559.754779031112</v>
      </c>
      <c r="U701" s="8" t="n">
        <f aca="false">IF(Q701,AE700,AF700)</f>
        <v>0.905666812067299</v>
      </c>
      <c r="V701" s="9" t="b">
        <f aca="false">AND(T701&gt;0,D701&lt;=U701)</f>
        <v>0</v>
      </c>
      <c r="W701" s="10" t="n">
        <f aca="false">IF(V701,T701*(AK701-AB701)-Inputs!$B$9-T701*AD701*Inputs!$B$13*(A701-AC701),0)</f>
        <v>0</v>
      </c>
      <c r="X701" s="10" t="n">
        <f aca="false">P701-IF(Q701,Inputs!$B$9,0)+W701</f>
        <v>1036.10316126448</v>
      </c>
      <c r="Y701" s="11" t="n">
        <f aca="false">IF(V701,0,T701)</f>
        <v>559.754779031112</v>
      </c>
      <c r="Z701" s="9" t="b">
        <f aca="false">AND(Y701&gt;0,K701)</f>
        <v>0</v>
      </c>
      <c r="AA701" s="9" t="b">
        <f aca="false">AND(Y701=0,J701,ISNUMBER(L701))</f>
        <v>0</v>
      </c>
      <c r="AB701" s="8" t="n">
        <f aca="false">IF(Q701,R701,AB700)</f>
        <v>0.924194624604417</v>
      </c>
      <c r="AC701" s="12" t="n">
        <f aca="false">IF(Q701,A701,AC700)</f>
        <v>45463</v>
      </c>
      <c r="AD701" s="8" t="n">
        <f aca="false">IF(Q701,B701,AD700)</f>
        <v>0.924009822639889</v>
      </c>
      <c r="AE701" s="8" t="str">
        <f aca="false">IF(AA701,L701,"")</f>
        <v/>
      </c>
      <c r="AF701" s="8" t="n">
        <f aca="false">U701</f>
        <v>0.905666812067299</v>
      </c>
      <c r="AG701" s="2" t="n">
        <f aca="false">AG700+IF(Q701,1,0)</f>
        <v>5</v>
      </c>
      <c r="AH701" s="2" t="n">
        <f aca="false">AG700</f>
        <v>5</v>
      </c>
      <c r="AI701" s="10" t="n">
        <f aca="false">X701+Y701*(E701-AB701)-Y701*AD701*Inputs!$B$13*(A701-AC701)</f>
        <v>1033.46038923252</v>
      </c>
      <c r="AJ701" s="10" t="n">
        <v>0</v>
      </c>
      <c r="AK701" s="8" t="n">
        <f aca="false">IF(AND(B701&lt;=U701,NOT(Q701)),B701,U701)*(1-Inputs!$B$12)</f>
        <v>0.905485678704885</v>
      </c>
    </row>
    <row r="702" customFormat="false" ht="15" hidden="false" customHeight="false" outlineLevel="0" collapsed="false">
      <c r="A702" s="6" t="n">
        <v>45486</v>
      </c>
      <c r="B702" s="7" t="n">
        <v>0.923093414677691</v>
      </c>
      <c r="C702" s="7" t="n">
        <v>0.925108284907866</v>
      </c>
      <c r="D702" s="7" t="n">
        <v>0.921143439093034</v>
      </c>
      <c r="E702" s="7" t="n">
        <v>0.921953998996817</v>
      </c>
      <c r="F702" s="8" t="n">
        <f aca="true">IF(ROW()-2&gt;=Inputs!$B$4,AVERAGE(OFFSET(E702,1-Inputs!$B$4,0,Inputs!$B$4,1)),"")</f>
        <v>0.927712687108479</v>
      </c>
      <c r="G702" s="8" t="n">
        <f aca="true">IF(ROW()-2&gt;=Inputs!$B$5,AVERAGE(OFFSET(E702,1-Inputs!$B$5,0,Inputs!$B$5,1)),"")</f>
        <v>0.911839385016728</v>
      </c>
      <c r="H702" s="8" t="n">
        <f aca="false">MAX(C702-D702,ABS(C702-E701),ABS(D702-E701))</f>
        <v>0.00396484581483236</v>
      </c>
      <c r="I702" s="8" t="n">
        <f aca="true">IF(ROW()-2&lt;14,"",IF(ROW()-2=14,AVERAGE(OFFSET(H702,-13,0,14,1)),(I701*13+H702)/14))</f>
        <v>0.00886839539881162</v>
      </c>
      <c r="J702" s="9" t="b">
        <f aca="false">IF(AND(ISNUMBER(F702),ISNUMBER(G702),ISNUMBER(F701),ISNUMBER(G701)),AND(F702&gt;G702,F701&lt;=G701),FALSE())</f>
        <v>0</v>
      </c>
      <c r="K702" s="9" t="b">
        <f aca="false">IF(AND(ISNUMBER(F702),ISNUMBER(G702),ISNUMBER(F701),ISNUMBER(G701)),AND(F702&lt;G702,F701&gt;=G701),FALSE())</f>
        <v>0</v>
      </c>
      <c r="L702" s="8" t="n">
        <f aca="false">IF(ISNUMBER(I702),E702-Inputs!$B$6*I702,"")</f>
        <v>0.904217208199194</v>
      </c>
      <c r="M702" s="9" t="b">
        <f aca="false">AND(Y701&gt;0,Z701)</f>
        <v>0</v>
      </c>
      <c r="N702" s="8" t="n">
        <f aca="false">B702*(1-Inputs!$B$12)</f>
        <v>0.922908795994756</v>
      </c>
      <c r="O702" s="10" t="n">
        <f aca="false">IF(M702,Y701*(N702-AB701)-Inputs!$B$9-Y701*AD701*Inputs!$B$13*(A702-AC701),0)</f>
        <v>0</v>
      </c>
      <c r="P702" s="10" t="n">
        <f aca="false">X701+O702</f>
        <v>1036.10316126448</v>
      </c>
      <c r="Q702" s="9" t="b">
        <f aca="false">AND(IF(M702,0,Y701)=0,AA701,IF(ISNUMBER(AE701),B702&gt;AE701,FALSE()))</f>
        <v>0</v>
      </c>
      <c r="R702" s="8" t="n">
        <f aca="false">B702*(1+Inputs!$B$12)</f>
        <v>0.923278033360627</v>
      </c>
      <c r="S702" s="11" t="n">
        <f aca="false">IF(Q702,MIN(P702*Inputs!$B$3/(R702-AE701),P702*Inputs!$B$11/R702),0)</f>
        <v>0</v>
      </c>
      <c r="T702" s="11" t="n">
        <f aca="false">IF(Q702,S702,IF(M702,0,Y701))</f>
        <v>559.754779031112</v>
      </c>
      <c r="U702" s="8" t="n">
        <f aca="false">IF(Q702,AE701,AF701)</f>
        <v>0.905666812067299</v>
      </c>
      <c r="V702" s="9" t="b">
        <f aca="false">AND(T702&gt;0,D702&lt;=U702)</f>
        <v>0</v>
      </c>
      <c r="W702" s="10" t="n">
        <f aca="false">IF(V702,T702*(AK702-AB702)-Inputs!$B$9-T702*AD702*Inputs!$B$13*(A702-AC702),0)</f>
        <v>0</v>
      </c>
      <c r="X702" s="10" t="n">
        <f aca="false">P702-IF(Q702,Inputs!$B$9,0)+W702</f>
        <v>1036.10316126448</v>
      </c>
      <c r="Y702" s="11" t="n">
        <f aca="false">IF(V702,0,T702)</f>
        <v>559.754779031112</v>
      </c>
      <c r="Z702" s="9" t="b">
        <f aca="false">AND(Y702&gt;0,K702)</f>
        <v>0</v>
      </c>
      <c r="AA702" s="9" t="b">
        <f aca="false">AND(Y702=0,J702,ISNUMBER(L702))</f>
        <v>0</v>
      </c>
      <c r="AB702" s="8" t="n">
        <f aca="false">IF(Q702,R702,AB701)</f>
        <v>0.924194624604417</v>
      </c>
      <c r="AC702" s="12" t="n">
        <f aca="false">IF(Q702,A702,AC701)</f>
        <v>45463</v>
      </c>
      <c r="AD702" s="8" t="n">
        <f aca="false">IF(Q702,B702,AD701)</f>
        <v>0.924009822639889</v>
      </c>
      <c r="AE702" s="8" t="str">
        <f aca="false">IF(AA702,L702,"")</f>
        <v/>
      </c>
      <c r="AF702" s="8" t="n">
        <f aca="false">U702</f>
        <v>0.905666812067299</v>
      </c>
      <c r="AG702" s="2" t="n">
        <f aca="false">AG701+IF(Q702,1,0)</f>
        <v>5</v>
      </c>
      <c r="AH702" s="2" t="n">
        <f aca="false">AG701</f>
        <v>5</v>
      </c>
      <c r="AI702" s="10" t="n">
        <f aca="false">X702+Y702*(E702-AB702)-Y702*AD702*Inputs!$B$13*(A702-AC702)</f>
        <v>1032.730488382</v>
      </c>
      <c r="AJ702" s="10" t="n">
        <v>0</v>
      </c>
      <c r="AK702" s="8" t="n">
        <f aca="false">IF(AND(B702&lt;=U702,NOT(Q702)),B702,U702)*(1-Inputs!$B$12)</f>
        <v>0.905485678704885</v>
      </c>
    </row>
    <row r="703" customFormat="false" ht="15" hidden="false" customHeight="false" outlineLevel="0" collapsed="false">
      <c r="A703" s="6" t="n">
        <v>45487</v>
      </c>
      <c r="B703" s="7" t="n">
        <v>0.921953998996817</v>
      </c>
      <c r="C703" s="7" t="n">
        <v>0.928586923362589</v>
      </c>
      <c r="D703" s="7" t="n">
        <v>0.913188093960729</v>
      </c>
      <c r="E703" s="7" t="n">
        <v>0.916290525971879</v>
      </c>
      <c r="F703" s="8" t="n">
        <f aca="true">IF(ROW()-2&gt;=Inputs!$B$4,AVERAGE(OFFSET(E703,1-Inputs!$B$4,0,Inputs!$B$4,1)),"")</f>
        <v>0.927408103032054</v>
      </c>
      <c r="G703" s="8" t="n">
        <f aca="true">IF(ROW()-2&gt;=Inputs!$B$5,AVERAGE(OFFSET(E703,1-Inputs!$B$5,0,Inputs!$B$5,1)),"")</f>
        <v>0.912388304258582</v>
      </c>
      <c r="H703" s="8" t="n">
        <f aca="false">MAX(C703-D703,ABS(C703-E702),ABS(D703-E702))</f>
        <v>0.0153988294018597</v>
      </c>
      <c r="I703" s="8" t="n">
        <f aca="true">IF(ROW()-2&lt;14,"",IF(ROW()-2=14,AVERAGE(OFFSET(H703,-13,0,14,1)),(I702*13+H703)/14))</f>
        <v>0.0093348549704579</v>
      </c>
      <c r="J703" s="9" t="b">
        <f aca="false">IF(AND(ISNUMBER(F703),ISNUMBER(G703),ISNUMBER(F702),ISNUMBER(G702)),AND(F703&gt;G703,F702&lt;=G702),FALSE())</f>
        <v>0</v>
      </c>
      <c r="K703" s="9" t="b">
        <f aca="false">IF(AND(ISNUMBER(F703),ISNUMBER(G703),ISNUMBER(F702),ISNUMBER(G702)),AND(F703&lt;G703,F702&gt;=G702),FALSE())</f>
        <v>0</v>
      </c>
      <c r="L703" s="8" t="n">
        <f aca="false">IF(ISNUMBER(I703),E703-Inputs!$B$6*I703,"")</f>
        <v>0.897620816030963</v>
      </c>
      <c r="M703" s="9" t="b">
        <f aca="false">AND(Y702&gt;0,Z702)</f>
        <v>0</v>
      </c>
      <c r="N703" s="8" t="n">
        <f aca="false">B703*(1-Inputs!$B$12)</f>
        <v>0.921769608197018</v>
      </c>
      <c r="O703" s="10" t="n">
        <f aca="false">IF(M703,Y702*(N703-AB702)-Inputs!$B$9-Y702*AD702*Inputs!$B$13*(A703-AC702),0)</f>
        <v>0</v>
      </c>
      <c r="P703" s="10" t="n">
        <f aca="false">X702+O703</f>
        <v>1036.10316126448</v>
      </c>
      <c r="Q703" s="9" t="b">
        <f aca="false">AND(IF(M703,0,Y702)=0,AA702,IF(ISNUMBER(AE702),B703&gt;AE702,FALSE()))</f>
        <v>0</v>
      </c>
      <c r="R703" s="8" t="n">
        <f aca="false">B703*(1+Inputs!$B$12)</f>
        <v>0.922138389796616</v>
      </c>
      <c r="S703" s="11" t="n">
        <f aca="false">IF(Q703,MIN(P703*Inputs!$B$3/(R703-AE702),P703*Inputs!$B$11/R703),0)</f>
        <v>0</v>
      </c>
      <c r="T703" s="11" t="n">
        <f aca="false">IF(Q703,S703,IF(M703,0,Y702))</f>
        <v>559.754779031112</v>
      </c>
      <c r="U703" s="8" t="n">
        <f aca="false">IF(Q703,AE702,AF702)</f>
        <v>0.905666812067299</v>
      </c>
      <c r="V703" s="9" t="b">
        <f aca="false">AND(T703&gt;0,D703&lt;=U703)</f>
        <v>0</v>
      </c>
      <c r="W703" s="10" t="n">
        <f aca="false">IF(V703,T703*(AK703-AB703)-Inputs!$B$9-T703*AD703*Inputs!$B$13*(A703-AC703),0)</f>
        <v>0</v>
      </c>
      <c r="X703" s="10" t="n">
        <f aca="false">P703-IF(Q703,Inputs!$B$9,0)+W703</f>
        <v>1036.10316126448</v>
      </c>
      <c r="Y703" s="11" t="n">
        <f aca="false">IF(V703,0,T703)</f>
        <v>559.754779031112</v>
      </c>
      <c r="Z703" s="9" t="b">
        <f aca="false">AND(Y703&gt;0,K703)</f>
        <v>0</v>
      </c>
      <c r="AA703" s="9" t="b">
        <f aca="false">AND(Y703=0,J703,ISNUMBER(L703))</f>
        <v>0</v>
      </c>
      <c r="AB703" s="8" t="n">
        <f aca="false">IF(Q703,R703,AB702)</f>
        <v>0.924194624604417</v>
      </c>
      <c r="AC703" s="12" t="n">
        <f aca="false">IF(Q703,A703,AC702)</f>
        <v>45463</v>
      </c>
      <c r="AD703" s="8" t="n">
        <f aca="false">IF(Q703,B703,AD702)</f>
        <v>0.924009822639889</v>
      </c>
      <c r="AE703" s="8" t="str">
        <f aca="false">IF(AA703,L703,"")</f>
        <v/>
      </c>
      <c r="AF703" s="8" t="n">
        <f aca="false">U703</f>
        <v>0.905666812067299</v>
      </c>
      <c r="AG703" s="2" t="n">
        <f aca="false">AG702+IF(Q703,1,0)</f>
        <v>5</v>
      </c>
      <c r="AH703" s="2" t="n">
        <f aca="false">AG702</f>
        <v>5</v>
      </c>
      <c r="AI703" s="10" t="n">
        <f aca="false">X703+Y703*(E703-AB703)-Y703*AD703*Inputs!$B$13*(A703-AC703)</f>
        <v>1029.46822481252</v>
      </c>
      <c r="AJ703" s="10" t="n">
        <v>0</v>
      </c>
      <c r="AK703" s="8" t="n">
        <f aca="false">IF(AND(B703&lt;=U703,NOT(Q703)),B703,U703)*(1-Inputs!$B$12)</f>
        <v>0.905485678704885</v>
      </c>
    </row>
    <row r="704" customFormat="false" ht="15" hidden="false" customHeight="false" outlineLevel="0" collapsed="false">
      <c r="A704" s="6" t="n">
        <v>45488</v>
      </c>
      <c r="B704" s="7" t="n">
        <v>0.916290525971879</v>
      </c>
      <c r="C704" s="7" t="n">
        <v>0.917141554314645</v>
      </c>
      <c r="D704" s="7" t="n">
        <v>0.912935592373469</v>
      </c>
      <c r="E704" s="7" t="n">
        <v>0.91405931292432</v>
      </c>
      <c r="F704" s="8" t="n">
        <f aca="true">IF(ROW()-2&gt;=Inputs!$B$4,AVERAGE(OFFSET(E704,1-Inputs!$B$4,0,Inputs!$B$4,1)),"")</f>
        <v>0.926534658623523</v>
      </c>
      <c r="G704" s="8" t="n">
        <f aca="true">IF(ROW()-2&gt;=Inputs!$B$5,AVERAGE(OFFSET(E704,1-Inputs!$B$5,0,Inputs!$B$5,1)),"")</f>
        <v>0.912832885683422</v>
      </c>
      <c r="H704" s="8" t="n">
        <f aca="false">MAX(C704-D704,ABS(C704-E703),ABS(D704-E703))</f>
        <v>0.00420596194117606</v>
      </c>
      <c r="I704" s="8" t="n">
        <f aca="true">IF(ROW()-2&lt;14,"",IF(ROW()-2=14,AVERAGE(OFFSET(H704,-13,0,14,1)),(I703*13+H704)/14))</f>
        <v>0.00896850546836634</v>
      </c>
      <c r="J704" s="9" t="b">
        <f aca="false">IF(AND(ISNUMBER(F704),ISNUMBER(G704),ISNUMBER(F703),ISNUMBER(G703)),AND(F704&gt;G704,F703&lt;=G703),FALSE())</f>
        <v>0</v>
      </c>
      <c r="K704" s="9" t="b">
        <f aca="false">IF(AND(ISNUMBER(F704),ISNUMBER(G704),ISNUMBER(F703),ISNUMBER(G703)),AND(F704&lt;G704,F703&gt;=G703),FALSE())</f>
        <v>0</v>
      </c>
      <c r="L704" s="8" t="n">
        <f aca="false">IF(ISNUMBER(I704),E704-Inputs!$B$6*I704,"")</f>
        <v>0.896122301987587</v>
      </c>
      <c r="M704" s="9" t="b">
        <f aca="false">AND(Y703&gt;0,Z703)</f>
        <v>0</v>
      </c>
      <c r="N704" s="8" t="n">
        <f aca="false">B704*(1-Inputs!$B$12)</f>
        <v>0.916107267866685</v>
      </c>
      <c r="O704" s="10" t="n">
        <f aca="false">IF(M704,Y703*(N704-AB703)-Inputs!$B$9-Y703*AD703*Inputs!$B$13*(A704-AC703),0)</f>
        <v>0</v>
      </c>
      <c r="P704" s="10" t="n">
        <f aca="false">X703+O704</f>
        <v>1036.10316126448</v>
      </c>
      <c r="Q704" s="9" t="b">
        <f aca="false">AND(IF(M704,0,Y703)=0,AA703,IF(ISNUMBER(AE703),B704&gt;AE703,FALSE()))</f>
        <v>0</v>
      </c>
      <c r="R704" s="8" t="n">
        <f aca="false">B704*(1+Inputs!$B$12)</f>
        <v>0.916473784077073</v>
      </c>
      <c r="S704" s="11" t="n">
        <f aca="false">IF(Q704,MIN(P704*Inputs!$B$3/(R704-AE703),P704*Inputs!$B$11/R704),0)</f>
        <v>0</v>
      </c>
      <c r="T704" s="11" t="n">
        <f aca="false">IF(Q704,S704,IF(M704,0,Y703))</f>
        <v>559.754779031112</v>
      </c>
      <c r="U704" s="8" t="n">
        <f aca="false">IF(Q704,AE703,AF703)</f>
        <v>0.905666812067299</v>
      </c>
      <c r="V704" s="9" t="b">
        <f aca="false">AND(T704&gt;0,D704&lt;=U704)</f>
        <v>0</v>
      </c>
      <c r="W704" s="10" t="n">
        <f aca="false">IF(V704,T704*(AK704-AB704)-Inputs!$B$9-T704*AD704*Inputs!$B$13*(A704-AC704),0)</f>
        <v>0</v>
      </c>
      <c r="X704" s="10" t="n">
        <f aca="false">P704-IF(Q704,Inputs!$B$9,0)+W704</f>
        <v>1036.10316126448</v>
      </c>
      <c r="Y704" s="11" t="n">
        <f aca="false">IF(V704,0,T704)</f>
        <v>559.754779031112</v>
      </c>
      <c r="Z704" s="9" t="b">
        <f aca="false">AND(Y704&gt;0,K704)</f>
        <v>0</v>
      </c>
      <c r="AA704" s="9" t="b">
        <f aca="false">AND(Y704=0,J704,ISNUMBER(L704))</f>
        <v>0</v>
      </c>
      <c r="AB704" s="8" t="n">
        <f aca="false">IF(Q704,R704,AB703)</f>
        <v>0.924194624604417</v>
      </c>
      <c r="AC704" s="12" t="n">
        <f aca="false">IF(Q704,A704,AC703)</f>
        <v>45463</v>
      </c>
      <c r="AD704" s="8" t="n">
        <f aca="false">IF(Q704,B704,AD703)</f>
        <v>0.924009822639889</v>
      </c>
      <c r="AE704" s="8" t="str">
        <f aca="false">IF(AA704,L704,"")</f>
        <v/>
      </c>
      <c r="AF704" s="8" t="n">
        <f aca="false">U704</f>
        <v>0.905666812067299</v>
      </c>
      <c r="AG704" s="2" t="n">
        <f aca="false">AG703+IF(Q704,1,0)</f>
        <v>5</v>
      </c>
      <c r="AH704" s="2" t="n">
        <f aca="false">AG703</f>
        <v>5</v>
      </c>
      <c r="AI704" s="10" t="n">
        <f aca="false">X704+Y704*(E704-AB704)-Y704*AD704*Inputs!$B$13*(A704-AC704)</f>
        <v>1028.12718516826</v>
      </c>
      <c r="AJ704" s="10" t="n">
        <v>0</v>
      </c>
      <c r="AK704" s="8" t="n">
        <f aca="false">IF(AND(B704&lt;=U704,NOT(Q704)),B704,U704)*(1-Inputs!$B$12)</f>
        <v>0.905485678704885</v>
      </c>
    </row>
    <row r="705" customFormat="false" ht="15" hidden="false" customHeight="false" outlineLevel="0" collapsed="false">
      <c r="A705" s="6" t="n">
        <v>45489</v>
      </c>
      <c r="B705" s="7" t="n">
        <v>0.91405931292432</v>
      </c>
      <c r="C705" s="7" t="n">
        <v>0.9169343280231</v>
      </c>
      <c r="D705" s="7" t="n">
        <v>0.909676770250857</v>
      </c>
      <c r="E705" s="7" t="n">
        <v>0.916392843609317</v>
      </c>
      <c r="F705" s="8" t="n">
        <f aca="true">IF(ROW()-2&gt;=Inputs!$B$4,AVERAGE(OFFSET(E705,1-Inputs!$B$4,0,Inputs!$B$4,1)),"")</f>
        <v>0.925976764677245</v>
      </c>
      <c r="G705" s="8" t="n">
        <f aca="true">IF(ROW()-2&gt;=Inputs!$B$5,AVERAGE(OFFSET(E705,1-Inputs!$B$5,0,Inputs!$B$5,1)),"")</f>
        <v>0.913379264744911</v>
      </c>
      <c r="H705" s="8" t="n">
        <f aca="false">MAX(C705-D705,ABS(C705-E704),ABS(D705-E704))</f>
        <v>0.00725755777224313</v>
      </c>
      <c r="I705" s="8" t="n">
        <f aca="true">IF(ROW()-2&lt;14,"",IF(ROW()-2=14,AVERAGE(OFFSET(H705,-13,0,14,1)),(I704*13+H705)/14))</f>
        <v>0.00884629491864326</v>
      </c>
      <c r="J705" s="9" t="b">
        <f aca="false">IF(AND(ISNUMBER(F705),ISNUMBER(G705),ISNUMBER(F704),ISNUMBER(G704)),AND(F705&gt;G705,F704&lt;=G704),FALSE())</f>
        <v>0</v>
      </c>
      <c r="K705" s="9" t="b">
        <f aca="false">IF(AND(ISNUMBER(F705),ISNUMBER(G705),ISNUMBER(F704),ISNUMBER(G704)),AND(F705&lt;G705,F704&gt;=G704),FALSE())</f>
        <v>0</v>
      </c>
      <c r="L705" s="8" t="n">
        <f aca="false">IF(ISNUMBER(I705),E705-Inputs!$B$6*I705,"")</f>
        <v>0.89870025377203</v>
      </c>
      <c r="M705" s="9" t="b">
        <f aca="false">AND(Y704&gt;0,Z704)</f>
        <v>0</v>
      </c>
      <c r="N705" s="8" t="n">
        <f aca="false">B705*(1-Inputs!$B$12)</f>
        <v>0.913876501061735</v>
      </c>
      <c r="O705" s="10" t="n">
        <f aca="false">IF(M705,Y704*(N705-AB704)-Inputs!$B$9-Y704*AD704*Inputs!$B$13*(A705-AC704),0)</f>
        <v>0</v>
      </c>
      <c r="P705" s="10" t="n">
        <f aca="false">X704+O705</f>
        <v>1036.10316126448</v>
      </c>
      <c r="Q705" s="9" t="b">
        <f aca="false">AND(IF(M705,0,Y704)=0,AA704,IF(ISNUMBER(AE704),B705&gt;AE704,FALSE()))</f>
        <v>0</v>
      </c>
      <c r="R705" s="8" t="n">
        <f aca="false">B705*(1+Inputs!$B$12)</f>
        <v>0.914242124786905</v>
      </c>
      <c r="S705" s="11" t="n">
        <f aca="false">IF(Q705,MIN(P705*Inputs!$B$3/(R705-AE704),P705*Inputs!$B$11/R705),0)</f>
        <v>0</v>
      </c>
      <c r="T705" s="11" t="n">
        <f aca="false">IF(Q705,S705,IF(M705,0,Y704))</f>
        <v>559.754779031112</v>
      </c>
      <c r="U705" s="8" t="n">
        <f aca="false">IF(Q705,AE704,AF704)</f>
        <v>0.905666812067299</v>
      </c>
      <c r="V705" s="9" t="b">
        <f aca="false">AND(T705&gt;0,D705&lt;=U705)</f>
        <v>0</v>
      </c>
      <c r="W705" s="10" t="n">
        <f aca="false">IF(V705,T705*(AK705-AB705)-Inputs!$B$9-T705*AD705*Inputs!$B$13*(A705-AC705),0)</f>
        <v>0</v>
      </c>
      <c r="X705" s="10" t="n">
        <f aca="false">P705-IF(Q705,Inputs!$B$9,0)+W705</f>
        <v>1036.10316126448</v>
      </c>
      <c r="Y705" s="11" t="n">
        <f aca="false">IF(V705,0,T705)</f>
        <v>559.754779031112</v>
      </c>
      <c r="Z705" s="9" t="b">
        <f aca="false">AND(Y705&gt;0,K705)</f>
        <v>0</v>
      </c>
      <c r="AA705" s="9" t="b">
        <f aca="false">AND(Y705=0,J705,ISNUMBER(L705))</f>
        <v>0</v>
      </c>
      <c r="AB705" s="8" t="n">
        <f aca="false">IF(Q705,R705,AB704)</f>
        <v>0.924194624604417</v>
      </c>
      <c r="AC705" s="12" t="n">
        <f aca="false">IF(Q705,A705,AC704)</f>
        <v>45463</v>
      </c>
      <c r="AD705" s="8" t="n">
        <f aca="false">IF(Q705,B705,AD704)</f>
        <v>0.924009822639889</v>
      </c>
      <c r="AE705" s="8" t="str">
        <f aca="false">IF(AA705,L705,"")</f>
        <v/>
      </c>
      <c r="AF705" s="8" t="n">
        <f aca="false">U705</f>
        <v>0.905666812067299</v>
      </c>
      <c r="AG705" s="2" t="n">
        <f aca="false">AG704+IF(Q705,1,0)</f>
        <v>5</v>
      </c>
      <c r="AH705" s="2" t="n">
        <f aca="false">AG704</f>
        <v>5</v>
      </c>
      <c r="AI705" s="10" t="n">
        <f aca="false">X705+Y705*(E705-AB705)-Y705*AD705*Inputs!$B$13*(A705-AC705)</f>
        <v>1029.34128264335</v>
      </c>
      <c r="AJ705" s="10" t="n">
        <v>0</v>
      </c>
      <c r="AK705" s="8" t="n">
        <f aca="false">IF(AND(B705&lt;=U705,NOT(Q705)),B705,U705)*(1-Inputs!$B$12)</f>
        <v>0.905485678704885</v>
      </c>
    </row>
    <row r="706" customFormat="false" ht="15" hidden="false" customHeight="false" outlineLevel="0" collapsed="false">
      <c r="A706" s="6" t="n">
        <v>45490</v>
      </c>
      <c r="B706" s="7" t="n">
        <v>0.916392843609317</v>
      </c>
      <c r="C706" s="7" t="n">
        <v>0.919152464966746</v>
      </c>
      <c r="D706" s="7" t="n">
        <v>0.912429326250065</v>
      </c>
      <c r="E706" s="7" t="n">
        <v>0.917681017585714</v>
      </c>
      <c r="F706" s="8" t="n">
        <f aca="true">IF(ROW()-2&gt;=Inputs!$B$4,AVERAGE(OFFSET(E706,1-Inputs!$B$4,0,Inputs!$B$4,1)),"")</f>
        <v>0.925353714390377</v>
      </c>
      <c r="G706" s="8" t="n">
        <f aca="true">IF(ROW()-2&gt;=Inputs!$B$5,AVERAGE(OFFSET(E706,1-Inputs!$B$5,0,Inputs!$B$5,1)),"")</f>
        <v>0.914026675249354</v>
      </c>
      <c r="H706" s="8" t="n">
        <f aca="false">MAX(C706-D706,ABS(C706-E705),ABS(D706-E705))</f>
        <v>0.00672313871668129</v>
      </c>
      <c r="I706" s="8" t="n">
        <f aca="true">IF(ROW()-2&lt;14,"",IF(ROW()-2=14,AVERAGE(OFFSET(H706,-13,0,14,1)),(I705*13+H706)/14))</f>
        <v>0.0086946409042174</v>
      </c>
      <c r="J706" s="9" t="b">
        <f aca="false">IF(AND(ISNUMBER(F706),ISNUMBER(G706),ISNUMBER(F705),ISNUMBER(G705)),AND(F706&gt;G706,F705&lt;=G705),FALSE())</f>
        <v>0</v>
      </c>
      <c r="K706" s="9" t="b">
        <f aca="false">IF(AND(ISNUMBER(F706),ISNUMBER(G706),ISNUMBER(F705),ISNUMBER(G705)),AND(F706&lt;G706,F705&gt;=G705),FALSE())</f>
        <v>0</v>
      </c>
      <c r="L706" s="8" t="n">
        <f aca="false">IF(ISNUMBER(I706),E706-Inputs!$B$6*I706,"")</f>
        <v>0.90029173577728</v>
      </c>
      <c r="M706" s="9" t="b">
        <f aca="false">AND(Y705&gt;0,Z705)</f>
        <v>0</v>
      </c>
      <c r="N706" s="8" t="n">
        <f aca="false">B706*(1-Inputs!$B$12)</f>
        <v>0.916209565040595</v>
      </c>
      <c r="O706" s="10" t="n">
        <f aca="false">IF(M706,Y705*(N706-AB705)-Inputs!$B$9-Y705*AD705*Inputs!$B$13*(A706-AC705),0)</f>
        <v>0</v>
      </c>
      <c r="P706" s="10" t="n">
        <f aca="false">X705+O706</f>
        <v>1036.10316126448</v>
      </c>
      <c r="Q706" s="9" t="b">
        <f aca="false">AND(IF(M706,0,Y705)=0,AA705,IF(ISNUMBER(AE705),B706&gt;AE705,FALSE()))</f>
        <v>0</v>
      </c>
      <c r="R706" s="8" t="n">
        <f aca="false">B706*(1+Inputs!$B$12)</f>
        <v>0.916576122178039</v>
      </c>
      <c r="S706" s="11" t="n">
        <f aca="false">IF(Q706,MIN(P706*Inputs!$B$3/(R706-AE705),P706*Inputs!$B$11/R706),0)</f>
        <v>0</v>
      </c>
      <c r="T706" s="11" t="n">
        <f aca="false">IF(Q706,S706,IF(M706,0,Y705))</f>
        <v>559.754779031112</v>
      </c>
      <c r="U706" s="8" t="n">
        <f aca="false">IF(Q706,AE705,AF705)</f>
        <v>0.905666812067299</v>
      </c>
      <c r="V706" s="9" t="b">
        <f aca="false">AND(T706&gt;0,D706&lt;=U706)</f>
        <v>0</v>
      </c>
      <c r="W706" s="10" t="n">
        <f aca="false">IF(V706,T706*(AK706-AB706)-Inputs!$B$9-T706*AD706*Inputs!$B$13*(A706-AC706),0)</f>
        <v>0</v>
      </c>
      <c r="X706" s="10" t="n">
        <f aca="false">P706-IF(Q706,Inputs!$B$9,0)+W706</f>
        <v>1036.10316126448</v>
      </c>
      <c r="Y706" s="11" t="n">
        <f aca="false">IF(V706,0,T706)</f>
        <v>559.754779031112</v>
      </c>
      <c r="Z706" s="9" t="b">
        <f aca="false">AND(Y706&gt;0,K706)</f>
        <v>0</v>
      </c>
      <c r="AA706" s="9" t="b">
        <f aca="false">AND(Y706=0,J706,ISNUMBER(L706))</f>
        <v>0</v>
      </c>
      <c r="AB706" s="8" t="n">
        <f aca="false">IF(Q706,R706,AB705)</f>
        <v>0.924194624604417</v>
      </c>
      <c r="AC706" s="12" t="n">
        <f aca="false">IF(Q706,A706,AC705)</f>
        <v>45463</v>
      </c>
      <c r="AD706" s="8" t="n">
        <f aca="false">IF(Q706,B706,AD705)</f>
        <v>0.924009822639889</v>
      </c>
      <c r="AE706" s="8" t="str">
        <f aca="false">IF(AA706,L706,"")</f>
        <v/>
      </c>
      <c r="AF706" s="8" t="n">
        <f aca="false">U706</f>
        <v>0.905666812067299</v>
      </c>
      <c r="AG706" s="2" t="n">
        <f aca="false">AG705+IF(Q706,1,0)</f>
        <v>5</v>
      </c>
      <c r="AH706" s="2" t="n">
        <f aca="false">AG705</f>
        <v>5</v>
      </c>
      <c r="AI706" s="10" t="n">
        <f aca="false">X706+Y706*(E706-AB706)-Y706*AD706*Inputs!$B$13*(A706-AC706)</f>
        <v>1029.97023670501</v>
      </c>
      <c r="AJ706" s="10" t="n">
        <v>0</v>
      </c>
      <c r="AK706" s="8" t="n">
        <f aca="false">IF(AND(B706&lt;=U706,NOT(Q706)),B706,U706)*(1-Inputs!$B$12)</f>
        <v>0.905485678704885</v>
      </c>
    </row>
    <row r="707" customFormat="false" ht="15" hidden="false" customHeight="false" outlineLevel="0" collapsed="false">
      <c r="A707" s="6" t="n">
        <v>45491</v>
      </c>
      <c r="B707" s="7" t="n">
        <v>0.917681017585714</v>
      </c>
      <c r="C707" s="7" t="n">
        <v>0.926685829997281</v>
      </c>
      <c r="D707" s="7" t="n">
        <v>0.912845842652189</v>
      </c>
      <c r="E707" s="7" t="n">
        <v>0.913067299828377</v>
      </c>
      <c r="F707" s="8" t="n">
        <f aca="true">IF(ROW()-2&gt;=Inputs!$B$4,AVERAGE(OFFSET(E707,1-Inputs!$B$4,0,Inputs!$B$4,1)),"")</f>
        <v>0.924269688826785</v>
      </c>
      <c r="G707" s="8" t="n">
        <f aca="true">IF(ROW()-2&gt;=Inputs!$B$5,AVERAGE(OFFSET(E707,1-Inputs!$B$5,0,Inputs!$B$5,1)),"")</f>
        <v>0.914535882597258</v>
      </c>
      <c r="H707" s="8" t="n">
        <f aca="false">MAX(C707-D707,ABS(C707-E706),ABS(D707-E706))</f>
        <v>0.013839987345092</v>
      </c>
      <c r="I707" s="8" t="n">
        <f aca="true">IF(ROW()-2&lt;14,"",IF(ROW()-2=14,AVERAGE(OFFSET(H707,-13,0,14,1)),(I706*13+H707)/14))</f>
        <v>0.00906216564999416</v>
      </c>
      <c r="J707" s="9" t="b">
        <f aca="false">IF(AND(ISNUMBER(F707),ISNUMBER(G707),ISNUMBER(F706),ISNUMBER(G706)),AND(F707&gt;G707,F706&lt;=G706),FALSE())</f>
        <v>0</v>
      </c>
      <c r="K707" s="9" t="b">
        <f aca="false">IF(AND(ISNUMBER(F707),ISNUMBER(G707),ISNUMBER(F706),ISNUMBER(G706)),AND(F707&lt;G707,F706&gt;=G706),FALSE())</f>
        <v>0</v>
      </c>
      <c r="L707" s="8" t="n">
        <f aca="false">IF(ISNUMBER(I707),E707-Inputs!$B$6*I707,"")</f>
        <v>0.894942968528389</v>
      </c>
      <c r="M707" s="9" t="b">
        <f aca="false">AND(Y706&gt;0,Z706)</f>
        <v>0</v>
      </c>
      <c r="N707" s="8" t="n">
        <f aca="false">B707*(1-Inputs!$B$12)</f>
        <v>0.917497481382197</v>
      </c>
      <c r="O707" s="10" t="n">
        <f aca="false">IF(M707,Y706*(N707-AB706)-Inputs!$B$9-Y706*AD706*Inputs!$B$13*(A707-AC706),0)</f>
        <v>0</v>
      </c>
      <c r="P707" s="10" t="n">
        <f aca="false">X706+O707</f>
        <v>1036.10316126448</v>
      </c>
      <c r="Q707" s="9" t="b">
        <f aca="false">AND(IF(M707,0,Y706)=0,AA706,IF(ISNUMBER(AE706),B707&gt;AE706,FALSE()))</f>
        <v>0</v>
      </c>
      <c r="R707" s="8" t="n">
        <f aca="false">B707*(1+Inputs!$B$12)</f>
        <v>0.917864553789232</v>
      </c>
      <c r="S707" s="11" t="n">
        <f aca="false">IF(Q707,MIN(P707*Inputs!$B$3/(R707-AE706),P707*Inputs!$B$11/R707),0)</f>
        <v>0</v>
      </c>
      <c r="T707" s="11" t="n">
        <f aca="false">IF(Q707,S707,IF(M707,0,Y706))</f>
        <v>559.754779031112</v>
      </c>
      <c r="U707" s="8" t="n">
        <f aca="false">IF(Q707,AE706,AF706)</f>
        <v>0.905666812067299</v>
      </c>
      <c r="V707" s="9" t="b">
        <f aca="false">AND(T707&gt;0,D707&lt;=U707)</f>
        <v>0</v>
      </c>
      <c r="W707" s="10" t="n">
        <f aca="false">IF(V707,T707*(AK707-AB707)-Inputs!$B$9-T707*AD707*Inputs!$B$13*(A707-AC707),0)</f>
        <v>0</v>
      </c>
      <c r="X707" s="10" t="n">
        <f aca="false">P707-IF(Q707,Inputs!$B$9,0)+W707</f>
        <v>1036.10316126448</v>
      </c>
      <c r="Y707" s="11" t="n">
        <f aca="false">IF(V707,0,T707)</f>
        <v>559.754779031112</v>
      </c>
      <c r="Z707" s="9" t="b">
        <f aca="false">AND(Y707&gt;0,K707)</f>
        <v>0</v>
      </c>
      <c r="AA707" s="9" t="b">
        <f aca="false">AND(Y707=0,J707,ISNUMBER(L707))</f>
        <v>0</v>
      </c>
      <c r="AB707" s="8" t="n">
        <f aca="false">IF(Q707,R707,AB706)</f>
        <v>0.924194624604417</v>
      </c>
      <c r="AC707" s="12" t="n">
        <f aca="false">IF(Q707,A707,AC706)</f>
        <v>45463</v>
      </c>
      <c r="AD707" s="8" t="n">
        <f aca="false">IF(Q707,B707,AD706)</f>
        <v>0.924009822639889</v>
      </c>
      <c r="AE707" s="8" t="str">
        <f aca="false">IF(AA707,L707,"")</f>
        <v/>
      </c>
      <c r="AF707" s="8" t="n">
        <f aca="false">U707</f>
        <v>0.905666812067299</v>
      </c>
      <c r="AG707" s="2" t="n">
        <f aca="false">AG706+IF(Q707,1,0)</f>
        <v>5</v>
      </c>
      <c r="AH707" s="2" t="n">
        <f aca="false">AG706</f>
        <v>5</v>
      </c>
      <c r="AI707" s="10" t="n">
        <f aca="false">X707+Y707*(E707-AB707)-Y707*AD707*Inputs!$B$13*(A707-AC707)</f>
        <v>1027.29557866339</v>
      </c>
      <c r="AJ707" s="10" t="n">
        <v>0</v>
      </c>
      <c r="AK707" s="8" t="n">
        <f aca="false">IF(AND(B707&lt;=U707,NOT(Q707)),B707,U707)*(1-Inputs!$B$12)</f>
        <v>0.905485678704885</v>
      </c>
    </row>
    <row r="708" customFormat="false" ht="15" hidden="false" customHeight="false" outlineLevel="0" collapsed="false">
      <c r="A708" s="6" t="n">
        <v>45492</v>
      </c>
      <c r="B708" s="7" t="n">
        <v>0.913067299828377</v>
      </c>
      <c r="C708" s="7" t="n">
        <v>0.916371526682408</v>
      </c>
      <c r="D708" s="7" t="n">
        <v>0.911110747913578</v>
      </c>
      <c r="E708" s="7" t="n">
        <v>0.914971460505597</v>
      </c>
      <c r="F708" s="8" t="n">
        <f aca="true">IF(ROW()-2&gt;=Inputs!$B$4,AVERAGE(OFFSET(E708,1-Inputs!$B$4,0,Inputs!$B$4,1)),"")</f>
        <v>0.923321301307691</v>
      </c>
      <c r="G708" s="8" t="n">
        <f aca="true">IF(ROW()-2&gt;=Inputs!$B$5,AVERAGE(OFFSET(E708,1-Inputs!$B$5,0,Inputs!$B$5,1)),"")</f>
        <v>0.915216291971377</v>
      </c>
      <c r="H708" s="8" t="n">
        <f aca="false">MAX(C708-D708,ABS(C708-E707),ABS(D708-E707))</f>
        <v>0.00526077876883035</v>
      </c>
      <c r="I708" s="8" t="n">
        <f aca="true">IF(ROW()-2&lt;14,"",IF(ROW()-2=14,AVERAGE(OFFSET(H708,-13,0,14,1)),(I707*13+H708)/14))</f>
        <v>0.00879063801562531</v>
      </c>
      <c r="J708" s="9" t="b">
        <f aca="false">IF(AND(ISNUMBER(F708),ISNUMBER(G708),ISNUMBER(F707),ISNUMBER(G707)),AND(F708&gt;G708,F707&lt;=G707),FALSE())</f>
        <v>0</v>
      </c>
      <c r="K708" s="9" t="b">
        <f aca="false">IF(AND(ISNUMBER(F708),ISNUMBER(G708),ISNUMBER(F707),ISNUMBER(G707)),AND(F708&lt;G708,F707&gt;=G707),FALSE())</f>
        <v>0</v>
      </c>
      <c r="L708" s="8" t="n">
        <f aca="false">IF(ISNUMBER(I708),E708-Inputs!$B$6*I708,"")</f>
        <v>0.897390184474347</v>
      </c>
      <c r="M708" s="9" t="b">
        <f aca="false">AND(Y707&gt;0,Z707)</f>
        <v>0</v>
      </c>
      <c r="N708" s="8" t="n">
        <f aca="false">B708*(1-Inputs!$B$12)</f>
        <v>0.912884686368412</v>
      </c>
      <c r="O708" s="10" t="n">
        <f aca="false">IF(M708,Y707*(N708-AB707)-Inputs!$B$9-Y707*AD707*Inputs!$B$13*(A708-AC707),0)</f>
        <v>0</v>
      </c>
      <c r="P708" s="10" t="n">
        <f aca="false">X707+O708</f>
        <v>1036.10316126448</v>
      </c>
      <c r="Q708" s="9" t="b">
        <f aca="false">AND(IF(M708,0,Y707)=0,AA707,IF(ISNUMBER(AE707),B708&gt;AE707,FALSE()))</f>
        <v>0</v>
      </c>
      <c r="R708" s="8" t="n">
        <f aca="false">B708*(1+Inputs!$B$12)</f>
        <v>0.913249913288343</v>
      </c>
      <c r="S708" s="11" t="n">
        <f aca="false">IF(Q708,MIN(P708*Inputs!$B$3/(R708-AE707),P708*Inputs!$B$11/R708),0)</f>
        <v>0</v>
      </c>
      <c r="T708" s="11" t="n">
        <f aca="false">IF(Q708,S708,IF(M708,0,Y707))</f>
        <v>559.754779031112</v>
      </c>
      <c r="U708" s="8" t="n">
        <f aca="false">IF(Q708,AE707,AF707)</f>
        <v>0.905666812067299</v>
      </c>
      <c r="V708" s="9" t="b">
        <f aca="false">AND(T708&gt;0,D708&lt;=U708)</f>
        <v>0</v>
      </c>
      <c r="W708" s="10" t="n">
        <f aca="false">IF(V708,T708*(AK708-AB708)-Inputs!$B$9-T708*AD708*Inputs!$B$13*(A708-AC708),0)</f>
        <v>0</v>
      </c>
      <c r="X708" s="10" t="n">
        <f aca="false">P708-IF(Q708,Inputs!$B$9,0)+W708</f>
        <v>1036.10316126448</v>
      </c>
      <c r="Y708" s="11" t="n">
        <f aca="false">IF(V708,0,T708)</f>
        <v>559.754779031112</v>
      </c>
      <c r="Z708" s="9" t="b">
        <f aca="false">AND(Y708&gt;0,K708)</f>
        <v>0</v>
      </c>
      <c r="AA708" s="9" t="b">
        <f aca="false">AND(Y708=0,J708,ISNUMBER(L708))</f>
        <v>0</v>
      </c>
      <c r="AB708" s="8" t="n">
        <f aca="false">IF(Q708,R708,AB707)</f>
        <v>0.924194624604417</v>
      </c>
      <c r="AC708" s="12" t="n">
        <f aca="false">IF(Q708,A708,AC707)</f>
        <v>45463</v>
      </c>
      <c r="AD708" s="8" t="n">
        <f aca="false">IF(Q708,B708,AD707)</f>
        <v>0.924009822639889</v>
      </c>
      <c r="AE708" s="8" t="str">
        <f aca="false">IF(AA708,L708,"")</f>
        <v/>
      </c>
      <c r="AF708" s="8" t="n">
        <f aca="false">U708</f>
        <v>0.905666812067299</v>
      </c>
      <c r="AG708" s="2" t="n">
        <f aca="false">AG707+IF(Q708,1,0)</f>
        <v>5</v>
      </c>
      <c r="AH708" s="2" t="n">
        <f aca="false">AG707</f>
        <v>5</v>
      </c>
      <c r="AI708" s="10" t="n">
        <f aca="false">X708+Y708*(E708-AB708)-Y708*AD708*Inputs!$B$13*(A708-AC708)</f>
        <v>1028.26933422466</v>
      </c>
      <c r="AJ708" s="10" t="n">
        <v>0</v>
      </c>
      <c r="AK708" s="8" t="n">
        <f aca="false">IF(AND(B708&lt;=U708,NOT(Q708)),B708,U708)*(1-Inputs!$B$12)</f>
        <v>0.905485678704885</v>
      </c>
    </row>
    <row r="709" customFormat="false" ht="15" hidden="false" customHeight="false" outlineLevel="0" collapsed="false">
      <c r="A709" s="6" t="n">
        <v>45493</v>
      </c>
      <c r="B709" s="7" t="n">
        <v>0.914971460505597</v>
      </c>
      <c r="C709" s="7" t="n">
        <v>0.917906514346835</v>
      </c>
      <c r="D709" s="7" t="n">
        <v>0.90826541134387</v>
      </c>
      <c r="E709" s="7" t="n">
        <v>0.912509516136381</v>
      </c>
      <c r="F709" s="8" t="n">
        <f aca="true">IF(ROW()-2&gt;=Inputs!$B$4,AVERAGE(OFFSET(E709,1-Inputs!$B$4,0,Inputs!$B$4,1)),"")</f>
        <v>0.922110552518539</v>
      </c>
      <c r="G709" s="8" t="n">
        <f aca="true">IF(ROW()-2&gt;=Inputs!$B$5,AVERAGE(OFFSET(E709,1-Inputs!$B$5,0,Inputs!$B$5,1)),"")</f>
        <v>0.91559086021972</v>
      </c>
      <c r="H709" s="8" t="n">
        <f aca="false">MAX(C709-D709,ABS(C709-E708),ABS(D709-E708))</f>
        <v>0.00964110300296506</v>
      </c>
      <c r="I709" s="8" t="n">
        <f aca="true">IF(ROW()-2&lt;14,"",IF(ROW()-2=14,AVERAGE(OFFSET(H709,-13,0,14,1)),(I708*13+H709)/14))</f>
        <v>0.00885138551472101</v>
      </c>
      <c r="J709" s="9" t="b">
        <f aca="false">IF(AND(ISNUMBER(F709),ISNUMBER(G709),ISNUMBER(F708),ISNUMBER(G708)),AND(F709&gt;G709,F708&lt;=G708),FALSE())</f>
        <v>0</v>
      </c>
      <c r="K709" s="9" t="b">
        <f aca="false">IF(AND(ISNUMBER(F709),ISNUMBER(G709),ISNUMBER(F708),ISNUMBER(G708)),AND(F709&lt;G709,F708&gt;=G708),FALSE())</f>
        <v>0</v>
      </c>
      <c r="L709" s="8" t="n">
        <f aca="false">IF(ISNUMBER(I709),E709-Inputs!$B$6*I709,"")</f>
        <v>0.894806745106939</v>
      </c>
      <c r="M709" s="9" t="b">
        <f aca="false">AND(Y708&gt;0,Z708)</f>
        <v>0</v>
      </c>
      <c r="N709" s="8" t="n">
        <f aca="false">B709*(1-Inputs!$B$12)</f>
        <v>0.914788466213496</v>
      </c>
      <c r="O709" s="10" t="n">
        <f aca="false">IF(M709,Y708*(N709-AB708)-Inputs!$B$9-Y708*AD708*Inputs!$B$13*(A709-AC708),0)</f>
        <v>0</v>
      </c>
      <c r="P709" s="10" t="n">
        <f aca="false">X708+O709</f>
        <v>1036.10316126448</v>
      </c>
      <c r="Q709" s="9" t="b">
        <f aca="false">AND(IF(M709,0,Y708)=0,AA708,IF(ISNUMBER(AE708),B709&gt;AE708,FALSE()))</f>
        <v>0</v>
      </c>
      <c r="R709" s="8" t="n">
        <f aca="false">B709*(1+Inputs!$B$12)</f>
        <v>0.915154454797698</v>
      </c>
      <c r="S709" s="11" t="n">
        <f aca="false">IF(Q709,MIN(P709*Inputs!$B$3/(R709-AE708),P709*Inputs!$B$11/R709),0)</f>
        <v>0</v>
      </c>
      <c r="T709" s="11" t="n">
        <f aca="false">IF(Q709,S709,IF(M709,0,Y708))</f>
        <v>559.754779031112</v>
      </c>
      <c r="U709" s="8" t="n">
        <f aca="false">IF(Q709,AE708,AF708)</f>
        <v>0.905666812067299</v>
      </c>
      <c r="V709" s="9" t="b">
        <f aca="false">AND(T709&gt;0,D709&lt;=U709)</f>
        <v>0</v>
      </c>
      <c r="W709" s="10" t="n">
        <f aca="false">IF(V709,T709*(AK709-AB709)-Inputs!$B$9-T709*AD709*Inputs!$B$13*(A709-AC709),0)</f>
        <v>0</v>
      </c>
      <c r="X709" s="10" t="n">
        <f aca="false">P709-IF(Q709,Inputs!$B$9,0)+W709</f>
        <v>1036.10316126448</v>
      </c>
      <c r="Y709" s="11" t="n">
        <f aca="false">IF(V709,0,T709)</f>
        <v>559.754779031112</v>
      </c>
      <c r="Z709" s="9" t="b">
        <f aca="false">AND(Y709&gt;0,K709)</f>
        <v>0</v>
      </c>
      <c r="AA709" s="9" t="b">
        <f aca="false">AND(Y709=0,J709,ISNUMBER(L709))</f>
        <v>0</v>
      </c>
      <c r="AB709" s="8" t="n">
        <f aca="false">IF(Q709,R709,AB708)</f>
        <v>0.924194624604417</v>
      </c>
      <c r="AC709" s="12" t="n">
        <f aca="false">IF(Q709,A709,AC708)</f>
        <v>45463</v>
      </c>
      <c r="AD709" s="8" t="n">
        <f aca="false">IF(Q709,B709,AD708)</f>
        <v>0.924009822639889</v>
      </c>
      <c r="AE709" s="8" t="str">
        <f aca="false">IF(AA709,L709,"")</f>
        <v/>
      </c>
      <c r="AF709" s="8" t="n">
        <f aca="false">U709</f>
        <v>0.905666812067299</v>
      </c>
      <c r="AG709" s="2" t="n">
        <f aca="false">AG708+IF(Q709,1,0)</f>
        <v>5</v>
      </c>
      <c r="AH709" s="2" t="n">
        <f aca="false">AG708</f>
        <v>5</v>
      </c>
      <c r="AI709" s="10" t="n">
        <f aca="false">X709+Y709*(E709-AB709)-Y709*AD709*Inputs!$B$13*(A709-AC709)</f>
        <v>1026.79914162043</v>
      </c>
      <c r="AJ709" s="10" t="n">
        <v>0</v>
      </c>
      <c r="AK709" s="8" t="n">
        <f aca="false">IF(AND(B709&lt;=U709,NOT(Q709)),B709,U709)*(1-Inputs!$B$12)</f>
        <v>0.905485678704885</v>
      </c>
    </row>
    <row r="710" customFormat="false" ht="15" hidden="false" customHeight="false" outlineLevel="0" collapsed="false">
      <c r="A710" s="6" t="n">
        <v>45494</v>
      </c>
      <c r="B710" s="7" t="n">
        <v>0.912509516136381</v>
      </c>
      <c r="C710" s="7" t="n">
        <v>0.915957854682636</v>
      </c>
      <c r="D710" s="7" t="n">
        <v>0.907495935406114</v>
      </c>
      <c r="E710" s="7" t="n">
        <v>0.909155005540271</v>
      </c>
      <c r="F710" s="8" t="n">
        <f aca="true">IF(ROW()-2&gt;=Inputs!$B$4,AVERAGE(OFFSET(E710,1-Inputs!$B$4,0,Inputs!$B$4,1)),"")</f>
        <v>0.921258557156506</v>
      </c>
      <c r="G710" s="8" t="n">
        <f aca="true">IF(ROW()-2&gt;=Inputs!$B$5,AVERAGE(OFFSET(E710,1-Inputs!$B$5,0,Inputs!$B$5,1)),"")</f>
        <v>0.915788138704724</v>
      </c>
      <c r="H710" s="8" t="n">
        <f aca="false">MAX(C710-D710,ABS(C710-E709),ABS(D710-E709))</f>
        <v>0.00846191927652151</v>
      </c>
      <c r="I710" s="8" t="n">
        <f aca="true">IF(ROW()-2&lt;14,"",IF(ROW()-2=14,AVERAGE(OFFSET(H710,-13,0,14,1)),(I709*13+H710)/14))</f>
        <v>0.00882356649770676</v>
      </c>
      <c r="J710" s="9" t="b">
        <f aca="false">IF(AND(ISNUMBER(F710),ISNUMBER(G710),ISNUMBER(F709),ISNUMBER(G709)),AND(F710&gt;G710,F709&lt;=G709),FALSE())</f>
        <v>0</v>
      </c>
      <c r="K710" s="9" t="b">
        <f aca="false">IF(AND(ISNUMBER(F710),ISNUMBER(G710),ISNUMBER(F709),ISNUMBER(G709)),AND(F710&lt;G710,F709&gt;=G709),FALSE())</f>
        <v>0</v>
      </c>
      <c r="L710" s="8" t="n">
        <f aca="false">IF(ISNUMBER(I710),E710-Inputs!$B$6*I710,"")</f>
        <v>0.891507872544858</v>
      </c>
      <c r="M710" s="9" t="b">
        <f aca="false">AND(Y709&gt;0,Z709)</f>
        <v>0</v>
      </c>
      <c r="N710" s="8" t="n">
        <f aca="false">B710*(1-Inputs!$B$12)</f>
        <v>0.912327014233154</v>
      </c>
      <c r="O710" s="10" t="n">
        <f aca="false">IF(M710,Y709*(N710-AB709)-Inputs!$B$9-Y709*AD709*Inputs!$B$13*(A710-AC709),0)</f>
        <v>0</v>
      </c>
      <c r="P710" s="10" t="n">
        <f aca="false">X709+O710</f>
        <v>1036.10316126448</v>
      </c>
      <c r="Q710" s="9" t="b">
        <f aca="false">AND(IF(M710,0,Y709)=0,AA709,IF(ISNUMBER(AE709),B710&gt;AE709,FALSE()))</f>
        <v>0</v>
      </c>
      <c r="R710" s="8" t="n">
        <f aca="false">B710*(1+Inputs!$B$12)</f>
        <v>0.912692018039608</v>
      </c>
      <c r="S710" s="11" t="n">
        <f aca="false">IF(Q710,MIN(P710*Inputs!$B$3/(R710-AE709),P710*Inputs!$B$11/R710),0)</f>
        <v>0</v>
      </c>
      <c r="T710" s="11" t="n">
        <f aca="false">IF(Q710,S710,IF(M710,0,Y709))</f>
        <v>559.754779031112</v>
      </c>
      <c r="U710" s="8" t="n">
        <f aca="false">IF(Q710,AE709,AF709)</f>
        <v>0.905666812067299</v>
      </c>
      <c r="V710" s="9" t="b">
        <f aca="false">AND(T710&gt;0,D710&lt;=U710)</f>
        <v>0</v>
      </c>
      <c r="W710" s="10" t="n">
        <f aca="false">IF(V710,T710*(AK710-AB710)-Inputs!$B$9-T710*AD710*Inputs!$B$13*(A710-AC710),0)</f>
        <v>0</v>
      </c>
      <c r="X710" s="10" t="n">
        <f aca="false">P710-IF(Q710,Inputs!$B$9,0)+W710</f>
        <v>1036.10316126448</v>
      </c>
      <c r="Y710" s="11" t="n">
        <f aca="false">IF(V710,0,T710)</f>
        <v>559.754779031112</v>
      </c>
      <c r="Z710" s="9" t="b">
        <f aca="false">AND(Y710&gt;0,K710)</f>
        <v>0</v>
      </c>
      <c r="AA710" s="9" t="b">
        <f aca="false">AND(Y710=0,J710,ISNUMBER(L710))</f>
        <v>0</v>
      </c>
      <c r="AB710" s="8" t="n">
        <f aca="false">IF(Q710,R710,AB709)</f>
        <v>0.924194624604417</v>
      </c>
      <c r="AC710" s="12" t="n">
        <f aca="false">IF(Q710,A710,AC709)</f>
        <v>45463</v>
      </c>
      <c r="AD710" s="8" t="n">
        <f aca="false">IF(Q710,B710,AD709)</f>
        <v>0.924009822639889</v>
      </c>
      <c r="AE710" s="8" t="str">
        <f aca="false">IF(AA710,L710,"")</f>
        <v/>
      </c>
      <c r="AF710" s="8" t="n">
        <f aca="false">U710</f>
        <v>0.905666812067299</v>
      </c>
      <c r="AG710" s="2" t="n">
        <f aca="false">AG709+IF(Q710,1,0)</f>
        <v>5</v>
      </c>
      <c r="AH710" s="2" t="n">
        <f aca="false">AG709</f>
        <v>5</v>
      </c>
      <c r="AI710" s="10" t="n">
        <f aca="false">X710+Y710*(E710-AB710)-Y710*AD710*Inputs!$B$13*(A710-AC710)</f>
        <v>1024.82933080509</v>
      </c>
      <c r="AJ710" s="10" t="n">
        <v>0</v>
      </c>
      <c r="AK710" s="8" t="n">
        <f aca="false">IF(AND(B710&lt;=U710,NOT(Q710)),B710,U710)*(1-Inputs!$B$12)</f>
        <v>0.905485678704885</v>
      </c>
    </row>
    <row r="711" customFormat="false" ht="15" hidden="false" customHeight="false" outlineLevel="0" collapsed="false">
      <c r="A711" s="6" t="n">
        <v>45495</v>
      </c>
      <c r="B711" s="7" t="n">
        <v>0.909155005540271</v>
      </c>
      <c r="C711" s="7" t="n">
        <v>0.91104197442855</v>
      </c>
      <c r="D711" s="7" t="n">
        <v>0.905850415665956</v>
      </c>
      <c r="E711" s="7" t="n">
        <v>0.909857791941613</v>
      </c>
      <c r="F711" s="8" t="n">
        <f aca="true">IF(ROW()-2&gt;=Inputs!$B$4,AVERAGE(OFFSET(E711,1-Inputs!$B$4,0,Inputs!$B$4,1)),"")</f>
        <v>0.920460909550801</v>
      </c>
      <c r="G711" s="8" t="n">
        <f aca="true">IF(ROW()-2&gt;=Inputs!$B$5,AVERAGE(OFFSET(E711,1-Inputs!$B$5,0,Inputs!$B$5,1)),"")</f>
        <v>0.916282846181927</v>
      </c>
      <c r="H711" s="8" t="n">
        <f aca="false">MAX(C711-D711,ABS(C711-E710),ABS(D711-E710))</f>
        <v>0.00519155876259458</v>
      </c>
      <c r="I711" s="8" t="n">
        <f aca="true">IF(ROW()-2&lt;14,"",IF(ROW()-2=14,AVERAGE(OFFSET(H711,-13,0,14,1)),(I710*13+H711)/14))</f>
        <v>0.00856413737377018</v>
      </c>
      <c r="J711" s="9" t="b">
        <f aca="false">IF(AND(ISNUMBER(F711),ISNUMBER(G711),ISNUMBER(F710),ISNUMBER(G710)),AND(F711&gt;G711,F710&lt;=G710),FALSE())</f>
        <v>0</v>
      </c>
      <c r="K711" s="9" t="b">
        <f aca="false">IF(AND(ISNUMBER(F711),ISNUMBER(G711),ISNUMBER(F710),ISNUMBER(G710)),AND(F711&lt;G711,F710&gt;=G710),FALSE())</f>
        <v>0</v>
      </c>
      <c r="L711" s="8" t="n">
        <f aca="false">IF(ISNUMBER(I711),E711-Inputs!$B$6*I711,"")</f>
        <v>0.892729517194073</v>
      </c>
      <c r="M711" s="9" t="b">
        <f aca="false">AND(Y710&gt;0,Z710)</f>
        <v>0</v>
      </c>
      <c r="N711" s="8" t="n">
        <f aca="false">B711*(1-Inputs!$B$12)</f>
        <v>0.908973174539163</v>
      </c>
      <c r="O711" s="10" t="n">
        <f aca="false">IF(M711,Y710*(N711-AB710)-Inputs!$B$9-Y710*AD710*Inputs!$B$13*(A711-AC710),0)</f>
        <v>0</v>
      </c>
      <c r="P711" s="10" t="n">
        <f aca="false">X710+O711</f>
        <v>1036.10316126448</v>
      </c>
      <c r="Q711" s="9" t="b">
        <f aca="false">AND(IF(M711,0,Y710)=0,AA710,IF(ISNUMBER(AE710),B711&gt;AE710,FALSE()))</f>
        <v>0</v>
      </c>
      <c r="R711" s="8" t="n">
        <f aca="false">B711*(1+Inputs!$B$12)</f>
        <v>0.909336836541379</v>
      </c>
      <c r="S711" s="11" t="n">
        <f aca="false">IF(Q711,MIN(P711*Inputs!$B$3/(R711-AE710),P711*Inputs!$B$11/R711),0)</f>
        <v>0</v>
      </c>
      <c r="T711" s="11" t="n">
        <f aca="false">IF(Q711,S711,IF(M711,0,Y710))</f>
        <v>559.754779031112</v>
      </c>
      <c r="U711" s="8" t="n">
        <f aca="false">IF(Q711,AE710,AF710)</f>
        <v>0.905666812067299</v>
      </c>
      <c r="V711" s="9" t="b">
        <f aca="false">AND(T711&gt;0,D711&lt;=U711)</f>
        <v>0</v>
      </c>
      <c r="W711" s="10" t="n">
        <f aca="false">IF(V711,T711*(AK711-AB711)-Inputs!$B$9-T711*AD711*Inputs!$B$13*(A711-AC711),0)</f>
        <v>0</v>
      </c>
      <c r="X711" s="10" t="n">
        <f aca="false">P711-IF(Q711,Inputs!$B$9,0)+W711</f>
        <v>1036.10316126448</v>
      </c>
      <c r="Y711" s="11" t="n">
        <f aca="false">IF(V711,0,T711)</f>
        <v>559.754779031112</v>
      </c>
      <c r="Z711" s="9" t="b">
        <f aca="false">AND(Y711&gt;0,K711)</f>
        <v>0</v>
      </c>
      <c r="AA711" s="9" t="b">
        <f aca="false">AND(Y711=0,J711,ISNUMBER(L711))</f>
        <v>0</v>
      </c>
      <c r="AB711" s="8" t="n">
        <f aca="false">IF(Q711,R711,AB710)</f>
        <v>0.924194624604417</v>
      </c>
      <c r="AC711" s="12" t="n">
        <f aca="false">IF(Q711,A711,AC710)</f>
        <v>45463</v>
      </c>
      <c r="AD711" s="8" t="n">
        <f aca="false">IF(Q711,B711,AD710)</f>
        <v>0.924009822639889</v>
      </c>
      <c r="AE711" s="8" t="str">
        <f aca="false">IF(AA711,L711,"")</f>
        <v/>
      </c>
      <c r="AF711" s="8" t="n">
        <f aca="false">U711</f>
        <v>0.905666812067299</v>
      </c>
      <c r="AG711" s="2" t="n">
        <f aca="false">AG710+IF(Q711,1,0)</f>
        <v>5</v>
      </c>
      <c r="AH711" s="2" t="n">
        <f aca="false">AG710</f>
        <v>5</v>
      </c>
      <c r="AI711" s="10" t="n">
        <f aca="false">X711+Y711*(E711-AB711)-Y711*AD711*Inputs!$B$13*(A711-AC711)</f>
        <v>1025.13061137403</v>
      </c>
      <c r="AJ711" s="10" t="n">
        <v>0</v>
      </c>
      <c r="AK711" s="8" t="n">
        <f aca="false">IF(AND(B711&lt;=U711,NOT(Q711)),B711,U711)*(1-Inputs!$B$12)</f>
        <v>0.905485678704885</v>
      </c>
    </row>
    <row r="712" customFormat="false" ht="15" hidden="false" customHeight="false" outlineLevel="0" collapsed="false">
      <c r="A712" s="6" t="n">
        <v>45496</v>
      </c>
      <c r="B712" s="7" t="n">
        <v>0.909857791941613</v>
      </c>
      <c r="C712" s="7" t="n">
        <v>0.913056091480855</v>
      </c>
      <c r="D712" s="7" t="n">
        <v>0.898769002948434</v>
      </c>
      <c r="E712" s="7" t="n">
        <v>0.899710726046366</v>
      </c>
      <c r="F712" s="8" t="n">
        <f aca="true">IF(ROW()-2&gt;=Inputs!$B$4,AVERAGE(OFFSET(E712,1-Inputs!$B$4,0,Inputs!$B$4,1)),"")</f>
        <v>0.918749047682779</v>
      </c>
      <c r="G712" s="8" t="n">
        <f aca="true">IF(ROW()-2&gt;=Inputs!$B$5,AVERAGE(OFFSET(E712,1-Inputs!$B$5,0,Inputs!$B$5,1)),"")</f>
        <v>0.916476221044977</v>
      </c>
      <c r="H712" s="8" t="n">
        <f aca="false">MAX(C712-D712,ABS(C712-E711),ABS(D712-E711))</f>
        <v>0.0142870885324206</v>
      </c>
      <c r="I712" s="8" t="n">
        <f aca="true">IF(ROW()-2&lt;14,"",IF(ROW()-2=14,AVERAGE(OFFSET(H712,-13,0,14,1)),(I711*13+H712)/14))</f>
        <v>0.00897291959938806</v>
      </c>
      <c r="J712" s="9" t="b">
        <f aca="false">IF(AND(ISNUMBER(F712),ISNUMBER(G712),ISNUMBER(F711),ISNUMBER(G711)),AND(F712&gt;G712,F711&lt;=G711),FALSE())</f>
        <v>0</v>
      </c>
      <c r="K712" s="9" t="b">
        <f aca="false">IF(AND(ISNUMBER(F712),ISNUMBER(G712),ISNUMBER(F711),ISNUMBER(G711)),AND(F712&lt;G712,F711&gt;=G711),FALSE())</f>
        <v>0</v>
      </c>
      <c r="L712" s="8" t="n">
        <f aca="false">IF(ISNUMBER(I712),E712-Inputs!$B$6*I712,"")</f>
        <v>0.88176488684759</v>
      </c>
      <c r="M712" s="9" t="b">
        <f aca="false">AND(Y711&gt;0,Z711)</f>
        <v>0</v>
      </c>
      <c r="N712" s="8" t="n">
        <f aca="false">B712*(1-Inputs!$B$12)</f>
        <v>0.909675820383225</v>
      </c>
      <c r="O712" s="10" t="n">
        <f aca="false">IF(M712,Y711*(N712-AB711)-Inputs!$B$9-Y711*AD711*Inputs!$B$13*(A712-AC711),0)</f>
        <v>0</v>
      </c>
      <c r="P712" s="10" t="n">
        <f aca="false">X711+O712</f>
        <v>1036.10316126448</v>
      </c>
      <c r="Q712" s="9" t="b">
        <f aca="false">AND(IF(M712,0,Y711)=0,AA711,IF(ISNUMBER(AE711),B712&gt;AE711,FALSE()))</f>
        <v>0</v>
      </c>
      <c r="R712" s="8" t="n">
        <f aca="false">B712*(1+Inputs!$B$12)</f>
        <v>0.910039763500002</v>
      </c>
      <c r="S712" s="11" t="n">
        <f aca="false">IF(Q712,MIN(P712*Inputs!$B$3/(R712-AE711),P712*Inputs!$B$11/R712),0)</f>
        <v>0</v>
      </c>
      <c r="T712" s="11" t="n">
        <f aca="false">IF(Q712,S712,IF(M712,0,Y711))</f>
        <v>559.754779031112</v>
      </c>
      <c r="U712" s="8" t="n">
        <f aca="false">IF(Q712,AE711,AF711)</f>
        <v>0.905666812067299</v>
      </c>
      <c r="V712" s="9" t="b">
        <f aca="false">AND(T712&gt;0,D712&lt;=U712)</f>
        <v>1</v>
      </c>
      <c r="W712" s="10" t="n">
        <f aca="false">IF(V712,T712*(AK712-AB712)-Inputs!$B$9-T712*AD712*Inputs!$B$13*(A712-AC712),0)</f>
        <v>-14.5119686470276</v>
      </c>
      <c r="X712" s="10" t="n">
        <f aca="false">P712-IF(Q712,Inputs!$B$9,0)+W712</f>
        <v>1021.59119261745</v>
      </c>
      <c r="Y712" s="11" t="n">
        <f aca="false">IF(V712,0,T712)</f>
        <v>0</v>
      </c>
      <c r="Z712" s="9" t="b">
        <f aca="false">AND(Y712&gt;0,K712)</f>
        <v>0</v>
      </c>
      <c r="AA712" s="9" t="b">
        <f aca="false">AND(Y712=0,J712,ISNUMBER(L712))</f>
        <v>0</v>
      </c>
      <c r="AB712" s="8" t="n">
        <f aca="false">IF(Q712,R712,AB711)</f>
        <v>0.924194624604417</v>
      </c>
      <c r="AC712" s="12" t="n">
        <f aca="false">IF(Q712,A712,AC711)</f>
        <v>45463</v>
      </c>
      <c r="AD712" s="8" t="n">
        <f aca="false">IF(Q712,B712,AD711)</f>
        <v>0.924009822639889</v>
      </c>
      <c r="AE712" s="8" t="str">
        <f aca="false">IF(AA712,L712,"")</f>
        <v/>
      </c>
      <c r="AF712" s="8" t="n">
        <f aca="false">U712</f>
        <v>0.905666812067299</v>
      </c>
      <c r="AG712" s="2" t="n">
        <f aca="false">AG711+IF(Q712,1,0)</f>
        <v>5</v>
      </c>
      <c r="AH712" s="2" t="n">
        <f aca="false">AG711</f>
        <v>5</v>
      </c>
      <c r="AI712" s="10" t="n">
        <f aca="false">X712+Y712*(E712-AB712)-Y712*AD712*Inputs!$B$13*(A712-AC712)</f>
        <v>1021.59119261745</v>
      </c>
      <c r="AJ712" s="10" t="n">
        <v>0</v>
      </c>
      <c r="AK712" s="8" t="n">
        <f aca="false">IF(AND(B712&lt;=U712,NOT(Q712)),B712,U712)*(1-Inputs!$B$12)</f>
        <v>0.905485678704885</v>
      </c>
    </row>
    <row r="713" customFormat="false" ht="15" hidden="false" customHeight="false" outlineLevel="0" collapsed="false">
      <c r="A713" s="6" t="n">
        <v>45497</v>
      </c>
      <c r="B713" s="7" t="n">
        <v>0.899710726046366</v>
      </c>
      <c r="C713" s="7" t="n">
        <v>0.902225038086061</v>
      </c>
      <c r="D713" s="7" t="n">
        <v>0.892105474612969</v>
      </c>
      <c r="E713" s="7" t="n">
        <v>0.895290209095165</v>
      </c>
      <c r="F713" s="8" t="n">
        <f aca="true">IF(ROW()-2&gt;=Inputs!$B$4,AVERAGE(OFFSET(E713,1-Inputs!$B$4,0,Inputs!$B$4,1)),"")</f>
        <v>0.916821042191267</v>
      </c>
      <c r="G713" s="8" t="n">
        <f aca="true">IF(ROW()-2&gt;=Inputs!$B$5,AVERAGE(OFFSET(E713,1-Inputs!$B$5,0,Inputs!$B$5,1)),"")</f>
        <v>0.916720763175475</v>
      </c>
      <c r="H713" s="8" t="n">
        <f aca="false">MAX(C713-D713,ABS(C713-E712),ABS(D713-E712))</f>
        <v>0.0101195634730918</v>
      </c>
      <c r="I713" s="8" t="n">
        <f aca="true">IF(ROW()-2&lt;14,"",IF(ROW()-2=14,AVERAGE(OFFSET(H713,-13,0,14,1)),(I712*13+H713)/14))</f>
        <v>0.00905482273322404</v>
      </c>
      <c r="J713" s="9" t="b">
        <f aca="false">IF(AND(ISNUMBER(F713),ISNUMBER(G713),ISNUMBER(F712),ISNUMBER(G712)),AND(F713&gt;G713,F712&lt;=G712),FALSE())</f>
        <v>0</v>
      </c>
      <c r="K713" s="9" t="b">
        <f aca="false">IF(AND(ISNUMBER(F713),ISNUMBER(G713),ISNUMBER(F712),ISNUMBER(G712)),AND(F713&lt;G713,F712&gt;=G712),FALSE())</f>
        <v>0</v>
      </c>
      <c r="L713" s="8" t="n">
        <f aca="false">IF(ISNUMBER(I713),E713-Inputs!$B$6*I713,"")</f>
        <v>0.877180563628717</v>
      </c>
      <c r="M713" s="9" t="b">
        <f aca="false">AND(Y712&gt;0,Z712)</f>
        <v>0</v>
      </c>
      <c r="N713" s="8" t="n">
        <f aca="false">B713*(1-Inputs!$B$12)</f>
        <v>0.899530783901157</v>
      </c>
      <c r="O713" s="10" t="n">
        <f aca="false">IF(M713,Y712*(N713-AB712)-Inputs!$B$9-Y712*AD712*Inputs!$B$13*(A713-AC712),0)</f>
        <v>0</v>
      </c>
      <c r="P713" s="10" t="n">
        <f aca="false">X712+O713</f>
        <v>1021.59119261745</v>
      </c>
      <c r="Q713" s="9" t="b">
        <f aca="false">AND(IF(M713,0,Y712)=0,AA712,IF(ISNUMBER(AE712),B713&gt;AE712,FALSE()))</f>
        <v>0</v>
      </c>
      <c r="R713" s="8" t="n">
        <f aca="false">B713*(1+Inputs!$B$12)</f>
        <v>0.899890668191575</v>
      </c>
      <c r="S713" s="11" t="n">
        <f aca="false">IF(Q713,MIN(P713*Inputs!$B$3/(R713-AE712),P713*Inputs!$B$11/R713),0)</f>
        <v>0</v>
      </c>
      <c r="T713" s="11" t="n">
        <f aca="false">IF(Q713,S713,IF(M713,0,Y712))</f>
        <v>0</v>
      </c>
      <c r="U713" s="8" t="n">
        <f aca="false">IF(Q713,AE712,AF712)</f>
        <v>0.905666812067299</v>
      </c>
      <c r="V713" s="9" t="b">
        <f aca="false">AND(T713&gt;0,D713&lt;=U713)</f>
        <v>0</v>
      </c>
      <c r="W713" s="10" t="n">
        <f aca="false">IF(V713,T713*(AK713-AB713)-Inputs!$B$9-T713*AD713*Inputs!$B$13*(A713-AC713),0)</f>
        <v>0</v>
      </c>
      <c r="X713" s="10" t="n">
        <f aca="false">P713-IF(Q713,Inputs!$B$9,0)+W713</f>
        <v>1021.59119261745</v>
      </c>
      <c r="Y713" s="11" t="n">
        <f aca="false">IF(V713,0,T713)</f>
        <v>0</v>
      </c>
      <c r="Z713" s="9" t="b">
        <f aca="false">AND(Y713&gt;0,K713)</f>
        <v>0</v>
      </c>
      <c r="AA713" s="9" t="b">
        <f aca="false">AND(Y713=0,J713,ISNUMBER(L713))</f>
        <v>0</v>
      </c>
      <c r="AB713" s="8" t="n">
        <f aca="false">IF(Q713,R713,AB712)</f>
        <v>0.924194624604417</v>
      </c>
      <c r="AC713" s="12" t="n">
        <f aca="false">IF(Q713,A713,AC712)</f>
        <v>45463</v>
      </c>
      <c r="AD713" s="8" t="n">
        <f aca="false">IF(Q713,B713,AD712)</f>
        <v>0.924009822639889</v>
      </c>
      <c r="AE713" s="8" t="str">
        <f aca="false">IF(AA713,L713,"")</f>
        <v/>
      </c>
      <c r="AF713" s="8" t="n">
        <f aca="false">U713</f>
        <v>0.905666812067299</v>
      </c>
      <c r="AG713" s="2" t="n">
        <f aca="false">AG712+IF(Q713,1,0)</f>
        <v>5</v>
      </c>
      <c r="AH713" s="2" t="n">
        <f aca="false">AG712</f>
        <v>5</v>
      </c>
      <c r="AI713" s="10" t="n">
        <f aca="false">X713+Y713*(E713-AB713)-Y713*AD713*Inputs!$B$13*(A713-AC713)</f>
        <v>1021.59119261745</v>
      </c>
      <c r="AJ713" s="10" t="n">
        <v>0</v>
      </c>
      <c r="AK713" s="8" t="n">
        <f aca="false">IF(AND(B713&lt;=U713,NOT(Q713)),B713,U713)*(1-Inputs!$B$12)</f>
        <v>0.899530783901157</v>
      </c>
    </row>
    <row r="714" customFormat="false" ht="15" hidden="false" customHeight="false" outlineLevel="0" collapsed="false">
      <c r="A714" s="6" t="n">
        <v>45498</v>
      </c>
      <c r="B714" s="7" t="n">
        <v>0.895290209095165</v>
      </c>
      <c r="C714" s="7" t="n">
        <v>0.900328326649213</v>
      </c>
      <c r="D714" s="7" t="n">
        <v>0.891788602439855</v>
      </c>
      <c r="E714" s="7" t="n">
        <v>0.899838756328761</v>
      </c>
      <c r="F714" s="8" t="n">
        <f aca="true">IF(ROW()-2&gt;=Inputs!$B$4,AVERAGE(OFFSET(E714,1-Inputs!$B$4,0,Inputs!$B$4,1)),"")</f>
        <v>0.915223842034615</v>
      </c>
      <c r="G714" s="8" t="n">
        <f aca="true">IF(ROW()-2&gt;=Inputs!$B$5,AVERAGE(OFFSET(E714,1-Inputs!$B$5,0,Inputs!$B$5,1)),"")</f>
        <v>0.917040556000592</v>
      </c>
      <c r="H714" s="8" t="n">
        <f aca="false">MAX(C714-D714,ABS(C714-E713),ABS(D714-E713))</f>
        <v>0.00853972420935822</v>
      </c>
      <c r="I714" s="8" t="n">
        <f aca="true">IF(ROW()-2&lt;14,"",IF(ROW()-2=14,AVERAGE(OFFSET(H714,-13,0,14,1)),(I713*13+H714)/14))</f>
        <v>0.00901802998151934</v>
      </c>
      <c r="J714" s="9" t="b">
        <f aca="false">IF(AND(ISNUMBER(F714),ISNUMBER(G714),ISNUMBER(F713),ISNUMBER(G713)),AND(F714&gt;G714,F713&lt;=G713),FALSE())</f>
        <v>0</v>
      </c>
      <c r="K714" s="9" t="b">
        <f aca="false">IF(AND(ISNUMBER(F714),ISNUMBER(G714),ISNUMBER(F713),ISNUMBER(G713)),AND(F714&lt;G714,F713&gt;=G713),FALSE())</f>
        <v>1</v>
      </c>
      <c r="L714" s="8" t="n">
        <f aca="false">IF(ISNUMBER(I714),E714-Inputs!$B$6*I714,"")</f>
        <v>0.881802696365723</v>
      </c>
      <c r="M714" s="9" t="b">
        <f aca="false">AND(Y713&gt;0,Z713)</f>
        <v>0</v>
      </c>
      <c r="N714" s="8" t="n">
        <f aca="false">B714*(1-Inputs!$B$12)</f>
        <v>0.895111151053346</v>
      </c>
      <c r="O714" s="10" t="n">
        <f aca="false">IF(M714,Y713*(N714-AB713)-Inputs!$B$9-Y713*AD713*Inputs!$B$13*(A714-AC713),0)</f>
        <v>0</v>
      </c>
      <c r="P714" s="10" t="n">
        <f aca="false">X713+O714</f>
        <v>1021.59119261745</v>
      </c>
      <c r="Q714" s="9" t="b">
        <f aca="false">AND(IF(M714,0,Y713)=0,AA713,IF(ISNUMBER(AE713),B714&gt;AE713,FALSE()))</f>
        <v>0</v>
      </c>
      <c r="R714" s="8" t="n">
        <f aca="false">B714*(1+Inputs!$B$12)</f>
        <v>0.895469267136984</v>
      </c>
      <c r="S714" s="11" t="n">
        <f aca="false">IF(Q714,MIN(P714*Inputs!$B$3/(R714-AE713),P714*Inputs!$B$11/R714),0)</f>
        <v>0</v>
      </c>
      <c r="T714" s="11" t="n">
        <f aca="false">IF(Q714,S714,IF(M714,0,Y713))</f>
        <v>0</v>
      </c>
      <c r="U714" s="8" t="n">
        <f aca="false">IF(Q714,AE713,AF713)</f>
        <v>0.905666812067299</v>
      </c>
      <c r="V714" s="9" t="b">
        <f aca="false">AND(T714&gt;0,D714&lt;=U714)</f>
        <v>0</v>
      </c>
      <c r="W714" s="10" t="n">
        <f aca="false">IF(V714,T714*(AK714-AB714)-Inputs!$B$9-T714*AD714*Inputs!$B$13*(A714-AC714),0)</f>
        <v>0</v>
      </c>
      <c r="X714" s="10" t="n">
        <f aca="false">P714-IF(Q714,Inputs!$B$9,0)+W714</f>
        <v>1021.59119261745</v>
      </c>
      <c r="Y714" s="11" t="n">
        <f aca="false">IF(V714,0,T714)</f>
        <v>0</v>
      </c>
      <c r="Z714" s="9" t="b">
        <f aca="false">AND(Y714&gt;0,K714)</f>
        <v>0</v>
      </c>
      <c r="AA714" s="9" t="b">
        <f aca="false">AND(Y714=0,J714,ISNUMBER(L714))</f>
        <v>0</v>
      </c>
      <c r="AB714" s="8" t="n">
        <f aca="false">IF(Q714,R714,AB713)</f>
        <v>0.924194624604417</v>
      </c>
      <c r="AC714" s="12" t="n">
        <f aca="false">IF(Q714,A714,AC713)</f>
        <v>45463</v>
      </c>
      <c r="AD714" s="8" t="n">
        <f aca="false">IF(Q714,B714,AD713)</f>
        <v>0.924009822639889</v>
      </c>
      <c r="AE714" s="8" t="str">
        <f aca="false">IF(AA714,L714,"")</f>
        <v/>
      </c>
      <c r="AF714" s="8" t="n">
        <f aca="false">U714</f>
        <v>0.905666812067299</v>
      </c>
      <c r="AG714" s="2" t="n">
        <f aca="false">AG713+IF(Q714,1,0)</f>
        <v>5</v>
      </c>
      <c r="AH714" s="2" t="n">
        <f aca="false">AG713</f>
        <v>5</v>
      </c>
      <c r="AI714" s="10" t="n">
        <f aca="false">X714+Y714*(E714-AB714)-Y714*AD714*Inputs!$B$13*(A714-AC714)</f>
        <v>1021.59119261745</v>
      </c>
      <c r="AJ714" s="10" t="n">
        <v>0</v>
      </c>
      <c r="AK714" s="8" t="n">
        <f aca="false">IF(AND(B714&lt;=U714,NOT(Q714)),B714,U714)*(1-Inputs!$B$12)</f>
        <v>0.895111151053346</v>
      </c>
    </row>
    <row r="715" customFormat="false" ht="15" hidden="false" customHeight="false" outlineLevel="0" collapsed="false">
      <c r="A715" s="6" t="n">
        <v>45499</v>
      </c>
      <c r="B715" s="7" t="n">
        <v>0.899838756328761</v>
      </c>
      <c r="C715" s="7" t="n">
        <v>0.90197739661744</v>
      </c>
      <c r="D715" s="7" t="n">
        <v>0.885422620754536</v>
      </c>
      <c r="E715" s="7" t="n">
        <v>0.889270444763776</v>
      </c>
      <c r="F715" s="8" t="n">
        <f aca="true">IF(ROW()-2&gt;=Inputs!$B$4,AVERAGE(OFFSET(E715,1-Inputs!$B$4,0,Inputs!$B$4,1)),"")</f>
        <v>0.913186438135544</v>
      </c>
      <c r="G715" s="8" t="n">
        <f aca="true">IF(ROW()-2&gt;=Inputs!$B$5,AVERAGE(OFFSET(E715,1-Inputs!$B$5,0,Inputs!$B$5,1)),"")</f>
        <v>0.917185182557562</v>
      </c>
      <c r="H715" s="8" t="n">
        <f aca="false">MAX(C715-D715,ABS(C715-E714),ABS(D715-E714))</f>
        <v>0.0165547758629035</v>
      </c>
      <c r="I715" s="8" t="n">
        <f aca="true">IF(ROW()-2&lt;14,"",IF(ROW()-2=14,AVERAGE(OFFSET(H715,-13,0,14,1)),(I714*13+H715)/14))</f>
        <v>0.00955636897304678</v>
      </c>
      <c r="J715" s="9" t="b">
        <f aca="false">IF(AND(ISNUMBER(F715),ISNUMBER(G715),ISNUMBER(F714),ISNUMBER(G714)),AND(F715&gt;G715,F714&lt;=G714),FALSE())</f>
        <v>0</v>
      </c>
      <c r="K715" s="9" t="b">
        <f aca="false">IF(AND(ISNUMBER(F715),ISNUMBER(G715),ISNUMBER(F714),ISNUMBER(G714)),AND(F715&lt;G715,F714&gt;=G714),FALSE())</f>
        <v>0</v>
      </c>
      <c r="L715" s="8" t="n">
        <f aca="false">IF(ISNUMBER(I715),E715-Inputs!$B$6*I715,"")</f>
        <v>0.870157706817683</v>
      </c>
      <c r="M715" s="9" t="b">
        <f aca="false">AND(Y714&gt;0,Z714)</f>
        <v>0</v>
      </c>
      <c r="N715" s="8" t="n">
        <f aca="false">B715*(1-Inputs!$B$12)</f>
        <v>0.899658788577496</v>
      </c>
      <c r="O715" s="10" t="n">
        <f aca="false">IF(M715,Y714*(N715-AB714)-Inputs!$B$9-Y714*AD714*Inputs!$B$13*(A715-AC714),0)</f>
        <v>0</v>
      </c>
      <c r="P715" s="10" t="n">
        <f aca="false">X714+O715</f>
        <v>1021.59119261745</v>
      </c>
      <c r="Q715" s="9" t="b">
        <f aca="false">AND(IF(M715,0,Y714)=0,AA714,IF(ISNUMBER(AE714),B715&gt;AE714,FALSE()))</f>
        <v>0</v>
      </c>
      <c r="R715" s="8" t="n">
        <f aca="false">B715*(1+Inputs!$B$12)</f>
        <v>0.900018724080027</v>
      </c>
      <c r="S715" s="11" t="n">
        <f aca="false">IF(Q715,MIN(P715*Inputs!$B$3/(R715-AE714),P715*Inputs!$B$11/R715),0)</f>
        <v>0</v>
      </c>
      <c r="T715" s="11" t="n">
        <f aca="false">IF(Q715,S715,IF(M715,0,Y714))</f>
        <v>0</v>
      </c>
      <c r="U715" s="8" t="n">
        <f aca="false">IF(Q715,AE714,AF714)</f>
        <v>0.905666812067299</v>
      </c>
      <c r="V715" s="9" t="b">
        <f aca="false">AND(T715&gt;0,D715&lt;=U715)</f>
        <v>0</v>
      </c>
      <c r="W715" s="10" t="n">
        <f aca="false">IF(V715,T715*(AK715-AB715)-Inputs!$B$9-T715*AD715*Inputs!$B$13*(A715-AC715),0)</f>
        <v>0</v>
      </c>
      <c r="X715" s="10" t="n">
        <f aca="false">P715-IF(Q715,Inputs!$B$9,0)+W715</f>
        <v>1021.59119261745</v>
      </c>
      <c r="Y715" s="11" t="n">
        <f aca="false">IF(V715,0,T715)</f>
        <v>0</v>
      </c>
      <c r="Z715" s="9" t="b">
        <f aca="false">AND(Y715&gt;0,K715)</f>
        <v>0</v>
      </c>
      <c r="AA715" s="9" t="b">
        <f aca="false">AND(Y715=0,J715,ISNUMBER(L715))</f>
        <v>0</v>
      </c>
      <c r="AB715" s="8" t="n">
        <f aca="false">IF(Q715,R715,AB714)</f>
        <v>0.924194624604417</v>
      </c>
      <c r="AC715" s="12" t="n">
        <f aca="false">IF(Q715,A715,AC714)</f>
        <v>45463</v>
      </c>
      <c r="AD715" s="8" t="n">
        <f aca="false">IF(Q715,B715,AD714)</f>
        <v>0.924009822639889</v>
      </c>
      <c r="AE715" s="8" t="str">
        <f aca="false">IF(AA715,L715,"")</f>
        <v/>
      </c>
      <c r="AF715" s="8" t="n">
        <f aca="false">U715</f>
        <v>0.905666812067299</v>
      </c>
      <c r="AG715" s="2" t="n">
        <f aca="false">AG714+IF(Q715,1,0)</f>
        <v>5</v>
      </c>
      <c r="AH715" s="2" t="n">
        <f aca="false">AG714</f>
        <v>5</v>
      </c>
      <c r="AI715" s="10" t="n">
        <f aca="false">X715+Y715*(E715-AB715)-Y715*AD715*Inputs!$B$13*(A715-AC715)</f>
        <v>1021.59119261745</v>
      </c>
      <c r="AJ715" s="10" t="n">
        <v>0</v>
      </c>
      <c r="AK715" s="8" t="n">
        <f aca="false">IF(AND(B715&lt;=U715,NOT(Q715)),B715,U715)*(1-Inputs!$B$12)</f>
        <v>0.899658788577496</v>
      </c>
    </row>
    <row r="716" customFormat="false" ht="15" hidden="false" customHeight="false" outlineLevel="0" collapsed="false">
      <c r="A716" s="6" t="n">
        <v>45500</v>
      </c>
      <c r="B716" s="7" t="n">
        <v>0.889270444763776</v>
      </c>
      <c r="C716" s="7" t="n">
        <v>0.899020263719337</v>
      </c>
      <c r="D716" s="7" t="n">
        <v>0.887048525829046</v>
      </c>
      <c r="E716" s="7" t="n">
        <v>0.895220233187938</v>
      </c>
      <c r="F716" s="8" t="n">
        <f aca="true">IF(ROW()-2&gt;=Inputs!$B$4,AVERAGE(OFFSET(E716,1-Inputs!$B$4,0,Inputs!$B$4,1)),"")</f>
        <v>0.91179012894552</v>
      </c>
      <c r="G716" s="8" t="n">
        <f aca="true">IF(ROW()-2&gt;=Inputs!$B$5,AVERAGE(OFFSET(E716,1-Inputs!$B$5,0,Inputs!$B$5,1)),"")</f>
        <v>0.91743593460133</v>
      </c>
      <c r="H716" s="8" t="n">
        <f aca="false">MAX(C716-D716,ABS(C716-E715),ABS(D716-E715))</f>
        <v>0.0119717378902914</v>
      </c>
      <c r="I716" s="8" t="n">
        <f aca="true">IF(ROW()-2&lt;14,"",IF(ROW()-2=14,AVERAGE(OFFSET(H716,-13,0,14,1)),(I715*13+H716)/14))</f>
        <v>0.00972889532427854</v>
      </c>
      <c r="J716" s="9" t="b">
        <f aca="false">IF(AND(ISNUMBER(F716),ISNUMBER(G716),ISNUMBER(F715),ISNUMBER(G715)),AND(F716&gt;G716,F715&lt;=G715),FALSE())</f>
        <v>0</v>
      </c>
      <c r="K716" s="9" t="b">
        <f aca="false">IF(AND(ISNUMBER(F716),ISNUMBER(G716),ISNUMBER(F715),ISNUMBER(G715)),AND(F716&lt;G716,F715&gt;=G715),FALSE())</f>
        <v>0</v>
      </c>
      <c r="L716" s="8" t="n">
        <f aca="false">IF(ISNUMBER(I716),E716-Inputs!$B$6*I716,"")</f>
        <v>0.875762442539381</v>
      </c>
      <c r="M716" s="9" t="b">
        <f aca="false">AND(Y715&gt;0,Z715)</f>
        <v>0</v>
      </c>
      <c r="N716" s="8" t="n">
        <f aca="false">B716*(1-Inputs!$B$12)</f>
        <v>0.889092590674823</v>
      </c>
      <c r="O716" s="10" t="n">
        <f aca="false">IF(M716,Y715*(N716-AB715)-Inputs!$B$9-Y715*AD715*Inputs!$B$13*(A716-AC715),0)</f>
        <v>0</v>
      </c>
      <c r="P716" s="10" t="n">
        <f aca="false">X715+O716</f>
        <v>1021.59119261745</v>
      </c>
      <c r="Q716" s="9" t="b">
        <f aca="false">AND(IF(M716,0,Y715)=0,AA715,IF(ISNUMBER(AE715),B716&gt;AE715,FALSE()))</f>
        <v>0</v>
      </c>
      <c r="R716" s="8" t="n">
        <f aca="false">B716*(1+Inputs!$B$12)</f>
        <v>0.889448298852729</v>
      </c>
      <c r="S716" s="11" t="n">
        <f aca="false">IF(Q716,MIN(P716*Inputs!$B$3/(R716-AE715),P716*Inputs!$B$11/R716),0)</f>
        <v>0</v>
      </c>
      <c r="T716" s="11" t="n">
        <f aca="false">IF(Q716,S716,IF(M716,0,Y715))</f>
        <v>0</v>
      </c>
      <c r="U716" s="8" t="n">
        <f aca="false">IF(Q716,AE715,AF715)</f>
        <v>0.905666812067299</v>
      </c>
      <c r="V716" s="9" t="b">
        <f aca="false">AND(T716&gt;0,D716&lt;=U716)</f>
        <v>0</v>
      </c>
      <c r="W716" s="10" t="n">
        <f aca="false">IF(V716,T716*(AK716-AB716)-Inputs!$B$9-T716*AD716*Inputs!$B$13*(A716-AC716),0)</f>
        <v>0</v>
      </c>
      <c r="X716" s="10" t="n">
        <f aca="false">P716-IF(Q716,Inputs!$B$9,0)+W716</f>
        <v>1021.59119261745</v>
      </c>
      <c r="Y716" s="11" t="n">
        <f aca="false">IF(V716,0,T716)</f>
        <v>0</v>
      </c>
      <c r="Z716" s="9" t="b">
        <f aca="false">AND(Y716&gt;0,K716)</f>
        <v>0</v>
      </c>
      <c r="AA716" s="9" t="b">
        <f aca="false">AND(Y716=0,J716,ISNUMBER(L716))</f>
        <v>0</v>
      </c>
      <c r="AB716" s="8" t="n">
        <f aca="false">IF(Q716,R716,AB715)</f>
        <v>0.924194624604417</v>
      </c>
      <c r="AC716" s="12" t="n">
        <f aca="false">IF(Q716,A716,AC715)</f>
        <v>45463</v>
      </c>
      <c r="AD716" s="8" t="n">
        <f aca="false">IF(Q716,B716,AD715)</f>
        <v>0.924009822639889</v>
      </c>
      <c r="AE716" s="8" t="str">
        <f aca="false">IF(AA716,L716,"")</f>
        <v/>
      </c>
      <c r="AF716" s="8" t="n">
        <f aca="false">U716</f>
        <v>0.905666812067299</v>
      </c>
      <c r="AG716" s="2" t="n">
        <f aca="false">AG715+IF(Q716,1,0)</f>
        <v>5</v>
      </c>
      <c r="AH716" s="2" t="n">
        <f aca="false">AG715</f>
        <v>5</v>
      </c>
      <c r="AI716" s="10" t="n">
        <f aca="false">X716+Y716*(E716-AB716)-Y716*AD716*Inputs!$B$13*(A716-AC716)</f>
        <v>1021.59119261745</v>
      </c>
      <c r="AJ716" s="10" t="n">
        <v>0</v>
      </c>
      <c r="AK716" s="8" t="n">
        <f aca="false">IF(AND(B716&lt;=U716,NOT(Q716)),B716,U716)*(1-Inputs!$B$12)</f>
        <v>0.889092590674823</v>
      </c>
    </row>
    <row r="717" customFormat="false" ht="15" hidden="false" customHeight="false" outlineLevel="0" collapsed="false">
      <c r="A717" s="6" t="n">
        <v>45501</v>
      </c>
      <c r="B717" s="7" t="n">
        <v>0.895220233187938</v>
      </c>
      <c r="C717" s="7" t="n">
        <v>0.895806471609728</v>
      </c>
      <c r="D717" s="7" t="n">
        <v>0.892024511681194</v>
      </c>
      <c r="E717" s="7" t="n">
        <v>0.895689572088138</v>
      </c>
      <c r="F717" s="8" t="n">
        <f aca="true">IF(ROW()-2&gt;=Inputs!$B$4,AVERAGE(OFFSET(E717,1-Inputs!$B$4,0,Inputs!$B$4,1)),"")</f>
        <v>0.910416910654204</v>
      </c>
      <c r="G717" s="8" t="n">
        <f aca="true">IF(ROW()-2&gt;=Inputs!$B$5,AVERAGE(OFFSET(E717,1-Inputs!$B$5,0,Inputs!$B$5,1)),"")</f>
        <v>0.917662061496905</v>
      </c>
      <c r="H717" s="8" t="n">
        <f aca="false">MAX(C717-D717,ABS(C717-E716),ABS(D717-E716))</f>
        <v>0.00378195992853403</v>
      </c>
      <c r="I717" s="8" t="n">
        <f aca="true">IF(ROW()-2&lt;14,"",IF(ROW()-2=14,AVERAGE(OFFSET(H717,-13,0,14,1)),(I716*13+H717)/14))</f>
        <v>0.0093041142245825</v>
      </c>
      <c r="J717" s="9" t="b">
        <f aca="false">IF(AND(ISNUMBER(F717),ISNUMBER(G717),ISNUMBER(F716),ISNUMBER(G716)),AND(F717&gt;G717,F716&lt;=G716),FALSE())</f>
        <v>0</v>
      </c>
      <c r="K717" s="9" t="b">
        <f aca="false">IF(AND(ISNUMBER(F717),ISNUMBER(G717),ISNUMBER(F716),ISNUMBER(G716)),AND(F717&lt;G717,F716&gt;=G716),FALSE())</f>
        <v>0</v>
      </c>
      <c r="L717" s="8" t="n">
        <f aca="false">IF(ISNUMBER(I717),E717-Inputs!$B$6*I717,"")</f>
        <v>0.877081343638973</v>
      </c>
      <c r="M717" s="9" t="b">
        <f aca="false">AND(Y716&gt;0,Z716)</f>
        <v>0</v>
      </c>
      <c r="N717" s="8" t="n">
        <f aca="false">B717*(1-Inputs!$B$12)</f>
        <v>0.8950411891413</v>
      </c>
      <c r="O717" s="10" t="n">
        <f aca="false">IF(M717,Y716*(N717-AB716)-Inputs!$B$9-Y716*AD716*Inputs!$B$13*(A717-AC716),0)</f>
        <v>0</v>
      </c>
      <c r="P717" s="10" t="n">
        <f aca="false">X716+O717</f>
        <v>1021.59119261745</v>
      </c>
      <c r="Q717" s="9" t="b">
        <f aca="false">AND(IF(M717,0,Y716)=0,AA716,IF(ISNUMBER(AE716),B717&gt;AE716,FALSE()))</f>
        <v>0</v>
      </c>
      <c r="R717" s="8" t="n">
        <f aca="false">B717*(1+Inputs!$B$12)</f>
        <v>0.895399277234575</v>
      </c>
      <c r="S717" s="11" t="n">
        <f aca="false">IF(Q717,MIN(P717*Inputs!$B$3/(R717-AE716),P717*Inputs!$B$11/R717),0)</f>
        <v>0</v>
      </c>
      <c r="T717" s="11" t="n">
        <f aca="false">IF(Q717,S717,IF(M717,0,Y716))</f>
        <v>0</v>
      </c>
      <c r="U717" s="8" t="n">
        <f aca="false">IF(Q717,AE716,AF716)</f>
        <v>0.905666812067299</v>
      </c>
      <c r="V717" s="9" t="b">
        <f aca="false">AND(T717&gt;0,D717&lt;=U717)</f>
        <v>0</v>
      </c>
      <c r="W717" s="10" t="n">
        <f aca="false">IF(V717,T717*(AK717-AB717)-Inputs!$B$9-T717*AD717*Inputs!$B$13*(A717-AC717),0)</f>
        <v>0</v>
      </c>
      <c r="X717" s="10" t="n">
        <f aca="false">P717-IF(Q717,Inputs!$B$9,0)+W717</f>
        <v>1021.59119261745</v>
      </c>
      <c r="Y717" s="11" t="n">
        <f aca="false">IF(V717,0,T717)</f>
        <v>0</v>
      </c>
      <c r="Z717" s="9" t="b">
        <f aca="false">AND(Y717&gt;0,K717)</f>
        <v>0</v>
      </c>
      <c r="AA717" s="9" t="b">
        <f aca="false">AND(Y717=0,J717,ISNUMBER(L717))</f>
        <v>0</v>
      </c>
      <c r="AB717" s="8" t="n">
        <f aca="false">IF(Q717,R717,AB716)</f>
        <v>0.924194624604417</v>
      </c>
      <c r="AC717" s="12" t="n">
        <f aca="false">IF(Q717,A717,AC716)</f>
        <v>45463</v>
      </c>
      <c r="AD717" s="8" t="n">
        <f aca="false">IF(Q717,B717,AD716)</f>
        <v>0.924009822639889</v>
      </c>
      <c r="AE717" s="8" t="str">
        <f aca="false">IF(AA717,L717,"")</f>
        <v/>
      </c>
      <c r="AF717" s="8" t="n">
        <f aca="false">U717</f>
        <v>0.905666812067299</v>
      </c>
      <c r="AG717" s="2" t="n">
        <f aca="false">AG716+IF(Q717,1,0)</f>
        <v>5</v>
      </c>
      <c r="AH717" s="2" t="n">
        <f aca="false">AG716</f>
        <v>5</v>
      </c>
      <c r="AI717" s="10" t="n">
        <f aca="false">X717+Y717*(E717-AB717)-Y717*AD717*Inputs!$B$13*(A717-AC717)</f>
        <v>1021.59119261745</v>
      </c>
      <c r="AJ717" s="10" t="n">
        <v>0</v>
      </c>
      <c r="AK717" s="8" t="n">
        <f aca="false">IF(AND(B717&lt;=U717,NOT(Q717)),B717,U717)*(1-Inputs!$B$12)</f>
        <v>0.8950411891413</v>
      </c>
    </row>
    <row r="718" customFormat="false" ht="15" hidden="false" customHeight="false" outlineLevel="0" collapsed="false">
      <c r="A718" s="6" t="n">
        <v>45502</v>
      </c>
      <c r="B718" s="7" t="n">
        <v>0.895689572088138</v>
      </c>
      <c r="C718" s="7" t="n">
        <v>0.899275955617623</v>
      </c>
      <c r="D718" s="7" t="n">
        <v>0.89173305740357</v>
      </c>
      <c r="E718" s="7" t="n">
        <v>0.893278771859453</v>
      </c>
      <c r="F718" s="8" t="n">
        <f aca="true">IF(ROW()-2&gt;=Inputs!$B$4,AVERAGE(OFFSET(E718,1-Inputs!$B$4,0,Inputs!$B$4,1)),"")</f>
        <v>0.909144979068467</v>
      </c>
      <c r="G718" s="8" t="n">
        <f aca="true">IF(ROW()-2&gt;=Inputs!$B$5,AVERAGE(OFFSET(E718,1-Inputs!$B$5,0,Inputs!$B$5,1)),"")</f>
        <v>0.91783758215786</v>
      </c>
      <c r="H718" s="8" t="n">
        <f aca="false">MAX(C718-D718,ABS(C718-E717),ABS(D718-E717))</f>
        <v>0.00754289821405363</v>
      </c>
      <c r="I718" s="8" t="n">
        <f aca="true">IF(ROW()-2&lt;14,"",IF(ROW()-2=14,AVERAGE(OFFSET(H718,-13,0,14,1)),(I717*13+H718)/14))</f>
        <v>0.0091783130809733</v>
      </c>
      <c r="J718" s="9" t="b">
        <f aca="false">IF(AND(ISNUMBER(F718),ISNUMBER(G718),ISNUMBER(F717),ISNUMBER(G717)),AND(F718&gt;G718,F717&lt;=G717),FALSE())</f>
        <v>0</v>
      </c>
      <c r="K718" s="9" t="b">
        <f aca="false">IF(AND(ISNUMBER(F718),ISNUMBER(G718),ISNUMBER(F717),ISNUMBER(G717)),AND(F718&lt;G718,F717&gt;=G717),FALSE())</f>
        <v>0</v>
      </c>
      <c r="L718" s="8" t="n">
        <f aca="false">IF(ISNUMBER(I718),E718-Inputs!$B$6*I718,"")</f>
        <v>0.874922145697506</v>
      </c>
      <c r="M718" s="9" t="b">
        <f aca="false">AND(Y717&gt;0,Z717)</f>
        <v>0</v>
      </c>
      <c r="N718" s="8" t="n">
        <f aca="false">B718*(1-Inputs!$B$12)</f>
        <v>0.89551043417372</v>
      </c>
      <c r="O718" s="10" t="n">
        <f aca="false">IF(M718,Y717*(N718-AB717)-Inputs!$B$9-Y717*AD717*Inputs!$B$13*(A718-AC717),0)</f>
        <v>0</v>
      </c>
      <c r="P718" s="10" t="n">
        <f aca="false">X717+O718</f>
        <v>1021.59119261745</v>
      </c>
      <c r="Q718" s="9" t="b">
        <f aca="false">AND(IF(M718,0,Y717)=0,AA717,IF(ISNUMBER(AE717),B718&gt;AE717,FALSE()))</f>
        <v>0</v>
      </c>
      <c r="R718" s="8" t="n">
        <f aca="false">B718*(1+Inputs!$B$12)</f>
        <v>0.895868710002555</v>
      </c>
      <c r="S718" s="11" t="n">
        <f aca="false">IF(Q718,MIN(P718*Inputs!$B$3/(R718-AE717),P718*Inputs!$B$11/R718),0)</f>
        <v>0</v>
      </c>
      <c r="T718" s="11" t="n">
        <f aca="false">IF(Q718,S718,IF(M718,0,Y717))</f>
        <v>0</v>
      </c>
      <c r="U718" s="8" t="n">
        <f aca="false">IF(Q718,AE717,AF717)</f>
        <v>0.905666812067299</v>
      </c>
      <c r="V718" s="9" t="b">
        <f aca="false">AND(T718&gt;0,D718&lt;=U718)</f>
        <v>0</v>
      </c>
      <c r="W718" s="10" t="n">
        <f aca="false">IF(V718,T718*(AK718-AB718)-Inputs!$B$9-T718*AD718*Inputs!$B$13*(A718-AC718),0)</f>
        <v>0</v>
      </c>
      <c r="X718" s="10" t="n">
        <f aca="false">P718-IF(Q718,Inputs!$B$9,0)+W718</f>
        <v>1021.59119261745</v>
      </c>
      <c r="Y718" s="11" t="n">
        <f aca="false">IF(V718,0,T718)</f>
        <v>0</v>
      </c>
      <c r="Z718" s="9" t="b">
        <f aca="false">AND(Y718&gt;0,K718)</f>
        <v>0</v>
      </c>
      <c r="AA718" s="9" t="b">
        <f aca="false">AND(Y718=0,J718,ISNUMBER(L718))</f>
        <v>0</v>
      </c>
      <c r="AB718" s="8" t="n">
        <f aca="false">IF(Q718,R718,AB717)</f>
        <v>0.924194624604417</v>
      </c>
      <c r="AC718" s="12" t="n">
        <f aca="false">IF(Q718,A718,AC717)</f>
        <v>45463</v>
      </c>
      <c r="AD718" s="8" t="n">
        <f aca="false">IF(Q718,B718,AD717)</f>
        <v>0.924009822639889</v>
      </c>
      <c r="AE718" s="8" t="str">
        <f aca="false">IF(AA718,L718,"")</f>
        <v/>
      </c>
      <c r="AF718" s="8" t="n">
        <f aca="false">U718</f>
        <v>0.905666812067299</v>
      </c>
      <c r="AG718" s="2" t="n">
        <f aca="false">AG717+IF(Q718,1,0)</f>
        <v>5</v>
      </c>
      <c r="AH718" s="2" t="n">
        <f aca="false">AG717</f>
        <v>5</v>
      </c>
      <c r="AI718" s="10" t="n">
        <f aca="false">X718+Y718*(E718-AB718)-Y718*AD718*Inputs!$B$13*(A718-AC718)</f>
        <v>1021.59119261745</v>
      </c>
      <c r="AJ718" s="10" t="n">
        <v>0</v>
      </c>
      <c r="AK718" s="8" t="n">
        <f aca="false">IF(AND(B718&lt;=U718,NOT(Q718)),B718,U718)*(1-Inputs!$B$12)</f>
        <v>0.89551043417372</v>
      </c>
    </row>
    <row r="719" customFormat="false" ht="15" hidden="false" customHeight="false" outlineLevel="0" collapsed="false">
      <c r="A719" s="6" t="n">
        <v>45503</v>
      </c>
      <c r="B719" s="7" t="n">
        <v>0.893278771859453</v>
      </c>
      <c r="C719" s="7" t="n">
        <v>0.894671565709134</v>
      </c>
      <c r="D719" s="7" t="n">
        <v>0.891346286558878</v>
      </c>
      <c r="E719" s="7" t="n">
        <v>0.893792753312759</v>
      </c>
      <c r="F719" s="8" t="n">
        <f aca="true">IF(ROW()-2&gt;=Inputs!$B$4,AVERAGE(OFFSET(E719,1-Inputs!$B$4,0,Inputs!$B$4,1)),"")</f>
        <v>0.907728066193162</v>
      </c>
      <c r="G719" s="8" t="n">
        <f aca="true">IF(ROW()-2&gt;=Inputs!$B$5,AVERAGE(OFFSET(E719,1-Inputs!$B$5,0,Inputs!$B$5,1)),"")</f>
        <v>0.917941952724662</v>
      </c>
      <c r="H719" s="8" t="n">
        <f aca="false">MAX(C719-D719,ABS(C719-E718),ABS(D719-E718))</f>
        <v>0.00332527915025516</v>
      </c>
      <c r="I719" s="8" t="n">
        <f aca="true">IF(ROW()-2&lt;14,"",IF(ROW()-2=14,AVERAGE(OFFSET(H719,-13,0,14,1)),(I718*13+H719)/14))</f>
        <v>0.00876023922877915</v>
      </c>
      <c r="J719" s="9" t="b">
        <f aca="false">IF(AND(ISNUMBER(F719),ISNUMBER(G719),ISNUMBER(F718),ISNUMBER(G718)),AND(F719&gt;G719,F718&lt;=G718),FALSE())</f>
        <v>0</v>
      </c>
      <c r="K719" s="9" t="b">
        <f aca="false">IF(AND(ISNUMBER(F719),ISNUMBER(G719),ISNUMBER(F718),ISNUMBER(G718)),AND(F719&lt;G719,F718&gt;=G718),FALSE())</f>
        <v>0</v>
      </c>
      <c r="L719" s="8" t="n">
        <f aca="false">IF(ISNUMBER(I719),E719-Inputs!$B$6*I719,"")</f>
        <v>0.876272274855201</v>
      </c>
      <c r="M719" s="9" t="b">
        <f aca="false">AND(Y718&gt;0,Z718)</f>
        <v>0</v>
      </c>
      <c r="N719" s="8" t="n">
        <f aca="false">B719*(1-Inputs!$B$12)</f>
        <v>0.893100116105081</v>
      </c>
      <c r="O719" s="10" t="n">
        <f aca="false">IF(M719,Y718*(N719-AB718)-Inputs!$B$9-Y718*AD718*Inputs!$B$13*(A719-AC718),0)</f>
        <v>0</v>
      </c>
      <c r="P719" s="10" t="n">
        <f aca="false">X718+O719</f>
        <v>1021.59119261745</v>
      </c>
      <c r="Q719" s="9" t="b">
        <f aca="false">AND(IF(M719,0,Y718)=0,AA718,IF(ISNUMBER(AE718),B719&gt;AE718,FALSE()))</f>
        <v>0</v>
      </c>
      <c r="R719" s="8" t="n">
        <f aca="false">B719*(1+Inputs!$B$12)</f>
        <v>0.893457427613825</v>
      </c>
      <c r="S719" s="11" t="n">
        <f aca="false">IF(Q719,MIN(P719*Inputs!$B$3/(R719-AE718),P719*Inputs!$B$11/R719),0)</f>
        <v>0</v>
      </c>
      <c r="T719" s="11" t="n">
        <f aca="false">IF(Q719,S719,IF(M719,0,Y718))</f>
        <v>0</v>
      </c>
      <c r="U719" s="8" t="n">
        <f aca="false">IF(Q719,AE718,AF718)</f>
        <v>0.905666812067299</v>
      </c>
      <c r="V719" s="9" t="b">
        <f aca="false">AND(T719&gt;0,D719&lt;=U719)</f>
        <v>0</v>
      </c>
      <c r="W719" s="10" t="n">
        <f aca="false">IF(V719,T719*(AK719-AB719)-Inputs!$B$9-T719*AD719*Inputs!$B$13*(A719-AC719),0)</f>
        <v>0</v>
      </c>
      <c r="X719" s="10" t="n">
        <f aca="false">P719-IF(Q719,Inputs!$B$9,0)+W719</f>
        <v>1021.59119261745</v>
      </c>
      <c r="Y719" s="11" t="n">
        <f aca="false">IF(V719,0,T719)</f>
        <v>0</v>
      </c>
      <c r="Z719" s="9" t="b">
        <f aca="false">AND(Y719&gt;0,K719)</f>
        <v>0</v>
      </c>
      <c r="AA719" s="9" t="b">
        <f aca="false">AND(Y719=0,J719,ISNUMBER(L719))</f>
        <v>0</v>
      </c>
      <c r="AB719" s="8" t="n">
        <f aca="false">IF(Q719,R719,AB718)</f>
        <v>0.924194624604417</v>
      </c>
      <c r="AC719" s="12" t="n">
        <f aca="false">IF(Q719,A719,AC718)</f>
        <v>45463</v>
      </c>
      <c r="AD719" s="8" t="n">
        <f aca="false">IF(Q719,B719,AD718)</f>
        <v>0.924009822639889</v>
      </c>
      <c r="AE719" s="8" t="str">
        <f aca="false">IF(AA719,L719,"")</f>
        <v/>
      </c>
      <c r="AF719" s="8" t="n">
        <f aca="false">U719</f>
        <v>0.905666812067299</v>
      </c>
      <c r="AG719" s="2" t="n">
        <f aca="false">AG718+IF(Q719,1,0)</f>
        <v>5</v>
      </c>
      <c r="AH719" s="2" t="n">
        <f aca="false">AG718</f>
        <v>5</v>
      </c>
      <c r="AI719" s="10" t="n">
        <f aca="false">X719+Y719*(E719-AB719)-Y719*AD719*Inputs!$B$13*(A719-AC719)</f>
        <v>1021.59119261745</v>
      </c>
      <c r="AJ719" s="10" t="n">
        <v>0</v>
      </c>
      <c r="AK719" s="8" t="n">
        <f aca="false">IF(AND(B719&lt;=U719,NOT(Q719)),B719,U719)*(1-Inputs!$B$12)</f>
        <v>0.893100116105081</v>
      </c>
    </row>
    <row r="720" customFormat="false" ht="15" hidden="false" customHeight="false" outlineLevel="0" collapsed="false">
      <c r="A720" s="6" t="n">
        <v>45504</v>
      </c>
      <c r="B720" s="7" t="n">
        <v>0.893792753312759</v>
      </c>
      <c r="C720" s="7" t="n">
        <v>0.904575408676281</v>
      </c>
      <c r="D720" s="7" t="n">
        <v>0.891326063125685</v>
      </c>
      <c r="E720" s="7" t="n">
        <v>0.903553804184364</v>
      </c>
      <c r="F720" s="8" t="n">
        <f aca="true">IF(ROW()-2&gt;=Inputs!$B$4,AVERAGE(OFFSET(E720,1-Inputs!$B$4,0,Inputs!$B$4,1)),"")</f>
        <v>0.906733872929235</v>
      </c>
      <c r="G720" s="8" t="n">
        <f aca="true">IF(ROW()-2&gt;=Inputs!$B$5,AVERAGE(OFFSET(E720,1-Inputs!$B$5,0,Inputs!$B$5,1)),"")</f>
        <v>0.918054261218125</v>
      </c>
      <c r="H720" s="8" t="n">
        <f aca="false">MAX(C720-D720,ABS(C720-E719),ABS(D720-E719))</f>
        <v>0.013249345550596</v>
      </c>
      <c r="I720" s="8" t="n">
        <f aca="true">IF(ROW()-2&lt;14,"",IF(ROW()-2=14,AVERAGE(OFFSET(H720,-13,0,14,1)),(I719*13+H720)/14))</f>
        <v>0.00908088968033749</v>
      </c>
      <c r="J720" s="9" t="b">
        <f aca="false">IF(AND(ISNUMBER(F720),ISNUMBER(G720),ISNUMBER(F719),ISNUMBER(G719)),AND(F720&gt;G720,F719&lt;=G719),FALSE())</f>
        <v>0</v>
      </c>
      <c r="K720" s="9" t="b">
        <f aca="false">IF(AND(ISNUMBER(F720),ISNUMBER(G720),ISNUMBER(F719),ISNUMBER(G719)),AND(F720&lt;G720,F719&gt;=G719),FALSE())</f>
        <v>0</v>
      </c>
      <c r="L720" s="8" t="n">
        <f aca="false">IF(ISNUMBER(I720),E720-Inputs!$B$6*I720,"")</f>
        <v>0.885392024823689</v>
      </c>
      <c r="M720" s="9" t="b">
        <f aca="false">AND(Y719&gt;0,Z719)</f>
        <v>0</v>
      </c>
      <c r="N720" s="8" t="n">
        <f aca="false">B720*(1-Inputs!$B$12)</f>
        <v>0.893613994762097</v>
      </c>
      <c r="O720" s="10" t="n">
        <f aca="false">IF(M720,Y719*(N720-AB719)-Inputs!$B$9-Y719*AD719*Inputs!$B$13*(A720-AC719),0)</f>
        <v>0</v>
      </c>
      <c r="P720" s="10" t="n">
        <f aca="false">X719+O720</f>
        <v>1021.59119261745</v>
      </c>
      <c r="Q720" s="9" t="b">
        <f aca="false">AND(IF(M720,0,Y719)=0,AA719,IF(ISNUMBER(AE719),B720&gt;AE719,FALSE()))</f>
        <v>0</v>
      </c>
      <c r="R720" s="8" t="n">
        <f aca="false">B720*(1+Inputs!$B$12)</f>
        <v>0.893971511863422</v>
      </c>
      <c r="S720" s="11" t="n">
        <f aca="false">IF(Q720,MIN(P720*Inputs!$B$3/(R720-AE719),P720*Inputs!$B$11/R720),0)</f>
        <v>0</v>
      </c>
      <c r="T720" s="11" t="n">
        <f aca="false">IF(Q720,S720,IF(M720,0,Y719))</f>
        <v>0</v>
      </c>
      <c r="U720" s="8" t="n">
        <f aca="false">IF(Q720,AE719,AF719)</f>
        <v>0.905666812067299</v>
      </c>
      <c r="V720" s="9" t="b">
        <f aca="false">AND(T720&gt;0,D720&lt;=U720)</f>
        <v>0</v>
      </c>
      <c r="W720" s="10" t="n">
        <f aca="false">IF(V720,T720*(AK720-AB720)-Inputs!$B$9-T720*AD720*Inputs!$B$13*(A720-AC720),0)</f>
        <v>0</v>
      </c>
      <c r="X720" s="10" t="n">
        <f aca="false">P720-IF(Q720,Inputs!$B$9,0)+W720</f>
        <v>1021.59119261745</v>
      </c>
      <c r="Y720" s="11" t="n">
        <f aca="false">IF(V720,0,T720)</f>
        <v>0</v>
      </c>
      <c r="Z720" s="9" t="b">
        <f aca="false">AND(Y720&gt;0,K720)</f>
        <v>0</v>
      </c>
      <c r="AA720" s="9" t="b">
        <f aca="false">AND(Y720=0,J720,ISNUMBER(L720))</f>
        <v>0</v>
      </c>
      <c r="AB720" s="8" t="n">
        <f aca="false">IF(Q720,R720,AB719)</f>
        <v>0.924194624604417</v>
      </c>
      <c r="AC720" s="12" t="n">
        <f aca="false">IF(Q720,A720,AC719)</f>
        <v>45463</v>
      </c>
      <c r="AD720" s="8" t="n">
        <f aca="false">IF(Q720,B720,AD719)</f>
        <v>0.924009822639889</v>
      </c>
      <c r="AE720" s="8" t="str">
        <f aca="false">IF(AA720,L720,"")</f>
        <v/>
      </c>
      <c r="AF720" s="8" t="n">
        <f aca="false">U720</f>
        <v>0.905666812067299</v>
      </c>
      <c r="AG720" s="2" t="n">
        <f aca="false">AG719+IF(Q720,1,0)</f>
        <v>5</v>
      </c>
      <c r="AH720" s="2" t="n">
        <f aca="false">AG719</f>
        <v>5</v>
      </c>
      <c r="AI720" s="10" t="n">
        <f aca="false">X720+Y720*(E720-AB720)-Y720*AD720*Inputs!$B$13*(A720-AC720)</f>
        <v>1021.59119261745</v>
      </c>
      <c r="AJ720" s="10" t="n">
        <v>0</v>
      </c>
      <c r="AK720" s="8" t="n">
        <f aca="false">IF(AND(B720&lt;=U720,NOT(Q720)),B720,U720)*(1-Inputs!$B$12)</f>
        <v>0.893613994762097</v>
      </c>
    </row>
    <row r="721" customFormat="false" ht="15" hidden="false" customHeight="false" outlineLevel="0" collapsed="false">
      <c r="A721" s="6" t="n">
        <v>45505</v>
      </c>
      <c r="B721" s="7" t="n">
        <v>0.903553804184364</v>
      </c>
      <c r="C721" s="7" t="n">
        <v>0.906938049570719</v>
      </c>
      <c r="D721" s="7" t="n">
        <v>0.89806956713928</v>
      </c>
      <c r="E721" s="7" t="n">
        <v>0.90214472908667</v>
      </c>
      <c r="F721" s="8" t="n">
        <f aca="true">IF(ROW()-2&gt;=Inputs!$B$4,AVERAGE(OFFSET(E721,1-Inputs!$B$4,0,Inputs!$B$4,1)),"")</f>
        <v>0.905686438649684</v>
      </c>
      <c r="G721" s="8" t="n">
        <f aca="true">IF(ROW()-2&gt;=Inputs!$B$5,AVERAGE(OFFSET(E721,1-Inputs!$B$5,0,Inputs!$B$5,1)),"")</f>
        <v>0.917963187064895</v>
      </c>
      <c r="H721" s="8" t="n">
        <f aca="false">MAX(C721-D721,ABS(C721-E720),ABS(D721-E720))</f>
        <v>0.00886848243143956</v>
      </c>
      <c r="I721" s="8" t="n">
        <f aca="true">IF(ROW()-2&lt;14,"",IF(ROW()-2=14,AVERAGE(OFFSET(H721,-13,0,14,1)),(I720*13+H721)/14))</f>
        <v>0.00906571773398764</v>
      </c>
      <c r="J721" s="9" t="b">
        <f aca="false">IF(AND(ISNUMBER(F721),ISNUMBER(G721),ISNUMBER(F720),ISNUMBER(G720)),AND(F721&gt;G721,F720&lt;=G720),FALSE())</f>
        <v>0</v>
      </c>
      <c r="K721" s="9" t="b">
        <f aca="false">IF(AND(ISNUMBER(F721),ISNUMBER(G721),ISNUMBER(F720),ISNUMBER(G720)),AND(F721&lt;G721,F720&gt;=G720),FALSE())</f>
        <v>0</v>
      </c>
      <c r="L721" s="8" t="n">
        <f aca="false">IF(ISNUMBER(I721),E721-Inputs!$B$6*I721,"")</f>
        <v>0.884013293618695</v>
      </c>
      <c r="M721" s="9" t="b">
        <f aca="false">AND(Y720&gt;0,Z720)</f>
        <v>0</v>
      </c>
      <c r="N721" s="8" t="n">
        <f aca="false">B721*(1-Inputs!$B$12)</f>
        <v>0.903373093423527</v>
      </c>
      <c r="O721" s="10" t="n">
        <f aca="false">IF(M721,Y720*(N721-AB720)-Inputs!$B$9-Y720*AD720*Inputs!$B$13*(A721-AC720),0)</f>
        <v>0</v>
      </c>
      <c r="P721" s="10" t="n">
        <f aca="false">X720+O721</f>
        <v>1021.59119261745</v>
      </c>
      <c r="Q721" s="9" t="b">
        <f aca="false">AND(IF(M721,0,Y720)=0,AA720,IF(ISNUMBER(AE720),B721&gt;AE720,FALSE()))</f>
        <v>0</v>
      </c>
      <c r="R721" s="8" t="n">
        <f aca="false">B721*(1+Inputs!$B$12)</f>
        <v>0.903734514945201</v>
      </c>
      <c r="S721" s="11" t="n">
        <f aca="false">IF(Q721,MIN(P721*Inputs!$B$3/(R721-AE720),P721*Inputs!$B$11/R721),0)</f>
        <v>0</v>
      </c>
      <c r="T721" s="11" t="n">
        <f aca="false">IF(Q721,S721,IF(M721,0,Y720))</f>
        <v>0</v>
      </c>
      <c r="U721" s="8" t="n">
        <f aca="false">IF(Q721,AE720,AF720)</f>
        <v>0.905666812067299</v>
      </c>
      <c r="V721" s="9" t="b">
        <f aca="false">AND(T721&gt;0,D721&lt;=U721)</f>
        <v>0</v>
      </c>
      <c r="W721" s="10" t="n">
        <f aca="false">IF(V721,T721*(AK721-AB721)-Inputs!$B$9-T721*AD721*Inputs!$B$13*(A721-AC721),0)</f>
        <v>0</v>
      </c>
      <c r="X721" s="10" t="n">
        <f aca="false">P721-IF(Q721,Inputs!$B$9,0)+W721</f>
        <v>1021.59119261745</v>
      </c>
      <c r="Y721" s="11" t="n">
        <f aca="false">IF(V721,0,T721)</f>
        <v>0</v>
      </c>
      <c r="Z721" s="9" t="b">
        <f aca="false">AND(Y721&gt;0,K721)</f>
        <v>0</v>
      </c>
      <c r="AA721" s="9" t="b">
        <f aca="false">AND(Y721=0,J721,ISNUMBER(L721))</f>
        <v>0</v>
      </c>
      <c r="AB721" s="8" t="n">
        <f aca="false">IF(Q721,R721,AB720)</f>
        <v>0.924194624604417</v>
      </c>
      <c r="AC721" s="12" t="n">
        <f aca="false">IF(Q721,A721,AC720)</f>
        <v>45463</v>
      </c>
      <c r="AD721" s="8" t="n">
        <f aca="false">IF(Q721,B721,AD720)</f>
        <v>0.924009822639889</v>
      </c>
      <c r="AE721" s="8" t="str">
        <f aca="false">IF(AA721,L721,"")</f>
        <v/>
      </c>
      <c r="AF721" s="8" t="n">
        <f aca="false">U721</f>
        <v>0.905666812067299</v>
      </c>
      <c r="AG721" s="2" t="n">
        <f aca="false">AG720+IF(Q721,1,0)</f>
        <v>5</v>
      </c>
      <c r="AH721" s="2" t="n">
        <f aca="false">AG720</f>
        <v>5</v>
      </c>
      <c r="AI721" s="10" t="n">
        <f aca="false">X721+Y721*(E721-AB721)-Y721*AD721*Inputs!$B$13*(A721-AC721)</f>
        <v>1021.59119261745</v>
      </c>
      <c r="AJ721" s="10" t="n">
        <v>0</v>
      </c>
      <c r="AK721" s="8" t="n">
        <f aca="false">IF(AND(B721&lt;=U721,NOT(Q721)),B721,U721)*(1-Inputs!$B$12)</f>
        <v>0.903373093423527</v>
      </c>
    </row>
    <row r="722" customFormat="false" ht="15" hidden="false" customHeight="false" outlineLevel="0" collapsed="false">
      <c r="A722" s="6" t="n">
        <v>45506</v>
      </c>
      <c r="B722" s="7" t="n">
        <v>0.90214472908667</v>
      </c>
      <c r="C722" s="7" t="n">
        <v>0.906896450465655</v>
      </c>
      <c r="D722" s="7" t="n">
        <v>0.900728823737348</v>
      </c>
      <c r="E722" s="7" t="n">
        <v>0.902698293355311</v>
      </c>
      <c r="F722" s="8" t="n">
        <f aca="true">IF(ROW()-2&gt;=Inputs!$B$4,AVERAGE(OFFSET(E722,1-Inputs!$B$4,0,Inputs!$B$4,1)),"")</f>
        <v>0.904723653367608</v>
      </c>
      <c r="G722" s="8" t="n">
        <f aca="true">IF(ROW()-2&gt;=Inputs!$B$5,AVERAGE(OFFSET(E722,1-Inputs!$B$5,0,Inputs!$B$5,1)),"")</f>
        <v>0.917713209737784</v>
      </c>
      <c r="H722" s="8" t="n">
        <f aca="false">MAX(C722-D722,ABS(C722-E721),ABS(D722-E721))</f>
        <v>0.00616762672830762</v>
      </c>
      <c r="I722" s="8" t="n">
        <f aca="true">IF(ROW()-2&lt;14,"",IF(ROW()-2=14,AVERAGE(OFFSET(H722,-13,0,14,1)),(I721*13+H722)/14))</f>
        <v>0.00885871123358192</v>
      </c>
      <c r="J722" s="9" t="b">
        <f aca="false">IF(AND(ISNUMBER(F722),ISNUMBER(G722),ISNUMBER(F721),ISNUMBER(G721)),AND(F722&gt;G722,F721&lt;=G721),FALSE())</f>
        <v>0</v>
      </c>
      <c r="K722" s="9" t="b">
        <f aca="false">IF(AND(ISNUMBER(F722),ISNUMBER(G722),ISNUMBER(F721),ISNUMBER(G721)),AND(F722&lt;G722,F721&gt;=G721),FALSE())</f>
        <v>0</v>
      </c>
      <c r="L722" s="8" t="n">
        <f aca="false">IF(ISNUMBER(I722),E722-Inputs!$B$6*I722,"")</f>
        <v>0.884980870888147</v>
      </c>
      <c r="M722" s="9" t="b">
        <f aca="false">AND(Y721&gt;0,Z721)</f>
        <v>0</v>
      </c>
      <c r="N722" s="8" t="n">
        <f aca="false">B722*(1-Inputs!$B$12)</f>
        <v>0.901964300140853</v>
      </c>
      <c r="O722" s="10" t="n">
        <f aca="false">IF(M722,Y721*(N722-AB721)-Inputs!$B$9-Y721*AD721*Inputs!$B$13*(A722-AC721),0)</f>
        <v>0</v>
      </c>
      <c r="P722" s="10" t="n">
        <f aca="false">X721+O722</f>
        <v>1021.59119261745</v>
      </c>
      <c r="Q722" s="9" t="b">
        <f aca="false">AND(IF(M722,0,Y721)=0,AA721,IF(ISNUMBER(AE721),B722&gt;AE721,FALSE()))</f>
        <v>0</v>
      </c>
      <c r="R722" s="8" t="n">
        <f aca="false">B722*(1+Inputs!$B$12)</f>
        <v>0.902325158032487</v>
      </c>
      <c r="S722" s="11" t="n">
        <f aca="false">IF(Q722,MIN(P722*Inputs!$B$3/(R722-AE721),P722*Inputs!$B$11/R722),0)</f>
        <v>0</v>
      </c>
      <c r="T722" s="11" t="n">
        <f aca="false">IF(Q722,S722,IF(M722,0,Y721))</f>
        <v>0</v>
      </c>
      <c r="U722" s="8" t="n">
        <f aca="false">IF(Q722,AE721,AF721)</f>
        <v>0.905666812067299</v>
      </c>
      <c r="V722" s="9" t="b">
        <f aca="false">AND(T722&gt;0,D722&lt;=U722)</f>
        <v>0</v>
      </c>
      <c r="W722" s="10" t="n">
        <f aca="false">IF(V722,T722*(AK722-AB722)-Inputs!$B$9-T722*AD722*Inputs!$B$13*(A722-AC722),0)</f>
        <v>0</v>
      </c>
      <c r="X722" s="10" t="n">
        <f aca="false">P722-IF(Q722,Inputs!$B$9,0)+W722</f>
        <v>1021.59119261745</v>
      </c>
      <c r="Y722" s="11" t="n">
        <f aca="false">IF(V722,0,T722)</f>
        <v>0</v>
      </c>
      <c r="Z722" s="9" t="b">
        <f aca="false">AND(Y722&gt;0,K722)</f>
        <v>0</v>
      </c>
      <c r="AA722" s="9" t="b">
        <f aca="false">AND(Y722=0,J722,ISNUMBER(L722))</f>
        <v>0</v>
      </c>
      <c r="AB722" s="8" t="n">
        <f aca="false">IF(Q722,R722,AB721)</f>
        <v>0.924194624604417</v>
      </c>
      <c r="AC722" s="12" t="n">
        <f aca="false">IF(Q722,A722,AC721)</f>
        <v>45463</v>
      </c>
      <c r="AD722" s="8" t="n">
        <f aca="false">IF(Q722,B722,AD721)</f>
        <v>0.924009822639889</v>
      </c>
      <c r="AE722" s="8" t="str">
        <f aca="false">IF(AA722,L722,"")</f>
        <v/>
      </c>
      <c r="AF722" s="8" t="n">
        <f aca="false">U722</f>
        <v>0.905666812067299</v>
      </c>
      <c r="AG722" s="2" t="n">
        <f aca="false">AG721+IF(Q722,1,0)</f>
        <v>5</v>
      </c>
      <c r="AH722" s="2" t="n">
        <f aca="false">AG721</f>
        <v>5</v>
      </c>
      <c r="AI722" s="10" t="n">
        <f aca="false">X722+Y722*(E722-AB722)-Y722*AD722*Inputs!$B$13*(A722-AC722)</f>
        <v>1021.59119261745</v>
      </c>
      <c r="AJ722" s="10" t="n">
        <v>0</v>
      </c>
      <c r="AK722" s="8" t="n">
        <f aca="false">IF(AND(B722&lt;=U722,NOT(Q722)),B722,U722)*(1-Inputs!$B$12)</f>
        <v>0.901964300140853</v>
      </c>
    </row>
    <row r="723" customFormat="false" ht="15" hidden="false" customHeight="false" outlineLevel="0" collapsed="false">
      <c r="A723" s="6" t="n">
        <v>45507</v>
      </c>
      <c r="B723" s="7" t="n">
        <v>0.902698293355311</v>
      </c>
      <c r="C723" s="7" t="n">
        <v>0.904619624154642</v>
      </c>
      <c r="D723" s="7" t="n">
        <v>0.891095335322324</v>
      </c>
      <c r="E723" s="7" t="n">
        <v>0.896151973896786</v>
      </c>
      <c r="F723" s="8" t="n">
        <f aca="true">IF(ROW()-2&gt;=Inputs!$B$4,AVERAGE(OFFSET(E723,1-Inputs!$B$4,0,Inputs!$B$4,1)),"")</f>
        <v>0.903716725763854</v>
      </c>
      <c r="G723" s="8" t="n">
        <f aca="true">IF(ROW()-2&gt;=Inputs!$B$5,AVERAGE(OFFSET(E723,1-Inputs!$B$5,0,Inputs!$B$5,1)),"")</f>
        <v>0.91725946943288</v>
      </c>
      <c r="H723" s="8" t="n">
        <f aca="false">MAX(C723-D723,ABS(C723-E722),ABS(D723-E722))</f>
        <v>0.0135242888323183</v>
      </c>
      <c r="I723" s="8" t="n">
        <f aca="true">IF(ROW()-2&lt;14,"",IF(ROW()-2=14,AVERAGE(OFFSET(H723,-13,0,14,1)),(I722*13+H723)/14))</f>
        <v>0.0091919667763488</v>
      </c>
      <c r="J723" s="9" t="b">
        <f aca="false">IF(AND(ISNUMBER(F723),ISNUMBER(G723),ISNUMBER(F722),ISNUMBER(G722)),AND(F723&gt;G723,F722&lt;=G722),FALSE())</f>
        <v>0</v>
      </c>
      <c r="K723" s="9" t="b">
        <f aca="false">IF(AND(ISNUMBER(F723),ISNUMBER(G723),ISNUMBER(F722),ISNUMBER(G722)),AND(F723&lt;G723,F722&gt;=G722),FALSE())</f>
        <v>0</v>
      </c>
      <c r="L723" s="8" t="n">
        <f aca="false">IF(ISNUMBER(I723),E723-Inputs!$B$6*I723,"")</f>
        <v>0.877768040344088</v>
      </c>
      <c r="M723" s="9" t="b">
        <f aca="false">AND(Y722&gt;0,Z722)</f>
        <v>0</v>
      </c>
      <c r="N723" s="8" t="n">
        <f aca="false">B723*(1-Inputs!$B$12)</f>
        <v>0.90251775369664</v>
      </c>
      <c r="O723" s="10" t="n">
        <f aca="false">IF(M723,Y722*(N723-AB722)-Inputs!$B$9-Y722*AD722*Inputs!$B$13*(A723-AC722),0)</f>
        <v>0</v>
      </c>
      <c r="P723" s="10" t="n">
        <f aca="false">X722+O723</f>
        <v>1021.59119261745</v>
      </c>
      <c r="Q723" s="9" t="b">
        <f aca="false">AND(IF(M723,0,Y722)=0,AA722,IF(ISNUMBER(AE722),B723&gt;AE722,FALSE()))</f>
        <v>0</v>
      </c>
      <c r="R723" s="8" t="n">
        <f aca="false">B723*(1+Inputs!$B$12)</f>
        <v>0.902878833013982</v>
      </c>
      <c r="S723" s="11" t="n">
        <f aca="false">IF(Q723,MIN(P723*Inputs!$B$3/(R723-AE722),P723*Inputs!$B$11/R723),0)</f>
        <v>0</v>
      </c>
      <c r="T723" s="11" t="n">
        <f aca="false">IF(Q723,S723,IF(M723,0,Y722))</f>
        <v>0</v>
      </c>
      <c r="U723" s="8" t="n">
        <f aca="false">IF(Q723,AE722,AF722)</f>
        <v>0.905666812067299</v>
      </c>
      <c r="V723" s="9" t="b">
        <f aca="false">AND(T723&gt;0,D723&lt;=U723)</f>
        <v>0</v>
      </c>
      <c r="W723" s="10" t="n">
        <f aca="false">IF(V723,T723*(AK723-AB723)-Inputs!$B$9-T723*AD723*Inputs!$B$13*(A723-AC723),0)</f>
        <v>0</v>
      </c>
      <c r="X723" s="10" t="n">
        <f aca="false">P723-IF(Q723,Inputs!$B$9,0)+W723</f>
        <v>1021.59119261745</v>
      </c>
      <c r="Y723" s="11" t="n">
        <f aca="false">IF(V723,0,T723)</f>
        <v>0</v>
      </c>
      <c r="Z723" s="9" t="b">
        <f aca="false">AND(Y723&gt;0,K723)</f>
        <v>0</v>
      </c>
      <c r="AA723" s="9" t="b">
        <f aca="false">AND(Y723=0,J723,ISNUMBER(L723))</f>
        <v>0</v>
      </c>
      <c r="AB723" s="8" t="n">
        <f aca="false">IF(Q723,R723,AB722)</f>
        <v>0.924194624604417</v>
      </c>
      <c r="AC723" s="12" t="n">
        <f aca="false">IF(Q723,A723,AC722)</f>
        <v>45463</v>
      </c>
      <c r="AD723" s="8" t="n">
        <f aca="false">IF(Q723,B723,AD722)</f>
        <v>0.924009822639889</v>
      </c>
      <c r="AE723" s="8" t="str">
        <f aca="false">IF(AA723,L723,"")</f>
        <v/>
      </c>
      <c r="AF723" s="8" t="n">
        <f aca="false">U723</f>
        <v>0.905666812067299</v>
      </c>
      <c r="AG723" s="2" t="n">
        <f aca="false">AG722+IF(Q723,1,0)</f>
        <v>5</v>
      </c>
      <c r="AH723" s="2" t="n">
        <f aca="false">AG722</f>
        <v>5</v>
      </c>
      <c r="AI723" s="10" t="n">
        <f aca="false">X723+Y723*(E723-AB723)-Y723*AD723*Inputs!$B$13*(A723-AC723)</f>
        <v>1021.59119261745</v>
      </c>
      <c r="AJ723" s="10" t="n">
        <v>0</v>
      </c>
      <c r="AK723" s="8" t="n">
        <f aca="false">IF(AND(B723&lt;=U723,NOT(Q723)),B723,U723)*(1-Inputs!$B$12)</f>
        <v>0.90251775369664</v>
      </c>
    </row>
    <row r="724" customFormat="false" ht="15" hidden="false" customHeight="false" outlineLevel="0" collapsed="false">
      <c r="A724" s="6" t="n">
        <v>45508</v>
      </c>
      <c r="B724" s="7" t="n">
        <v>0.896151973896786</v>
      </c>
      <c r="C724" s="7" t="n">
        <v>0.898218854753308</v>
      </c>
      <c r="D724" s="7" t="n">
        <v>0.891260342204604</v>
      </c>
      <c r="E724" s="7" t="n">
        <v>0.894786009142359</v>
      </c>
      <c r="F724" s="8" t="n">
        <f aca="true">IF(ROW()-2&gt;=Inputs!$B$4,AVERAGE(OFFSET(E724,1-Inputs!$B$4,0,Inputs!$B$4,1)),"")</f>
        <v>0.902753060574756</v>
      </c>
      <c r="G724" s="8" t="n">
        <f aca="true">IF(ROW()-2&gt;=Inputs!$B$5,AVERAGE(OFFSET(E724,1-Inputs!$B$5,0,Inputs!$B$5,1)),"")</f>
        <v>0.916695995530079</v>
      </c>
      <c r="H724" s="8" t="n">
        <f aca="false">MAX(C724-D724,ABS(C724-E723),ABS(D724-E723))</f>
        <v>0.00695851254870417</v>
      </c>
      <c r="I724" s="8" t="n">
        <f aca="true">IF(ROW()-2&lt;14,"",IF(ROW()-2=14,AVERAGE(OFFSET(H724,-13,0,14,1)),(I723*13+H724)/14))</f>
        <v>0.00903243433151704</v>
      </c>
      <c r="J724" s="9" t="b">
        <f aca="false">IF(AND(ISNUMBER(F724),ISNUMBER(G724),ISNUMBER(F723),ISNUMBER(G723)),AND(F724&gt;G724,F723&lt;=G723),FALSE())</f>
        <v>0</v>
      </c>
      <c r="K724" s="9" t="b">
        <f aca="false">IF(AND(ISNUMBER(F724),ISNUMBER(G724),ISNUMBER(F723),ISNUMBER(G723)),AND(F724&lt;G724,F723&gt;=G723),FALSE())</f>
        <v>0</v>
      </c>
      <c r="L724" s="8" t="n">
        <f aca="false">IF(ISNUMBER(I724),E724-Inputs!$B$6*I724,"")</f>
        <v>0.876721140479325</v>
      </c>
      <c r="M724" s="9" t="b">
        <f aca="false">AND(Y723&gt;0,Z723)</f>
        <v>0</v>
      </c>
      <c r="N724" s="8" t="n">
        <f aca="false">B724*(1-Inputs!$B$12)</f>
        <v>0.895972743502007</v>
      </c>
      <c r="O724" s="10" t="n">
        <f aca="false">IF(M724,Y723*(N724-AB723)-Inputs!$B$9-Y723*AD723*Inputs!$B$13*(A724-AC723),0)</f>
        <v>0</v>
      </c>
      <c r="P724" s="10" t="n">
        <f aca="false">X723+O724</f>
        <v>1021.59119261745</v>
      </c>
      <c r="Q724" s="9" t="b">
        <f aca="false">AND(IF(M724,0,Y723)=0,AA723,IF(ISNUMBER(AE723),B724&gt;AE723,FALSE()))</f>
        <v>0</v>
      </c>
      <c r="R724" s="8" t="n">
        <f aca="false">B724*(1+Inputs!$B$12)</f>
        <v>0.896331204291565</v>
      </c>
      <c r="S724" s="11" t="n">
        <f aca="false">IF(Q724,MIN(P724*Inputs!$B$3/(R724-AE723),P724*Inputs!$B$11/R724),0)</f>
        <v>0</v>
      </c>
      <c r="T724" s="11" t="n">
        <f aca="false">IF(Q724,S724,IF(M724,0,Y723))</f>
        <v>0</v>
      </c>
      <c r="U724" s="8" t="n">
        <f aca="false">IF(Q724,AE723,AF723)</f>
        <v>0.905666812067299</v>
      </c>
      <c r="V724" s="9" t="b">
        <f aca="false">AND(T724&gt;0,D724&lt;=U724)</f>
        <v>0</v>
      </c>
      <c r="W724" s="10" t="n">
        <f aca="false">IF(V724,T724*(AK724-AB724)-Inputs!$B$9-T724*AD724*Inputs!$B$13*(A724-AC724),0)</f>
        <v>0</v>
      </c>
      <c r="X724" s="10" t="n">
        <f aca="false">P724-IF(Q724,Inputs!$B$9,0)+W724</f>
        <v>1021.59119261745</v>
      </c>
      <c r="Y724" s="11" t="n">
        <f aca="false">IF(V724,0,T724)</f>
        <v>0</v>
      </c>
      <c r="Z724" s="9" t="b">
        <f aca="false">AND(Y724&gt;0,K724)</f>
        <v>0</v>
      </c>
      <c r="AA724" s="9" t="b">
        <f aca="false">AND(Y724=0,J724,ISNUMBER(L724))</f>
        <v>0</v>
      </c>
      <c r="AB724" s="8" t="n">
        <f aca="false">IF(Q724,R724,AB723)</f>
        <v>0.924194624604417</v>
      </c>
      <c r="AC724" s="12" t="n">
        <f aca="false">IF(Q724,A724,AC723)</f>
        <v>45463</v>
      </c>
      <c r="AD724" s="8" t="n">
        <f aca="false">IF(Q724,B724,AD723)</f>
        <v>0.924009822639889</v>
      </c>
      <c r="AE724" s="8" t="str">
        <f aca="false">IF(AA724,L724,"")</f>
        <v/>
      </c>
      <c r="AF724" s="8" t="n">
        <f aca="false">U724</f>
        <v>0.905666812067299</v>
      </c>
      <c r="AG724" s="2" t="n">
        <f aca="false">AG723+IF(Q724,1,0)</f>
        <v>5</v>
      </c>
      <c r="AH724" s="2" t="n">
        <f aca="false">AG723</f>
        <v>5</v>
      </c>
      <c r="AI724" s="10" t="n">
        <f aca="false">X724+Y724*(E724-AB724)-Y724*AD724*Inputs!$B$13*(A724-AC724)</f>
        <v>1021.59119261745</v>
      </c>
      <c r="AJ724" s="10" t="n">
        <v>0</v>
      </c>
      <c r="AK724" s="8" t="n">
        <f aca="false">IF(AND(B724&lt;=U724,NOT(Q724)),B724,U724)*(1-Inputs!$B$12)</f>
        <v>0.895972743502007</v>
      </c>
    </row>
    <row r="725" customFormat="false" ht="15" hidden="false" customHeight="false" outlineLevel="0" collapsed="false">
      <c r="A725" s="6" t="n">
        <v>45509</v>
      </c>
      <c r="B725" s="7" t="n">
        <v>0.894786009142359</v>
      </c>
      <c r="C725" s="7" t="n">
        <v>0.907678242906877</v>
      </c>
      <c r="D725" s="7" t="n">
        <v>0.894693774267002</v>
      </c>
      <c r="E725" s="7" t="n">
        <v>0.901061245831612</v>
      </c>
      <c r="F725" s="8" t="n">
        <f aca="true">IF(ROW()-2&gt;=Inputs!$B$4,AVERAGE(OFFSET(E725,1-Inputs!$B$4,0,Inputs!$B$4,1)),"")</f>
        <v>0.901986480685871</v>
      </c>
      <c r="G725" s="8" t="n">
        <f aca="true">IF(ROW()-2&gt;=Inputs!$B$5,AVERAGE(OFFSET(E725,1-Inputs!$B$5,0,Inputs!$B$5,1)),"")</f>
        <v>0.916293939170916</v>
      </c>
      <c r="H725" s="8" t="n">
        <f aca="false">MAX(C725-D725,ABS(C725-E724),ABS(D725-E724))</f>
        <v>0.0129844686398755</v>
      </c>
      <c r="I725" s="8" t="n">
        <f aca="true">IF(ROW()-2&lt;14,"",IF(ROW()-2=14,AVERAGE(OFFSET(H725,-13,0,14,1)),(I724*13+H725)/14))</f>
        <v>0.00931472249639979</v>
      </c>
      <c r="J725" s="9" t="b">
        <f aca="false">IF(AND(ISNUMBER(F725),ISNUMBER(G725),ISNUMBER(F724),ISNUMBER(G724)),AND(F725&gt;G725,F724&lt;=G724),FALSE())</f>
        <v>0</v>
      </c>
      <c r="K725" s="9" t="b">
        <f aca="false">IF(AND(ISNUMBER(F725),ISNUMBER(G725),ISNUMBER(F724),ISNUMBER(G724)),AND(F725&lt;G725,F724&gt;=G724),FALSE())</f>
        <v>0</v>
      </c>
      <c r="L725" s="8" t="n">
        <f aca="false">IF(ISNUMBER(I725),E725-Inputs!$B$6*I725,"")</f>
        <v>0.882431800838812</v>
      </c>
      <c r="M725" s="9" t="b">
        <f aca="false">AND(Y724&gt;0,Z724)</f>
        <v>0</v>
      </c>
      <c r="N725" s="8" t="n">
        <f aca="false">B725*(1-Inputs!$B$12)</f>
        <v>0.894607051940531</v>
      </c>
      <c r="O725" s="10" t="n">
        <f aca="false">IF(M725,Y724*(N725-AB724)-Inputs!$B$9-Y724*AD724*Inputs!$B$13*(A725-AC724),0)</f>
        <v>0</v>
      </c>
      <c r="P725" s="10" t="n">
        <f aca="false">X724+O725</f>
        <v>1021.59119261745</v>
      </c>
      <c r="Q725" s="9" t="b">
        <f aca="false">AND(IF(M725,0,Y724)=0,AA724,IF(ISNUMBER(AE724),B725&gt;AE724,FALSE()))</f>
        <v>0</v>
      </c>
      <c r="R725" s="8" t="n">
        <f aca="false">B725*(1+Inputs!$B$12)</f>
        <v>0.894964966344187</v>
      </c>
      <c r="S725" s="11" t="n">
        <f aca="false">IF(Q725,MIN(P725*Inputs!$B$3/(R725-AE724),P725*Inputs!$B$11/R725),0)</f>
        <v>0</v>
      </c>
      <c r="T725" s="11" t="n">
        <f aca="false">IF(Q725,S725,IF(M725,0,Y724))</f>
        <v>0</v>
      </c>
      <c r="U725" s="8" t="n">
        <f aca="false">IF(Q725,AE724,AF724)</f>
        <v>0.905666812067299</v>
      </c>
      <c r="V725" s="9" t="b">
        <f aca="false">AND(T725&gt;0,D725&lt;=U725)</f>
        <v>0</v>
      </c>
      <c r="W725" s="10" t="n">
        <f aca="false">IF(V725,T725*(AK725-AB725)-Inputs!$B$9-T725*AD725*Inputs!$B$13*(A725-AC725),0)</f>
        <v>0</v>
      </c>
      <c r="X725" s="10" t="n">
        <f aca="false">P725-IF(Q725,Inputs!$B$9,0)+W725</f>
        <v>1021.59119261745</v>
      </c>
      <c r="Y725" s="11" t="n">
        <f aca="false">IF(V725,0,T725)</f>
        <v>0</v>
      </c>
      <c r="Z725" s="9" t="b">
        <f aca="false">AND(Y725&gt;0,K725)</f>
        <v>0</v>
      </c>
      <c r="AA725" s="9" t="b">
        <f aca="false">AND(Y725=0,J725,ISNUMBER(L725))</f>
        <v>0</v>
      </c>
      <c r="AB725" s="8" t="n">
        <f aca="false">IF(Q725,R725,AB724)</f>
        <v>0.924194624604417</v>
      </c>
      <c r="AC725" s="12" t="n">
        <f aca="false">IF(Q725,A725,AC724)</f>
        <v>45463</v>
      </c>
      <c r="AD725" s="8" t="n">
        <f aca="false">IF(Q725,B725,AD724)</f>
        <v>0.924009822639889</v>
      </c>
      <c r="AE725" s="8" t="str">
        <f aca="false">IF(AA725,L725,"")</f>
        <v/>
      </c>
      <c r="AF725" s="8" t="n">
        <f aca="false">U725</f>
        <v>0.905666812067299</v>
      </c>
      <c r="AG725" s="2" t="n">
        <f aca="false">AG724+IF(Q725,1,0)</f>
        <v>5</v>
      </c>
      <c r="AH725" s="2" t="n">
        <f aca="false">AG724</f>
        <v>5</v>
      </c>
      <c r="AI725" s="10" t="n">
        <f aca="false">X725+Y725*(E725-AB725)-Y725*AD725*Inputs!$B$13*(A725-AC725)</f>
        <v>1021.59119261745</v>
      </c>
      <c r="AJ725" s="10" t="n">
        <v>0</v>
      </c>
      <c r="AK725" s="8" t="n">
        <f aca="false">IF(AND(B725&lt;=U725,NOT(Q725)),B725,U725)*(1-Inputs!$B$12)</f>
        <v>0.894607051940531</v>
      </c>
    </row>
    <row r="726" customFormat="false" ht="15" hidden="false" customHeight="false" outlineLevel="0" collapsed="false">
      <c r="A726" s="6" t="n">
        <v>45510</v>
      </c>
      <c r="B726" s="7" t="n">
        <v>0.901061245831612</v>
      </c>
      <c r="C726" s="7" t="n">
        <v>0.905091969233862</v>
      </c>
      <c r="D726" s="7" t="n">
        <v>0.89467233031813</v>
      </c>
      <c r="E726" s="7" t="n">
        <v>0.902123403268224</v>
      </c>
      <c r="F726" s="8" t="n">
        <f aca="true">IF(ROW()-2&gt;=Inputs!$B$4,AVERAGE(OFFSET(E726,1-Inputs!$B$4,0,Inputs!$B$4,1)),"")</f>
        <v>0.901208599969996</v>
      </c>
      <c r="G726" s="8" t="n">
        <f aca="true">IF(ROW()-2&gt;=Inputs!$B$5,AVERAGE(OFFSET(E726,1-Inputs!$B$5,0,Inputs!$B$5,1)),"")</f>
        <v>0.915754763551273</v>
      </c>
      <c r="H726" s="8" t="n">
        <f aca="false">MAX(C726-D726,ABS(C726-E725),ABS(D726-E725))</f>
        <v>0.0104196389157318</v>
      </c>
      <c r="I726" s="8" t="n">
        <f aca="true">IF(ROW()-2&lt;14,"",IF(ROW()-2=14,AVERAGE(OFFSET(H726,-13,0,14,1)),(I725*13+H726)/14))</f>
        <v>0.00939364509778065</v>
      </c>
      <c r="J726" s="9" t="b">
        <f aca="false">IF(AND(ISNUMBER(F726),ISNUMBER(G726),ISNUMBER(F725),ISNUMBER(G725)),AND(F726&gt;G726,F725&lt;=G725),FALSE())</f>
        <v>0</v>
      </c>
      <c r="K726" s="9" t="b">
        <f aca="false">IF(AND(ISNUMBER(F726),ISNUMBER(G726),ISNUMBER(F725),ISNUMBER(G725)),AND(F726&lt;G726,F725&gt;=G725),FALSE())</f>
        <v>0</v>
      </c>
      <c r="L726" s="8" t="n">
        <f aca="false">IF(ISNUMBER(I726),E726-Inputs!$B$6*I726,"")</f>
        <v>0.883336113072663</v>
      </c>
      <c r="M726" s="9" t="b">
        <f aca="false">AND(Y725&gt;0,Z725)</f>
        <v>0</v>
      </c>
      <c r="N726" s="8" t="n">
        <f aca="false">B726*(1-Inputs!$B$12)</f>
        <v>0.900881033582445</v>
      </c>
      <c r="O726" s="10" t="n">
        <f aca="false">IF(M726,Y725*(N726-AB725)-Inputs!$B$9-Y725*AD725*Inputs!$B$13*(A726-AC725),0)</f>
        <v>0</v>
      </c>
      <c r="P726" s="10" t="n">
        <f aca="false">X725+O726</f>
        <v>1021.59119261745</v>
      </c>
      <c r="Q726" s="9" t="b">
        <f aca="false">AND(IF(M726,0,Y725)=0,AA725,IF(ISNUMBER(AE725),B726&gt;AE725,FALSE()))</f>
        <v>0</v>
      </c>
      <c r="R726" s="8" t="n">
        <f aca="false">B726*(1+Inputs!$B$12)</f>
        <v>0.901241458080778</v>
      </c>
      <c r="S726" s="11" t="n">
        <f aca="false">IF(Q726,MIN(P726*Inputs!$B$3/(R726-AE725),P726*Inputs!$B$11/R726),0)</f>
        <v>0</v>
      </c>
      <c r="T726" s="11" t="n">
        <f aca="false">IF(Q726,S726,IF(M726,0,Y725))</f>
        <v>0</v>
      </c>
      <c r="U726" s="8" t="n">
        <f aca="false">IF(Q726,AE725,AF725)</f>
        <v>0.905666812067299</v>
      </c>
      <c r="V726" s="9" t="b">
        <f aca="false">AND(T726&gt;0,D726&lt;=U726)</f>
        <v>0</v>
      </c>
      <c r="W726" s="10" t="n">
        <f aca="false">IF(V726,T726*(AK726-AB726)-Inputs!$B$9-T726*AD726*Inputs!$B$13*(A726-AC726),0)</f>
        <v>0</v>
      </c>
      <c r="X726" s="10" t="n">
        <f aca="false">P726-IF(Q726,Inputs!$B$9,0)+W726</f>
        <v>1021.59119261745</v>
      </c>
      <c r="Y726" s="11" t="n">
        <f aca="false">IF(V726,0,T726)</f>
        <v>0</v>
      </c>
      <c r="Z726" s="9" t="b">
        <f aca="false">AND(Y726&gt;0,K726)</f>
        <v>0</v>
      </c>
      <c r="AA726" s="9" t="b">
        <f aca="false">AND(Y726=0,J726,ISNUMBER(L726))</f>
        <v>0</v>
      </c>
      <c r="AB726" s="8" t="n">
        <f aca="false">IF(Q726,R726,AB725)</f>
        <v>0.924194624604417</v>
      </c>
      <c r="AC726" s="12" t="n">
        <f aca="false">IF(Q726,A726,AC725)</f>
        <v>45463</v>
      </c>
      <c r="AD726" s="8" t="n">
        <f aca="false">IF(Q726,B726,AD725)</f>
        <v>0.924009822639889</v>
      </c>
      <c r="AE726" s="8" t="str">
        <f aca="false">IF(AA726,L726,"")</f>
        <v/>
      </c>
      <c r="AF726" s="8" t="n">
        <f aca="false">U726</f>
        <v>0.905666812067299</v>
      </c>
      <c r="AG726" s="2" t="n">
        <f aca="false">AG725+IF(Q726,1,0)</f>
        <v>5</v>
      </c>
      <c r="AH726" s="2" t="n">
        <f aca="false">AG725</f>
        <v>5</v>
      </c>
      <c r="AI726" s="10" t="n">
        <f aca="false">X726+Y726*(E726-AB726)-Y726*AD726*Inputs!$B$13*(A726-AC726)</f>
        <v>1021.59119261745</v>
      </c>
      <c r="AJ726" s="10" t="n">
        <v>0</v>
      </c>
      <c r="AK726" s="8" t="n">
        <f aca="false">IF(AND(B726&lt;=U726,NOT(Q726)),B726,U726)*(1-Inputs!$B$12)</f>
        <v>0.900881033582445</v>
      </c>
    </row>
    <row r="727" customFormat="false" ht="15" hidden="false" customHeight="false" outlineLevel="0" collapsed="false">
      <c r="A727" s="6" t="n">
        <v>45511</v>
      </c>
      <c r="B727" s="7" t="n">
        <v>0.902123403268224</v>
      </c>
      <c r="C727" s="7" t="n">
        <v>0.904225333402805</v>
      </c>
      <c r="D727" s="7" t="n">
        <v>0.89214176840953</v>
      </c>
      <c r="E727" s="7" t="n">
        <v>0.892901452557422</v>
      </c>
      <c r="F727" s="8" t="n">
        <f aca="true">IF(ROW()-2&gt;=Inputs!$B$4,AVERAGE(OFFSET(E727,1-Inputs!$B$4,0,Inputs!$B$4,1)),"")</f>
        <v>0.900200307606448</v>
      </c>
      <c r="G727" s="8" t="n">
        <f aca="true">IF(ROW()-2&gt;=Inputs!$B$5,AVERAGE(OFFSET(E727,1-Inputs!$B$5,0,Inputs!$B$5,1)),"")</f>
        <v>0.915040001235235</v>
      </c>
      <c r="H727" s="8" t="n">
        <f aca="false">MAX(C727-D727,ABS(C727-E726),ABS(D727-E726))</f>
        <v>0.0120835649932752</v>
      </c>
      <c r="I727" s="8" t="n">
        <f aca="true">IF(ROW()-2&lt;14,"",IF(ROW()-2=14,AVERAGE(OFFSET(H727,-13,0,14,1)),(I726*13+H727)/14))</f>
        <v>0.00958578223317312</v>
      </c>
      <c r="J727" s="9" t="b">
        <f aca="false">IF(AND(ISNUMBER(F727),ISNUMBER(G727),ISNUMBER(F726),ISNUMBER(G726)),AND(F727&gt;G727,F726&lt;=G726),FALSE())</f>
        <v>0</v>
      </c>
      <c r="K727" s="9" t="b">
        <f aca="false">IF(AND(ISNUMBER(F727),ISNUMBER(G727),ISNUMBER(F726),ISNUMBER(G726)),AND(F727&lt;G727,F726&gt;=G726),FALSE())</f>
        <v>0</v>
      </c>
      <c r="L727" s="8" t="n">
        <f aca="false">IF(ISNUMBER(I727),E727-Inputs!$B$6*I727,"")</f>
        <v>0.873729888091076</v>
      </c>
      <c r="M727" s="9" t="b">
        <f aca="false">AND(Y726&gt;0,Z726)</f>
        <v>0</v>
      </c>
      <c r="N727" s="8" t="n">
        <f aca="false">B727*(1-Inputs!$B$12)</f>
        <v>0.901942978587571</v>
      </c>
      <c r="O727" s="10" t="n">
        <f aca="false">IF(M727,Y726*(N727-AB726)-Inputs!$B$9-Y726*AD726*Inputs!$B$13*(A727-AC726),0)</f>
        <v>0</v>
      </c>
      <c r="P727" s="10" t="n">
        <f aca="false">X726+O727</f>
        <v>1021.59119261745</v>
      </c>
      <c r="Q727" s="9" t="b">
        <f aca="false">AND(IF(M727,0,Y726)=0,AA726,IF(ISNUMBER(AE726),B727&gt;AE726,FALSE()))</f>
        <v>0</v>
      </c>
      <c r="R727" s="8" t="n">
        <f aca="false">B727*(1+Inputs!$B$12)</f>
        <v>0.902303827948878</v>
      </c>
      <c r="S727" s="11" t="n">
        <f aca="false">IF(Q727,MIN(P727*Inputs!$B$3/(R727-AE726),P727*Inputs!$B$11/R727),0)</f>
        <v>0</v>
      </c>
      <c r="T727" s="11" t="n">
        <f aca="false">IF(Q727,S727,IF(M727,0,Y726))</f>
        <v>0</v>
      </c>
      <c r="U727" s="8" t="n">
        <f aca="false">IF(Q727,AE726,AF726)</f>
        <v>0.905666812067299</v>
      </c>
      <c r="V727" s="9" t="b">
        <f aca="false">AND(T727&gt;0,D727&lt;=U727)</f>
        <v>0</v>
      </c>
      <c r="W727" s="10" t="n">
        <f aca="false">IF(V727,T727*(AK727-AB727)-Inputs!$B$9-T727*AD727*Inputs!$B$13*(A727-AC727),0)</f>
        <v>0</v>
      </c>
      <c r="X727" s="10" t="n">
        <f aca="false">P727-IF(Q727,Inputs!$B$9,0)+W727</f>
        <v>1021.59119261745</v>
      </c>
      <c r="Y727" s="11" t="n">
        <f aca="false">IF(V727,0,T727)</f>
        <v>0</v>
      </c>
      <c r="Z727" s="9" t="b">
        <f aca="false">AND(Y727&gt;0,K727)</f>
        <v>0</v>
      </c>
      <c r="AA727" s="9" t="b">
        <f aca="false">AND(Y727=0,J727,ISNUMBER(L727))</f>
        <v>0</v>
      </c>
      <c r="AB727" s="8" t="n">
        <f aca="false">IF(Q727,R727,AB726)</f>
        <v>0.924194624604417</v>
      </c>
      <c r="AC727" s="12" t="n">
        <f aca="false">IF(Q727,A727,AC726)</f>
        <v>45463</v>
      </c>
      <c r="AD727" s="8" t="n">
        <f aca="false">IF(Q727,B727,AD726)</f>
        <v>0.924009822639889</v>
      </c>
      <c r="AE727" s="8" t="str">
        <f aca="false">IF(AA727,L727,"")</f>
        <v/>
      </c>
      <c r="AF727" s="8" t="n">
        <f aca="false">U727</f>
        <v>0.905666812067299</v>
      </c>
      <c r="AG727" s="2" t="n">
        <f aca="false">AG726+IF(Q727,1,0)</f>
        <v>5</v>
      </c>
      <c r="AH727" s="2" t="n">
        <f aca="false">AG726</f>
        <v>5</v>
      </c>
      <c r="AI727" s="10" t="n">
        <f aca="false">X727+Y727*(E727-AB727)-Y727*AD727*Inputs!$B$13*(A727-AC727)</f>
        <v>1021.59119261745</v>
      </c>
      <c r="AJ727" s="10" t="n">
        <v>0</v>
      </c>
      <c r="AK727" s="8" t="n">
        <f aca="false">IF(AND(B727&lt;=U727,NOT(Q727)),B727,U727)*(1-Inputs!$B$12)</f>
        <v>0.901942978587571</v>
      </c>
    </row>
    <row r="728" customFormat="false" ht="15" hidden="false" customHeight="false" outlineLevel="0" collapsed="false">
      <c r="A728" s="6" t="n">
        <v>45512</v>
      </c>
      <c r="B728" s="7" t="n">
        <v>0.892901452557422</v>
      </c>
      <c r="C728" s="7" t="n">
        <v>0.897966771683708</v>
      </c>
      <c r="D728" s="7" t="n">
        <v>0.891449756596063</v>
      </c>
      <c r="E728" s="7" t="n">
        <v>0.897377309560358</v>
      </c>
      <c r="F728" s="8" t="n">
        <f aca="true">IF(ROW()-2&gt;=Inputs!$B$4,AVERAGE(OFFSET(E728,1-Inputs!$B$4,0,Inputs!$B$4,1)),"")</f>
        <v>0.899320600059186</v>
      </c>
      <c r="G728" s="8" t="n">
        <f aca="true">IF(ROW()-2&gt;=Inputs!$B$5,AVERAGE(OFFSET(E728,1-Inputs!$B$5,0,Inputs!$B$5,1)),"")</f>
        <v>0.914507350973645</v>
      </c>
      <c r="H728" s="8" t="n">
        <f aca="false">MAX(C728-D728,ABS(C728-E727),ABS(D728-E727))</f>
        <v>0.00651701508764546</v>
      </c>
      <c r="I728" s="8" t="n">
        <f aca="true">IF(ROW()-2&lt;14,"",IF(ROW()-2=14,AVERAGE(OFFSET(H728,-13,0,14,1)),(I727*13+H728)/14))</f>
        <v>0.00936658457992114</v>
      </c>
      <c r="J728" s="9" t="b">
        <f aca="false">IF(AND(ISNUMBER(F728),ISNUMBER(G728),ISNUMBER(F727),ISNUMBER(G727)),AND(F728&gt;G728,F727&lt;=G727),FALSE())</f>
        <v>0</v>
      </c>
      <c r="K728" s="9" t="b">
        <f aca="false">IF(AND(ISNUMBER(F728),ISNUMBER(G728),ISNUMBER(F727),ISNUMBER(G727)),AND(F728&lt;G728,F727&gt;=G727),FALSE())</f>
        <v>0</v>
      </c>
      <c r="L728" s="8" t="n">
        <f aca="false">IF(ISNUMBER(I728),E728-Inputs!$B$6*I728,"")</f>
        <v>0.878644140400516</v>
      </c>
      <c r="M728" s="9" t="b">
        <f aca="false">AND(Y727&gt;0,Z727)</f>
        <v>0</v>
      </c>
      <c r="N728" s="8" t="n">
        <f aca="false">B728*(1-Inputs!$B$12)</f>
        <v>0.892722872266911</v>
      </c>
      <c r="O728" s="10" t="n">
        <f aca="false">IF(M728,Y727*(N728-AB727)-Inputs!$B$9-Y727*AD727*Inputs!$B$13*(A728-AC727),0)</f>
        <v>0</v>
      </c>
      <c r="P728" s="10" t="n">
        <f aca="false">X727+O728</f>
        <v>1021.59119261745</v>
      </c>
      <c r="Q728" s="9" t="b">
        <f aca="false">AND(IF(M728,0,Y727)=0,AA727,IF(ISNUMBER(AE727),B728&gt;AE727,FALSE()))</f>
        <v>0</v>
      </c>
      <c r="R728" s="8" t="n">
        <f aca="false">B728*(1+Inputs!$B$12)</f>
        <v>0.893080032847934</v>
      </c>
      <c r="S728" s="11" t="n">
        <f aca="false">IF(Q728,MIN(P728*Inputs!$B$3/(R728-AE727),P728*Inputs!$B$11/R728),0)</f>
        <v>0</v>
      </c>
      <c r="T728" s="11" t="n">
        <f aca="false">IF(Q728,S728,IF(M728,0,Y727))</f>
        <v>0</v>
      </c>
      <c r="U728" s="8" t="n">
        <f aca="false">IF(Q728,AE727,AF727)</f>
        <v>0.905666812067299</v>
      </c>
      <c r="V728" s="9" t="b">
        <f aca="false">AND(T728&gt;0,D728&lt;=U728)</f>
        <v>0</v>
      </c>
      <c r="W728" s="10" t="n">
        <f aca="false">IF(V728,T728*(AK728-AB728)-Inputs!$B$9-T728*AD728*Inputs!$B$13*(A728-AC728),0)</f>
        <v>0</v>
      </c>
      <c r="X728" s="10" t="n">
        <f aca="false">P728-IF(Q728,Inputs!$B$9,0)+W728</f>
        <v>1021.59119261745</v>
      </c>
      <c r="Y728" s="11" t="n">
        <f aca="false">IF(V728,0,T728)</f>
        <v>0</v>
      </c>
      <c r="Z728" s="9" t="b">
        <f aca="false">AND(Y728&gt;0,K728)</f>
        <v>0</v>
      </c>
      <c r="AA728" s="9" t="b">
        <f aca="false">AND(Y728=0,J728,ISNUMBER(L728))</f>
        <v>0</v>
      </c>
      <c r="AB728" s="8" t="n">
        <f aca="false">IF(Q728,R728,AB727)</f>
        <v>0.924194624604417</v>
      </c>
      <c r="AC728" s="12" t="n">
        <f aca="false">IF(Q728,A728,AC727)</f>
        <v>45463</v>
      </c>
      <c r="AD728" s="8" t="n">
        <f aca="false">IF(Q728,B728,AD727)</f>
        <v>0.924009822639889</v>
      </c>
      <c r="AE728" s="8" t="str">
        <f aca="false">IF(AA728,L728,"")</f>
        <v/>
      </c>
      <c r="AF728" s="8" t="n">
        <f aca="false">U728</f>
        <v>0.905666812067299</v>
      </c>
      <c r="AG728" s="2" t="n">
        <f aca="false">AG727+IF(Q728,1,0)</f>
        <v>5</v>
      </c>
      <c r="AH728" s="2" t="n">
        <f aca="false">AG727</f>
        <v>5</v>
      </c>
      <c r="AI728" s="10" t="n">
        <f aca="false">X728+Y728*(E728-AB728)-Y728*AD728*Inputs!$B$13*(A728-AC728)</f>
        <v>1021.59119261745</v>
      </c>
      <c r="AJ728" s="10" t="n">
        <v>0</v>
      </c>
      <c r="AK728" s="8" t="n">
        <f aca="false">IF(AND(B728&lt;=U728,NOT(Q728)),B728,U728)*(1-Inputs!$B$12)</f>
        <v>0.892722872266911</v>
      </c>
    </row>
    <row r="729" customFormat="false" ht="15" hidden="false" customHeight="false" outlineLevel="0" collapsed="false">
      <c r="A729" s="6" t="n">
        <v>45513</v>
      </c>
      <c r="B729" s="7" t="n">
        <v>0.897377309560358</v>
      </c>
      <c r="C729" s="7" t="n">
        <v>0.899214792602717</v>
      </c>
      <c r="D729" s="7" t="n">
        <v>0.891103064077126</v>
      </c>
      <c r="E729" s="7" t="n">
        <v>0.895119064732521</v>
      </c>
      <c r="F729" s="8" t="n">
        <f aca="true">IF(ROW()-2&gt;=Inputs!$B$4,AVERAGE(OFFSET(E729,1-Inputs!$B$4,0,Inputs!$B$4,1)),"")</f>
        <v>0.898451077488993</v>
      </c>
      <c r="G729" s="8" t="n">
        <f aca="true">IF(ROW()-2&gt;=Inputs!$B$5,AVERAGE(OFFSET(E729,1-Inputs!$B$5,0,Inputs!$B$5,1)),"")</f>
        <v>0.913793410274837</v>
      </c>
      <c r="H729" s="8" t="n">
        <f aca="false">MAX(C729-D729,ABS(C729-E728),ABS(D729-E728))</f>
        <v>0.00811172852559106</v>
      </c>
      <c r="I729" s="8" t="n">
        <f aca="true">IF(ROW()-2&lt;14,"",IF(ROW()-2=14,AVERAGE(OFFSET(H729,-13,0,14,1)),(I728*13+H729)/14))</f>
        <v>0.00927695200461185</v>
      </c>
      <c r="J729" s="9" t="b">
        <f aca="false">IF(AND(ISNUMBER(F729),ISNUMBER(G729),ISNUMBER(F728),ISNUMBER(G728)),AND(F729&gt;G729,F728&lt;=G728),FALSE())</f>
        <v>0</v>
      </c>
      <c r="K729" s="9" t="b">
        <f aca="false">IF(AND(ISNUMBER(F729),ISNUMBER(G729),ISNUMBER(F728),ISNUMBER(G728)),AND(F729&lt;G729,F728&gt;=G728),FALSE())</f>
        <v>0</v>
      </c>
      <c r="L729" s="8" t="n">
        <f aca="false">IF(ISNUMBER(I729),E729-Inputs!$B$6*I729,"")</f>
        <v>0.876565160723297</v>
      </c>
      <c r="M729" s="9" t="b">
        <f aca="false">AND(Y728&gt;0,Z728)</f>
        <v>0</v>
      </c>
      <c r="N729" s="8" t="n">
        <f aca="false">B729*(1-Inputs!$B$12)</f>
        <v>0.897197834098446</v>
      </c>
      <c r="O729" s="10" t="n">
        <f aca="false">IF(M729,Y728*(N729-AB728)-Inputs!$B$9-Y728*AD728*Inputs!$B$13*(A729-AC728),0)</f>
        <v>0</v>
      </c>
      <c r="P729" s="10" t="n">
        <f aca="false">X728+O729</f>
        <v>1021.59119261745</v>
      </c>
      <c r="Q729" s="9" t="b">
        <f aca="false">AND(IF(M729,0,Y728)=0,AA728,IF(ISNUMBER(AE728),B729&gt;AE728,FALSE()))</f>
        <v>0</v>
      </c>
      <c r="R729" s="8" t="n">
        <f aca="false">B729*(1+Inputs!$B$12)</f>
        <v>0.89755678502227</v>
      </c>
      <c r="S729" s="11" t="n">
        <f aca="false">IF(Q729,MIN(P729*Inputs!$B$3/(R729-AE728),P729*Inputs!$B$11/R729),0)</f>
        <v>0</v>
      </c>
      <c r="T729" s="11" t="n">
        <f aca="false">IF(Q729,S729,IF(M729,0,Y728))</f>
        <v>0</v>
      </c>
      <c r="U729" s="8" t="n">
        <f aca="false">IF(Q729,AE728,AF728)</f>
        <v>0.905666812067299</v>
      </c>
      <c r="V729" s="9" t="b">
        <f aca="false">AND(T729&gt;0,D729&lt;=U729)</f>
        <v>0</v>
      </c>
      <c r="W729" s="10" t="n">
        <f aca="false">IF(V729,T729*(AK729-AB729)-Inputs!$B$9-T729*AD729*Inputs!$B$13*(A729-AC729),0)</f>
        <v>0</v>
      </c>
      <c r="X729" s="10" t="n">
        <f aca="false">P729-IF(Q729,Inputs!$B$9,0)+W729</f>
        <v>1021.59119261745</v>
      </c>
      <c r="Y729" s="11" t="n">
        <f aca="false">IF(V729,0,T729)</f>
        <v>0</v>
      </c>
      <c r="Z729" s="9" t="b">
        <f aca="false">AND(Y729&gt;0,K729)</f>
        <v>0</v>
      </c>
      <c r="AA729" s="9" t="b">
        <f aca="false">AND(Y729=0,J729,ISNUMBER(L729))</f>
        <v>0</v>
      </c>
      <c r="AB729" s="8" t="n">
        <f aca="false">IF(Q729,R729,AB728)</f>
        <v>0.924194624604417</v>
      </c>
      <c r="AC729" s="12" t="n">
        <f aca="false">IF(Q729,A729,AC728)</f>
        <v>45463</v>
      </c>
      <c r="AD729" s="8" t="n">
        <f aca="false">IF(Q729,B729,AD728)</f>
        <v>0.924009822639889</v>
      </c>
      <c r="AE729" s="8" t="str">
        <f aca="false">IF(AA729,L729,"")</f>
        <v/>
      </c>
      <c r="AF729" s="8" t="n">
        <f aca="false">U729</f>
        <v>0.905666812067299</v>
      </c>
      <c r="AG729" s="2" t="n">
        <f aca="false">AG728+IF(Q729,1,0)</f>
        <v>5</v>
      </c>
      <c r="AH729" s="2" t="n">
        <f aca="false">AG728</f>
        <v>5</v>
      </c>
      <c r="AI729" s="10" t="n">
        <f aca="false">X729+Y729*(E729-AB729)-Y729*AD729*Inputs!$B$13*(A729-AC729)</f>
        <v>1021.59119261745</v>
      </c>
      <c r="AJ729" s="10" t="n">
        <v>0</v>
      </c>
      <c r="AK729" s="8" t="n">
        <f aca="false">IF(AND(B729&lt;=U729,NOT(Q729)),B729,U729)*(1-Inputs!$B$12)</f>
        <v>0.897197834098446</v>
      </c>
    </row>
    <row r="730" customFormat="false" ht="15" hidden="false" customHeight="false" outlineLevel="0" collapsed="false">
      <c r="A730" s="6" t="n">
        <v>45514</v>
      </c>
      <c r="B730" s="7" t="n">
        <v>0.895119064732521</v>
      </c>
      <c r="C730" s="7" t="n">
        <v>0.909779201306891</v>
      </c>
      <c r="D730" s="7" t="n">
        <v>0.89401561049307</v>
      </c>
      <c r="E730" s="7" t="n">
        <v>0.905303861318109</v>
      </c>
      <c r="F730" s="8" t="n">
        <f aca="true">IF(ROW()-2&gt;=Inputs!$B$4,AVERAGE(OFFSET(E730,1-Inputs!$B$4,0,Inputs!$B$4,1)),"")</f>
        <v>0.898258520277885</v>
      </c>
      <c r="G730" s="8" t="n">
        <f aca="true">IF(ROW()-2&gt;=Inputs!$B$5,AVERAGE(OFFSET(E730,1-Inputs!$B$5,0,Inputs!$B$5,1)),"")</f>
        <v>0.913297029164351</v>
      </c>
      <c r="H730" s="8" t="n">
        <f aca="false">MAX(C730-D730,ABS(C730-E729),ABS(D730-E729))</f>
        <v>0.0157635908138216</v>
      </c>
      <c r="I730" s="8" t="n">
        <f aca="true">IF(ROW()-2&lt;14,"",IF(ROW()-2=14,AVERAGE(OFFSET(H730,-13,0,14,1)),(I729*13+H730)/14))</f>
        <v>0.00974028334812683</v>
      </c>
      <c r="J730" s="9" t="b">
        <f aca="false">IF(AND(ISNUMBER(F730),ISNUMBER(G730),ISNUMBER(F729),ISNUMBER(G729)),AND(F730&gt;G730,F729&lt;=G729),FALSE())</f>
        <v>0</v>
      </c>
      <c r="K730" s="9" t="b">
        <f aca="false">IF(AND(ISNUMBER(F730),ISNUMBER(G730),ISNUMBER(F729),ISNUMBER(G729)),AND(F730&lt;G730,F729&gt;=G729),FALSE())</f>
        <v>0</v>
      </c>
      <c r="L730" s="8" t="n">
        <f aca="false">IF(ISNUMBER(I730),E730-Inputs!$B$6*I730,"")</f>
        <v>0.885823294621855</v>
      </c>
      <c r="M730" s="9" t="b">
        <f aca="false">AND(Y729&gt;0,Z729)</f>
        <v>0</v>
      </c>
      <c r="N730" s="8" t="n">
        <f aca="false">B730*(1-Inputs!$B$12)</f>
        <v>0.894940040919575</v>
      </c>
      <c r="O730" s="10" t="n">
        <f aca="false">IF(M730,Y729*(N730-AB729)-Inputs!$B$9-Y729*AD729*Inputs!$B$13*(A730-AC729),0)</f>
        <v>0</v>
      </c>
      <c r="P730" s="10" t="n">
        <f aca="false">X729+O730</f>
        <v>1021.59119261745</v>
      </c>
      <c r="Q730" s="9" t="b">
        <f aca="false">AND(IF(M730,0,Y729)=0,AA729,IF(ISNUMBER(AE729),B730&gt;AE729,FALSE()))</f>
        <v>0</v>
      </c>
      <c r="R730" s="8" t="n">
        <f aca="false">B730*(1+Inputs!$B$12)</f>
        <v>0.895298088545468</v>
      </c>
      <c r="S730" s="11" t="n">
        <f aca="false">IF(Q730,MIN(P730*Inputs!$B$3/(R730-AE729),P730*Inputs!$B$11/R730),0)</f>
        <v>0</v>
      </c>
      <c r="T730" s="11" t="n">
        <f aca="false">IF(Q730,S730,IF(M730,0,Y729))</f>
        <v>0</v>
      </c>
      <c r="U730" s="8" t="n">
        <f aca="false">IF(Q730,AE729,AF729)</f>
        <v>0.905666812067299</v>
      </c>
      <c r="V730" s="9" t="b">
        <f aca="false">AND(T730&gt;0,D730&lt;=U730)</f>
        <v>0</v>
      </c>
      <c r="W730" s="10" t="n">
        <f aca="false">IF(V730,T730*(AK730-AB730)-Inputs!$B$9-T730*AD730*Inputs!$B$13*(A730-AC730),0)</f>
        <v>0</v>
      </c>
      <c r="X730" s="10" t="n">
        <f aca="false">P730-IF(Q730,Inputs!$B$9,0)+W730</f>
        <v>1021.59119261745</v>
      </c>
      <c r="Y730" s="11" t="n">
        <f aca="false">IF(V730,0,T730)</f>
        <v>0</v>
      </c>
      <c r="Z730" s="9" t="b">
        <f aca="false">AND(Y730&gt;0,K730)</f>
        <v>0</v>
      </c>
      <c r="AA730" s="9" t="b">
        <f aca="false">AND(Y730=0,J730,ISNUMBER(L730))</f>
        <v>0</v>
      </c>
      <c r="AB730" s="8" t="n">
        <f aca="false">IF(Q730,R730,AB729)</f>
        <v>0.924194624604417</v>
      </c>
      <c r="AC730" s="12" t="n">
        <f aca="false">IF(Q730,A730,AC729)</f>
        <v>45463</v>
      </c>
      <c r="AD730" s="8" t="n">
        <f aca="false">IF(Q730,B730,AD729)</f>
        <v>0.924009822639889</v>
      </c>
      <c r="AE730" s="8" t="str">
        <f aca="false">IF(AA730,L730,"")</f>
        <v/>
      </c>
      <c r="AF730" s="8" t="n">
        <f aca="false">U730</f>
        <v>0.905666812067299</v>
      </c>
      <c r="AG730" s="2" t="n">
        <f aca="false">AG729+IF(Q730,1,0)</f>
        <v>5</v>
      </c>
      <c r="AH730" s="2" t="n">
        <f aca="false">AG729</f>
        <v>5</v>
      </c>
      <c r="AI730" s="10" t="n">
        <f aca="false">X730+Y730*(E730-AB730)-Y730*AD730*Inputs!$B$13*(A730-AC730)</f>
        <v>1021.59119261745</v>
      </c>
      <c r="AJ730" s="10" t="n">
        <v>0</v>
      </c>
      <c r="AK730" s="8" t="n">
        <f aca="false">IF(AND(B730&lt;=U730,NOT(Q730)),B730,U730)*(1-Inputs!$B$12)</f>
        <v>0.894940040919575</v>
      </c>
    </row>
    <row r="731" customFormat="false" ht="15" hidden="false" customHeight="false" outlineLevel="0" collapsed="false">
      <c r="A731" s="6" t="n">
        <v>45515</v>
      </c>
      <c r="B731" s="7" t="n">
        <v>0.905303861318109</v>
      </c>
      <c r="C731" s="7" t="n">
        <v>0.905652229188151</v>
      </c>
      <c r="D731" s="7" t="n">
        <v>0.894780465265673</v>
      </c>
      <c r="E731" s="7" t="n">
        <v>0.897555577350119</v>
      </c>
      <c r="F731" s="8" t="n">
        <f aca="true">IF(ROW()-2&gt;=Inputs!$B$4,AVERAGE(OFFSET(E731,1-Inputs!$B$4,0,Inputs!$B$4,1)),"")</f>
        <v>0.897643409548311</v>
      </c>
      <c r="G731" s="8" t="n">
        <f aca="true">IF(ROW()-2&gt;=Inputs!$B$5,AVERAGE(OFFSET(E731,1-Inputs!$B$5,0,Inputs!$B$5,1)),"")</f>
        <v>0.91291402341048</v>
      </c>
      <c r="H731" s="8" t="n">
        <f aca="false">MAX(C731-D731,ABS(C731-E730),ABS(D731-E730))</f>
        <v>0.0108717639224781</v>
      </c>
      <c r="I731" s="8" t="n">
        <f aca="true">IF(ROW()-2&lt;14,"",IF(ROW()-2=14,AVERAGE(OFFSET(H731,-13,0,14,1)),(I730*13+H731)/14))</f>
        <v>0.00982110338915193</v>
      </c>
      <c r="J731" s="9" t="b">
        <f aca="false">IF(AND(ISNUMBER(F731),ISNUMBER(G731),ISNUMBER(F730),ISNUMBER(G730)),AND(F731&gt;G731,F730&lt;=G730),FALSE())</f>
        <v>0</v>
      </c>
      <c r="K731" s="9" t="b">
        <f aca="false">IF(AND(ISNUMBER(F731),ISNUMBER(G731),ISNUMBER(F730),ISNUMBER(G730)),AND(F731&lt;G731,F730&gt;=G730),FALSE())</f>
        <v>0</v>
      </c>
      <c r="L731" s="8" t="n">
        <f aca="false">IF(ISNUMBER(I731),E731-Inputs!$B$6*I731,"")</f>
        <v>0.877913370571815</v>
      </c>
      <c r="M731" s="9" t="b">
        <f aca="false">AND(Y730&gt;0,Z730)</f>
        <v>0</v>
      </c>
      <c r="N731" s="8" t="n">
        <f aca="false">B731*(1-Inputs!$B$12)</f>
        <v>0.905122800545845</v>
      </c>
      <c r="O731" s="10" t="n">
        <f aca="false">IF(M731,Y730*(N731-AB730)-Inputs!$B$9-Y730*AD730*Inputs!$B$13*(A731-AC730),0)</f>
        <v>0</v>
      </c>
      <c r="P731" s="10" t="n">
        <f aca="false">X730+O731</f>
        <v>1021.59119261745</v>
      </c>
      <c r="Q731" s="9" t="b">
        <f aca="false">AND(IF(M731,0,Y730)=0,AA730,IF(ISNUMBER(AE730),B731&gt;AE730,FALSE()))</f>
        <v>0</v>
      </c>
      <c r="R731" s="8" t="n">
        <f aca="false">B731*(1+Inputs!$B$12)</f>
        <v>0.905484922090373</v>
      </c>
      <c r="S731" s="11" t="n">
        <f aca="false">IF(Q731,MIN(P731*Inputs!$B$3/(R731-AE730),P731*Inputs!$B$11/R731),0)</f>
        <v>0</v>
      </c>
      <c r="T731" s="11" t="n">
        <f aca="false">IF(Q731,S731,IF(M731,0,Y730))</f>
        <v>0</v>
      </c>
      <c r="U731" s="8" t="n">
        <f aca="false">IF(Q731,AE730,AF730)</f>
        <v>0.905666812067299</v>
      </c>
      <c r="V731" s="9" t="b">
        <f aca="false">AND(T731&gt;0,D731&lt;=U731)</f>
        <v>0</v>
      </c>
      <c r="W731" s="10" t="n">
        <f aca="false">IF(V731,T731*(AK731-AB731)-Inputs!$B$9-T731*AD731*Inputs!$B$13*(A731-AC731),0)</f>
        <v>0</v>
      </c>
      <c r="X731" s="10" t="n">
        <f aca="false">P731-IF(Q731,Inputs!$B$9,0)+W731</f>
        <v>1021.59119261745</v>
      </c>
      <c r="Y731" s="11" t="n">
        <f aca="false">IF(V731,0,T731)</f>
        <v>0</v>
      </c>
      <c r="Z731" s="9" t="b">
        <f aca="false">AND(Y731&gt;0,K731)</f>
        <v>0</v>
      </c>
      <c r="AA731" s="9" t="b">
        <f aca="false">AND(Y731=0,J731,ISNUMBER(L731))</f>
        <v>0</v>
      </c>
      <c r="AB731" s="8" t="n">
        <f aca="false">IF(Q731,R731,AB730)</f>
        <v>0.924194624604417</v>
      </c>
      <c r="AC731" s="12" t="n">
        <f aca="false">IF(Q731,A731,AC730)</f>
        <v>45463</v>
      </c>
      <c r="AD731" s="8" t="n">
        <f aca="false">IF(Q731,B731,AD730)</f>
        <v>0.924009822639889</v>
      </c>
      <c r="AE731" s="8" t="str">
        <f aca="false">IF(AA731,L731,"")</f>
        <v/>
      </c>
      <c r="AF731" s="8" t="n">
        <f aca="false">U731</f>
        <v>0.905666812067299</v>
      </c>
      <c r="AG731" s="2" t="n">
        <f aca="false">AG730+IF(Q731,1,0)</f>
        <v>5</v>
      </c>
      <c r="AH731" s="2" t="n">
        <f aca="false">AG730</f>
        <v>5</v>
      </c>
      <c r="AI731" s="10" t="n">
        <f aca="false">X731+Y731*(E731-AB731)-Y731*AD731*Inputs!$B$13*(A731-AC731)</f>
        <v>1021.59119261745</v>
      </c>
      <c r="AJ731" s="10" t="n">
        <v>0</v>
      </c>
      <c r="AK731" s="8" t="n">
        <f aca="false">IF(AND(B731&lt;=U731,NOT(Q731)),B731,U731)*(1-Inputs!$B$12)</f>
        <v>0.905122800545845</v>
      </c>
    </row>
    <row r="732" customFormat="false" ht="15" hidden="false" customHeight="false" outlineLevel="0" collapsed="false">
      <c r="A732" s="6" t="n">
        <v>45516</v>
      </c>
      <c r="B732" s="7" t="n">
        <v>0.897555577350119</v>
      </c>
      <c r="C732" s="7" t="n">
        <v>0.903761428358094</v>
      </c>
      <c r="D732" s="7" t="n">
        <v>0.882223116533641</v>
      </c>
      <c r="E732" s="7" t="n">
        <v>0.889691517950066</v>
      </c>
      <c r="F732" s="8" t="n">
        <f aca="true">IF(ROW()-2&gt;=Inputs!$B$4,AVERAGE(OFFSET(E732,1-Inputs!$B$4,0,Inputs!$B$4,1)),"")</f>
        <v>0.897142449143496</v>
      </c>
      <c r="G732" s="8" t="n">
        <f aca="true">IF(ROW()-2&gt;=Inputs!$B$5,AVERAGE(OFFSET(E732,1-Inputs!$B$5,0,Inputs!$B$5,1)),"")</f>
        <v>0.912415964502587</v>
      </c>
      <c r="H732" s="8" t="n">
        <f aca="false">MAX(C732-D732,ABS(C732-E731),ABS(D732-E731))</f>
        <v>0.0215383118244525</v>
      </c>
      <c r="I732" s="8" t="n">
        <f aca="true">IF(ROW()-2&lt;14,"",IF(ROW()-2=14,AVERAGE(OFFSET(H732,-13,0,14,1)),(I731*13+H732)/14))</f>
        <v>0.0106580468488163</v>
      </c>
      <c r="J732" s="9" t="b">
        <f aca="false">IF(AND(ISNUMBER(F732),ISNUMBER(G732),ISNUMBER(F731),ISNUMBER(G731)),AND(F732&gt;G732,F731&lt;=G731),FALSE())</f>
        <v>0</v>
      </c>
      <c r="K732" s="9" t="b">
        <f aca="false">IF(AND(ISNUMBER(F732),ISNUMBER(G732),ISNUMBER(F731),ISNUMBER(G731)),AND(F732&lt;G732,F731&gt;=G731),FALSE())</f>
        <v>0</v>
      </c>
      <c r="L732" s="8" t="n">
        <f aca="false">IF(ISNUMBER(I732),E732-Inputs!$B$6*I732,"")</f>
        <v>0.868375424252433</v>
      </c>
      <c r="M732" s="9" t="b">
        <f aca="false">AND(Y731&gt;0,Z731)</f>
        <v>0</v>
      </c>
      <c r="N732" s="8" t="n">
        <f aca="false">B732*(1-Inputs!$B$12)</f>
        <v>0.897376066234649</v>
      </c>
      <c r="O732" s="10" t="n">
        <f aca="false">IF(M732,Y731*(N732-AB731)-Inputs!$B$9-Y731*AD731*Inputs!$B$13*(A732-AC731),0)</f>
        <v>0</v>
      </c>
      <c r="P732" s="10" t="n">
        <f aca="false">X731+O732</f>
        <v>1021.59119261745</v>
      </c>
      <c r="Q732" s="9" t="b">
        <f aca="false">AND(IF(M732,0,Y731)=0,AA731,IF(ISNUMBER(AE731),B732&gt;AE731,FALSE()))</f>
        <v>0</v>
      </c>
      <c r="R732" s="8" t="n">
        <f aca="false">B732*(1+Inputs!$B$12)</f>
        <v>0.897735088465589</v>
      </c>
      <c r="S732" s="11" t="n">
        <f aca="false">IF(Q732,MIN(P732*Inputs!$B$3/(R732-AE731),P732*Inputs!$B$11/R732),0)</f>
        <v>0</v>
      </c>
      <c r="T732" s="11" t="n">
        <f aca="false">IF(Q732,S732,IF(M732,0,Y731))</f>
        <v>0</v>
      </c>
      <c r="U732" s="8" t="n">
        <f aca="false">IF(Q732,AE731,AF731)</f>
        <v>0.905666812067299</v>
      </c>
      <c r="V732" s="9" t="b">
        <f aca="false">AND(T732&gt;0,D732&lt;=U732)</f>
        <v>0</v>
      </c>
      <c r="W732" s="10" t="n">
        <f aca="false">IF(V732,T732*(AK732-AB732)-Inputs!$B$9-T732*AD732*Inputs!$B$13*(A732-AC732),0)</f>
        <v>0</v>
      </c>
      <c r="X732" s="10" t="n">
        <f aca="false">P732-IF(Q732,Inputs!$B$9,0)+W732</f>
        <v>1021.59119261745</v>
      </c>
      <c r="Y732" s="11" t="n">
        <f aca="false">IF(V732,0,T732)</f>
        <v>0</v>
      </c>
      <c r="Z732" s="9" t="b">
        <f aca="false">AND(Y732&gt;0,K732)</f>
        <v>0</v>
      </c>
      <c r="AA732" s="9" t="b">
        <f aca="false">AND(Y732=0,J732,ISNUMBER(L732))</f>
        <v>0</v>
      </c>
      <c r="AB732" s="8" t="n">
        <f aca="false">IF(Q732,R732,AB731)</f>
        <v>0.924194624604417</v>
      </c>
      <c r="AC732" s="12" t="n">
        <f aca="false">IF(Q732,A732,AC731)</f>
        <v>45463</v>
      </c>
      <c r="AD732" s="8" t="n">
        <f aca="false">IF(Q732,B732,AD731)</f>
        <v>0.924009822639889</v>
      </c>
      <c r="AE732" s="8" t="str">
        <f aca="false">IF(AA732,L732,"")</f>
        <v/>
      </c>
      <c r="AF732" s="8" t="n">
        <f aca="false">U732</f>
        <v>0.905666812067299</v>
      </c>
      <c r="AG732" s="2" t="n">
        <f aca="false">AG731+IF(Q732,1,0)</f>
        <v>5</v>
      </c>
      <c r="AH732" s="2" t="n">
        <f aca="false">AG731</f>
        <v>5</v>
      </c>
      <c r="AI732" s="10" t="n">
        <f aca="false">X732+Y732*(E732-AB732)-Y732*AD732*Inputs!$B$13*(A732-AC732)</f>
        <v>1021.59119261745</v>
      </c>
      <c r="AJ732" s="10" t="n">
        <v>0</v>
      </c>
      <c r="AK732" s="8" t="n">
        <f aca="false">IF(AND(B732&lt;=U732,NOT(Q732)),B732,U732)*(1-Inputs!$B$12)</f>
        <v>0.897376066234649</v>
      </c>
    </row>
    <row r="733" customFormat="false" ht="15" hidden="false" customHeight="false" outlineLevel="0" collapsed="false">
      <c r="A733" s="6" t="n">
        <v>45517</v>
      </c>
      <c r="B733" s="7" t="n">
        <v>0.889691517950066</v>
      </c>
      <c r="C733" s="7" t="n">
        <v>0.892534859121325</v>
      </c>
      <c r="D733" s="7" t="n">
        <v>0.889033816521902</v>
      </c>
      <c r="E733" s="7" t="n">
        <v>0.892241241397313</v>
      </c>
      <c r="F733" s="8" t="n">
        <f aca="true">IF(ROW()-2&gt;=Inputs!$B$4,AVERAGE(OFFSET(E733,1-Inputs!$B$4,0,Inputs!$B$4,1)),"")</f>
        <v>0.896990000758603</v>
      </c>
      <c r="G733" s="8" t="n">
        <f aca="true">IF(ROW()-2&gt;=Inputs!$B$5,AVERAGE(OFFSET(E733,1-Inputs!$B$5,0,Inputs!$B$5,1)),"")</f>
        <v>0.911813145180525</v>
      </c>
      <c r="H733" s="8" t="n">
        <f aca="false">MAX(C733-D733,ABS(C733-E732),ABS(D733-E732))</f>
        <v>0.00350104259942374</v>
      </c>
      <c r="I733" s="8" t="n">
        <f aca="true">IF(ROW()-2&lt;14,"",IF(ROW()-2=14,AVERAGE(OFFSET(H733,-13,0,14,1)),(I732*13+H733)/14))</f>
        <v>0.0101468322595739</v>
      </c>
      <c r="J733" s="9" t="b">
        <f aca="false">IF(AND(ISNUMBER(F733),ISNUMBER(G733),ISNUMBER(F732),ISNUMBER(G732)),AND(F733&gt;G733,F732&lt;=G732),FALSE())</f>
        <v>0</v>
      </c>
      <c r="K733" s="9" t="b">
        <f aca="false">IF(AND(ISNUMBER(F733),ISNUMBER(G733),ISNUMBER(F732),ISNUMBER(G732)),AND(F733&lt;G733,F732&gt;=G732),FALSE())</f>
        <v>0</v>
      </c>
      <c r="L733" s="8" t="n">
        <f aca="false">IF(ISNUMBER(I733),E733-Inputs!$B$6*I733,"")</f>
        <v>0.871947576878165</v>
      </c>
      <c r="M733" s="9" t="b">
        <f aca="false">AND(Y732&gt;0,Z732)</f>
        <v>0</v>
      </c>
      <c r="N733" s="8" t="n">
        <f aca="false">B733*(1-Inputs!$B$12)</f>
        <v>0.889513579646476</v>
      </c>
      <c r="O733" s="10" t="n">
        <f aca="false">IF(M733,Y732*(N733-AB732)-Inputs!$B$9-Y732*AD732*Inputs!$B$13*(A733-AC732),0)</f>
        <v>0</v>
      </c>
      <c r="P733" s="10" t="n">
        <f aca="false">X732+O733</f>
        <v>1021.59119261745</v>
      </c>
      <c r="Q733" s="9" t="b">
        <f aca="false">AND(IF(M733,0,Y732)=0,AA732,IF(ISNUMBER(AE732),B733&gt;AE732,FALSE()))</f>
        <v>0</v>
      </c>
      <c r="R733" s="8" t="n">
        <f aca="false">B733*(1+Inputs!$B$12)</f>
        <v>0.889869456253656</v>
      </c>
      <c r="S733" s="11" t="n">
        <f aca="false">IF(Q733,MIN(P733*Inputs!$B$3/(R733-AE732),P733*Inputs!$B$11/R733),0)</f>
        <v>0</v>
      </c>
      <c r="T733" s="11" t="n">
        <f aca="false">IF(Q733,S733,IF(M733,0,Y732))</f>
        <v>0</v>
      </c>
      <c r="U733" s="8" t="n">
        <f aca="false">IF(Q733,AE732,AF732)</f>
        <v>0.905666812067299</v>
      </c>
      <c r="V733" s="9" t="b">
        <f aca="false">AND(T733&gt;0,D733&lt;=U733)</f>
        <v>0</v>
      </c>
      <c r="W733" s="10" t="n">
        <f aca="false">IF(V733,T733*(AK733-AB733)-Inputs!$B$9-T733*AD733*Inputs!$B$13*(A733-AC733),0)</f>
        <v>0</v>
      </c>
      <c r="X733" s="10" t="n">
        <f aca="false">P733-IF(Q733,Inputs!$B$9,0)+W733</f>
        <v>1021.59119261745</v>
      </c>
      <c r="Y733" s="11" t="n">
        <f aca="false">IF(V733,0,T733)</f>
        <v>0</v>
      </c>
      <c r="Z733" s="9" t="b">
        <f aca="false">AND(Y733&gt;0,K733)</f>
        <v>0</v>
      </c>
      <c r="AA733" s="9" t="b">
        <f aca="false">AND(Y733=0,J733,ISNUMBER(L733))</f>
        <v>0</v>
      </c>
      <c r="AB733" s="8" t="n">
        <f aca="false">IF(Q733,R733,AB732)</f>
        <v>0.924194624604417</v>
      </c>
      <c r="AC733" s="12" t="n">
        <f aca="false">IF(Q733,A733,AC732)</f>
        <v>45463</v>
      </c>
      <c r="AD733" s="8" t="n">
        <f aca="false">IF(Q733,B733,AD732)</f>
        <v>0.924009822639889</v>
      </c>
      <c r="AE733" s="8" t="str">
        <f aca="false">IF(AA733,L733,"")</f>
        <v/>
      </c>
      <c r="AF733" s="8" t="n">
        <f aca="false">U733</f>
        <v>0.905666812067299</v>
      </c>
      <c r="AG733" s="2" t="n">
        <f aca="false">AG732+IF(Q733,1,0)</f>
        <v>5</v>
      </c>
      <c r="AH733" s="2" t="n">
        <f aca="false">AG732</f>
        <v>5</v>
      </c>
      <c r="AI733" s="10" t="n">
        <f aca="false">X733+Y733*(E733-AB733)-Y733*AD733*Inputs!$B$13*(A733-AC733)</f>
        <v>1021.59119261745</v>
      </c>
      <c r="AJ733" s="10" t="n">
        <v>0</v>
      </c>
      <c r="AK733" s="8" t="n">
        <f aca="false">IF(AND(B733&lt;=U733,NOT(Q733)),B733,U733)*(1-Inputs!$B$12)</f>
        <v>0.889513579646476</v>
      </c>
    </row>
    <row r="734" customFormat="false" ht="15" hidden="false" customHeight="false" outlineLevel="0" collapsed="false">
      <c r="A734" s="6" t="n">
        <v>45518</v>
      </c>
      <c r="B734" s="7" t="n">
        <v>0.892241241397313</v>
      </c>
      <c r="C734" s="7" t="n">
        <v>0.8940871278773</v>
      </c>
      <c r="D734" s="7" t="n">
        <v>0.882880425453133</v>
      </c>
      <c r="E734" s="7" t="n">
        <v>0.893872465252837</v>
      </c>
      <c r="F734" s="8" t="n">
        <f aca="true">IF(ROW()-2&gt;=Inputs!$B$4,AVERAGE(OFFSET(E734,1-Inputs!$B$4,0,Inputs!$B$4,1)),"")</f>
        <v>0.896691686204807</v>
      </c>
      <c r="G734" s="8" t="n">
        <f aca="true">IF(ROW()-2&gt;=Inputs!$B$5,AVERAGE(OFFSET(E734,1-Inputs!$B$5,0,Inputs!$B$5,1)),"")</f>
        <v>0.911060030463683</v>
      </c>
      <c r="H734" s="8" t="n">
        <f aca="false">MAX(C734-D734,ABS(C734-E733),ABS(D734-E733))</f>
        <v>0.011206702424167</v>
      </c>
      <c r="I734" s="8" t="n">
        <f aca="true">IF(ROW()-2&lt;14,"",IF(ROW()-2=14,AVERAGE(OFFSET(H734,-13,0,14,1)),(I733*13+H734)/14))</f>
        <v>0.0102225372713306</v>
      </c>
      <c r="J734" s="9" t="b">
        <f aca="false">IF(AND(ISNUMBER(F734),ISNUMBER(G734),ISNUMBER(F733),ISNUMBER(G733)),AND(F734&gt;G734,F733&lt;=G733),FALSE())</f>
        <v>0</v>
      </c>
      <c r="K734" s="9" t="b">
        <f aca="false">IF(AND(ISNUMBER(F734),ISNUMBER(G734),ISNUMBER(F733),ISNUMBER(G733)),AND(F734&lt;G734,F733&gt;=G733),FALSE())</f>
        <v>0</v>
      </c>
      <c r="L734" s="8" t="n">
        <f aca="false">IF(ISNUMBER(I734),E734-Inputs!$B$6*I734,"")</f>
        <v>0.873427390710176</v>
      </c>
      <c r="M734" s="9" t="b">
        <f aca="false">AND(Y733&gt;0,Z733)</f>
        <v>0</v>
      </c>
      <c r="N734" s="8" t="n">
        <f aca="false">B734*(1-Inputs!$B$12)</f>
        <v>0.892062793149034</v>
      </c>
      <c r="O734" s="10" t="n">
        <f aca="false">IF(M734,Y733*(N734-AB733)-Inputs!$B$9-Y733*AD733*Inputs!$B$13*(A734-AC733),0)</f>
        <v>0</v>
      </c>
      <c r="P734" s="10" t="n">
        <f aca="false">X733+O734</f>
        <v>1021.59119261745</v>
      </c>
      <c r="Q734" s="9" t="b">
        <f aca="false">AND(IF(M734,0,Y733)=0,AA733,IF(ISNUMBER(AE733),B734&gt;AE733,FALSE()))</f>
        <v>0</v>
      </c>
      <c r="R734" s="8" t="n">
        <f aca="false">B734*(1+Inputs!$B$12)</f>
        <v>0.892419689645592</v>
      </c>
      <c r="S734" s="11" t="n">
        <f aca="false">IF(Q734,MIN(P734*Inputs!$B$3/(R734-AE733),P734*Inputs!$B$11/R734),0)</f>
        <v>0</v>
      </c>
      <c r="T734" s="11" t="n">
        <f aca="false">IF(Q734,S734,IF(M734,0,Y733))</f>
        <v>0</v>
      </c>
      <c r="U734" s="8" t="n">
        <f aca="false">IF(Q734,AE733,AF733)</f>
        <v>0.905666812067299</v>
      </c>
      <c r="V734" s="9" t="b">
        <f aca="false">AND(T734&gt;0,D734&lt;=U734)</f>
        <v>0</v>
      </c>
      <c r="W734" s="10" t="n">
        <f aca="false">IF(V734,T734*(AK734-AB734)-Inputs!$B$9-T734*AD734*Inputs!$B$13*(A734-AC734),0)</f>
        <v>0</v>
      </c>
      <c r="X734" s="10" t="n">
        <f aca="false">P734-IF(Q734,Inputs!$B$9,0)+W734</f>
        <v>1021.59119261745</v>
      </c>
      <c r="Y734" s="11" t="n">
        <f aca="false">IF(V734,0,T734)</f>
        <v>0</v>
      </c>
      <c r="Z734" s="9" t="b">
        <f aca="false">AND(Y734&gt;0,K734)</f>
        <v>0</v>
      </c>
      <c r="AA734" s="9" t="b">
        <f aca="false">AND(Y734=0,J734,ISNUMBER(L734))</f>
        <v>0</v>
      </c>
      <c r="AB734" s="8" t="n">
        <f aca="false">IF(Q734,R734,AB733)</f>
        <v>0.924194624604417</v>
      </c>
      <c r="AC734" s="12" t="n">
        <f aca="false">IF(Q734,A734,AC733)</f>
        <v>45463</v>
      </c>
      <c r="AD734" s="8" t="n">
        <f aca="false">IF(Q734,B734,AD733)</f>
        <v>0.924009822639889</v>
      </c>
      <c r="AE734" s="8" t="str">
        <f aca="false">IF(AA734,L734,"")</f>
        <v/>
      </c>
      <c r="AF734" s="8" t="n">
        <f aca="false">U734</f>
        <v>0.905666812067299</v>
      </c>
      <c r="AG734" s="2" t="n">
        <f aca="false">AG733+IF(Q734,1,0)</f>
        <v>5</v>
      </c>
      <c r="AH734" s="2" t="n">
        <f aca="false">AG733</f>
        <v>5</v>
      </c>
      <c r="AI734" s="10" t="n">
        <f aca="false">X734+Y734*(E734-AB734)-Y734*AD734*Inputs!$B$13*(A734-AC734)</f>
        <v>1021.59119261745</v>
      </c>
      <c r="AJ734" s="10" t="n">
        <v>0</v>
      </c>
      <c r="AK734" s="8" t="n">
        <f aca="false">IF(AND(B734&lt;=U734,NOT(Q734)),B734,U734)*(1-Inputs!$B$12)</f>
        <v>0.892062793149034</v>
      </c>
    </row>
    <row r="735" customFormat="false" ht="15" hidden="false" customHeight="false" outlineLevel="0" collapsed="false">
      <c r="A735" s="6" t="n">
        <v>45519</v>
      </c>
      <c r="B735" s="7" t="n">
        <v>0.893872465252837</v>
      </c>
      <c r="C735" s="7" t="n">
        <v>0.899716167999103</v>
      </c>
      <c r="D735" s="7" t="n">
        <v>0.891868657108974</v>
      </c>
      <c r="E735" s="7" t="n">
        <v>0.899186642325843</v>
      </c>
      <c r="F735" s="8" t="n">
        <f aca="true">IF(ROW()-2&gt;=Inputs!$B$4,AVERAGE(OFFSET(E735,1-Inputs!$B$4,0,Inputs!$B$4,1)),"")</f>
        <v>0.89718749608291</v>
      </c>
      <c r="G735" s="8" t="n">
        <f aca="true">IF(ROW()-2&gt;=Inputs!$B$5,AVERAGE(OFFSET(E735,1-Inputs!$B$5,0,Inputs!$B$5,1)),"")</f>
        <v>0.910492748859503</v>
      </c>
      <c r="H735" s="8" t="n">
        <f aca="false">MAX(C735-D735,ABS(C735-E734),ABS(D735-E734))</f>
        <v>0.00784751089012892</v>
      </c>
      <c r="I735" s="8" t="n">
        <f aca="true">IF(ROW()-2&lt;14,"",IF(ROW()-2=14,AVERAGE(OFFSET(H735,-13,0,14,1)),(I734*13+H735)/14))</f>
        <v>0.0100528925298162</v>
      </c>
      <c r="J735" s="9" t="b">
        <f aca="false">IF(AND(ISNUMBER(F735),ISNUMBER(G735),ISNUMBER(F734),ISNUMBER(G734)),AND(F735&gt;G735,F734&lt;=G734),FALSE())</f>
        <v>0</v>
      </c>
      <c r="K735" s="9" t="b">
        <f aca="false">IF(AND(ISNUMBER(F735),ISNUMBER(G735),ISNUMBER(F734),ISNUMBER(G734)),AND(F735&lt;G735,F734&gt;=G734),FALSE())</f>
        <v>0</v>
      </c>
      <c r="L735" s="8" t="n">
        <f aca="false">IF(ISNUMBER(I735),E735-Inputs!$B$6*I735,"")</f>
        <v>0.879080857266211</v>
      </c>
      <c r="M735" s="9" t="b">
        <f aca="false">AND(Y734&gt;0,Z734)</f>
        <v>0</v>
      </c>
      <c r="N735" s="8" t="n">
        <f aca="false">B735*(1-Inputs!$B$12)</f>
        <v>0.893693690759787</v>
      </c>
      <c r="O735" s="10" t="n">
        <f aca="false">IF(M735,Y734*(N735-AB734)-Inputs!$B$9-Y734*AD734*Inputs!$B$13*(A735-AC734),0)</f>
        <v>0</v>
      </c>
      <c r="P735" s="10" t="n">
        <f aca="false">X734+O735</f>
        <v>1021.59119261745</v>
      </c>
      <c r="Q735" s="9" t="b">
        <f aca="false">AND(IF(M735,0,Y734)=0,AA734,IF(ISNUMBER(AE734),B735&gt;AE734,FALSE()))</f>
        <v>0</v>
      </c>
      <c r="R735" s="8" t="n">
        <f aca="false">B735*(1+Inputs!$B$12)</f>
        <v>0.894051239745888</v>
      </c>
      <c r="S735" s="11" t="n">
        <f aca="false">IF(Q735,MIN(P735*Inputs!$B$3/(R735-AE734),P735*Inputs!$B$11/R735),0)</f>
        <v>0</v>
      </c>
      <c r="T735" s="11" t="n">
        <f aca="false">IF(Q735,S735,IF(M735,0,Y734))</f>
        <v>0</v>
      </c>
      <c r="U735" s="8" t="n">
        <f aca="false">IF(Q735,AE734,AF734)</f>
        <v>0.905666812067299</v>
      </c>
      <c r="V735" s="9" t="b">
        <f aca="false">AND(T735&gt;0,D735&lt;=U735)</f>
        <v>0</v>
      </c>
      <c r="W735" s="10" t="n">
        <f aca="false">IF(V735,T735*(AK735-AB735)-Inputs!$B$9-T735*AD735*Inputs!$B$13*(A735-AC735),0)</f>
        <v>0</v>
      </c>
      <c r="X735" s="10" t="n">
        <f aca="false">P735-IF(Q735,Inputs!$B$9,0)+W735</f>
        <v>1021.59119261745</v>
      </c>
      <c r="Y735" s="11" t="n">
        <f aca="false">IF(V735,0,T735)</f>
        <v>0</v>
      </c>
      <c r="Z735" s="9" t="b">
        <f aca="false">AND(Y735&gt;0,K735)</f>
        <v>0</v>
      </c>
      <c r="AA735" s="9" t="b">
        <f aca="false">AND(Y735=0,J735,ISNUMBER(L735))</f>
        <v>0</v>
      </c>
      <c r="AB735" s="8" t="n">
        <f aca="false">IF(Q735,R735,AB734)</f>
        <v>0.924194624604417</v>
      </c>
      <c r="AC735" s="12" t="n">
        <f aca="false">IF(Q735,A735,AC734)</f>
        <v>45463</v>
      </c>
      <c r="AD735" s="8" t="n">
        <f aca="false">IF(Q735,B735,AD734)</f>
        <v>0.924009822639889</v>
      </c>
      <c r="AE735" s="8" t="str">
        <f aca="false">IF(AA735,L735,"")</f>
        <v/>
      </c>
      <c r="AF735" s="8" t="n">
        <f aca="false">U735</f>
        <v>0.905666812067299</v>
      </c>
      <c r="AG735" s="2" t="n">
        <f aca="false">AG734+IF(Q735,1,0)</f>
        <v>5</v>
      </c>
      <c r="AH735" s="2" t="n">
        <f aca="false">AG734</f>
        <v>5</v>
      </c>
      <c r="AI735" s="10" t="n">
        <f aca="false">X735+Y735*(E735-AB735)-Y735*AD735*Inputs!$B$13*(A735-AC735)</f>
        <v>1021.59119261745</v>
      </c>
      <c r="AJ735" s="10" t="n">
        <v>0</v>
      </c>
      <c r="AK735" s="8" t="n">
        <f aca="false">IF(AND(B735&lt;=U735,NOT(Q735)),B735,U735)*(1-Inputs!$B$12)</f>
        <v>0.893693690759787</v>
      </c>
    </row>
    <row r="736" customFormat="false" ht="15" hidden="false" customHeight="false" outlineLevel="0" collapsed="false">
      <c r="A736" s="6" t="n">
        <v>45520</v>
      </c>
      <c r="B736" s="7" t="n">
        <v>0.899186642325843</v>
      </c>
      <c r="C736" s="7" t="n">
        <v>0.901219055176225</v>
      </c>
      <c r="D736" s="7" t="n">
        <v>0.889464023345414</v>
      </c>
      <c r="E736" s="7" t="n">
        <v>0.891937639605695</v>
      </c>
      <c r="F736" s="8" t="n">
        <f aca="true">IF(ROW()-2&gt;=Inputs!$B$4,AVERAGE(OFFSET(E736,1-Inputs!$B$4,0,Inputs!$B$4,1)),"")</f>
        <v>0.897023366403798</v>
      </c>
      <c r="G736" s="8" t="n">
        <f aca="true">IF(ROW()-2&gt;=Inputs!$B$5,AVERAGE(OFFSET(E736,1-Inputs!$B$5,0,Inputs!$B$5,1)),"")</f>
        <v>0.909728661185155</v>
      </c>
      <c r="H736" s="8" t="n">
        <f aca="false">MAX(C736-D736,ABS(C736-E735),ABS(D736-E735))</f>
        <v>0.0117550318308113</v>
      </c>
      <c r="I736" s="8" t="n">
        <f aca="true">IF(ROW()-2&lt;14,"",IF(ROW()-2=14,AVERAGE(OFFSET(H736,-13,0,14,1)),(I735*13+H736)/14))</f>
        <v>0.0101744739084587</v>
      </c>
      <c r="J736" s="9" t="b">
        <f aca="false">IF(AND(ISNUMBER(F736),ISNUMBER(G736),ISNUMBER(F735),ISNUMBER(G735)),AND(F736&gt;G736,F735&lt;=G735),FALSE())</f>
        <v>0</v>
      </c>
      <c r="K736" s="9" t="b">
        <f aca="false">IF(AND(ISNUMBER(F736),ISNUMBER(G736),ISNUMBER(F735),ISNUMBER(G735)),AND(F736&lt;G736,F735&gt;=G735),FALSE())</f>
        <v>0</v>
      </c>
      <c r="L736" s="8" t="n">
        <f aca="false">IF(ISNUMBER(I736),E736-Inputs!$B$6*I736,"")</f>
        <v>0.871588691788777</v>
      </c>
      <c r="M736" s="9" t="b">
        <f aca="false">AND(Y735&gt;0,Z735)</f>
        <v>0</v>
      </c>
      <c r="N736" s="8" t="n">
        <f aca="false">B736*(1-Inputs!$B$12)</f>
        <v>0.899006804997378</v>
      </c>
      <c r="O736" s="10" t="n">
        <f aca="false">IF(M736,Y735*(N736-AB735)-Inputs!$B$9-Y735*AD735*Inputs!$B$13*(A736-AC735),0)</f>
        <v>0</v>
      </c>
      <c r="P736" s="10" t="n">
        <f aca="false">X735+O736</f>
        <v>1021.59119261745</v>
      </c>
      <c r="Q736" s="9" t="b">
        <f aca="false">AND(IF(M736,0,Y735)=0,AA735,IF(ISNUMBER(AE735),B736&gt;AE735,FALSE()))</f>
        <v>0</v>
      </c>
      <c r="R736" s="8" t="n">
        <f aca="false">B736*(1+Inputs!$B$12)</f>
        <v>0.899366479654308</v>
      </c>
      <c r="S736" s="11" t="n">
        <f aca="false">IF(Q736,MIN(P736*Inputs!$B$3/(R736-AE735),P736*Inputs!$B$11/R736),0)</f>
        <v>0</v>
      </c>
      <c r="T736" s="11" t="n">
        <f aca="false">IF(Q736,S736,IF(M736,0,Y735))</f>
        <v>0</v>
      </c>
      <c r="U736" s="8" t="n">
        <f aca="false">IF(Q736,AE735,AF735)</f>
        <v>0.905666812067299</v>
      </c>
      <c r="V736" s="9" t="b">
        <f aca="false">AND(T736&gt;0,D736&lt;=U736)</f>
        <v>0</v>
      </c>
      <c r="W736" s="10" t="n">
        <f aca="false">IF(V736,T736*(AK736-AB736)-Inputs!$B$9-T736*AD736*Inputs!$B$13*(A736-AC736),0)</f>
        <v>0</v>
      </c>
      <c r="X736" s="10" t="n">
        <f aca="false">P736-IF(Q736,Inputs!$B$9,0)+W736</f>
        <v>1021.59119261745</v>
      </c>
      <c r="Y736" s="11" t="n">
        <f aca="false">IF(V736,0,T736)</f>
        <v>0</v>
      </c>
      <c r="Z736" s="9" t="b">
        <f aca="false">AND(Y736&gt;0,K736)</f>
        <v>0</v>
      </c>
      <c r="AA736" s="9" t="b">
        <f aca="false">AND(Y736=0,J736,ISNUMBER(L736))</f>
        <v>0</v>
      </c>
      <c r="AB736" s="8" t="n">
        <f aca="false">IF(Q736,R736,AB735)</f>
        <v>0.924194624604417</v>
      </c>
      <c r="AC736" s="12" t="n">
        <f aca="false">IF(Q736,A736,AC735)</f>
        <v>45463</v>
      </c>
      <c r="AD736" s="8" t="n">
        <f aca="false">IF(Q736,B736,AD735)</f>
        <v>0.924009822639889</v>
      </c>
      <c r="AE736" s="8" t="str">
        <f aca="false">IF(AA736,L736,"")</f>
        <v/>
      </c>
      <c r="AF736" s="8" t="n">
        <f aca="false">U736</f>
        <v>0.905666812067299</v>
      </c>
      <c r="AG736" s="2" t="n">
        <f aca="false">AG735+IF(Q736,1,0)</f>
        <v>5</v>
      </c>
      <c r="AH736" s="2" t="n">
        <f aca="false">AG735</f>
        <v>5</v>
      </c>
      <c r="AI736" s="10" t="n">
        <f aca="false">X736+Y736*(E736-AB736)-Y736*AD736*Inputs!$B$13*(A736-AC736)</f>
        <v>1021.59119261745</v>
      </c>
      <c r="AJ736" s="10" t="n">
        <v>0</v>
      </c>
      <c r="AK736" s="8" t="n">
        <f aca="false">IF(AND(B736&lt;=U736,NOT(Q736)),B736,U736)*(1-Inputs!$B$12)</f>
        <v>0.899006804997378</v>
      </c>
    </row>
    <row r="737" customFormat="false" ht="15" hidden="false" customHeight="false" outlineLevel="0" collapsed="false">
      <c r="A737" s="6" t="n">
        <v>45521</v>
      </c>
      <c r="B737" s="7" t="n">
        <v>0.891937639605695</v>
      </c>
      <c r="C737" s="7" t="n">
        <v>0.90228162052547</v>
      </c>
      <c r="D737" s="7" t="n">
        <v>0.885440551674293</v>
      </c>
      <c r="E737" s="7" t="n">
        <v>0.896993491171102</v>
      </c>
      <c r="F737" s="8" t="n">
        <f aca="true">IF(ROW()-2&gt;=Inputs!$B$4,AVERAGE(OFFSET(E737,1-Inputs!$B$4,0,Inputs!$B$4,1)),"")</f>
        <v>0.897088562357946</v>
      </c>
      <c r="G737" s="8" t="n">
        <f aca="true">IF(ROW()-2&gt;=Inputs!$B$5,AVERAGE(OFFSET(E737,1-Inputs!$B$5,0,Inputs!$B$5,1)),"")</f>
        <v>0.908973574786573</v>
      </c>
      <c r="H737" s="8" t="n">
        <f aca="false">MAX(C737-D737,ABS(C737-E736),ABS(D737-E736))</f>
        <v>0.0168410688511771</v>
      </c>
      <c r="I737" s="8" t="n">
        <f aca="true">IF(ROW()-2&lt;14,"",IF(ROW()-2=14,AVERAGE(OFFSET(H737,-13,0,14,1)),(I736*13+H737)/14))</f>
        <v>0.01065065926151</v>
      </c>
      <c r="J737" s="9" t="b">
        <f aca="false">IF(AND(ISNUMBER(F737),ISNUMBER(G737),ISNUMBER(F736),ISNUMBER(G736)),AND(F737&gt;G737,F736&lt;=G736),FALSE())</f>
        <v>0</v>
      </c>
      <c r="K737" s="9" t="b">
        <f aca="false">IF(AND(ISNUMBER(F737),ISNUMBER(G737),ISNUMBER(F736),ISNUMBER(G736)),AND(F737&lt;G737,F736&gt;=G736),FALSE())</f>
        <v>0</v>
      </c>
      <c r="L737" s="8" t="n">
        <f aca="false">IF(ISNUMBER(I737),E737-Inputs!$B$6*I737,"")</f>
        <v>0.875692172648082</v>
      </c>
      <c r="M737" s="9" t="b">
        <f aca="false">AND(Y736&gt;0,Z736)</f>
        <v>0</v>
      </c>
      <c r="N737" s="8" t="n">
        <f aca="false">B737*(1-Inputs!$B$12)</f>
        <v>0.891759252077773</v>
      </c>
      <c r="O737" s="10" t="n">
        <f aca="false">IF(M737,Y736*(N737-AB736)-Inputs!$B$9-Y736*AD736*Inputs!$B$13*(A737-AC736),0)</f>
        <v>0</v>
      </c>
      <c r="P737" s="10" t="n">
        <f aca="false">X736+O737</f>
        <v>1021.59119261745</v>
      </c>
      <c r="Q737" s="9" t="b">
        <f aca="false">AND(IF(M737,0,Y736)=0,AA736,IF(ISNUMBER(AE736),B737&gt;AE736,FALSE()))</f>
        <v>0</v>
      </c>
      <c r="R737" s="8" t="n">
        <f aca="false">B737*(1+Inputs!$B$12)</f>
        <v>0.892116027133616</v>
      </c>
      <c r="S737" s="11" t="n">
        <f aca="false">IF(Q737,MIN(P737*Inputs!$B$3/(R737-AE736),P737*Inputs!$B$11/R737),0)</f>
        <v>0</v>
      </c>
      <c r="T737" s="11" t="n">
        <f aca="false">IF(Q737,S737,IF(M737,0,Y736))</f>
        <v>0</v>
      </c>
      <c r="U737" s="8" t="n">
        <f aca="false">IF(Q737,AE736,AF736)</f>
        <v>0.905666812067299</v>
      </c>
      <c r="V737" s="9" t="b">
        <f aca="false">AND(T737&gt;0,D737&lt;=U737)</f>
        <v>0</v>
      </c>
      <c r="W737" s="10" t="n">
        <f aca="false">IF(V737,T737*(AK737-AB737)-Inputs!$B$9-T737*AD737*Inputs!$B$13*(A737-AC737),0)</f>
        <v>0</v>
      </c>
      <c r="X737" s="10" t="n">
        <f aca="false">P737-IF(Q737,Inputs!$B$9,0)+W737</f>
        <v>1021.59119261745</v>
      </c>
      <c r="Y737" s="11" t="n">
        <f aca="false">IF(V737,0,T737)</f>
        <v>0</v>
      </c>
      <c r="Z737" s="9" t="b">
        <f aca="false">AND(Y737&gt;0,K737)</f>
        <v>0</v>
      </c>
      <c r="AA737" s="9" t="b">
        <f aca="false">AND(Y737=0,J737,ISNUMBER(L737))</f>
        <v>0</v>
      </c>
      <c r="AB737" s="8" t="n">
        <f aca="false">IF(Q737,R737,AB736)</f>
        <v>0.924194624604417</v>
      </c>
      <c r="AC737" s="12" t="n">
        <f aca="false">IF(Q737,A737,AC736)</f>
        <v>45463</v>
      </c>
      <c r="AD737" s="8" t="n">
        <f aca="false">IF(Q737,B737,AD736)</f>
        <v>0.924009822639889</v>
      </c>
      <c r="AE737" s="8" t="str">
        <f aca="false">IF(AA737,L737,"")</f>
        <v/>
      </c>
      <c r="AF737" s="8" t="n">
        <f aca="false">U737</f>
        <v>0.905666812067299</v>
      </c>
      <c r="AG737" s="2" t="n">
        <f aca="false">AG736+IF(Q737,1,0)</f>
        <v>5</v>
      </c>
      <c r="AH737" s="2" t="n">
        <f aca="false">AG736</f>
        <v>5</v>
      </c>
      <c r="AI737" s="10" t="n">
        <f aca="false">X737+Y737*(E737-AB737)-Y737*AD737*Inputs!$B$13*(A737-AC737)</f>
        <v>1021.59119261745</v>
      </c>
      <c r="AJ737" s="10" t="n">
        <v>0</v>
      </c>
      <c r="AK737" s="8" t="n">
        <f aca="false">IF(AND(B737&lt;=U737,NOT(Q737)),B737,U737)*(1-Inputs!$B$12)</f>
        <v>0.891759252077773</v>
      </c>
    </row>
    <row r="738" customFormat="false" ht="15" hidden="false" customHeight="false" outlineLevel="0" collapsed="false">
      <c r="A738" s="6" t="n">
        <v>45522</v>
      </c>
      <c r="B738" s="7" t="n">
        <v>0.896993491171102</v>
      </c>
      <c r="C738" s="7" t="n">
        <v>0.900275230240406</v>
      </c>
      <c r="D738" s="7" t="n">
        <v>0.882032106869447</v>
      </c>
      <c r="E738" s="7" t="n">
        <v>0.88997227629098</v>
      </c>
      <c r="F738" s="8" t="n">
        <f aca="true">IF(ROW()-2&gt;=Inputs!$B$4,AVERAGE(OFFSET(E738,1-Inputs!$B$4,0,Inputs!$B$4,1)),"")</f>
        <v>0.896923237579522</v>
      </c>
      <c r="G738" s="8" t="n">
        <f aca="true">IF(ROW()-2&gt;=Inputs!$B$5,AVERAGE(OFFSET(E738,1-Inputs!$B$5,0,Inputs!$B$5,1)),"")</f>
        <v>0.908094236094643</v>
      </c>
      <c r="H738" s="8" t="n">
        <f aca="false">MAX(C738-D738,ABS(C738-E737),ABS(D738-E737))</f>
        <v>0.018243123370959</v>
      </c>
      <c r="I738" s="8" t="n">
        <f aca="true">IF(ROW()-2&lt;14,"",IF(ROW()-2=14,AVERAGE(OFFSET(H738,-13,0,14,1)),(I737*13+H738)/14))</f>
        <v>0.0111929781264706</v>
      </c>
      <c r="J738" s="9" t="b">
        <f aca="false">IF(AND(ISNUMBER(F738),ISNUMBER(G738),ISNUMBER(F737),ISNUMBER(G737)),AND(F738&gt;G738,F737&lt;=G737),FALSE())</f>
        <v>0</v>
      </c>
      <c r="K738" s="9" t="b">
        <f aca="false">IF(AND(ISNUMBER(F738),ISNUMBER(G738),ISNUMBER(F737),ISNUMBER(G737)),AND(F738&lt;G738,F737&gt;=G737),FALSE())</f>
        <v>0</v>
      </c>
      <c r="L738" s="8" t="n">
        <f aca="false">IF(ISNUMBER(I738),E738-Inputs!$B$6*I738,"")</f>
        <v>0.867586320038039</v>
      </c>
      <c r="M738" s="9" t="b">
        <f aca="false">AND(Y737&gt;0,Z737)</f>
        <v>0</v>
      </c>
      <c r="N738" s="8" t="n">
        <f aca="false">B738*(1-Inputs!$B$12)</f>
        <v>0.896814092472868</v>
      </c>
      <c r="O738" s="10" t="n">
        <f aca="false">IF(M738,Y737*(N738-AB737)-Inputs!$B$9-Y737*AD737*Inputs!$B$13*(A738-AC737),0)</f>
        <v>0</v>
      </c>
      <c r="P738" s="10" t="n">
        <f aca="false">X737+O738</f>
        <v>1021.59119261745</v>
      </c>
      <c r="Q738" s="9" t="b">
        <f aca="false">AND(IF(M738,0,Y737)=0,AA737,IF(ISNUMBER(AE737),B738&gt;AE737,FALSE()))</f>
        <v>0</v>
      </c>
      <c r="R738" s="8" t="n">
        <f aca="false">B738*(1+Inputs!$B$12)</f>
        <v>0.897172889869336</v>
      </c>
      <c r="S738" s="11" t="n">
        <f aca="false">IF(Q738,MIN(P738*Inputs!$B$3/(R738-AE737),P738*Inputs!$B$11/R738),0)</f>
        <v>0</v>
      </c>
      <c r="T738" s="11" t="n">
        <f aca="false">IF(Q738,S738,IF(M738,0,Y737))</f>
        <v>0</v>
      </c>
      <c r="U738" s="8" t="n">
        <f aca="false">IF(Q738,AE737,AF737)</f>
        <v>0.905666812067299</v>
      </c>
      <c r="V738" s="9" t="b">
        <f aca="false">AND(T738&gt;0,D738&lt;=U738)</f>
        <v>0</v>
      </c>
      <c r="W738" s="10" t="n">
        <f aca="false">IF(V738,T738*(AK738-AB738)-Inputs!$B$9-T738*AD738*Inputs!$B$13*(A738-AC738),0)</f>
        <v>0</v>
      </c>
      <c r="X738" s="10" t="n">
        <f aca="false">P738-IF(Q738,Inputs!$B$9,0)+W738</f>
        <v>1021.59119261745</v>
      </c>
      <c r="Y738" s="11" t="n">
        <f aca="false">IF(V738,0,T738)</f>
        <v>0</v>
      </c>
      <c r="Z738" s="9" t="b">
        <f aca="false">AND(Y738&gt;0,K738)</f>
        <v>0</v>
      </c>
      <c r="AA738" s="9" t="b">
        <f aca="false">AND(Y738=0,J738,ISNUMBER(L738))</f>
        <v>0</v>
      </c>
      <c r="AB738" s="8" t="n">
        <f aca="false">IF(Q738,R738,AB737)</f>
        <v>0.924194624604417</v>
      </c>
      <c r="AC738" s="12" t="n">
        <f aca="false">IF(Q738,A738,AC737)</f>
        <v>45463</v>
      </c>
      <c r="AD738" s="8" t="n">
        <f aca="false">IF(Q738,B738,AD737)</f>
        <v>0.924009822639889</v>
      </c>
      <c r="AE738" s="8" t="str">
        <f aca="false">IF(AA738,L738,"")</f>
        <v/>
      </c>
      <c r="AF738" s="8" t="n">
        <f aca="false">U738</f>
        <v>0.905666812067299</v>
      </c>
      <c r="AG738" s="2" t="n">
        <f aca="false">AG737+IF(Q738,1,0)</f>
        <v>5</v>
      </c>
      <c r="AH738" s="2" t="n">
        <f aca="false">AG737</f>
        <v>5</v>
      </c>
      <c r="AI738" s="10" t="n">
        <f aca="false">X738+Y738*(E738-AB738)-Y738*AD738*Inputs!$B$13*(A738-AC738)</f>
        <v>1021.59119261745</v>
      </c>
      <c r="AJ738" s="10" t="n">
        <v>0</v>
      </c>
      <c r="AK738" s="8" t="n">
        <f aca="false">IF(AND(B738&lt;=U738,NOT(Q738)),B738,U738)*(1-Inputs!$B$12)</f>
        <v>0.896814092472868</v>
      </c>
    </row>
    <row r="739" customFormat="false" ht="15" hidden="false" customHeight="false" outlineLevel="0" collapsed="false">
      <c r="A739" s="6" t="n">
        <v>45523</v>
      </c>
      <c r="B739" s="7" t="n">
        <v>0.88997227629098</v>
      </c>
      <c r="C739" s="7" t="n">
        <v>0.894393340197316</v>
      </c>
      <c r="D739" s="7" t="n">
        <v>0.88768365609389</v>
      </c>
      <c r="E739" s="7" t="n">
        <v>0.891501162764869</v>
      </c>
      <c r="F739" s="8" t="n">
        <f aca="true">IF(ROW()-2&gt;=Inputs!$B$4,AVERAGE(OFFSET(E739,1-Inputs!$B$4,0,Inputs!$B$4,1)),"")</f>
        <v>0.896808658052128</v>
      </c>
      <c r="G739" s="8" t="n">
        <f aca="true">IF(ROW()-2&gt;=Inputs!$B$5,AVERAGE(OFFSET(E739,1-Inputs!$B$5,0,Inputs!$B$5,1)),"")</f>
        <v>0.907189769511551</v>
      </c>
      <c r="H739" s="8" t="n">
        <f aca="false">MAX(C739-D739,ABS(C739-E738),ABS(D739-E738))</f>
        <v>0.00670968410342598</v>
      </c>
      <c r="I739" s="8" t="n">
        <f aca="true">IF(ROW()-2&lt;14,"",IF(ROW()-2=14,AVERAGE(OFFSET(H739,-13,0,14,1)),(I738*13+H739)/14))</f>
        <v>0.0108727428391103</v>
      </c>
      <c r="J739" s="9" t="b">
        <f aca="false">IF(AND(ISNUMBER(F739),ISNUMBER(G739),ISNUMBER(F738),ISNUMBER(G738)),AND(F739&gt;G739,F738&lt;=G738),FALSE())</f>
        <v>0</v>
      </c>
      <c r="K739" s="9" t="b">
        <f aca="false">IF(AND(ISNUMBER(F739),ISNUMBER(G739),ISNUMBER(F738),ISNUMBER(G738)),AND(F739&lt;G739,F738&gt;=G738),FALSE())</f>
        <v>0</v>
      </c>
      <c r="L739" s="8" t="n">
        <f aca="false">IF(ISNUMBER(I739),E739-Inputs!$B$6*I739,"")</f>
        <v>0.869755677086648</v>
      </c>
      <c r="M739" s="9" t="b">
        <f aca="false">AND(Y738&gt;0,Z738)</f>
        <v>0</v>
      </c>
      <c r="N739" s="8" t="n">
        <f aca="false">B739*(1-Inputs!$B$12)</f>
        <v>0.889794281835722</v>
      </c>
      <c r="O739" s="10" t="n">
        <f aca="false">IF(M739,Y738*(N739-AB738)-Inputs!$B$9-Y738*AD738*Inputs!$B$13*(A739-AC738),0)</f>
        <v>0</v>
      </c>
      <c r="P739" s="10" t="n">
        <f aca="false">X738+O739</f>
        <v>1021.59119261745</v>
      </c>
      <c r="Q739" s="9" t="b">
        <f aca="false">AND(IF(M739,0,Y738)=0,AA738,IF(ISNUMBER(AE738),B739&gt;AE738,FALSE()))</f>
        <v>0</v>
      </c>
      <c r="R739" s="8" t="n">
        <f aca="false">B739*(1+Inputs!$B$12)</f>
        <v>0.890150270746238</v>
      </c>
      <c r="S739" s="11" t="n">
        <f aca="false">IF(Q739,MIN(P739*Inputs!$B$3/(R739-AE738),P739*Inputs!$B$11/R739),0)</f>
        <v>0</v>
      </c>
      <c r="T739" s="11" t="n">
        <f aca="false">IF(Q739,S739,IF(M739,0,Y738))</f>
        <v>0</v>
      </c>
      <c r="U739" s="8" t="n">
        <f aca="false">IF(Q739,AE738,AF738)</f>
        <v>0.905666812067299</v>
      </c>
      <c r="V739" s="9" t="b">
        <f aca="false">AND(T739&gt;0,D739&lt;=U739)</f>
        <v>0</v>
      </c>
      <c r="W739" s="10" t="n">
        <f aca="false">IF(V739,T739*(AK739-AB739)-Inputs!$B$9-T739*AD739*Inputs!$B$13*(A739-AC739),0)</f>
        <v>0</v>
      </c>
      <c r="X739" s="10" t="n">
        <f aca="false">P739-IF(Q739,Inputs!$B$9,0)+W739</f>
        <v>1021.59119261745</v>
      </c>
      <c r="Y739" s="11" t="n">
        <f aca="false">IF(V739,0,T739)</f>
        <v>0</v>
      </c>
      <c r="Z739" s="9" t="b">
        <f aca="false">AND(Y739&gt;0,K739)</f>
        <v>0</v>
      </c>
      <c r="AA739" s="9" t="b">
        <f aca="false">AND(Y739=0,J739,ISNUMBER(L739))</f>
        <v>0</v>
      </c>
      <c r="AB739" s="8" t="n">
        <f aca="false">IF(Q739,R739,AB738)</f>
        <v>0.924194624604417</v>
      </c>
      <c r="AC739" s="12" t="n">
        <f aca="false">IF(Q739,A739,AC738)</f>
        <v>45463</v>
      </c>
      <c r="AD739" s="8" t="n">
        <f aca="false">IF(Q739,B739,AD738)</f>
        <v>0.924009822639889</v>
      </c>
      <c r="AE739" s="8" t="str">
        <f aca="false">IF(AA739,L739,"")</f>
        <v/>
      </c>
      <c r="AF739" s="8" t="n">
        <f aca="false">U739</f>
        <v>0.905666812067299</v>
      </c>
      <c r="AG739" s="2" t="n">
        <f aca="false">AG738+IF(Q739,1,0)</f>
        <v>5</v>
      </c>
      <c r="AH739" s="2" t="n">
        <f aca="false">AG738</f>
        <v>5</v>
      </c>
      <c r="AI739" s="10" t="n">
        <f aca="false">X739+Y739*(E739-AB739)-Y739*AD739*Inputs!$B$13*(A739-AC739)</f>
        <v>1021.59119261745</v>
      </c>
      <c r="AJ739" s="10" t="n">
        <v>0</v>
      </c>
      <c r="AK739" s="8" t="n">
        <f aca="false">IF(AND(B739&lt;=U739,NOT(Q739)),B739,U739)*(1-Inputs!$B$12)</f>
        <v>0.889794281835722</v>
      </c>
    </row>
    <row r="740" customFormat="false" ht="15" hidden="false" customHeight="false" outlineLevel="0" collapsed="false">
      <c r="A740" s="6" t="n">
        <v>45524</v>
      </c>
      <c r="B740" s="7" t="n">
        <v>0.891501162764869</v>
      </c>
      <c r="C740" s="7" t="n">
        <v>0.897002266298266</v>
      </c>
      <c r="D740" s="7" t="n">
        <v>0.888464396131346</v>
      </c>
      <c r="E740" s="7" t="n">
        <v>0.896127954508385</v>
      </c>
      <c r="F740" s="8" t="n">
        <f aca="true">IF(ROW()-2&gt;=Inputs!$B$4,AVERAGE(OFFSET(E740,1-Inputs!$B$4,0,Inputs!$B$4,1)),"")</f>
        <v>0.896437365568329</v>
      </c>
      <c r="G740" s="8" t="n">
        <f aca="true">IF(ROW()-2&gt;=Inputs!$B$5,AVERAGE(OFFSET(E740,1-Inputs!$B$5,0,Inputs!$B$5,1)),"")</f>
        <v>0.906588430346101</v>
      </c>
      <c r="H740" s="8" t="n">
        <f aca="false">MAX(C740-D740,ABS(C740-E739),ABS(D740-E739))</f>
        <v>0.00853787016692043</v>
      </c>
      <c r="I740" s="8" t="n">
        <f aca="true">IF(ROW()-2&lt;14,"",IF(ROW()-2=14,AVERAGE(OFFSET(H740,-13,0,14,1)),(I739*13+H740)/14))</f>
        <v>0.0107059662196682</v>
      </c>
      <c r="J740" s="9" t="b">
        <f aca="false">IF(AND(ISNUMBER(F740),ISNUMBER(G740),ISNUMBER(F739),ISNUMBER(G739)),AND(F740&gt;G740,F739&lt;=G739),FALSE())</f>
        <v>0</v>
      </c>
      <c r="K740" s="9" t="b">
        <f aca="false">IF(AND(ISNUMBER(F740),ISNUMBER(G740),ISNUMBER(F739),ISNUMBER(G739)),AND(F740&lt;G740,F739&gt;=G739),FALSE())</f>
        <v>0</v>
      </c>
      <c r="L740" s="8" t="n">
        <f aca="false">IF(ISNUMBER(I740),E740-Inputs!$B$6*I740,"")</f>
        <v>0.874716022069049</v>
      </c>
      <c r="M740" s="9" t="b">
        <f aca="false">AND(Y739&gt;0,Z739)</f>
        <v>0</v>
      </c>
      <c r="N740" s="8" t="n">
        <f aca="false">B740*(1-Inputs!$B$12)</f>
        <v>0.891322862532316</v>
      </c>
      <c r="O740" s="10" t="n">
        <f aca="false">IF(M740,Y739*(N740-AB739)-Inputs!$B$9-Y739*AD739*Inputs!$B$13*(A740-AC739),0)</f>
        <v>0</v>
      </c>
      <c r="P740" s="10" t="n">
        <f aca="false">X739+O740</f>
        <v>1021.59119261745</v>
      </c>
      <c r="Q740" s="9" t="b">
        <f aca="false">AND(IF(M740,0,Y739)=0,AA739,IF(ISNUMBER(AE739),B740&gt;AE739,FALSE()))</f>
        <v>0</v>
      </c>
      <c r="R740" s="8" t="n">
        <f aca="false">B740*(1+Inputs!$B$12)</f>
        <v>0.891679462997422</v>
      </c>
      <c r="S740" s="11" t="n">
        <f aca="false">IF(Q740,MIN(P740*Inputs!$B$3/(R740-AE739),P740*Inputs!$B$11/R740),0)</f>
        <v>0</v>
      </c>
      <c r="T740" s="11" t="n">
        <f aca="false">IF(Q740,S740,IF(M740,0,Y739))</f>
        <v>0</v>
      </c>
      <c r="U740" s="8" t="n">
        <f aca="false">IF(Q740,AE739,AF739)</f>
        <v>0.905666812067299</v>
      </c>
      <c r="V740" s="9" t="b">
        <f aca="false">AND(T740&gt;0,D740&lt;=U740)</f>
        <v>0</v>
      </c>
      <c r="W740" s="10" t="n">
        <f aca="false">IF(V740,T740*(AK740-AB740)-Inputs!$B$9-T740*AD740*Inputs!$B$13*(A740-AC740),0)</f>
        <v>0</v>
      </c>
      <c r="X740" s="10" t="n">
        <f aca="false">P740-IF(Q740,Inputs!$B$9,0)+W740</f>
        <v>1021.59119261745</v>
      </c>
      <c r="Y740" s="11" t="n">
        <f aca="false">IF(V740,0,T740)</f>
        <v>0</v>
      </c>
      <c r="Z740" s="9" t="b">
        <f aca="false">AND(Y740&gt;0,K740)</f>
        <v>0</v>
      </c>
      <c r="AA740" s="9" t="b">
        <f aca="false">AND(Y740=0,J740,ISNUMBER(L740))</f>
        <v>0</v>
      </c>
      <c r="AB740" s="8" t="n">
        <f aca="false">IF(Q740,R740,AB739)</f>
        <v>0.924194624604417</v>
      </c>
      <c r="AC740" s="12" t="n">
        <f aca="false">IF(Q740,A740,AC739)</f>
        <v>45463</v>
      </c>
      <c r="AD740" s="8" t="n">
        <f aca="false">IF(Q740,B740,AD739)</f>
        <v>0.924009822639889</v>
      </c>
      <c r="AE740" s="8" t="str">
        <f aca="false">IF(AA740,L740,"")</f>
        <v/>
      </c>
      <c r="AF740" s="8" t="n">
        <f aca="false">U740</f>
        <v>0.905666812067299</v>
      </c>
      <c r="AG740" s="2" t="n">
        <f aca="false">AG739+IF(Q740,1,0)</f>
        <v>5</v>
      </c>
      <c r="AH740" s="2" t="n">
        <f aca="false">AG739</f>
        <v>5</v>
      </c>
      <c r="AI740" s="10" t="n">
        <f aca="false">X740+Y740*(E740-AB740)-Y740*AD740*Inputs!$B$13*(A740-AC740)</f>
        <v>1021.59119261745</v>
      </c>
      <c r="AJ740" s="10" t="n">
        <v>0</v>
      </c>
      <c r="AK740" s="8" t="n">
        <f aca="false">IF(AND(B740&lt;=U740,NOT(Q740)),B740,U740)*(1-Inputs!$B$12)</f>
        <v>0.891322862532316</v>
      </c>
    </row>
    <row r="741" customFormat="false" ht="15" hidden="false" customHeight="false" outlineLevel="0" collapsed="false">
      <c r="A741" s="6" t="n">
        <v>45525</v>
      </c>
      <c r="B741" s="7" t="n">
        <v>0.896127954508385</v>
      </c>
      <c r="C741" s="7" t="n">
        <v>0.899959826440529</v>
      </c>
      <c r="D741" s="7" t="n">
        <v>0.894652660492612</v>
      </c>
      <c r="E741" s="7" t="n">
        <v>0.898010648510519</v>
      </c>
      <c r="F741" s="8" t="n">
        <f aca="true">IF(ROW()-2&gt;=Inputs!$B$4,AVERAGE(OFFSET(E741,1-Inputs!$B$4,0,Inputs!$B$4,1)),"")</f>
        <v>0.896230661539521</v>
      </c>
      <c r="G741" s="8" t="n">
        <f aca="true">IF(ROW()-2&gt;=Inputs!$B$5,AVERAGE(OFFSET(E741,1-Inputs!$B$5,0,Inputs!$B$5,1)),"")</f>
        <v>0.906032428435197</v>
      </c>
      <c r="H741" s="8" t="n">
        <f aca="false">MAX(C741-D741,ABS(C741-E740),ABS(D741-E740))</f>
        <v>0.00530716594791736</v>
      </c>
      <c r="I741" s="8" t="n">
        <f aca="true">IF(ROW()-2&lt;14,"",IF(ROW()-2=14,AVERAGE(OFFSET(H741,-13,0,14,1)),(I740*13+H741)/14))</f>
        <v>0.0103203376288288</v>
      </c>
      <c r="J741" s="9" t="b">
        <f aca="false">IF(AND(ISNUMBER(F741),ISNUMBER(G741),ISNUMBER(F740),ISNUMBER(G740)),AND(F741&gt;G741,F740&lt;=G740),FALSE())</f>
        <v>0</v>
      </c>
      <c r="K741" s="9" t="b">
        <f aca="false">IF(AND(ISNUMBER(F741),ISNUMBER(G741),ISNUMBER(F740),ISNUMBER(G740)),AND(F741&lt;G741,F740&gt;=G740),FALSE())</f>
        <v>0</v>
      </c>
      <c r="L741" s="8" t="n">
        <f aca="false">IF(ISNUMBER(I741),E741-Inputs!$B$6*I741,"")</f>
        <v>0.877369973252861</v>
      </c>
      <c r="M741" s="9" t="b">
        <f aca="false">AND(Y740&gt;0,Z740)</f>
        <v>0</v>
      </c>
      <c r="N741" s="8" t="n">
        <f aca="false">B741*(1-Inputs!$B$12)</f>
        <v>0.895948728917483</v>
      </c>
      <c r="O741" s="10" t="n">
        <f aca="false">IF(M741,Y740*(N741-AB740)-Inputs!$B$9-Y740*AD740*Inputs!$B$13*(A741-AC740),0)</f>
        <v>0</v>
      </c>
      <c r="P741" s="10" t="n">
        <f aca="false">X740+O741</f>
        <v>1021.59119261745</v>
      </c>
      <c r="Q741" s="9" t="b">
        <f aca="false">AND(IF(M741,0,Y740)=0,AA740,IF(ISNUMBER(AE740),B741&gt;AE740,FALSE()))</f>
        <v>0</v>
      </c>
      <c r="R741" s="8" t="n">
        <f aca="false">B741*(1+Inputs!$B$12)</f>
        <v>0.896307180099287</v>
      </c>
      <c r="S741" s="11" t="n">
        <f aca="false">IF(Q741,MIN(P741*Inputs!$B$3/(R741-AE740),P741*Inputs!$B$11/R741),0)</f>
        <v>0</v>
      </c>
      <c r="T741" s="11" t="n">
        <f aca="false">IF(Q741,S741,IF(M741,0,Y740))</f>
        <v>0</v>
      </c>
      <c r="U741" s="8" t="n">
        <f aca="false">IF(Q741,AE740,AF740)</f>
        <v>0.905666812067299</v>
      </c>
      <c r="V741" s="9" t="b">
        <f aca="false">AND(T741&gt;0,D741&lt;=U741)</f>
        <v>0</v>
      </c>
      <c r="W741" s="10" t="n">
        <f aca="false">IF(V741,T741*(AK741-AB741)-Inputs!$B$9-T741*AD741*Inputs!$B$13*(A741-AC741),0)</f>
        <v>0</v>
      </c>
      <c r="X741" s="10" t="n">
        <f aca="false">P741-IF(Q741,Inputs!$B$9,0)+W741</f>
        <v>1021.59119261745</v>
      </c>
      <c r="Y741" s="11" t="n">
        <f aca="false">IF(V741,0,T741)</f>
        <v>0</v>
      </c>
      <c r="Z741" s="9" t="b">
        <f aca="false">AND(Y741&gt;0,K741)</f>
        <v>0</v>
      </c>
      <c r="AA741" s="9" t="b">
        <f aca="false">AND(Y741=0,J741,ISNUMBER(L741))</f>
        <v>0</v>
      </c>
      <c r="AB741" s="8" t="n">
        <f aca="false">IF(Q741,R741,AB740)</f>
        <v>0.924194624604417</v>
      </c>
      <c r="AC741" s="12" t="n">
        <f aca="false">IF(Q741,A741,AC740)</f>
        <v>45463</v>
      </c>
      <c r="AD741" s="8" t="n">
        <f aca="false">IF(Q741,B741,AD740)</f>
        <v>0.924009822639889</v>
      </c>
      <c r="AE741" s="8" t="str">
        <f aca="false">IF(AA741,L741,"")</f>
        <v/>
      </c>
      <c r="AF741" s="8" t="n">
        <f aca="false">U741</f>
        <v>0.905666812067299</v>
      </c>
      <c r="AG741" s="2" t="n">
        <f aca="false">AG740+IF(Q741,1,0)</f>
        <v>5</v>
      </c>
      <c r="AH741" s="2" t="n">
        <f aca="false">AG740</f>
        <v>5</v>
      </c>
      <c r="AI741" s="10" t="n">
        <f aca="false">X741+Y741*(E741-AB741)-Y741*AD741*Inputs!$B$13*(A741-AC741)</f>
        <v>1021.59119261745</v>
      </c>
      <c r="AJ741" s="10" t="n">
        <v>0</v>
      </c>
      <c r="AK741" s="8" t="n">
        <f aca="false">IF(AND(B741&lt;=U741,NOT(Q741)),B741,U741)*(1-Inputs!$B$12)</f>
        <v>0.895948728917483</v>
      </c>
    </row>
    <row r="742" customFormat="false" ht="15" hidden="false" customHeight="false" outlineLevel="0" collapsed="false">
      <c r="A742" s="6" t="n">
        <v>45526</v>
      </c>
      <c r="B742" s="7" t="n">
        <v>0.898010648510519</v>
      </c>
      <c r="C742" s="7" t="n">
        <v>0.899770923694102</v>
      </c>
      <c r="D742" s="7" t="n">
        <v>0.888483833058298</v>
      </c>
      <c r="E742" s="7" t="n">
        <v>0.888811857456145</v>
      </c>
      <c r="F742" s="8" t="n">
        <f aca="true">IF(ROW()-2&gt;=Inputs!$B$4,AVERAGE(OFFSET(E742,1-Inputs!$B$4,0,Inputs!$B$4,1)),"")</f>
        <v>0.895536339744563</v>
      </c>
      <c r="G742" s="8" t="n">
        <f aca="true">IF(ROW()-2&gt;=Inputs!$B$5,AVERAGE(OFFSET(E742,1-Inputs!$B$5,0,Inputs!$B$5,1)),"")</f>
        <v>0.905129706316184</v>
      </c>
      <c r="H742" s="8" t="n">
        <f aca="false">MAX(C742-D742,ABS(C742-E741),ABS(D742-E741))</f>
        <v>0.0112870906358037</v>
      </c>
      <c r="I742" s="8" t="n">
        <f aca="true">IF(ROW()-2&lt;14,"",IF(ROW()-2=14,AVERAGE(OFFSET(H742,-13,0,14,1)),(I741*13+H742)/14))</f>
        <v>0.0103893914150413</v>
      </c>
      <c r="J742" s="9" t="b">
        <f aca="false">IF(AND(ISNUMBER(F742),ISNUMBER(G742),ISNUMBER(F741),ISNUMBER(G741)),AND(F742&gt;G742,F741&lt;=G741),FALSE())</f>
        <v>0</v>
      </c>
      <c r="K742" s="9" t="b">
        <f aca="false">IF(AND(ISNUMBER(F742),ISNUMBER(G742),ISNUMBER(F741),ISNUMBER(G741)),AND(F742&lt;G742,F741&gt;=G741),FALSE())</f>
        <v>0</v>
      </c>
      <c r="L742" s="8" t="n">
        <f aca="false">IF(ISNUMBER(I742),E742-Inputs!$B$6*I742,"")</f>
        <v>0.868033074626062</v>
      </c>
      <c r="M742" s="9" t="b">
        <f aca="false">AND(Y741&gt;0,Z741)</f>
        <v>0</v>
      </c>
      <c r="N742" s="8" t="n">
        <f aca="false">B742*(1-Inputs!$B$12)</f>
        <v>0.897831046380817</v>
      </c>
      <c r="O742" s="10" t="n">
        <f aca="false">IF(M742,Y741*(N742-AB741)-Inputs!$B$9-Y741*AD741*Inputs!$B$13*(A742-AC741),0)</f>
        <v>0</v>
      </c>
      <c r="P742" s="10" t="n">
        <f aca="false">X741+O742</f>
        <v>1021.59119261745</v>
      </c>
      <c r="Q742" s="9" t="b">
        <f aca="false">AND(IF(M742,0,Y741)=0,AA741,IF(ISNUMBER(AE741),B742&gt;AE741,FALSE()))</f>
        <v>0</v>
      </c>
      <c r="R742" s="8" t="n">
        <f aca="false">B742*(1+Inputs!$B$12)</f>
        <v>0.898190250640221</v>
      </c>
      <c r="S742" s="11" t="n">
        <f aca="false">IF(Q742,MIN(P742*Inputs!$B$3/(R742-AE741),P742*Inputs!$B$11/R742),0)</f>
        <v>0</v>
      </c>
      <c r="T742" s="11" t="n">
        <f aca="false">IF(Q742,S742,IF(M742,0,Y741))</f>
        <v>0</v>
      </c>
      <c r="U742" s="8" t="n">
        <f aca="false">IF(Q742,AE741,AF741)</f>
        <v>0.905666812067299</v>
      </c>
      <c r="V742" s="9" t="b">
        <f aca="false">AND(T742&gt;0,D742&lt;=U742)</f>
        <v>0</v>
      </c>
      <c r="W742" s="10" t="n">
        <f aca="false">IF(V742,T742*(AK742-AB742)-Inputs!$B$9-T742*AD742*Inputs!$B$13*(A742-AC742),0)</f>
        <v>0</v>
      </c>
      <c r="X742" s="10" t="n">
        <f aca="false">P742-IF(Q742,Inputs!$B$9,0)+W742</f>
        <v>1021.59119261745</v>
      </c>
      <c r="Y742" s="11" t="n">
        <f aca="false">IF(V742,0,T742)</f>
        <v>0</v>
      </c>
      <c r="Z742" s="9" t="b">
        <f aca="false">AND(Y742&gt;0,K742)</f>
        <v>0</v>
      </c>
      <c r="AA742" s="9" t="b">
        <f aca="false">AND(Y742=0,J742,ISNUMBER(L742))</f>
        <v>0</v>
      </c>
      <c r="AB742" s="8" t="n">
        <f aca="false">IF(Q742,R742,AB741)</f>
        <v>0.924194624604417</v>
      </c>
      <c r="AC742" s="12" t="n">
        <f aca="false">IF(Q742,A742,AC741)</f>
        <v>45463</v>
      </c>
      <c r="AD742" s="8" t="n">
        <f aca="false">IF(Q742,B742,AD741)</f>
        <v>0.924009822639889</v>
      </c>
      <c r="AE742" s="8" t="str">
        <f aca="false">IF(AA742,L742,"")</f>
        <v/>
      </c>
      <c r="AF742" s="8" t="n">
        <f aca="false">U742</f>
        <v>0.905666812067299</v>
      </c>
      <c r="AG742" s="2" t="n">
        <f aca="false">AG741+IF(Q742,1,0)</f>
        <v>5</v>
      </c>
      <c r="AH742" s="2" t="n">
        <f aca="false">AG741</f>
        <v>5</v>
      </c>
      <c r="AI742" s="10" t="n">
        <f aca="false">X742+Y742*(E742-AB742)-Y742*AD742*Inputs!$B$13*(A742-AC742)</f>
        <v>1021.59119261745</v>
      </c>
      <c r="AJ742" s="10" t="n">
        <v>0</v>
      </c>
      <c r="AK742" s="8" t="n">
        <f aca="false">IF(AND(B742&lt;=U742,NOT(Q742)),B742,U742)*(1-Inputs!$B$12)</f>
        <v>0.897831046380817</v>
      </c>
    </row>
    <row r="743" customFormat="false" ht="15" hidden="false" customHeight="false" outlineLevel="0" collapsed="false">
      <c r="A743" s="6" t="n">
        <v>45527</v>
      </c>
      <c r="B743" s="7" t="n">
        <v>0.888811857456145</v>
      </c>
      <c r="C743" s="7" t="n">
        <v>0.893569597956674</v>
      </c>
      <c r="D743" s="7" t="n">
        <v>0.887142948955936</v>
      </c>
      <c r="E743" s="7" t="n">
        <v>0.88933221732781</v>
      </c>
      <c r="F743" s="8" t="n">
        <f aca="true">IF(ROW()-2&gt;=Inputs!$B$4,AVERAGE(OFFSET(E743,1-Inputs!$B$4,0,Inputs!$B$4,1)),"")</f>
        <v>0.895195351916114</v>
      </c>
      <c r="G743" s="8" t="n">
        <f aca="true">IF(ROW()-2&gt;=Inputs!$B$5,AVERAGE(OFFSET(E743,1-Inputs!$B$5,0,Inputs!$B$5,1)),"")</f>
        <v>0.904239344284232</v>
      </c>
      <c r="H743" s="8" t="n">
        <f aca="false">MAX(C743-D743,ABS(C743-E742),ABS(D743-E742))</f>
        <v>0.00642664900073853</v>
      </c>
      <c r="I743" s="8" t="n">
        <f aca="true">IF(ROW()-2&lt;14,"",IF(ROW()-2=14,AVERAGE(OFFSET(H743,-13,0,14,1)),(I742*13+H743)/14))</f>
        <v>0.0101063383854483</v>
      </c>
      <c r="J743" s="9" t="b">
        <f aca="false">IF(AND(ISNUMBER(F743),ISNUMBER(G743),ISNUMBER(F742),ISNUMBER(G742)),AND(F743&gt;G743,F742&lt;=G742),FALSE())</f>
        <v>0</v>
      </c>
      <c r="K743" s="9" t="b">
        <f aca="false">IF(AND(ISNUMBER(F743),ISNUMBER(G743),ISNUMBER(F742),ISNUMBER(G742)),AND(F743&lt;G743,F742&gt;=G742),FALSE())</f>
        <v>0</v>
      </c>
      <c r="L743" s="8" t="n">
        <f aca="false">IF(ISNUMBER(I743),E743-Inputs!$B$6*I743,"")</f>
        <v>0.869119540556913</v>
      </c>
      <c r="M743" s="9" t="b">
        <f aca="false">AND(Y742&gt;0,Z742)</f>
        <v>0</v>
      </c>
      <c r="N743" s="8" t="n">
        <f aca="false">B743*(1-Inputs!$B$12)</f>
        <v>0.888634095084654</v>
      </c>
      <c r="O743" s="10" t="n">
        <f aca="false">IF(M743,Y742*(N743-AB742)-Inputs!$B$9-Y742*AD742*Inputs!$B$13*(A743-AC742),0)</f>
        <v>0</v>
      </c>
      <c r="P743" s="10" t="n">
        <f aca="false">X742+O743</f>
        <v>1021.59119261745</v>
      </c>
      <c r="Q743" s="9" t="b">
        <f aca="false">AND(IF(M743,0,Y742)=0,AA742,IF(ISNUMBER(AE742),B743&gt;AE742,FALSE()))</f>
        <v>0</v>
      </c>
      <c r="R743" s="8" t="n">
        <f aca="false">B743*(1+Inputs!$B$12)</f>
        <v>0.888989619827636</v>
      </c>
      <c r="S743" s="11" t="n">
        <f aca="false">IF(Q743,MIN(P743*Inputs!$B$3/(R743-AE742),P743*Inputs!$B$11/R743),0)</f>
        <v>0</v>
      </c>
      <c r="T743" s="11" t="n">
        <f aca="false">IF(Q743,S743,IF(M743,0,Y742))</f>
        <v>0</v>
      </c>
      <c r="U743" s="8" t="n">
        <f aca="false">IF(Q743,AE742,AF742)</f>
        <v>0.905666812067299</v>
      </c>
      <c r="V743" s="9" t="b">
        <f aca="false">AND(T743&gt;0,D743&lt;=U743)</f>
        <v>0</v>
      </c>
      <c r="W743" s="10" t="n">
        <f aca="false">IF(V743,T743*(AK743-AB743)-Inputs!$B$9-T743*AD743*Inputs!$B$13*(A743-AC743),0)</f>
        <v>0</v>
      </c>
      <c r="X743" s="10" t="n">
        <f aca="false">P743-IF(Q743,Inputs!$B$9,0)+W743</f>
        <v>1021.59119261745</v>
      </c>
      <c r="Y743" s="11" t="n">
        <f aca="false">IF(V743,0,T743)</f>
        <v>0</v>
      </c>
      <c r="Z743" s="9" t="b">
        <f aca="false">AND(Y743&gt;0,K743)</f>
        <v>0</v>
      </c>
      <c r="AA743" s="9" t="b">
        <f aca="false">AND(Y743=0,J743,ISNUMBER(L743))</f>
        <v>0</v>
      </c>
      <c r="AB743" s="8" t="n">
        <f aca="false">IF(Q743,R743,AB742)</f>
        <v>0.924194624604417</v>
      </c>
      <c r="AC743" s="12" t="n">
        <f aca="false">IF(Q743,A743,AC742)</f>
        <v>45463</v>
      </c>
      <c r="AD743" s="8" t="n">
        <f aca="false">IF(Q743,B743,AD742)</f>
        <v>0.924009822639889</v>
      </c>
      <c r="AE743" s="8" t="str">
        <f aca="false">IF(AA743,L743,"")</f>
        <v/>
      </c>
      <c r="AF743" s="8" t="n">
        <f aca="false">U743</f>
        <v>0.905666812067299</v>
      </c>
      <c r="AG743" s="2" t="n">
        <f aca="false">AG742+IF(Q743,1,0)</f>
        <v>5</v>
      </c>
      <c r="AH743" s="2" t="n">
        <f aca="false">AG742</f>
        <v>5</v>
      </c>
      <c r="AI743" s="10" t="n">
        <f aca="false">X743+Y743*(E743-AB743)-Y743*AD743*Inputs!$B$13*(A743-AC743)</f>
        <v>1021.59119261745</v>
      </c>
      <c r="AJ743" s="10" t="n">
        <v>0</v>
      </c>
      <c r="AK743" s="8" t="n">
        <f aca="false">IF(AND(B743&lt;=U743,NOT(Q743)),B743,U743)*(1-Inputs!$B$12)</f>
        <v>0.888634095084654</v>
      </c>
    </row>
    <row r="744" customFormat="false" ht="15" hidden="false" customHeight="false" outlineLevel="0" collapsed="false">
      <c r="A744" s="6" t="n">
        <v>45528</v>
      </c>
      <c r="B744" s="7" t="n">
        <v>0.88933221732781</v>
      </c>
      <c r="C744" s="7" t="n">
        <v>0.895005562255851</v>
      </c>
      <c r="D744" s="7" t="n">
        <v>0.886664645205261</v>
      </c>
      <c r="E744" s="7" t="n">
        <v>0.894307296706018</v>
      </c>
      <c r="F744" s="8" t="n">
        <f aca="true">IF(ROW()-2&gt;=Inputs!$B$4,AVERAGE(OFFSET(E744,1-Inputs!$B$4,0,Inputs!$B$4,1)),"")</f>
        <v>0.895171416294297</v>
      </c>
      <c r="G744" s="8" t="n">
        <f aca="true">IF(ROW()-2&gt;=Inputs!$B$5,AVERAGE(OFFSET(E744,1-Inputs!$B$5,0,Inputs!$B$5,1)),"")</f>
        <v>0.903489835029116</v>
      </c>
      <c r="H744" s="8" t="n">
        <f aca="false">MAX(C744-D744,ABS(C744-E743),ABS(D744-E743))</f>
        <v>0.00834091705059004</v>
      </c>
      <c r="I744" s="8" t="n">
        <f aca="true">IF(ROW()-2&lt;14,"",IF(ROW()-2=14,AVERAGE(OFFSET(H744,-13,0,14,1)),(I743*13+H744)/14))</f>
        <v>0.00998023686152982</v>
      </c>
      <c r="J744" s="9" t="b">
        <f aca="false">IF(AND(ISNUMBER(F744),ISNUMBER(G744),ISNUMBER(F743),ISNUMBER(G743)),AND(F744&gt;G744,F743&lt;=G743),FALSE())</f>
        <v>0</v>
      </c>
      <c r="K744" s="9" t="b">
        <f aca="false">IF(AND(ISNUMBER(F744),ISNUMBER(G744),ISNUMBER(F743),ISNUMBER(G743)),AND(F744&lt;G744,F743&gt;=G743),FALSE())</f>
        <v>0</v>
      </c>
      <c r="L744" s="8" t="n">
        <f aca="false">IF(ISNUMBER(I744),E744-Inputs!$B$6*I744,"")</f>
        <v>0.874346822982959</v>
      </c>
      <c r="M744" s="9" t="b">
        <f aca="false">AND(Y743&gt;0,Z743)</f>
        <v>0</v>
      </c>
      <c r="N744" s="8" t="n">
        <f aca="false">B744*(1-Inputs!$B$12)</f>
        <v>0.889154350884344</v>
      </c>
      <c r="O744" s="10" t="n">
        <f aca="false">IF(M744,Y743*(N744-AB743)-Inputs!$B$9-Y743*AD743*Inputs!$B$13*(A744-AC743),0)</f>
        <v>0</v>
      </c>
      <c r="P744" s="10" t="n">
        <f aca="false">X743+O744</f>
        <v>1021.59119261745</v>
      </c>
      <c r="Q744" s="9" t="b">
        <f aca="false">AND(IF(M744,0,Y743)=0,AA743,IF(ISNUMBER(AE743),B744&gt;AE743,FALSE()))</f>
        <v>0</v>
      </c>
      <c r="R744" s="8" t="n">
        <f aca="false">B744*(1+Inputs!$B$12)</f>
        <v>0.889510083771275</v>
      </c>
      <c r="S744" s="11" t="n">
        <f aca="false">IF(Q744,MIN(P744*Inputs!$B$3/(R744-AE743),P744*Inputs!$B$11/R744),0)</f>
        <v>0</v>
      </c>
      <c r="T744" s="11" t="n">
        <f aca="false">IF(Q744,S744,IF(M744,0,Y743))</f>
        <v>0</v>
      </c>
      <c r="U744" s="8" t="n">
        <f aca="false">IF(Q744,AE743,AF743)</f>
        <v>0.905666812067299</v>
      </c>
      <c r="V744" s="9" t="b">
        <f aca="false">AND(T744&gt;0,D744&lt;=U744)</f>
        <v>0</v>
      </c>
      <c r="W744" s="10" t="n">
        <f aca="false">IF(V744,T744*(AK744-AB744)-Inputs!$B$9-T744*AD744*Inputs!$B$13*(A744-AC744),0)</f>
        <v>0</v>
      </c>
      <c r="X744" s="10" t="n">
        <f aca="false">P744-IF(Q744,Inputs!$B$9,0)+W744</f>
        <v>1021.59119261745</v>
      </c>
      <c r="Y744" s="11" t="n">
        <f aca="false">IF(V744,0,T744)</f>
        <v>0</v>
      </c>
      <c r="Z744" s="9" t="b">
        <f aca="false">AND(Y744&gt;0,K744)</f>
        <v>0</v>
      </c>
      <c r="AA744" s="9" t="b">
        <f aca="false">AND(Y744=0,J744,ISNUMBER(L744))</f>
        <v>0</v>
      </c>
      <c r="AB744" s="8" t="n">
        <f aca="false">IF(Q744,R744,AB743)</f>
        <v>0.924194624604417</v>
      </c>
      <c r="AC744" s="12" t="n">
        <f aca="false">IF(Q744,A744,AC743)</f>
        <v>45463</v>
      </c>
      <c r="AD744" s="8" t="n">
        <f aca="false">IF(Q744,B744,AD743)</f>
        <v>0.924009822639889</v>
      </c>
      <c r="AE744" s="8" t="str">
        <f aca="false">IF(AA744,L744,"")</f>
        <v/>
      </c>
      <c r="AF744" s="8" t="n">
        <f aca="false">U744</f>
        <v>0.905666812067299</v>
      </c>
      <c r="AG744" s="2" t="n">
        <f aca="false">AG743+IF(Q744,1,0)</f>
        <v>5</v>
      </c>
      <c r="AH744" s="2" t="n">
        <f aca="false">AG743</f>
        <v>5</v>
      </c>
      <c r="AI744" s="10" t="n">
        <f aca="false">X744+Y744*(E744-AB744)-Y744*AD744*Inputs!$B$13*(A744-AC744)</f>
        <v>1021.59119261745</v>
      </c>
      <c r="AJ744" s="10" t="n">
        <v>0</v>
      </c>
      <c r="AK744" s="8" t="n">
        <f aca="false">IF(AND(B744&lt;=U744,NOT(Q744)),B744,U744)*(1-Inputs!$B$12)</f>
        <v>0.889154350884344</v>
      </c>
    </row>
    <row r="745" customFormat="false" ht="15" hidden="false" customHeight="false" outlineLevel="0" collapsed="false">
      <c r="A745" s="6" t="n">
        <v>45529</v>
      </c>
      <c r="B745" s="7" t="n">
        <v>0.894307296706018</v>
      </c>
      <c r="C745" s="7" t="n">
        <v>0.894637610508588</v>
      </c>
      <c r="D745" s="7" t="n">
        <v>0.886036756012403</v>
      </c>
      <c r="E745" s="7" t="n">
        <v>0.888908844580044</v>
      </c>
      <c r="F745" s="8" t="n">
        <f aca="true">IF(ROW()-2&gt;=Inputs!$B$4,AVERAGE(OFFSET(E745,1-Inputs!$B$4,0,Inputs!$B$4,1)),"")</f>
        <v>0.894563796231719</v>
      </c>
      <c r="G745" s="8" t="n">
        <f aca="true">IF(ROW()-2&gt;=Inputs!$B$5,AVERAGE(OFFSET(E745,1-Inputs!$B$5,0,Inputs!$B$5,1)),"")</f>
        <v>0.902667641465813</v>
      </c>
      <c r="H745" s="8" t="n">
        <f aca="false">MAX(C745-D745,ABS(C745-E744),ABS(D745-E744))</f>
        <v>0.00860085449618464</v>
      </c>
      <c r="I745" s="8" t="n">
        <f aca="true">IF(ROW()-2&lt;14,"",IF(ROW()-2=14,AVERAGE(OFFSET(H745,-13,0,14,1)),(I744*13+H745)/14))</f>
        <v>0.00988170954971945</v>
      </c>
      <c r="J745" s="9" t="b">
        <f aca="false">IF(AND(ISNUMBER(F745),ISNUMBER(G745),ISNUMBER(F744),ISNUMBER(G744)),AND(F745&gt;G745,F744&lt;=G744),FALSE())</f>
        <v>0</v>
      </c>
      <c r="K745" s="9" t="b">
        <f aca="false">IF(AND(ISNUMBER(F745),ISNUMBER(G745),ISNUMBER(F744),ISNUMBER(G744)),AND(F745&lt;G745,F744&gt;=G744),FALSE())</f>
        <v>0</v>
      </c>
      <c r="L745" s="8" t="n">
        <f aca="false">IF(ISNUMBER(I745),E745-Inputs!$B$6*I745,"")</f>
        <v>0.869145425480605</v>
      </c>
      <c r="M745" s="9" t="b">
        <f aca="false">AND(Y744&gt;0,Z744)</f>
        <v>0</v>
      </c>
      <c r="N745" s="8" t="n">
        <f aca="false">B745*(1-Inputs!$B$12)</f>
        <v>0.894128435246677</v>
      </c>
      <c r="O745" s="10" t="n">
        <f aca="false">IF(M745,Y744*(N745-AB744)-Inputs!$B$9-Y744*AD744*Inputs!$B$13*(A745-AC744),0)</f>
        <v>0</v>
      </c>
      <c r="P745" s="10" t="n">
        <f aca="false">X744+O745</f>
        <v>1021.59119261745</v>
      </c>
      <c r="Q745" s="9" t="b">
        <f aca="false">AND(IF(M745,0,Y744)=0,AA744,IF(ISNUMBER(AE744),B745&gt;AE744,FALSE()))</f>
        <v>0</v>
      </c>
      <c r="R745" s="8" t="n">
        <f aca="false">B745*(1+Inputs!$B$12)</f>
        <v>0.89448615816536</v>
      </c>
      <c r="S745" s="11" t="n">
        <f aca="false">IF(Q745,MIN(P745*Inputs!$B$3/(R745-AE744),P745*Inputs!$B$11/R745),0)</f>
        <v>0</v>
      </c>
      <c r="T745" s="11" t="n">
        <f aca="false">IF(Q745,S745,IF(M745,0,Y744))</f>
        <v>0</v>
      </c>
      <c r="U745" s="8" t="n">
        <f aca="false">IF(Q745,AE744,AF744)</f>
        <v>0.905666812067299</v>
      </c>
      <c r="V745" s="9" t="b">
        <f aca="false">AND(T745&gt;0,D745&lt;=U745)</f>
        <v>0</v>
      </c>
      <c r="W745" s="10" t="n">
        <f aca="false">IF(V745,T745*(AK745-AB745)-Inputs!$B$9-T745*AD745*Inputs!$B$13*(A745-AC745),0)</f>
        <v>0</v>
      </c>
      <c r="X745" s="10" t="n">
        <f aca="false">P745-IF(Q745,Inputs!$B$9,0)+W745</f>
        <v>1021.59119261745</v>
      </c>
      <c r="Y745" s="11" t="n">
        <f aca="false">IF(V745,0,T745)</f>
        <v>0</v>
      </c>
      <c r="Z745" s="9" t="b">
        <f aca="false">AND(Y745&gt;0,K745)</f>
        <v>0</v>
      </c>
      <c r="AA745" s="9" t="b">
        <f aca="false">AND(Y745=0,J745,ISNUMBER(L745))</f>
        <v>0</v>
      </c>
      <c r="AB745" s="8" t="n">
        <f aca="false">IF(Q745,R745,AB744)</f>
        <v>0.924194624604417</v>
      </c>
      <c r="AC745" s="12" t="n">
        <f aca="false">IF(Q745,A745,AC744)</f>
        <v>45463</v>
      </c>
      <c r="AD745" s="8" t="n">
        <f aca="false">IF(Q745,B745,AD744)</f>
        <v>0.924009822639889</v>
      </c>
      <c r="AE745" s="8" t="str">
        <f aca="false">IF(AA745,L745,"")</f>
        <v/>
      </c>
      <c r="AF745" s="8" t="n">
        <f aca="false">U745</f>
        <v>0.905666812067299</v>
      </c>
      <c r="AG745" s="2" t="n">
        <f aca="false">AG744+IF(Q745,1,0)</f>
        <v>5</v>
      </c>
      <c r="AH745" s="2" t="n">
        <f aca="false">AG744</f>
        <v>5</v>
      </c>
      <c r="AI745" s="10" t="n">
        <f aca="false">X745+Y745*(E745-AB745)-Y745*AD745*Inputs!$B$13*(A745-AC745)</f>
        <v>1021.59119261745</v>
      </c>
      <c r="AJ745" s="10" t="n">
        <v>0</v>
      </c>
      <c r="AK745" s="8" t="n">
        <f aca="false">IF(AND(B745&lt;=U745,NOT(Q745)),B745,U745)*(1-Inputs!$B$12)</f>
        <v>0.894128435246677</v>
      </c>
    </row>
    <row r="746" customFormat="false" ht="15" hidden="false" customHeight="false" outlineLevel="0" collapsed="false">
      <c r="A746" s="6" t="n">
        <v>45530</v>
      </c>
      <c r="B746" s="7" t="n">
        <v>0.888908844580044</v>
      </c>
      <c r="C746" s="7" t="n">
        <v>0.896780302979106</v>
      </c>
      <c r="D746" s="7" t="n">
        <v>0.886006273301734</v>
      </c>
      <c r="E746" s="7" t="n">
        <v>0.891677632262547</v>
      </c>
      <c r="F746" s="8" t="n">
        <f aca="true">IF(ROW()-2&gt;=Inputs!$B$4,AVERAGE(OFFSET(E746,1-Inputs!$B$4,0,Inputs!$B$4,1)),"")</f>
        <v>0.894041507681435</v>
      </c>
      <c r="G746" s="8" t="n">
        <f aca="true">IF(ROW()-2&gt;=Inputs!$B$5,AVERAGE(OFFSET(E746,1-Inputs!$B$5,0,Inputs!$B$5,1)),"")</f>
        <v>0.902038265771295</v>
      </c>
      <c r="H746" s="8" t="n">
        <f aca="false">MAX(C746-D746,ABS(C746-E745),ABS(D746-E745))</f>
        <v>0.010774029677372</v>
      </c>
      <c r="I746" s="8" t="n">
        <f aca="true">IF(ROW()-2&lt;14,"",IF(ROW()-2=14,AVERAGE(OFFSET(H746,-13,0,14,1)),(I745*13+H746)/14))</f>
        <v>0.00994544670169463</v>
      </c>
      <c r="J746" s="9" t="b">
        <f aca="false">IF(AND(ISNUMBER(F746),ISNUMBER(G746),ISNUMBER(F745),ISNUMBER(G745)),AND(F746&gt;G746,F745&lt;=G745),FALSE())</f>
        <v>0</v>
      </c>
      <c r="K746" s="9" t="b">
        <f aca="false">IF(AND(ISNUMBER(F746),ISNUMBER(G746),ISNUMBER(F745),ISNUMBER(G745)),AND(F746&lt;G746,F745&gt;=G745),FALSE())</f>
        <v>0</v>
      </c>
      <c r="L746" s="8" t="n">
        <f aca="false">IF(ISNUMBER(I746),E746-Inputs!$B$6*I746,"")</f>
        <v>0.871786738859158</v>
      </c>
      <c r="M746" s="9" t="b">
        <f aca="false">AND(Y745&gt;0,Z745)</f>
        <v>0</v>
      </c>
      <c r="N746" s="8" t="n">
        <f aca="false">B746*(1-Inputs!$B$12)</f>
        <v>0.888731062811128</v>
      </c>
      <c r="O746" s="10" t="n">
        <f aca="false">IF(M746,Y745*(N746-AB745)-Inputs!$B$9-Y745*AD745*Inputs!$B$13*(A746-AC745),0)</f>
        <v>0</v>
      </c>
      <c r="P746" s="10" t="n">
        <f aca="false">X745+O746</f>
        <v>1021.59119261745</v>
      </c>
      <c r="Q746" s="9" t="b">
        <f aca="false">AND(IF(M746,0,Y745)=0,AA745,IF(ISNUMBER(AE745),B746&gt;AE745,FALSE()))</f>
        <v>0</v>
      </c>
      <c r="R746" s="8" t="n">
        <f aca="false">B746*(1+Inputs!$B$12)</f>
        <v>0.88908662634896</v>
      </c>
      <c r="S746" s="11" t="n">
        <f aca="false">IF(Q746,MIN(P746*Inputs!$B$3/(R746-AE745),P746*Inputs!$B$11/R746),0)</f>
        <v>0</v>
      </c>
      <c r="T746" s="11" t="n">
        <f aca="false">IF(Q746,S746,IF(M746,0,Y745))</f>
        <v>0</v>
      </c>
      <c r="U746" s="8" t="n">
        <f aca="false">IF(Q746,AE745,AF745)</f>
        <v>0.905666812067299</v>
      </c>
      <c r="V746" s="9" t="b">
        <f aca="false">AND(T746&gt;0,D746&lt;=U746)</f>
        <v>0</v>
      </c>
      <c r="W746" s="10" t="n">
        <f aca="false">IF(V746,T746*(AK746-AB746)-Inputs!$B$9-T746*AD746*Inputs!$B$13*(A746-AC746),0)</f>
        <v>0</v>
      </c>
      <c r="X746" s="10" t="n">
        <f aca="false">P746-IF(Q746,Inputs!$B$9,0)+W746</f>
        <v>1021.59119261745</v>
      </c>
      <c r="Y746" s="11" t="n">
        <f aca="false">IF(V746,0,T746)</f>
        <v>0</v>
      </c>
      <c r="Z746" s="9" t="b">
        <f aca="false">AND(Y746&gt;0,K746)</f>
        <v>0</v>
      </c>
      <c r="AA746" s="9" t="b">
        <f aca="false">AND(Y746=0,J746,ISNUMBER(L746))</f>
        <v>0</v>
      </c>
      <c r="AB746" s="8" t="n">
        <f aca="false">IF(Q746,R746,AB745)</f>
        <v>0.924194624604417</v>
      </c>
      <c r="AC746" s="12" t="n">
        <f aca="false">IF(Q746,A746,AC745)</f>
        <v>45463</v>
      </c>
      <c r="AD746" s="8" t="n">
        <f aca="false">IF(Q746,B746,AD745)</f>
        <v>0.924009822639889</v>
      </c>
      <c r="AE746" s="8" t="str">
        <f aca="false">IF(AA746,L746,"")</f>
        <v/>
      </c>
      <c r="AF746" s="8" t="n">
        <f aca="false">U746</f>
        <v>0.905666812067299</v>
      </c>
      <c r="AG746" s="2" t="n">
        <f aca="false">AG745+IF(Q746,1,0)</f>
        <v>5</v>
      </c>
      <c r="AH746" s="2" t="n">
        <f aca="false">AG745</f>
        <v>5</v>
      </c>
      <c r="AI746" s="10" t="n">
        <f aca="false">X746+Y746*(E746-AB746)-Y746*AD746*Inputs!$B$13*(A746-AC746)</f>
        <v>1021.59119261745</v>
      </c>
      <c r="AJ746" s="10" t="n">
        <v>0</v>
      </c>
      <c r="AK746" s="8" t="n">
        <f aca="false">IF(AND(B746&lt;=U746,NOT(Q746)),B746,U746)*(1-Inputs!$B$12)</f>
        <v>0.888731062811128</v>
      </c>
    </row>
    <row r="747" customFormat="false" ht="15" hidden="false" customHeight="false" outlineLevel="0" collapsed="false">
      <c r="A747" s="6" t="n">
        <v>45531</v>
      </c>
      <c r="B747" s="7" t="n">
        <v>0.891677632262547</v>
      </c>
      <c r="C747" s="7" t="n">
        <v>0.905297303311226</v>
      </c>
      <c r="D747" s="7" t="n">
        <v>0.887212554895775</v>
      </c>
      <c r="E747" s="7" t="n">
        <v>0.905206471209513</v>
      </c>
      <c r="F747" s="8" t="n">
        <f aca="true">IF(ROW()-2&gt;=Inputs!$B$4,AVERAGE(OFFSET(E747,1-Inputs!$B$4,0,Inputs!$B$4,1)),"")</f>
        <v>0.89465675861404</v>
      </c>
      <c r="G747" s="8" t="n">
        <f aca="true">IF(ROW()-2&gt;=Inputs!$B$5,AVERAGE(OFFSET(E747,1-Inputs!$B$5,0,Inputs!$B$5,1)),"")</f>
        <v>0.901679316437197</v>
      </c>
      <c r="H747" s="8" t="n">
        <f aca="false">MAX(C747-D747,ABS(C747-E746),ABS(D747-E746))</f>
        <v>0.0180847484154509</v>
      </c>
      <c r="I747" s="8" t="n">
        <f aca="true">IF(ROW()-2&lt;14,"",IF(ROW()-2=14,AVERAGE(OFFSET(H747,-13,0,14,1)),(I746*13+H747)/14))</f>
        <v>0.0105268253955344</v>
      </c>
      <c r="J747" s="9" t="b">
        <f aca="false">IF(AND(ISNUMBER(F747),ISNUMBER(G747),ISNUMBER(F746),ISNUMBER(G746)),AND(F747&gt;G747,F746&lt;=G746),FALSE())</f>
        <v>0</v>
      </c>
      <c r="K747" s="9" t="b">
        <f aca="false">IF(AND(ISNUMBER(F747),ISNUMBER(G747),ISNUMBER(F746),ISNUMBER(G746)),AND(F747&lt;G747,F746&gt;=G746),FALSE())</f>
        <v>0</v>
      </c>
      <c r="L747" s="8" t="n">
        <f aca="false">IF(ISNUMBER(I747),E747-Inputs!$B$6*I747,"")</f>
        <v>0.884152820418444</v>
      </c>
      <c r="M747" s="9" t="b">
        <f aca="false">AND(Y746&gt;0,Z746)</f>
        <v>0</v>
      </c>
      <c r="N747" s="8" t="n">
        <f aca="false">B747*(1-Inputs!$B$12)</f>
        <v>0.891499296736095</v>
      </c>
      <c r="O747" s="10" t="n">
        <f aca="false">IF(M747,Y746*(N747-AB746)-Inputs!$B$9-Y746*AD746*Inputs!$B$13*(A747-AC746),0)</f>
        <v>0</v>
      </c>
      <c r="P747" s="10" t="n">
        <f aca="false">X746+O747</f>
        <v>1021.59119261745</v>
      </c>
      <c r="Q747" s="9" t="b">
        <f aca="false">AND(IF(M747,0,Y746)=0,AA746,IF(ISNUMBER(AE746),B747&gt;AE746,FALSE()))</f>
        <v>0</v>
      </c>
      <c r="R747" s="8" t="n">
        <f aca="false">B747*(1+Inputs!$B$12)</f>
        <v>0.891855967789</v>
      </c>
      <c r="S747" s="11" t="n">
        <f aca="false">IF(Q747,MIN(P747*Inputs!$B$3/(R747-AE746),P747*Inputs!$B$11/R747),0)</f>
        <v>0</v>
      </c>
      <c r="T747" s="11" t="n">
        <f aca="false">IF(Q747,S747,IF(M747,0,Y746))</f>
        <v>0</v>
      </c>
      <c r="U747" s="8" t="n">
        <f aca="false">IF(Q747,AE746,AF746)</f>
        <v>0.905666812067299</v>
      </c>
      <c r="V747" s="9" t="b">
        <f aca="false">AND(T747&gt;0,D747&lt;=U747)</f>
        <v>0</v>
      </c>
      <c r="W747" s="10" t="n">
        <f aca="false">IF(V747,T747*(AK747-AB747)-Inputs!$B$9-T747*AD747*Inputs!$B$13*(A747-AC747),0)</f>
        <v>0</v>
      </c>
      <c r="X747" s="10" t="n">
        <f aca="false">P747-IF(Q747,Inputs!$B$9,0)+W747</f>
        <v>1021.59119261745</v>
      </c>
      <c r="Y747" s="11" t="n">
        <f aca="false">IF(V747,0,T747)</f>
        <v>0</v>
      </c>
      <c r="Z747" s="9" t="b">
        <f aca="false">AND(Y747&gt;0,K747)</f>
        <v>0</v>
      </c>
      <c r="AA747" s="9" t="b">
        <f aca="false">AND(Y747=0,J747,ISNUMBER(L747))</f>
        <v>0</v>
      </c>
      <c r="AB747" s="8" t="n">
        <f aca="false">IF(Q747,R747,AB746)</f>
        <v>0.924194624604417</v>
      </c>
      <c r="AC747" s="12" t="n">
        <f aca="false">IF(Q747,A747,AC746)</f>
        <v>45463</v>
      </c>
      <c r="AD747" s="8" t="n">
        <f aca="false">IF(Q747,B747,AD746)</f>
        <v>0.924009822639889</v>
      </c>
      <c r="AE747" s="8" t="str">
        <f aca="false">IF(AA747,L747,"")</f>
        <v/>
      </c>
      <c r="AF747" s="8" t="n">
        <f aca="false">U747</f>
        <v>0.905666812067299</v>
      </c>
      <c r="AG747" s="2" t="n">
        <f aca="false">AG746+IF(Q747,1,0)</f>
        <v>5</v>
      </c>
      <c r="AH747" s="2" t="n">
        <f aca="false">AG746</f>
        <v>5</v>
      </c>
      <c r="AI747" s="10" t="n">
        <f aca="false">X747+Y747*(E747-AB747)-Y747*AD747*Inputs!$B$13*(A747-AC747)</f>
        <v>1021.59119261745</v>
      </c>
      <c r="AJ747" s="10" t="n">
        <v>0</v>
      </c>
      <c r="AK747" s="8" t="n">
        <f aca="false">IF(AND(B747&lt;=U747,NOT(Q747)),B747,U747)*(1-Inputs!$B$12)</f>
        <v>0.891499296736095</v>
      </c>
    </row>
    <row r="748" customFormat="false" ht="15" hidden="false" customHeight="false" outlineLevel="0" collapsed="false">
      <c r="A748" s="6" t="n">
        <v>45532</v>
      </c>
      <c r="B748" s="7" t="n">
        <v>0.905206471209513</v>
      </c>
      <c r="C748" s="7" t="n">
        <v>0.911755659011683</v>
      </c>
      <c r="D748" s="7" t="n">
        <v>0.903203385918595</v>
      </c>
      <c r="E748" s="7" t="n">
        <v>0.908108718787278</v>
      </c>
      <c r="F748" s="8" t="n">
        <f aca="true">IF(ROW()-2&gt;=Inputs!$B$4,AVERAGE(OFFSET(E748,1-Inputs!$B$4,0,Inputs!$B$4,1)),"")</f>
        <v>0.895193329075386</v>
      </c>
      <c r="G748" s="8" t="n">
        <f aca="true">IF(ROW()-2&gt;=Inputs!$B$5,AVERAGE(OFFSET(E748,1-Inputs!$B$5,0,Inputs!$B$5,1)),"")</f>
        <v>0.901467142741458</v>
      </c>
      <c r="H748" s="8" t="n">
        <f aca="false">MAX(C748-D748,ABS(C748-E747),ABS(D748-E747))</f>
        <v>0.00855227309308815</v>
      </c>
      <c r="I748" s="8" t="n">
        <f aca="true">IF(ROW()-2&lt;14,"",IF(ROW()-2=14,AVERAGE(OFFSET(H748,-13,0,14,1)),(I747*13+H748)/14))</f>
        <v>0.0103857859453596</v>
      </c>
      <c r="J748" s="9" t="b">
        <f aca="false">IF(AND(ISNUMBER(F748),ISNUMBER(G748),ISNUMBER(F747),ISNUMBER(G747)),AND(F748&gt;G748,F747&lt;=G747),FALSE())</f>
        <v>0</v>
      </c>
      <c r="K748" s="9" t="b">
        <f aca="false">IF(AND(ISNUMBER(F748),ISNUMBER(G748),ISNUMBER(F747),ISNUMBER(G747)),AND(F748&lt;G748,F747&gt;=G747),FALSE())</f>
        <v>0</v>
      </c>
      <c r="L748" s="8" t="n">
        <f aca="false">IF(ISNUMBER(I748),E748-Inputs!$B$6*I748,"")</f>
        <v>0.887337146896558</v>
      </c>
      <c r="M748" s="9" t="b">
        <f aca="false">AND(Y747&gt;0,Z747)</f>
        <v>0</v>
      </c>
      <c r="N748" s="8" t="n">
        <f aca="false">B748*(1-Inputs!$B$12)</f>
        <v>0.905025429915271</v>
      </c>
      <c r="O748" s="10" t="n">
        <f aca="false">IF(M748,Y747*(N748-AB747)-Inputs!$B$9-Y747*AD747*Inputs!$B$13*(A748-AC747),0)</f>
        <v>0</v>
      </c>
      <c r="P748" s="10" t="n">
        <f aca="false">X747+O748</f>
        <v>1021.59119261745</v>
      </c>
      <c r="Q748" s="9" t="b">
        <f aca="false">AND(IF(M748,0,Y747)=0,AA747,IF(ISNUMBER(AE747),B748&gt;AE747,FALSE()))</f>
        <v>0</v>
      </c>
      <c r="R748" s="8" t="n">
        <f aca="false">B748*(1+Inputs!$B$12)</f>
        <v>0.905387512503754</v>
      </c>
      <c r="S748" s="11" t="n">
        <f aca="false">IF(Q748,MIN(P748*Inputs!$B$3/(R748-AE747),P748*Inputs!$B$11/R748),0)</f>
        <v>0</v>
      </c>
      <c r="T748" s="11" t="n">
        <f aca="false">IF(Q748,S748,IF(M748,0,Y747))</f>
        <v>0</v>
      </c>
      <c r="U748" s="8" t="n">
        <f aca="false">IF(Q748,AE747,AF747)</f>
        <v>0.905666812067299</v>
      </c>
      <c r="V748" s="9" t="b">
        <f aca="false">AND(T748&gt;0,D748&lt;=U748)</f>
        <v>0</v>
      </c>
      <c r="W748" s="10" t="n">
        <f aca="false">IF(V748,T748*(AK748-AB748)-Inputs!$B$9-T748*AD748*Inputs!$B$13*(A748-AC748),0)</f>
        <v>0</v>
      </c>
      <c r="X748" s="10" t="n">
        <f aca="false">P748-IF(Q748,Inputs!$B$9,0)+W748</f>
        <v>1021.59119261745</v>
      </c>
      <c r="Y748" s="11" t="n">
        <f aca="false">IF(V748,0,T748)</f>
        <v>0</v>
      </c>
      <c r="Z748" s="9" t="b">
        <f aca="false">AND(Y748&gt;0,K748)</f>
        <v>0</v>
      </c>
      <c r="AA748" s="9" t="b">
        <f aca="false">AND(Y748=0,J748,ISNUMBER(L748))</f>
        <v>0</v>
      </c>
      <c r="AB748" s="8" t="n">
        <f aca="false">IF(Q748,R748,AB747)</f>
        <v>0.924194624604417</v>
      </c>
      <c r="AC748" s="12" t="n">
        <f aca="false">IF(Q748,A748,AC747)</f>
        <v>45463</v>
      </c>
      <c r="AD748" s="8" t="n">
        <f aca="false">IF(Q748,B748,AD747)</f>
        <v>0.924009822639889</v>
      </c>
      <c r="AE748" s="8" t="str">
        <f aca="false">IF(AA748,L748,"")</f>
        <v/>
      </c>
      <c r="AF748" s="8" t="n">
        <f aca="false">U748</f>
        <v>0.905666812067299</v>
      </c>
      <c r="AG748" s="2" t="n">
        <f aca="false">AG747+IF(Q748,1,0)</f>
        <v>5</v>
      </c>
      <c r="AH748" s="2" t="n">
        <f aca="false">AG747</f>
        <v>5</v>
      </c>
      <c r="AI748" s="10" t="n">
        <f aca="false">X748+Y748*(E748-AB748)-Y748*AD748*Inputs!$B$13*(A748-AC748)</f>
        <v>1021.59119261745</v>
      </c>
      <c r="AJ748" s="10" t="n">
        <v>0</v>
      </c>
      <c r="AK748" s="8" t="n">
        <f aca="false">IF(AND(B748&lt;=U748,NOT(Q748)),B748,U748)*(1-Inputs!$B$12)</f>
        <v>0.905025429915271</v>
      </c>
    </row>
    <row r="749" customFormat="false" ht="15" hidden="false" customHeight="false" outlineLevel="0" collapsed="false">
      <c r="A749" s="6" t="n">
        <v>45533</v>
      </c>
      <c r="B749" s="7" t="n">
        <v>0.908108718787278</v>
      </c>
      <c r="C749" s="7" t="n">
        <v>0.911580875982421</v>
      </c>
      <c r="D749" s="7" t="n">
        <v>0.901287163385739</v>
      </c>
      <c r="E749" s="7" t="n">
        <v>0.906138159426745</v>
      </c>
      <c r="F749" s="8" t="n">
        <f aca="true">IF(ROW()-2&gt;=Inputs!$B$4,AVERAGE(OFFSET(E749,1-Inputs!$B$4,0,Inputs!$B$4,1)),"")</f>
        <v>0.895744283810097</v>
      </c>
      <c r="G749" s="8" t="n">
        <f aca="true">IF(ROW()-2&gt;=Inputs!$B$5,AVERAGE(OFFSET(E749,1-Inputs!$B$5,0,Inputs!$B$5,1)),"")</f>
        <v>0.901147285713616</v>
      </c>
      <c r="H749" s="8" t="n">
        <f aca="false">MAX(C749-D749,ABS(C749-E748),ABS(D749-E748))</f>
        <v>0.0102937125966818</v>
      </c>
      <c r="I749" s="8" t="n">
        <f aca="true">IF(ROW()-2&lt;14,"",IF(ROW()-2=14,AVERAGE(OFFSET(H749,-13,0,14,1)),(I748*13+H749)/14))</f>
        <v>0.0103792092775969</v>
      </c>
      <c r="J749" s="9" t="b">
        <f aca="false">IF(AND(ISNUMBER(F749),ISNUMBER(G749),ISNUMBER(F748),ISNUMBER(G748)),AND(F749&gt;G749,F748&lt;=G748),FALSE())</f>
        <v>0</v>
      </c>
      <c r="K749" s="9" t="b">
        <f aca="false">IF(AND(ISNUMBER(F749),ISNUMBER(G749),ISNUMBER(F748),ISNUMBER(G748)),AND(F749&lt;G749,F748&gt;=G748),FALSE())</f>
        <v>0</v>
      </c>
      <c r="L749" s="8" t="n">
        <f aca="false">IF(ISNUMBER(I749),E749-Inputs!$B$6*I749,"")</f>
        <v>0.885379740871551</v>
      </c>
      <c r="M749" s="9" t="b">
        <f aca="false">AND(Y748&gt;0,Z748)</f>
        <v>0</v>
      </c>
      <c r="N749" s="8" t="n">
        <f aca="false">B749*(1-Inputs!$B$12)</f>
        <v>0.90792709704352</v>
      </c>
      <c r="O749" s="10" t="n">
        <f aca="false">IF(M749,Y748*(N749-AB748)-Inputs!$B$9-Y748*AD748*Inputs!$B$13*(A749-AC748),0)</f>
        <v>0</v>
      </c>
      <c r="P749" s="10" t="n">
        <f aca="false">X748+O749</f>
        <v>1021.59119261745</v>
      </c>
      <c r="Q749" s="9" t="b">
        <f aca="false">AND(IF(M749,0,Y748)=0,AA748,IF(ISNUMBER(AE748),B749&gt;AE748,FALSE()))</f>
        <v>0</v>
      </c>
      <c r="R749" s="8" t="n">
        <f aca="false">B749*(1+Inputs!$B$12)</f>
        <v>0.908290340531035</v>
      </c>
      <c r="S749" s="11" t="n">
        <f aca="false">IF(Q749,MIN(P749*Inputs!$B$3/(R749-AE748),P749*Inputs!$B$11/R749),0)</f>
        <v>0</v>
      </c>
      <c r="T749" s="11" t="n">
        <f aca="false">IF(Q749,S749,IF(M749,0,Y748))</f>
        <v>0</v>
      </c>
      <c r="U749" s="8" t="n">
        <f aca="false">IF(Q749,AE748,AF748)</f>
        <v>0.905666812067299</v>
      </c>
      <c r="V749" s="9" t="b">
        <f aca="false">AND(T749&gt;0,D749&lt;=U749)</f>
        <v>0</v>
      </c>
      <c r="W749" s="10" t="n">
        <f aca="false">IF(V749,T749*(AK749-AB749)-Inputs!$B$9-T749*AD749*Inputs!$B$13*(A749-AC749),0)</f>
        <v>0</v>
      </c>
      <c r="X749" s="10" t="n">
        <f aca="false">P749-IF(Q749,Inputs!$B$9,0)+W749</f>
        <v>1021.59119261745</v>
      </c>
      <c r="Y749" s="11" t="n">
        <f aca="false">IF(V749,0,T749)</f>
        <v>0</v>
      </c>
      <c r="Z749" s="9" t="b">
        <f aca="false">AND(Y749&gt;0,K749)</f>
        <v>0</v>
      </c>
      <c r="AA749" s="9" t="b">
        <f aca="false">AND(Y749=0,J749,ISNUMBER(L749))</f>
        <v>0</v>
      </c>
      <c r="AB749" s="8" t="n">
        <f aca="false">IF(Q749,R749,AB748)</f>
        <v>0.924194624604417</v>
      </c>
      <c r="AC749" s="12" t="n">
        <f aca="false">IF(Q749,A749,AC748)</f>
        <v>45463</v>
      </c>
      <c r="AD749" s="8" t="n">
        <f aca="false">IF(Q749,B749,AD748)</f>
        <v>0.924009822639889</v>
      </c>
      <c r="AE749" s="8" t="str">
        <f aca="false">IF(AA749,L749,"")</f>
        <v/>
      </c>
      <c r="AF749" s="8" t="n">
        <f aca="false">U749</f>
        <v>0.905666812067299</v>
      </c>
      <c r="AG749" s="2" t="n">
        <f aca="false">AG748+IF(Q749,1,0)</f>
        <v>5</v>
      </c>
      <c r="AH749" s="2" t="n">
        <f aca="false">AG748</f>
        <v>5</v>
      </c>
      <c r="AI749" s="10" t="n">
        <f aca="false">X749+Y749*(E749-AB749)-Y749*AD749*Inputs!$B$13*(A749-AC749)</f>
        <v>1021.59119261745</v>
      </c>
      <c r="AJ749" s="10" t="n">
        <v>0</v>
      </c>
      <c r="AK749" s="8" t="n">
        <f aca="false">IF(AND(B749&lt;=U749,NOT(Q749)),B749,U749)*(1-Inputs!$B$12)</f>
        <v>0.905485678704885</v>
      </c>
    </row>
    <row r="750" customFormat="false" ht="15" hidden="false" customHeight="false" outlineLevel="0" collapsed="false">
      <c r="A750" s="6" t="n">
        <v>45534</v>
      </c>
      <c r="B750" s="7" t="n">
        <v>0.906138159426745</v>
      </c>
      <c r="C750" s="7" t="n">
        <v>0.90970336694861</v>
      </c>
      <c r="D750" s="7" t="n">
        <v>0.902624335741354</v>
      </c>
      <c r="E750" s="7" t="n">
        <v>0.906586096723516</v>
      </c>
      <c r="F750" s="8" t="n">
        <f aca="true">IF(ROW()-2&gt;=Inputs!$B$4,AVERAGE(OFFSET(E750,1-Inputs!$B$4,0,Inputs!$B$4,1)),"")</f>
        <v>0.895808395580367</v>
      </c>
      <c r="G750" s="8" t="n">
        <f aca="true">IF(ROW()-2&gt;=Inputs!$B$5,AVERAGE(OFFSET(E750,1-Inputs!$B$5,0,Inputs!$B$5,1)),"")</f>
        <v>0.900810254258828</v>
      </c>
      <c r="H750" s="8" t="n">
        <f aca="false">MAX(C750-D750,ABS(C750-E749),ABS(D750-E749))</f>
        <v>0.00707903120725673</v>
      </c>
      <c r="I750" s="8" t="n">
        <f aca="true">IF(ROW()-2&lt;14,"",IF(ROW()-2=14,AVERAGE(OFFSET(H750,-13,0,14,1)),(I749*13+H750)/14))</f>
        <v>0.0101434822725726</v>
      </c>
      <c r="J750" s="9" t="b">
        <f aca="false">IF(AND(ISNUMBER(F750),ISNUMBER(G750),ISNUMBER(F749),ISNUMBER(G749)),AND(F750&gt;G750,F749&lt;=G749),FALSE())</f>
        <v>0</v>
      </c>
      <c r="K750" s="9" t="b">
        <f aca="false">IF(AND(ISNUMBER(F750),ISNUMBER(G750),ISNUMBER(F749),ISNUMBER(G749)),AND(F750&lt;G750,F749&gt;=G749),FALSE())</f>
        <v>0</v>
      </c>
      <c r="L750" s="8" t="n">
        <f aca="false">IF(ISNUMBER(I750),E750-Inputs!$B$6*I750,"")</f>
        <v>0.886299132178371</v>
      </c>
      <c r="M750" s="9" t="b">
        <f aca="false">AND(Y749&gt;0,Z749)</f>
        <v>0</v>
      </c>
      <c r="N750" s="8" t="n">
        <f aca="false">B750*(1-Inputs!$B$12)</f>
        <v>0.905956931794859</v>
      </c>
      <c r="O750" s="10" t="n">
        <f aca="false">IF(M750,Y749*(N750-AB749)-Inputs!$B$9-Y749*AD749*Inputs!$B$13*(A750-AC749),0)</f>
        <v>0</v>
      </c>
      <c r="P750" s="10" t="n">
        <f aca="false">X749+O750</f>
        <v>1021.59119261745</v>
      </c>
      <c r="Q750" s="9" t="b">
        <f aca="false">AND(IF(M750,0,Y749)=0,AA749,IF(ISNUMBER(AE749),B750&gt;AE749,FALSE()))</f>
        <v>0</v>
      </c>
      <c r="R750" s="8" t="n">
        <f aca="false">B750*(1+Inputs!$B$12)</f>
        <v>0.90631938705863</v>
      </c>
      <c r="S750" s="11" t="n">
        <f aca="false">IF(Q750,MIN(P750*Inputs!$B$3/(R750-AE749),P750*Inputs!$B$11/R750),0)</f>
        <v>0</v>
      </c>
      <c r="T750" s="11" t="n">
        <f aca="false">IF(Q750,S750,IF(M750,0,Y749))</f>
        <v>0</v>
      </c>
      <c r="U750" s="8" t="n">
        <f aca="false">IF(Q750,AE749,AF749)</f>
        <v>0.905666812067299</v>
      </c>
      <c r="V750" s="9" t="b">
        <f aca="false">AND(T750&gt;0,D750&lt;=U750)</f>
        <v>0</v>
      </c>
      <c r="W750" s="10" t="n">
        <f aca="false">IF(V750,T750*(AK750-AB750)-Inputs!$B$9-T750*AD750*Inputs!$B$13*(A750-AC750),0)</f>
        <v>0</v>
      </c>
      <c r="X750" s="10" t="n">
        <f aca="false">P750-IF(Q750,Inputs!$B$9,0)+W750</f>
        <v>1021.59119261745</v>
      </c>
      <c r="Y750" s="11" t="n">
        <f aca="false">IF(V750,0,T750)</f>
        <v>0</v>
      </c>
      <c r="Z750" s="9" t="b">
        <f aca="false">AND(Y750&gt;0,K750)</f>
        <v>0</v>
      </c>
      <c r="AA750" s="9" t="b">
        <f aca="false">AND(Y750=0,J750,ISNUMBER(L750))</f>
        <v>0</v>
      </c>
      <c r="AB750" s="8" t="n">
        <f aca="false">IF(Q750,R750,AB749)</f>
        <v>0.924194624604417</v>
      </c>
      <c r="AC750" s="12" t="n">
        <f aca="false">IF(Q750,A750,AC749)</f>
        <v>45463</v>
      </c>
      <c r="AD750" s="8" t="n">
        <f aca="false">IF(Q750,B750,AD749)</f>
        <v>0.924009822639889</v>
      </c>
      <c r="AE750" s="8" t="str">
        <f aca="false">IF(AA750,L750,"")</f>
        <v/>
      </c>
      <c r="AF750" s="8" t="n">
        <f aca="false">U750</f>
        <v>0.905666812067299</v>
      </c>
      <c r="AG750" s="2" t="n">
        <f aca="false">AG749+IF(Q750,1,0)</f>
        <v>5</v>
      </c>
      <c r="AH750" s="2" t="n">
        <f aca="false">AG749</f>
        <v>5</v>
      </c>
      <c r="AI750" s="10" t="n">
        <f aca="false">X750+Y750*(E750-AB750)-Y750*AD750*Inputs!$B$13*(A750-AC750)</f>
        <v>1021.59119261745</v>
      </c>
      <c r="AJ750" s="10" t="n">
        <v>0</v>
      </c>
      <c r="AK750" s="8" t="n">
        <f aca="false">IF(AND(B750&lt;=U750,NOT(Q750)),B750,U750)*(1-Inputs!$B$12)</f>
        <v>0.905485678704885</v>
      </c>
    </row>
    <row r="751" customFormat="false" ht="15" hidden="false" customHeight="false" outlineLevel="0" collapsed="false">
      <c r="A751" s="6" t="n">
        <v>45535</v>
      </c>
      <c r="B751" s="7" t="n">
        <v>0.906586096723516</v>
      </c>
      <c r="C751" s="7" t="n">
        <v>0.908876950770236</v>
      </c>
      <c r="D751" s="7" t="n">
        <v>0.900491428634129</v>
      </c>
      <c r="E751" s="7" t="n">
        <v>0.901698599135472</v>
      </c>
      <c r="F751" s="8" t="n">
        <f aca="true">IF(ROW()-2&gt;=Inputs!$B$4,AVERAGE(OFFSET(E751,1-Inputs!$B$4,0,Inputs!$B$4,1)),"")</f>
        <v>0.896015546669635</v>
      </c>
      <c r="G751" s="8" t="n">
        <f aca="true">IF(ROW()-2&gt;=Inputs!$B$5,AVERAGE(OFFSET(E751,1-Inputs!$B$5,0,Inputs!$B$5,1)),"")</f>
        <v>0.900382357947984</v>
      </c>
      <c r="H751" s="8" t="n">
        <f aca="false">MAX(C751-D751,ABS(C751-E750),ABS(D751-E750))</f>
        <v>0.00838552213610733</v>
      </c>
      <c r="I751" s="8" t="n">
        <f aca="true">IF(ROW()-2&lt;14,"",IF(ROW()-2=14,AVERAGE(OFFSET(H751,-13,0,14,1)),(I750*13+H751)/14))</f>
        <v>0.0100179136913965</v>
      </c>
      <c r="J751" s="9" t="b">
        <f aca="false">IF(AND(ISNUMBER(F751),ISNUMBER(G751),ISNUMBER(F750),ISNUMBER(G750)),AND(F751&gt;G751,F750&lt;=G750),FALSE())</f>
        <v>0</v>
      </c>
      <c r="K751" s="9" t="b">
        <f aca="false">IF(AND(ISNUMBER(F751),ISNUMBER(G751),ISNUMBER(F750),ISNUMBER(G750)),AND(F751&lt;G751,F750&gt;=G750),FALSE())</f>
        <v>0</v>
      </c>
      <c r="L751" s="8" t="n">
        <f aca="false">IF(ISNUMBER(I751),E751-Inputs!$B$6*I751,"")</f>
        <v>0.881662771752678</v>
      </c>
      <c r="M751" s="9" t="b">
        <f aca="false">AND(Y750&gt;0,Z750)</f>
        <v>0</v>
      </c>
      <c r="N751" s="8" t="n">
        <f aca="false">B751*(1-Inputs!$B$12)</f>
        <v>0.906404779504171</v>
      </c>
      <c r="O751" s="10" t="n">
        <f aca="false">IF(M751,Y750*(N751-AB750)-Inputs!$B$9-Y750*AD750*Inputs!$B$13*(A751-AC750),0)</f>
        <v>0</v>
      </c>
      <c r="P751" s="10" t="n">
        <f aca="false">X750+O751</f>
        <v>1021.59119261745</v>
      </c>
      <c r="Q751" s="9" t="b">
        <f aca="false">AND(IF(M751,0,Y750)=0,AA750,IF(ISNUMBER(AE750),B751&gt;AE750,FALSE()))</f>
        <v>0</v>
      </c>
      <c r="R751" s="8" t="n">
        <f aca="false">B751*(1+Inputs!$B$12)</f>
        <v>0.90676741394286</v>
      </c>
      <c r="S751" s="11" t="n">
        <f aca="false">IF(Q751,MIN(P751*Inputs!$B$3/(R751-AE750),P751*Inputs!$B$11/R751),0)</f>
        <v>0</v>
      </c>
      <c r="T751" s="11" t="n">
        <f aca="false">IF(Q751,S751,IF(M751,0,Y750))</f>
        <v>0</v>
      </c>
      <c r="U751" s="8" t="n">
        <f aca="false">IF(Q751,AE750,AF750)</f>
        <v>0.905666812067299</v>
      </c>
      <c r="V751" s="9" t="b">
        <f aca="false">AND(T751&gt;0,D751&lt;=U751)</f>
        <v>0</v>
      </c>
      <c r="W751" s="10" t="n">
        <f aca="false">IF(V751,T751*(AK751-AB751)-Inputs!$B$9-T751*AD751*Inputs!$B$13*(A751-AC751),0)</f>
        <v>0</v>
      </c>
      <c r="X751" s="10" t="n">
        <f aca="false">P751-IF(Q751,Inputs!$B$9,0)+W751</f>
        <v>1021.59119261745</v>
      </c>
      <c r="Y751" s="11" t="n">
        <f aca="false">IF(V751,0,T751)</f>
        <v>0</v>
      </c>
      <c r="Z751" s="9" t="b">
        <f aca="false">AND(Y751&gt;0,K751)</f>
        <v>0</v>
      </c>
      <c r="AA751" s="9" t="b">
        <f aca="false">AND(Y751=0,J751,ISNUMBER(L751))</f>
        <v>0</v>
      </c>
      <c r="AB751" s="8" t="n">
        <f aca="false">IF(Q751,R751,AB750)</f>
        <v>0.924194624604417</v>
      </c>
      <c r="AC751" s="12" t="n">
        <f aca="false">IF(Q751,A751,AC750)</f>
        <v>45463</v>
      </c>
      <c r="AD751" s="8" t="n">
        <f aca="false">IF(Q751,B751,AD750)</f>
        <v>0.924009822639889</v>
      </c>
      <c r="AE751" s="8" t="str">
        <f aca="false">IF(AA751,L751,"")</f>
        <v/>
      </c>
      <c r="AF751" s="8" t="n">
        <f aca="false">U751</f>
        <v>0.905666812067299</v>
      </c>
      <c r="AG751" s="2" t="n">
        <f aca="false">AG750+IF(Q751,1,0)</f>
        <v>5</v>
      </c>
      <c r="AH751" s="2" t="n">
        <f aca="false">AG750</f>
        <v>5</v>
      </c>
      <c r="AI751" s="10" t="n">
        <f aca="false">X751+Y751*(E751-AB751)-Y751*AD751*Inputs!$B$13*(A751-AC751)</f>
        <v>1021.59119261745</v>
      </c>
      <c r="AJ751" s="10" t="n">
        <v>0</v>
      </c>
      <c r="AK751" s="8" t="n">
        <f aca="false">IF(AND(B751&lt;=U751,NOT(Q751)),B751,U751)*(1-Inputs!$B$12)</f>
        <v>0.905485678704885</v>
      </c>
    </row>
    <row r="752" customFormat="false" ht="15" hidden="false" customHeight="false" outlineLevel="0" collapsed="false">
      <c r="A752" s="6" t="n">
        <v>45536</v>
      </c>
      <c r="B752" s="7" t="n">
        <v>0.901698599135472</v>
      </c>
      <c r="C752" s="7" t="n">
        <v>0.902387040208626</v>
      </c>
      <c r="D752" s="7" t="n">
        <v>0.891387028459151</v>
      </c>
      <c r="E752" s="7" t="n">
        <v>0.894790385484194</v>
      </c>
      <c r="F752" s="8" t="n">
        <f aca="true">IF(ROW()-2&gt;=Inputs!$B$4,AVERAGE(OFFSET(E752,1-Inputs!$B$4,0,Inputs!$B$4,1)),"")</f>
        <v>0.896270490046341</v>
      </c>
      <c r="G752" s="8" t="n">
        <f aca="true">IF(ROW()-2&gt;=Inputs!$B$5,AVERAGE(OFFSET(E752,1-Inputs!$B$5,0,Inputs!$B$5,1)),"")</f>
        <v>0.899839085677731</v>
      </c>
      <c r="H752" s="8" t="n">
        <f aca="false">MAX(C752-D752,ABS(C752-E751),ABS(D752-E751))</f>
        <v>0.0110000117494743</v>
      </c>
      <c r="I752" s="8" t="n">
        <f aca="true">IF(ROW()-2&lt;14,"",IF(ROW()-2=14,AVERAGE(OFFSET(H752,-13,0,14,1)),(I751*13+H752)/14))</f>
        <v>0.0100880635526878</v>
      </c>
      <c r="J752" s="9" t="b">
        <f aca="false">IF(AND(ISNUMBER(F752),ISNUMBER(G752),ISNUMBER(F751),ISNUMBER(G751)),AND(F752&gt;G752,F751&lt;=G751),FALSE())</f>
        <v>0</v>
      </c>
      <c r="K752" s="9" t="b">
        <f aca="false">IF(AND(ISNUMBER(F752),ISNUMBER(G752),ISNUMBER(F751),ISNUMBER(G751)),AND(F752&lt;G752,F751&gt;=G751),FALSE())</f>
        <v>0</v>
      </c>
      <c r="L752" s="8" t="n">
        <f aca="false">IF(ISNUMBER(I752),E752-Inputs!$B$6*I752,"")</f>
        <v>0.874614258378819</v>
      </c>
      <c r="M752" s="9" t="b">
        <f aca="false">AND(Y751&gt;0,Z751)</f>
        <v>0</v>
      </c>
      <c r="N752" s="8" t="n">
        <f aca="false">B752*(1-Inputs!$B$12)</f>
        <v>0.901518259415644</v>
      </c>
      <c r="O752" s="10" t="n">
        <f aca="false">IF(M752,Y751*(N752-AB751)-Inputs!$B$9-Y751*AD751*Inputs!$B$13*(A752-AC751),0)</f>
        <v>0</v>
      </c>
      <c r="P752" s="10" t="n">
        <f aca="false">X751+O752</f>
        <v>1021.59119261745</v>
      </c>
      <c r="Q752" s="9" t="b">
        <f aca="false">AND(IF(M752,0,Y751)=0,AA751,IF(ISNUMBER(AE751),B752&gt;AE751,FALSE()))</f>
        <v>0</v>
      </c>
      <c r="R752" s="8" t="n">
        <f aca="false">B752*(1+Inputs!$B$12)</f>
        <v>0.901878938855299</v>
      </c>
      <c r="S752" s="11" t="n">
        <f aca="false">IF(Q752,MIN(P752*Inputs!$B$3/(R752-AE751),P752*Inputs!$B$11/R752),0)</f>
        <v>0</v>
      </c>
      <c r="T752" s="11" t="n">
        <f aca="false">IF(Q752,S752,IF(M752,0,Y751))</f>
        <v>0</v>
      </c>
      <c r="U752" s="8" t="n">
        <f aca="false">IF(Q752,AE751,AF751)</f>
        <v>0.905666812067299</v>
      </c>
      <c r="V752" s="9" t="b">
        <f aca="false">AND(T752&gt;0,D752&lt;=U752)</f>
        <v>0</v>
      </c>
      <c r="W752" s="10" t="n">
        <f aca="false">IF(V752,T752*(AK752-AB752)-Inputs!$B$9-T752*AD752*Inputs!$B$13*(A752-AC752),0)</f>
        <v>0</v>
      </c>
      <c r="X752" s="10" t="n">
        <f aca="false">P752-IF(Q752,Inputs!$B$9,0)+W752</f>
        <v>1021.59119261745</v>
      </c>
      <c r="Y752" s="11" t="n">
        <f aca="false">IF(V752,0,T752)</f>
        <v>0</v>
      </c>
      <c r="Z752" s="9" t="b">
        <f aca="false">AND(Y752&gt;0,K752)</f>
        <v>0</v>
      </c>
      <c r="AA752" s="9" t="b">
        <f aca="false">AND(Y752=0,J752,ISNUMBER(L752))</f>
        <v>0</v>
      </c>
      <c r="AB752" s="8" t="n">
        <f aca="false">IF(Q752,R752,AB751)</f>
        <v>0.924194624604417</v>
      </c>
      <c r="AC752" s="12" t="n">
        <f aca="false">IF(Q752,A752,AC751)</f>
        <v>45463</v>
      </c>
      <c r="AD752" s="8" t="n">
        <f aca="false">IF(Q752,B752,AD751)</f>
        <v>0.924009822639889</v>
      </c>
      <c r="AE752" s="8" t="str">
        <f aca="false">IF(AA752,L752,"")</f>
        <v/>
      </c>
      <c r="AF752" s="8" t="n">
        <f aca="false">U752</f>
        <v>0.905666812067299</v>
      </c>
      <c r="AG752" s="2" t="n">
        <f aca="false">AG751+IF(Q752,1,0)</f>
        <v>5</v>
      </c>
      <c r="AH752" s="2" t="n">
        <f aca="false">AG751</f>
        <v>5</v>
      </c>
      <c r="AI752" s="10" t="n">
        <f aca="false">X752+Y752*(E752-AB752)-Y752*AD752*Inputs!$B$13*(A752-AC752)</f>
        <v>1021.59119261745</v>
      </c>
      <c r="AJ752" s="10" t="n">
        <v>0</v>
      </c>
      <c r="AK752" s="8" t="n">
        <f aca="false">IF(AND(B752&lt;=U752,NOT(Q752)),B752,U752)*(1-Inputs!$B$12)</f>
        <v>0.901518259415644</v>
      </c>
    </row>
    <row r="753" customFormat="false" ht="15" hidden="false" customHeight="false" outlineLevel="0" collapsed="false">
      <c r="A753" s="6" t="n">
        <v>45537</v>
      </c>
      <c r="B753" s="7" t="n">
        <v>0.894790385484194</v>
      </c>
      <c r="C753" s="7" t="n">
        <v>0.90028892950219</v>
      </c>
      <c r="D753" s="7" t="n">
        <v>0.889401728739221</v>
      </c>
      <c r="E753" s="7" t="n">
        <v>0.899628988062078</v>
      </c>
      <c r="F753" s="8" t="n">
        <f aca="true">IF(ROW()-2&gt;=Inputs!$B$4,AVERAGE(OFFSET(E753,1-Inputs!$B$4,0,Inputs!$B$4,1)),"")</f>
        <v>0.896639877379579</v>
      </c>
      <c r="G753" s="8" t="n">
        <f aca="true">IF(ROW()-2&gt;=Inputs!$B$5,AVERAGE(OFFSET(E753,1-Inputs!$B$5,0,Inputs!$B$5,1)),"")</f>
        <v>0.899505854919535</v>
      </c>
      <c r="H753" s="8" t="n">
        <f aca="false">MAX(C753-D753,ABS(C753-E752),ABS(D753-E752))</f>
        <v>0.0108872007629688</v>
      </c>
      <c r="I753" s="8" t="n">
        <f aca="true">IF(ROW()-2&lt;14,"",IF(ROW()-2=14,AVERAGE(OFFSET(H753,-13,0,14,1)),(I752*13+H753)/14))</f>
        <v>0.0101451447819936</v>
      </c>
      <c r="J753" s="9" t="b">
        <f aca="false">IF(AND(ISNUMBER(F753),ISNUMBER(G753),ISNUMBER(F752),ISNUMBER(G752)),AND(F753&gt;G753,F752&lt;=G752),FALSE())</f>
        <v>0</v>
      </c>
      <c r="K753" s="9" t="b">
        <f aca="false">IF(AND(ISNUMBER(F753),ISNUMBER(G753),ISNUMBER(F752),ISNUMBER(G752)),AND(F753&lt;G753,F752&gt;=G752),FALSE())</f>
        <v>0</v>
      </c>
      <c r="L753" s="8" t="n">
        <f aca="false">IF(ISNUMBER(I753),E753-Inputs!$B$6*I753,"")</f>
        <v>0.87933869849809</v>
      </c>
      <c r="M753" s="9" t="b">
        <f aca="false">AND(Y752&gt;0,Z752)</f>
        <v>0</v>
      </c>
      <c r="N753" s="8" t="n">
        <f aca="false">B753*(1-Inputs!$B$12)</f>
        <v>0.894611427407097</v>
      </c>
      <c r="O753" s="10" t="n">
        <f aca="false">IF(M753,Y752*(N753-AB752)-Inputs!$B$9-Y752*AD752*Inputs!$B$13*(A753-AC752),0)</f>
        <v>0</v>
      </c>
      <c r="P753" s="10" t="n">
        <f aca="false">X752+O753</f>
        <v>1021.59119261745</v>
      </c>
      <c r="Q753" s="9" t="b">
        <f aca="false">AND(IF(M753,0,Y752)=0,AA752,IF(ISNUMBER(AE752),B753&gt;AE752,FALSE()))</f>
        <v>0</v>
      </c>
      <c r="R753" s="8" t="n">
        <f aca="false">B753*(1+Inputs!$B$12)</f>
        <v>0.894969343561291</v>
      </c>
      <c r="S753" s="11" t="n">
        <f aca="false">IF(Q753,MIN(P753*Inputs!$B$3/(R753-AE752),P753*Inputs!$B$11/R753),0)</f>
        <v>0</v>
      </c>
      <c r="T753" s="11" t="n">
        <f aca="false">IF(Q753,S753,IF(M753,0,Y752))</f>
        <v>0</v>
      </c>
      <c r="U753" s="8" t="n">
        <f aca="false">IF(Q753,AE752,AF752)</f>
        <v>0.905666812067299</v>
      </c>
      <c r="V753" s="9" t="b">
        <f aca="false">AND(T753&gt;0,D753&lt;=U753)</f>
        <v>0</v>
      </c>
      <c r="W753" s="10" t="n">
        <f aca="false">IF(V753,T753*(AK753-AB753)-Inputs!$B$9-T753*AD753*Inputs!$B$13*(A753-AC753),0)</f>
        <v>0</v>
      </c>
      <c r="X753" s="10" t="n">
        <f aca="false">P753-IF(Q753,Inputs!$B$9,0)+W753</f>
        <v>1021.59119261745</v>
      </c>
      <c r="Y753" s="11" t="n">
        <f aca="false">IF(V753,0,T753)</f>
        <v>0</v>
      </c>
      <c r="Z753" s="9" t="b">
        <f aca="false">AND(Y753&gt;0,K753)</f>
        <v>0</v>
      </c>
      <c r="AA753" s="9" t="b">
        <f aca="false">AND(Y753=0,J753,ISNUMBER(L753))</f>
        <v>0</v>
      </c>
      <c r="AB753" s="8" t="n">
        <f aca="false">IF(Q753,R753,AB752)</f>
        <v>0.924194624604417</v>
      </c>
      <c r="AC753" s="12" t="n">
        <f aca="false">IF(Q753,A753,AC752)</f>
        <v>45463</v>
      </c>
      <c r="AD753" s="8" t="n">
        <f aca="false">IF(Q753,B753,AD752)</f>
        <v>0.924009822639889</v>
      </c>
      <c r="AE753" s="8" t="str">
        <f aca="false">IF(AA753,L753,"")</f>
        <v/>
      </c>
      <c r="AF753" s="8" t="n">
        <f aca="false">U753</f>
        <v>0.905666812067299</v>
      </c>
      <c r="AG753" s="2" t="n">
        <f aca="false">AG752+IF(Q753,1,0)</f>
        <v>5</v>
      </c>
      <c r="AH753" s="2" t="n">
        <f aca="false">AG752</f>
        <v>5</v>
      </c>
      <c r="AI753" s="10" t="n">
        <f aca="false">X753+Y753*(E753-AB753)-Y753*AD753*Inputs!$B$13*(A753-AC753)</f>
        <v>1021.59119261745</v>
      </c>
      <c r="AJ753" s="10" t="n">
        <v>0</v>
      </c>
      <c r="AK753" s="8" t="n">
        <f aca="false">IF(AND(B753&lt;=U753,NOT(Q753)),B753,U753)*(1-Inputs!$B$12)</f>
        <v>0.894611427407097</v>
      </c>
    </row>
    <row r="754" customFormat="false" ht="15" hidden="false" customHeight="false" outlineLevel="0" collapsed="false">
      <c r="A754" s="6" t="n">
        <v>45538</v>
      </c>
      <c r="B754" s="7" t="n">
        <v>0.899628988062078</v>
      </c>
      <c r="C754" s="7" t="n">
        <v>0.904445528947516</v>
      </c>
      <c r="D754" s="7" t="n">
        <v>0.899278769004583</v>
      </c>
      <c r="E754" s="7" t="n">
        <v>0.901706556733369</v>
      </c>
      <c r="F754" s="8" t="n">
        <f aca="true">IF(ROW()-2&gt;=Inputs!$B$4,AVERAGE(OFFSET(E754,1-Inputs!$B$4,0,Inputs!$B$4,1)),"")</f>
        <v>0.897031581953606</v>
      </c>
      <c r="G754" s="8" t="n">
        <f aca="true">IF(ROW()-2&gt;=Inputs!$B$5,AVERAGE(OFFSET(E754,1-Inputs!$B$5,0,Inputs!$B$5,1)),"")</f>
        <v>0.899258799795716</v>
      </c>
      <c r="H754" s="8" t="n">
        <f aca="false">MAX(C754-D754,ABS(C754-E753),ABS(D754-E753))</f>
        <v>0.0051667599429337</v>
      </c>
      <c r="I754" s="8" t="n">
        <f aca="true">IF(ROW()-2&lt;14,"",IF(ROW()-2=14,AVERAGE(OFFSET(H754,-13,0,14,1)),(I753*13+H754)/14))</f>
        <v>0.00978954586491788</v>
      </c>
      <c r="J754" s="9" t="b">
        <f aca="false">IF(AND(ISNUMBER(F754),ISNUMBER(G754),ISNUMBER(F753),ISNUMBER(G753)),AND(F754&gt;G754,F753&lt;=G753),FALSE())</f>
        <v>0</v>
      </c>
      <c r="K754" s="9" t="b">
        <f aca="false">IF(AND(ISNUMBER(F754),ISNUMBER(G754),ISNUMBER(F753),ISNUMBER(G753)),AND(F754&lt;G754,F753&gt;=G753),FALSE())</f>
        <v>0</v>
      </c>
      <c r="L754" s="8" t="n">
        <f aca="false">IF(ISNUMBER(I754),E754-Inputs!$B$6*I754,"")</f>
        <v>0.882127465003533</v>
      </c>
      <c r="M754" s="9" t="b">
        <f aca="false">AND(Y753&gt;0,Z753)</f>
        <v>0</v>
      </c>
      <c r="N754" s="8" t="n">
        <f aca="false">B754*(1-Inputs!$B$12)</f>
        <v>0.899449062264465</v>
      </c>
      <c r="O754" s="10" t="n">
        <f aca="false">IF(M754,Y753*(N754-AB753)-Inputs!$B$9-Y753*AD753*Inputs!$B$13*(A754-AC753),0)</f>
        <v>0</v>
      </c>
      <c r="P754" s="10" t="n">
        <f aca="false">X753+O754</f>
        <v>1021.59119261745</v>
      </c>
      <c r="Q754" s="9" t="b">
        <f aca="false">AND(IF(M754,0,Y753)=0,AA753,IF(ISNUMBER(AE753),B754&gt;AE753,FALSE()))</f>
        <v>0</v>
      </c>
      <c r="R754" s="8" t="n">
        <f aca="false">B754*(1+Inputs!$B$12)</f>
        <v>0.89980891385969</v>
      </c>
      <c r="S754" s="11" t="n">
        <f aca="false">IF(Q754,MIN(P754*Inputs!$B$3/(R754-AE753),P754*Inputs!$B$11/R754),0)</f>
        <v>0</v>
      </c>
      <c r="T754" s="11" t="n">
        <f aca="false">IF(Q754,S754,IF(M754,0,Y753))</f>
        <v>0</v>
      </c>
      <c r="U754" s="8" t="n">
        <f aca="false">IF(Q754,AE753,AF753)</f>
        <v>0.905666812067299</v>
      </c>
      <c r="V754" s="9" t="b">
        <f aca="false">AND(T754&gt;0,D754&lt;=U754)</f>
        <v>0</v>
      </c>
      <c r="W754" s="10" t="n">
        <f aca="false">IF(V754,T754*(AK754-AB754)-Inputs!$B$9-T754*AD754*Inputs!$B$13*(A754-AC754),0)</f>
        <v>0</v>
      </c>
      <c r="X754" s="10" t="n">
        <f aca="false">P754-IF(Q754,Inputs!$B$9,0)+W754</f>
        <v>1021.59119261745</v>
      </c>
      <c r="Y754" s="11" t="n">
        <f aca="false">IF(V754,0,T754)</f>
        <v>0</v>
      </c>
      <c r="Z754" s="9" t="b">
        <f aca="false">AND(Y754&gt;0,K754)</f>
        <v>0</v>
      </c>
      <c r="AA754" s="9" t="b">
        <f aca="false">AND(Y754=0,J754,ISNUMBER(L754))</f>
        <v>0</v>
      </c>
      <c r="AB754" s="8" t="n">
        <f aca="false">IF(Q754,R754,AB753)</f>
        <v>0.924194624604417</v>
      </c>
      <c r="AC754" s="12" t="n">
        <f aca="false">IF(Q754,A754,AC753)</f>
        <v>45463</v>
      </c>
      <c r="AD754" s="8" t="n">
        <f aca="false">IF(Q754,B754,AD753)</f>
        <v>0.924009822639889</v>
      </c>
      <c r="AE754" s="8" t="str">
        <f aca="false">IF(AA754,L754,"")</f>
        <v/>
      </c>
      <c r="AF754" s="8" t="n">
        <f aca="false">U754</f>
        <v>0.905666812067299</v>
      </c>
      <c r="AG754" s="2" t="n">
        <f aca="false">AG753+IF(Q754,1,0)</f>
        <v>5</v>
      </c>
      <c r="AH754" s="2" t="n">
        <f aca="false">AG753</f>
        <v>5</v>
      </c>
      <c r="AI754" s="10" t="n">
        <f aca="false">X754+Y754*(E754-AB754)-Y754*AD754*Inputs!$B$13*(A754-AC754)</f>
        <v>1021.59119261745</v>
      </c>
      <c r="AJ754" s="10" t="n">
        <v>0</v>
      </c>
      <c r="AK754" s="8" t="n">
        <f aca="false">IF(AND(B754&lt;=U754,NOT(Q754)),B754,U754)*(1-Inputs!$B$12)</f>
        <v>0.899449062264465</v>
      </c>
    </row>
    <row r="755" customFormat="false" ht="15" hidden="false" customHeight="false" outlineLevel="0" collapsed="false">
      <c r="A755" s="6" t="n">
        <v>45539</v>
      </c>
      <c r="B755" s="7" t="n">
        <v>0.901706556733369</v>
      </c>
      <c r="C755" s="7" t="n">
        <v>0.907700259811588</v>
      </c>
      <c r="D755" s="7" t="n">
        <v>0.898710908761746</v>
      </c>
      <c r="E755" s="7" t="n">
        <v>0.907344932419326</v>
      </c>
      <c r="F755" s="8" t="n">
        <f aca="true">IF(ROW()-2&gt;=Inputs!$B$4,AVERAGE(OFFSET(E755,1-Inputs!$B$4,0,Inputs!$B$4,1)),"")</f>
        <v>0.89743949645828</v>
      </c>
      <c r="G755" s="8" t="n">
        <f aca="true">IF(ROW()-2&gt;=Inputs!$B$5,AVERAGE(OFFSET(E755,1-Inputs!$B$5,0,Inputs!$B$5,1)),"")</f>
        <v>0.899077841571917</v>
      </c>
      <c r="H755" s="8" t="n">
        <f aca="false">MAX(C755-D755,ABS(C755-E754),ABS(D755-E754))</f>
        <v>0.00898935104984144</v>
      </c>
      <c r="I755" s="8" t="n">
        <f aca="true">IF(ROW()-2&lt;14,"",IF(ROW()-2=14,AVERAGE(OFFSET(H755,-13,0,14,1)),(I754*13+H755)/14))</f>
        <v>0.00973238909241242</v>
      </c>
      <c r="J755" s="9" t="b">
        <f aca="false">IF(AND(ISNUMBER(F755),ISNUMBER(G755),ISNUMBER(F754),ISNUMBER(G754)),AND(F755&gt;G755,F754&lt;=G754),FALSE())</f>
        <v>0</v>
      </c>
      <c r="K755" s="9" t="b">
        <f aca="false">IF(AND(ISNUMBER(F755),ISNUMBER(G755),ISNUMBER(F754),ISNUMBER(G754)),AND(F755&lt;G755,F754&gt;=G754),FALSE())</f>
        <v>0</v>
      </c>
      <c r="L755" s="8" t="n">
        <f aca="false">IF(ISNUMBER(I755),E755-Inputs!$B$6*I755,"")</f>
        <v>0.887880154234501</v>
      </c>
      <c r="M755" s="9" t="b">
        <f aca="false">AND(Y754&gt;0,Z754)</f>
        <v>0</v>
      </c>
      <c r="N755" s="8" t="n">
        <f aca="false">B755*(1-Inputs!$B$12)</f>
        <v>0.901526215422022</v>
      </c>
      <c r="O755" s="10" t="n">
        <f aca="false">IF(M755,Y754*(N755-AB754)-Inputs!$B$9-Y754*AD754*Inputs!$B$13*(A755-AC754),0)</f>
        <v>0</v>
      </c>
      <c r="P755" s="10" t="n">
        <f aca="false">X754+O755</f>
        <v>1021.59119261745</v>
      </c>
      <c r="Q755" s="9" t="b">
        <f aca="false">AND(IF(M755,0,Y754)=0,AA754,IF(ISNUMBER(AE754),B755&gt;AE754,FALSE()))</f>
        <v>0</v>
      </c>
      <c r="R755" s="8" t="n">
        <f aca="false">B755*(1+Inputs!$B$12)</f>
        <v>0.901886898044716</v>
      </c>
      <c r="S755" s="11" t="n">
        <f aca="false">IF(Q755,MIN(P755*Inputs!$B$3/(R755-AE754),P755*Inputs!$B$11/R755),0)</f>
        <v>0</v>
      </c>
      <c r="T755" s="11" t="n">
        <f aca="false">IF(Q755,S755,IF(M755,0,Y754))</f>
        <v>0</v>
      </c>
      <c r="U755" s="8" t="n">
        <f aca="false">IF(Q755,AE754,AF754)</f>
        <v>0.905666812067299</v>
      </c>
      <c r="V755" s="9" t="b">
        <f aca="false">AND(T755&gt;0,D755&lt;=U755)</f>
        <v>0</v>
      </c>
      <c r="W755" s="10" t="n">
        <f aca="false">IF(V755,T755*(AK755-AB755)-Inputs!$B$9-T755*AD755*Inputs!$B$13*(A755-AC755),0)</f>
        <v>0</v>
      </c>
      <c r="X755" s="10" t="n">
        <f aca="false">P755-IF(Q755,Inputs!$B$9,0)+W755</f>
        <v>1021.59119261745</v>
      </c>
      <c r="Y755" s="11" t="n">
        <f aca="false">IF(V755,0,T755)</f>
        <v>0</v>
      </c>
      <c r="Z755" s="9" t="b">
        <f aca="false">AND(Y755&gt;0,K755)</f>
        <v>0</v>
      </c>
      <c r="AA755" s="9" t="b">
        <f aca="false">AND(Y755=0,J755,ISNUMBER(L755))</f>
        <v>0</v>
      </c>
      <c r="AB755" s="8" t="n">
        <f aca="false">IF(Q755,R755,AB754)</f>
        <v>0.924194624604417</v>
      </c>
      <c r="AC755" s="12" t="n">
        <f aca="false">IF(Q755,A755,AC754)</f>
        <v>45463</v>
      </c>
      <c r="AD755" s="8" t="n">
        <f aca="false">IF(Q755,B755,AD754)</f>
        <v>0.924009822639889</v>
      </c>
      <c r="AE755" s="8" t="str">
        <f aca="false">IF(AA755,L755,"")</f>
        <v/>
      </c>
      <c r="AF755" s="8" t="n">
        <f aca="false">U755</f>
        <v>0.905666812067299</v>
      </c>
      <c r="AG755" s="2" t="n">
        <f aca="false">AG754+IF(Q755,1,0)</f>
        <v>5</v>
      </c>
      <c r="AH755" s="2" t="n">
        <f aca="false">AG754</f>
        <v>5</v>
      </c>
      <c r="AI755" s="10" t="n">
        <f aca="false">X755+Y755*(E755-AB755)-Y755*AD755*Inputs!$B$13*(A755-AC755)</f>
        <v>1021.59119261745</v>
      </c>
      <c r="AJ755" s="10" t="n">
        <v>0</v>
      </c>
      <c r="AK755" s="8" t="n">
        <f aca="false">IF(AND(B755&lt;=U755,NOT(Q755)),B755,U755)*(1-Inputs!$B$12)</f>
        <v>0.901526215422022</v>
      </c>
    </row>
    <row r="756" customFormat="false" ht="15" hidden="false" customHeight="false" outlineLevel="0" collapsed="false">
      <c r="A756" s="6" t="n">
        <v>45540</v>
      </c>
      <c r="B756" s="7" t="n">
        <v>0.907344932419326</v>
      </c>
      <c r="C756" s="7" t="n">
        <v>0.908575199966514</v>
      </c>
      <c r="D756" s="7" t="n">
        <v>0.894800736219525</v>
      </c>
      <c r="E756" s="7" t="n">
        <v>0.897506215791725</v>
      </c>
      <c r="F756" s="8" t="n">
        <f aca="true">IF(ROW()-2&gt;=Inputs!$B$4,AVERAGE(OFFSET(E756,1-Inputs!$B$4,0,Inputs!$B$4,1)),"")</f>
        <v>0.897717925267582</v>
      </c>
      <c r="G756" s="8" t="n">
        <f aca="true">IF(ROW()-2&gt;=Inputs!$B$5,AVERAGE(OFFSET(E756,1-Inputs!$B$5,0,Inputs!$B$5,1)),"")</f>
        <v>0.898674345536037</v>
      </c>
      <c r="H756" s="8" t="n">
        <f aca="false">MAX(C756-D756,ABS(C756-E755),ABS(D756-E755))</f>
        <v>0.0137744637469895</v>
      </c>
      <c r="I756" s="8" t="n">
        <f aca="true">IF(ROW()-2&lt;14,"",IF(ROW()-2=14,AVERAGE(OFFSET(H756,-13,0,14,1)),(I755*13+H756)/14))</f>
        <v>0.0100211087105965</v>
      </c>
      <c r="J756" s="9" t="b">
        <f aca="false">IF(AND(ISNUMBER(F756),ISNUMBER(G756),ISNUMBER(F755),ISNUMBER(G755)),AND(F756&gt;G756,F755&lt;=G755),FALSE())</f>
        <v>0</v>
      </c>
      <c r="K756" s="9" t="b">
        <f aca="false">IF(AND(ISNUMBER(F756),ISNUMBER(G756),ISNUMBER(F755),ISNUMBER(G755)),AND(F756&lt;G756,F755&gt;=G755),FALSE())</f>
        <v>0</v>
      </c>
      <c r="L756" s="8" t="n">
        <f aca="false">IF(ISNUMBER(I756),E756-Inputs!$B$6*I756,"")</f>
        <v>0.877463998370532</v>
      </c>
      <c r="M756" s="9" t="b">
        <f aca="false">AND(Y755&gt;0,Z755)</f>
        <v>0</v>
      </c>
      <c r="N756" s="8" t="n">
        <f aca="false">B756*(1-Inputs!$B$12)</f>
        <v>0.907163463432842</v>
      </c>
      <c r="O756" s="10" t="n">
        <f aca="false">IF(M756,Y755*(N756-AB755)-Inputs!$B$9-Y755*AD755*Inputs!$B$13*(A756-AC755),0)</f>
        <v>0</v>
      </c>
      <c r="P756" s="10" t="n">
        <f aca="false">X755+O756</f>
        <v>1021.59119261745</v>
      </c>
      <c r="Q756" s="9" t="b">
        <f aca="false">AND(IF(M756,0,Y755)=0,AA755,IF(ISNUMBER(AE755),B756&gt;AE755,FALSE()))</f>
        <v>0</v>
      </c>
      <c r="R756" s="8" t="n">
        <f aca="false">B756*(1+Inputs!$B$12)</f>
        <v>0.90752640140581</v>
      </c>
      <c r="S756" s="11" t="n">
        <f aca="false">IF(Q756,MIN(P756*Inputs!$B$3/(R756-AE755),P756*Inputs!$B$11/R756),0)</f>
        <v>0</v>
      </c>
      <c r="T756" s="11" t="n">
        <f aca="false">IF(Q756,S756,IF(M756,0,Y755))</f>
        <v>0</v>
      </c>
      <c r="U756" s="8" t="n">
        <f aca="false">IF(Q756,AE755,AF755)</f>
        <v>0.905666812067299</v>
      </c>
      <c r="V756" s="9" t="b">
        <f aca="false">AND(T756&gt;0,D756&lt;=U756)</f>
        <v>0</v>
      </c>
      <c r="W756" s="10" t="n">
        <f aca="false">IF(V756,T756*(AK756-AB756)-Inputs!$B$9-T756*AD756*Inputs!$B$13*(A756-AC756),0)</f>
        <v>0</v>
      </c>
      <c r="X756" s="10" t="n">
        <f aca="false">P756-IF(Q756,Inputs!$B$9,0)+W756</f>
        <v>1021.59119261745</v>
      </c>
      <c r="Y756" s="11" t="n">
        <f aca="false">IF(V756,0,T756)</f>
        <v>0</v>
      </c>
      <c r="Z756" s="9" t="b">
        <f aca="false">AND(Y756&gt;0,K756)</f>
        <v>0</v>
      </c>
      <c r="AA756" s="9" t="b">
        <f aca="false">AND(Y756=0,J756,ISNUMBER(L756))</f>
        <v>0</v>
      </c>
      <c r="AB756" s="8" t="n">
        <f aca="false">IF(Q756,R756,AB755)</f>
        <v>0.924194624604417</v>
      </c>
      <c r="AC756" s="12" t="n">
        <f aca="false">IF(Q756,A756,AC755)</f>
        <v>45463</v>
      </c>
      <c r="AD756" s="8" t="n">
        <f aca="false">IF(Q756,B756,AD755)</f>
        <v>0.924009822639889</v>
      </c>
      <c r="AE756" s="8" t="str">
        <f aca="false">IF(AA756,L756,"")</f>
        <v/>
      </c>
      <c r="AF756" s="8" t="n">
        <f aca="false">U756</f>
        <v>0.905666812067299</v>
      </c>
      <c r="AG756" s="2" t="n">
        <f aca="false">AG755+IF(Q756,1,0)</f>
        <v>5</v>
      </c>
      <c r="AH756" s="2" t="n">
        <f aca="false">AG755</f>
        <v>5</v>
      </c>
      <c r="AI756" s="10" t="n">
        <f aca="false">X756+Y756*(E756-AB756)-Y756*AD756*Inputs!$B$13*(A756-AC756)</f>
        <v>1021.59119261745</v>
      </c>
      <c r="AJ756" s="10" t="n">
        <v>0</v>
      </c>
      <c r="AK756" s="8" t="n">
        <f aca="false">IF(AND(B756&lt;=U756,NOT(Q756)),B756,U756)*(1-Inputs!$B$12)</f>
        <v>0.905485678704885</v>
      </c>
    </row>
    <row r="757" customFormat="false" ht="15" hidden="false" customHeight="false" outlineLevel="0" collapsed="false">
      <c r="A757" s="6" t="n">
        <v>45541</v>
      </c>
      <c r="B757" s="7" t="n">
        <v>0.897506215791725</v>
      </c>
      <c r="C757" s="7" t="n">
        <v>0.900925210598963</v>
      </c>
      <c r="D757" s="7" t="n">
        <v>0.889166486051166</v>
      </c>
      <c r="E757" s="7" t="n">
        <v>0.897074281238321</v>
      </c>
      <c r="F757" s="8" t="n">
        <f aca="true">IF(ROW()-2&gt;=Inputs!$B$4,AVERAGE(OFFSET(E757,1-Inputs!$B$4,0,Inputs!$B$4,1)),"")</f>
        <v>0.897721964770943</v>
      </c>
      <c r="G757" s="8" t="n">
        <f aca="true">IF(ROW()-2&gt;=Inputs!$B$5,AVERAGE(OFFSET(E757,1-Inputs!$B$5,0,Inputs!$B$5,1)),"")</f>
        <v>0.898354485164236</v>
      </c>
      <c r="H757" s="8" t="n">
        <f aca="false">MAX(C757-D757,ABS(C757-E756),ABS(D757-E756))</f>
        <v>0.0117587245477966</v>
      </c>
      <c r="I757" s="8" t="n">
        <f aca="true">IF(ROW()-2&lt;14,"",IF(ROW()-2=14,AVERAGE(OFFSET(H757,-13,0,14,1)),(I756*13+H757)/14))</f>
        <v>0.0101452241275394</v>
      </c>
      <c r="J757" s="9" t="b">
        <f aca="false">IF(AND(ISNUMBER(F757),ISNUMBER(G757),ISNUMBER(F756),ISNUMBER(G756)),AND(F757&gt;G757,F756&lt;=G756),FALSE())</f>
        <v>0</v>
      </c>
      <c r="K757" s="9" t="b">
        <f aca="false">IF(AND(ISNUMBER(F757),ISNUMBER(G757),ISNUMBER(F756),ISNUMBER(G756)),AND(F757&lt;G757,F756&gt;=G756),FALSE())</f>
        <v>0</v>
      </c>
      <c r="L757" s="8" t="n">
        <f aca="false">IF(ISNUMBER(I757),E757-Inputs!$B$6*I757,"")</f>
        <v>0.876783832983243</v>
      </c>
      <c r="M757" s="9" t="b">
        <f aca="false">AND(Y756&gt;0,Z756)</f>
        <v>0</v>
      </c>
      <c r="N757" s="8" t="n">
        <f aca="false">B757*(1-Inputs!$B$12)</f>
        <v>0.897326714548567</v>
      </c>
      <c r="O757" s="10" t="n">
        <f aca="false">IF(M757,Y756*(N757-AB756)-Inputs!$B$9-Y756*AD756*Inputs!$B$13*(A757-AC756),0)</f>
        <v>0</v>
      </c>
      <c r="P757" s="10" t="n">
        <f aca="false">X756+O757</f>
        <v>1021.59119261745</v>
      </c>
      <c r="Q757" s="9" t="b">
        <f aca="false">AND(IF(M757,0,Y756)=0,AA756,IF(ISNUMBER(AE756),B757&gt;AE756,FALSE()))</f>
        <v>0</v>
      </c>
      <c r="R757" s="8" t="n">
        <f aca="false">B757*(1+Inputs!$B$12)</f>
        <v>0.897685717034884</v>
      </c>
      <c r="S757" s="11" t="n">
        <f aca="false">IF(Q757,MIN(P757*Inputs!$B$3/(R757-AE756),P757*Inputs!$B$11/R757),0)</f>
        <v>0</v>
      </c>
      <c r="T757" s="11" t="n">
        <f aca="false">IF(Q757,S757,IF(M757,0,Y756))</f>
        <v>0</v>
      </c>
      <c r="U757" s="8" t="n">
        <f aca="false">IF(Q757,AE756,AF756)</f>
        <v>0.905666812067299</v>
      </c>
      <c r="V757" s="9" t="b">
        <f aca="false">AND(T757&gt;0,D757&lt;=U757)</f>
        <v>0</v>
      </c>
      <c r="W757" s="10" t="n">
        <f aca="false">IF(V757,T757*(AK757-AB757)-Inputs!$B$9-T757*AD757*Inputs!$B$13*(A757-AC757),0)</f>
        <v>0</v>
      </c>
      <c r="X757" s="10" t="n">
        <f aca="false">P757-IF(Q757,Inputs!$B$9,0)+W757</f>
        <v>1021.59119261745</v>
      </c>
      <c r="Y757" s="11" t="n">
        <f aca="false">IF(V757,0,T757)</f>
        <v>0</v>
      </c>
      <c r="Z757" s="9" t="b">
        <f aca="false">AND(Y757&gt;0,K757)</f>
        <v>0</v>
      </c>
      <c r="AA757" s="9" t="b">
        <f aca="false">AND(Y757=0,J757,ISNUMBER(L757))</f>
        <v>0</v>
      </c>
      <c r="AB757" s="8" t="n">
        <f aca="false">IF(Q757,R757,AB756)</f>
        <v>0.924194624604417</v>
      </c>
      <c r="AC757" s="12" t="n">
        <f aca="false">IF(Q757,A757,AC756)</f>
        <v>45463</v>
      </c>
      <c r="AD757" s="8" t="n">
        <f aca="false">IF(Q757,B757,AD756)</f>
        <v>0.924009822639889</v>
      </c>
      <c r="AE757" s="8" t="str">
        <f aca="false">IF(AA757,L757,"")</f>
        <v/>
      </c>
      <c r="AF757" s="8" t="n">
        <f aca="false">U757</f>
        <v>0.905666812067299</v>
      </c>
      <c r="AG757" s="2" t="n">
        <f aca="false">AG756+IF(Q757,1,0)</f>
        <v>5</v>
      </c>
      <c r="AH757" s="2" t="n">
        <f aca="false">AG756</f>
        <v>5</v>
      </c>
      <c r="AI757" s="10" t="n">
        <f aca="false">X757+Y757*(E757-AB757)-Y757*AD757*Inputs!$B$13*(A757-AC757)</f>
        <v>1021.59119261745</v>
      </c>
      <c r="AJ757" s="10" t="n">
        <v>0</v>
      </c>
      <c r="AK757" s="8" t="n">
        <f aca="false">IF(AND(B757&lt;=U757,NOT(Q757)),B757,U757)*(1-Inputs!$B$12)</f>
        <v>0.897326714548567</v>
      </c>
    </row>
    <row r="758" customFormat="false" ht="15" hidden="false" customHeight="false" outlineLevel="0" collapsed="false">
      <c r="A758" s="6" t="n">
        <v>45542</v>
      </c>
      <c r="B758" s="7" t="n">
        <v>0.897074281238321</v>
      </c>
      <c r="C758" s="7" t="n">
        <v>0.901128169535339</v>
      </c>
      <c r="D758" s="7" t="n">
        <v>0.896957868147388</v>
      </c>
      <c r="E758" s="7" t="n">
        <v>0.900918631500761</v>
      </c>
      <c r="F758" s="8" t="n">
        <f aca="true">IF(ROW()-2&gt;=Inputs!$B$4,AVERAGE(OFFSET(E758,1-Inputs!$B$4,0,Inputs!$B$4,1)),"")</f>
        <v>0.898269282531432</v>
      </c>
      <c r="G758" s="8" t="n">
        <f aca="true">IF(ROW()-2&gt;=Inputs!$B$5,AVERAGE(OFFSET(E758,1-Inputs!$B$5,0,Inputs!$B$5,1)),"")</f>
        <v>0.898073428584139</v>
      </c>
      <c r="H758" s="8" t="n">
        <f aca="false">MAX(C758-D758,ABS(C758-E757),ABS(D758-E757))</f>
        <v>0.00417030138795094</v>
      </c>
      <c r="I758" s="8" t="n">
        <f aca="true">IF(ROW()-2&lt;14,"",IF(ROW()-2=14,AVERAGE(OFFSET(H758,-13,0,14,1)),(I757*13+H758)/14))</f>
        <v>0.00971844393185448</v>
      </c>
      <c r="J758" s="9" t="b">
        <f aca="false">IF(AND(ISNUMBER(F758),ISNUMBER(G758),ISNUMBER(F757),ISNUMBER(G757)),AND(F758&gt;G758,F757&lt;=G757),FALSE())</f>
        <v>1</v>
      </c>
      <c r="K758" s="9" t="b">
        <f aca="false">IF(AND(ISNUMBER(F758),ISNUMBER(G758),ISNUMBER(F757),ISNUMBER(G757)),AND(F758&lt;G758,F757&gt;=G757),FALSE())</f>
        <v>0</v>
      </c>
      <c r="L758" s="8" t="n">
        <f aca="false">IF(ISNUMBER(I758),E758-Inputs!$B$6*I758,"")</f>
        <v>0.881481743637052</v>
      </c>
      <c r="M758" s="9" t="b">
        <f aca="false">AND(Y757&gt;0,Z757)</f>
        <v>0</v>
      </c>
      <c r="N758" s="8" t="n">
        <f aca="false">B758*(1-Inputs!$B$12)</f>
        <v>0.896894866382074</v>
      </c>
      <c r="O758" s="10" t="n">
        <f aca="false">IF(M758,Y757*(N758-AB757)-Inputs!$B$9-Y757*AD757*Inputs!$B$13*(A758-AC757),0)</f>
        <v>0</v>
      </c>
      <c r="P758" s="10" t="n">
        <f aca="false">X757+O758</f>
        <v>1021.59119261745</v>
      </c>
      <c r="Q758" s="9" t="b">
        <f aca="false">AND(IF(M758,0,Y757)=0,AA757,IF(ISNUMBER(AE757),B758&gt;AE757,FALSE()))</f>
        <v>0</v>
      </c>
      <c r="R758" s="8" t="n">
        <f aca="false">B758*(1+Inputs!$B$12)</f>
        <v>0.897253696094569</v>
      </c>
      <c r="S758" s="11" t="n">
        <f aca="false">IF(Q758,MIN(P758*Inputs!$B$3/(R758-AE757),P758*Inputs!$B$11/R758),0)</f>
        <v>0</v>
      </c>
      <c r="T758" s="11" t="n">
        <f aca="false">IF(Q758,S758,IF(M758,0,Y757))</f>
        <v>0</v>
      </c>
      <c r="U758" s="8" t="n">
        <f aca="false">IF(Q758,AE757,AF757)</f>
        <v>0.905666812067299</v>
      </c>
      <c r="V758" s="9" t="b">
        <f aca="false">AND(T758&gt;0,D758&lt;=U758)</f>
        <v>0</v>
      </c>
      <c r="W758" s="10" t="n">
        <f aca="false">IF(V758,T758*(AK758-AB758)-Inputs!$B$9-T758*AD758*Inputs!$B$13*(A758-AC758),0)</f>
        <v>0</v>
      </c>
      <c r="X758" s="10" t="n">
        <f aca="false">P758-IF(Q758,Inputs!$B$9,0)+W758</f>
        <v>1021.59119261745</v>
      </c>
      <c r="Y758" s="11" t="n">
        <f aca="false">IF(V758,0,T758)</f>
        <v>0</v>
      </c>
      <c r="Z758" s="9" t="b">
        <f aca="false">AND(Y758&gt;0,K758)</f>
        <v>0</v>
      </c>
      <c r="AA758" s="9" t="b">
        <f aca="false">AND(Y758=0,J758,ISNUMBER(L758))</f>
        <v>1</v>
      </c>
      <c r="AB758" s="8" t="n">
        <f aca="false">IF(Q758,R758,AB757)</f>
        <v>0.924194624604417</v>
      </c>
      <c r="AC758" s="12" t="n">
        <f aca="false">IF(Q758,A758,AC757)</f>
        <v>45463</v>
      </c>
      <c r="AD758" s="8" t="n">
        <f aca="false">IF(Q758,B758,AD757)</f>
        <v>0.924009822639889</v>
      </c>
      <c r="AE758" s="8" t="n">
        <f aca="false">IF(AA758,L758,"")</f>
        <v>0.881481743637052</v>
      </c>
      <c r="AF758" s="8" t="n">
        <f aca="false">U758</f>
        <v>0.905666812067299</v>
      </c>
      <c r="AG758" s="2" t="n">
        <f aca="false">AG757+IF(Q758,1,0)</f>
        <v>5</v>
      </c>
      <c r="AH758" s="2" t="n">
        <f aca="false">AG757</f>
        <v>5</v>
      </c>
      <c r="AI758" s="10" t="n">
        <f aca="false">X758+Y758*(E758-AB758)-Y758*AD758*Inputs!$B$13*(A758-AC758)</f>
        <v>1021.59119261745</v>
      </c>
      <c r="AJ758" s="10" t="n">
        <v>0</v>
      </c>
      <c r="AK758" s="8" t="n">
        <f aca="false">IF(AND(B758&lt;=U758,NOT(Q758)),B758,U758)*(1-Inputs!$B$12)</f>
        <v>0.896894866382074</v>
      </c>
    </row>
    <row r="759" customFormat="false" ht="15" hidden="false" customHeight="false" outlineLevel="0" collapsed="false">
      <c r="A759" s="6" t="n">
        <v>45543</v>
      </c>
      <c r="B759" s="7" t="n">
        <v>0.900918631500761</v>
      </c>
      <c r="C759" s="7" t="n">
        <v>0.903248249914219</v>
      </c>
      <c r="D759" s="7" t="n">
        <v>0.900352755066482</v>
      </c>
      <c r="E759" s="7" t="n">
        <v>0.900959153253116</v>
      </c>
      <c r="F759" s="8" t="n">
        <f aca="true">IF(ROW()-2&gt;=Inputs!$B$4,AVERAGE(OFFSET(E759,1-Inputs!$B$4,0,Inputs!$B$4,1)),"")</f>
        <v>0.898742182055844</v>
      </c>
      <c r="G759" s="8" t="n">
        <f aca="true">IF(ROW()-2&gt;=Inputs!$B$5,AVERAGE(OFFSET(E759,1-Inputs!$B$5,0,Inputs!$B$5,1)),"")</f>
        <v>0.897842421326474</v>
      </c>
      <c r="H759" s="8" t="n">
        <f aca="false">MAX(C759-D759,ABS(C759-E758),ABS(D759-E758))</f>
        <v>0.00289549484773688</v>
      </c>
      <c r="I759" s="8" t="n">
        <f aca="true">IF(ROW()-2&lt;14,"",IF(ROW()-2=14,AVERAGE(OFFSET(H759,-13,0,14,1)),(I758*13+H759)/14))</f>
        <v>0.00923109042584608</v>
      </c>
      <c r="J759" s="9" t="b">
        <f aca="false">IF(AND(ISNUMBER(F759),ISNUMBER(G759),ISNUMBER(F758),ISNUMBER(G758)),AND(F759&gt;G759,F758&lt;=G758),FALSE())</f>
        <v>0</v>
      </c>
      <c r="K759" s="9" t="b">
        <f aca="false">IF(AND(ISNUMBER(F759),ISNUMBER(G759),ISNUMBER(F758),ISNUMBER(G758)),AND(F759&lt;G759,F758&gt;=G758),FALSE())</f>
        <v>0</v>
      </c>
      <c r="L759" s="8" t="n">
        <f aca="false">IF(ISNUMBER(I759),E759-Inputs!$B$6*I759,"")</f>
        <v>0.882496972401424</v>
      </c>
      <c r="M759" s="9" t="b">
        <f aca="false">AND(Y758&gt;0,Z758)</f>
        <v>0</v>
      </c>
      <c r="N759" s="8" t="n">
        <f aca="false">B759*(1-Inputs!$B$12)</f>
        <v>0.90073844777446</v>
      </c>
      <c r="O759" s="10" t="n">
        <f aca="false">IF(M759,Y758*(N759-AB758)-Inputs!$B$9-Y758*AD758*Inputs!$B$13*(A759-AC758),0)</f>
        <v>0</v>
      </c>
      <c r="P759" s="10" t="n">
        <f aca="false">X758+O759</f>
        <v>1021.59119261745</v>
      </c>
      <c r="Q759" s="9" t="b">
        <f aca="false">AND(IF(M759,0,Y758)=0,AA758,IF(ISNUMBER(AE758),B759&gt;AE758,FALSE()))</f>
        <v>1</v>
      </c>
      <c r="R759" s="8" t="n">
        <f aca="false">B759*(1+Inputs!$B$12)</f>
        <v>0.901098815227061</v>
      </c>
      <c r="S759" s="11" t="n">
        <f aca="false">IF(Q759,MIN(P759*Inputs!$B$3/(R759-AE758),P759*Inputs!$B$11/R759),0)</f>
        <v>520.766408956647</v>
      </c>
      <c r="T759" s="11" t="n">
        <f aca="false">IF(Q759,S759,IF(M759,0,Y758))</f>
        <v>520.766408956647</v>
      </c>
      <c r="U759" s="8" t="n">
        <f aca="false">IF(Q759,AE758,AF758)</f>
        <v>0.881481743637052</v>
      </c>
      <c r="V759" s="9" t="b">
        <f aca="false">AND(T759&gt;0,D759&lt;=U759)</f>
        <v>0</v>
      </c>
      <c r="W759" s="10" t="n">
        <f aca="false">IF(V759,T759*(AK759-AB759)-Inputs!$B$9-T759*AD759*Inputs!$B$13*(A759-AC759),0)</f>
        <v>0</v>
      </c>
      <c r="X759" s="10" t="n">
        <f aca="false">P759-IF(Q759,Inputs!$B$9,0)+W759</f>
        <v>1020.59119261745</v>
      </c>
      <c r="Y759" s="11" t="n">
        <f aca="false">IF(V759,0,T759)</f>
        <v>520.766408956647</v>
      </c>
      <c r="Z759" s="9" t="b">
        <f aca="false">AND(Y759&gt;0,K759)</f>
        <v>0</v>
      </c>
      <c r="AA759" s="9" t="b">
        <f aca="false">AND(Y759=0,J759,ISNUMBER(L759))</f>
        <v>0</v>
      </c>
      <c r="AB759" s="8" t="n">
        <f aca="false">IF(Q759,R759,AB758)</f>
        <v>0.901098815227061</v>
      </c>
      <c r="AC759" s="12" t="n">
        <f aca="false">IF(Q759,A759,AC758)</f>
        <v>45543</v>
      </c>
      <c r="AD759" s="8" t="n">
        <f aca="false">IF(Q759,B759,AD758)</f>
        <v>0.900918631500761</v>
      </c>
      <c r="AE759" s="8" t="str">
        <f aca="false">IF(AA759,L759,"")</f>
        <v/>
      </c>
      <c r="AF759" s="8" t="n">
        <f aca="false">U759</f>
        <v>0.881481743637052</v>
      </c>
      <c r="AG759" s="2" t="n">
        <f aca="false">AG758+IF(Q759,1,0)</f>
        <v>6</v>
      </c>
      <c r="AH759" s="2" t="n">
        <f aca="false">AG758</f>
        <v>5</v>
      </c>
      <c r="AI759" s="10" t="n">
        <f aca="false">X759+Y759*(E759-AB759)-Y759*AD759*Inputs!$B$13*(A759-AC759)</f>
        <v>1020.51846135281</v>
      </c>
      <c r="AJ759" s="10" t="n">
        <v>0</v>
      </c>
      <c r="AK759" s="8" t="n">
        <f aca="false">IF(AND(B759&lt;=U759,NOT(Q759)),B759,U759)*(1-Inputs!$B$12)</f>
        <v>0.881305447288324</v>
      </c>
    </row>
    <row r="760" customFormat="false" ht="15" hidden="false" customHeight="false" outlineLevel="0" collapsed="false">
      <c r="A760" s="6" t="n">
        <v>45544</v>
      </c>
      <c r="B760" s="7" t="n">
        <v>0.900959153253116</v>
      </c>
      <c r="C760" s="7" t="n">
        <v>0.904163012870407</v>
      </c>
      <c r="D760" s="7" t="n">
        <v>0.897576336132233</v>
      </c>
      <c r="E760" s="7" t="n">
        <v>0.89950697391101</v>
      </c>
      <c r="F760" s="8" t="n">
        <f aca="true">IF(ROW()-2&gt;=Inputs!$B$4,AVERAGE(OFFSET(E760,1-Inputs!$B$4,0,Inputs!$B$4,1)),"")</f>
        <v>0.898911133025975</v>
      </c>
      <c r="G760" s="8" t="n">
        <f aca="true">IF(ROW()-2&gt;=Inputs!$B$5,AVERAGE(OFFSET(E760,1-Inputs!$B$5,0,Inputs!$B$5,1)),"")</f>
        <v>0.897649460693888</v>
      </c>
      <c r="H760" s="8" t="n">
        <f aca="false">MAX(C760-D760,ABS(C760-E759),ABS(D760-E759))</f>
        <v>0.00658667673817381</v>
      </c>
      <c r="I760" s="8" t="n">
        <f aca="true">IF(ROW()-2&lt;14,"",IF(ROW()-2=14,AVERAGE(OFFSET(H760,-13,0,14,1)),(I759*13+H760)/14))</f>
        <v>0.00904220373386949</v>
      </c>
      <c r="J760" s="9" t="b">
        <f aca="false">IF(AND(ISNUMBER(F760),ISNUMBER(G760),ISNUMBER(F759),ISNUMBER(G759)),AND(F760&gt;G760,F759&lt;=G759),FALSE())</f>
        <v>0</v>
      </c>
      <c r="K760" s="9" t="b">
        <f aca="false">IF(AND(ISNUMBER(F760),ISNUMBER(G760),ISNUMBER(F759),ISNUMBER(G759)),AND(F760&lt;G760,F759&gt;=G759),FALSE())</f>
        <v>0</v>
      </c>
      <c r="L760" s="8" t="n">
        <f aca="false">IF(ISNUMBER(I760),E760-Inputs!$B$6*I760,"")</f>
        <v>0.881422566443271</v>
      </c>
      <c r="M760" s="9" t="b">
        <f aca="false">AND(Y759&gt;0,Z759)</f>
        <v>0</v>
      </c>
      <c r="N760" s="8" t="n">
        <f aca="false">B760*(1-Inputs!$B$12)</f>
        <v>0.900778961422466</v>
      </c>
      <c r="O760" s="10" t="n">
        <f aca="false">IF(M760,Y759*(N760-AB759)-Inputs!$B$9-Y759*AD759*Inputs!$B$13*(A760-AC759),0)</f>
        <v>0</v>
      </c>
      <c r="P760" s="10" t="n">
        <f aca="false">X759+O760</f>
        <v>1020.59119261745</v>
      </c>
      <c r="Q760" s="9" t="b">
        <f aca="false">AND(IF(M760,0,Y759)=0,AA759,IF(ISNUMBER(AE759),B760&gt;AE759,FALSE()))</f>
        <v>0</v>
      </c>
      <c r="R760" s="8" t="n">
        <f aca="false">B760*(1+Inputs!$B$12)</f>
        <v>0.901139345083767</v>
      </c>
      <c r="S760" s="11" t="n">
        <f aca="false">IF(Q760,MIN(P760*Inputs!$B$3/(R760-AE759),P760*Inputs!$B$11/R760),0)</f>
        <v>0</v>
      </c>
      <c r="T760" s="11" t="n">
        <f aca="false">IF(Q760,S760,IF(M760,0,Y759))</f>
        <v>520.766408956647</v>
      </c>
      <c r="U760" s="8" t="n">
        <f aca="false">IF(Q760,AE759,AF759)</f>
        <v>0.881481743637052</v>
      </c>
      <c r="V760" s="9" t="b">
        <f aca="false">AND(T760&gt;0,D760&lt;=U760)</f>
        <v>0</v>
      </c>
      <c r="W760" s="10" t="n">
        <f aca="false">IF(V760,T760*(AK760-AB760)-Inputs!$B$9-T760*AD760*Inputs!$B$13*(A760-AC760),0)</f>
        <v>0</v>
      </c>
      <c r="X760" s="10" t="n">
        <f aca="false">P760-IF(Q760,Inputs!$B$9,0)+W760</f>
        <v>1020.59119261745</v>
      </c>
      <c r="Y760" s="11" t="n">
        <f aca="false">IF(V760,0,T760)</f>
        <v>520.766408956647</v>
      </c>
      <c r="Z760" s="9" t="b">
        <f aca="false">AND(Y760&gt;0,K760)</f>
        <v>0</v>
      </c>
      <c r="AA760" s="9" t="b">
        <f aca="false">AND(Y760=0,J760,ISNUMBER(L760))</f>
        <v>0</v>
      </c>
      <c r="AB760" s="8" t="n">
        <f aca="false">IF(Q760,R760,AB759)</f>
        <v>0.901098815227061</v>
      </c>
      <c r="AC760" s="12" t="n">
        <f aca="false">IF(Q760,A760,AC759)</f>
        <v>45543</v>
      </c>
      <c r="AD760" s="8" t="n">
        <f aca="false">IF(Q760,B760,AD759)</f>
        <v>0.900918631500761</v>
      </c>
      <c r="AE760" s="8" t="str">
        <f aca="false">IF(AA760,L760,"")</f>
        <v/>
      </c>
      <c r="AF760" s="8" t="n">
        <f aca="false">U760</f>
        <v>0.881481743637052</v>
      </c>
      <c r="AG760" s="2" t="n">
        <f aca="false">AG759+IF(Q760,1,0)</f>
        <v>6</v>
      </c>
      <c r="AH760" s="2" t="n">
        <f aca="false">AG759</f>
        <v>6</v>
      </c>
      <c r="AI760" s="10" t="n">
        <f aca="false">X760+Y760*(E760-AB760)-Y760*AD760*Inputs!$B$13*(A760-AC760)</f>
        <v>1019.67866463733</v>
      </c>
      <c r="AJ760" s="10" t="n">
        <v>0</v>
      </c>
      <c r="AK760" s="8" t="n">
        <f aca="false">IF(AND(B760&lt;=U760,NOT(Q760)),B760,U760)*(1-Inputs!$B$12)</f>
        <v>0.881305447288324</v>
      </c>
    </row>
    <row r="761" customFormat="false" ht="15" hidden="false" customHeight="false" outlineLevel="0" collapsed="false">
      <c r="A761" s="6" t="n">
        <v>45545</v>
      </c>
      <c r="B761" s="7" t="n">
        <v>0.89950697391101</v>
      </c>
      <c r="C761" s="7" t="n">
        <v>0.904182480991682</v>
      </c>
      <c r="D761" s="7" t="n">
        <v>0.883561102872952</v>
      </c>
      <c r="E761" s="7" t="n">
        <v>0.88681628817815</v>
      </c>
      <c r="F761" s="8" t="n">
        <f aca="true">IF(ROW()-2&gt;=Inputs!$B$4,AVERAGE(OFFSET(E761,1-Inputs!$B$4,0,Inputs!$B$4,1)),"")</f>
        <v>0.898351415009357</v>
      </c>
      <c r="G761" s="8" t="n">
        <f aca="true">IF(ROW()-2&gt;=Inputs!$B$5,AVERAGE(OFFSET(E761,1-Inputs!$B$5,0,Inputs!$B$5,1)),"")</f>
        <v>0.897188630618619</v>
      </c>
      <c r="H761" s="8" t="n">
        <f aca="false">MAX(C761-D761,ABS(C761-E760),ABS(D761-E760))</f>
        <v>0.0206213781187301</v>
      </c>
      <c r="I761" s="8" t="n">
        <f aca="true">IF(ROW()-2&lt;14,"",IF(ROW()-2=14,AVERAGE(OFFSET(H761,-13,0,14,1)),(I760*13+H761)/14))</f>
        <v>0.00986928761850239</v>
      </c>
      <c r="J761" s="9" t="b">
        <f aca="false">IF(AND(ISNUMBER(F761),ISNUMBER(G761),ISNUMBER(F760),ISNUMBER(G760)),AND(F761&gt;G761,F760&lt;=G760),FALSE())</f>
        <v>0</v>
      </c>
      <c r="K761" s="9" t="b">
        <f aca="false">IF(AND(ISNUMBER(F761),ISNUMBER(G761),ISNUMBER(F760),ISNUMBER(G760)),AND(F761&lt;G761,F760&gt;=G760),FALSE())</f>
        <v>0</v>
      </c>
      <c r="L761" s="8" t="n">
        <f aca="false">IF(ISNUMBER(I761),E761-Inputs!$B$6*I761,"")</f>
        <v>0.867077712941145</v>
      </c>
      <c r="M761" s="9" t="b">
        <f aca="false">AND(Y760&gt;0,Z760)</f>
        <v>0</v>
      </c>
      <c r="N761" s="8" t="n">
        <f aca="false">B761*(1-Inputs!$B$12)</f>
        <v>0.899327072516228</v>
      </c>
      <c r="O761" s="10" t="n">
        <f aca="false">IF(M761,Y760*(N761-AB760)-Inputs!$B$9-Y760*AD760*Inputs!$B$13*(A761-AC760),0)</f>
        <v>0</v>
      </c>
      <c r="P761" s="10" t="n">
        <f aca="false">X760+O761</f>
        <v>1020.59119261745</v>
      </c>
      <c r="Q761" s="9" t="b">
        <f aca="false">AND(IF(M761,0,Y760)=0,AA760,IF(ISNUMBER(AE760),B761&gt;AE760,FALSE()))</f>
        <v>0</v>
      </c>
      <c r="R761" s="8" t="n">
        <f aca="false">B761*(1+Inputs!$B$12)</f>
        <v>0.899686875305792</v>
      </c>
      <c r="S761" s="11" t="n">
        <f aca="false">IF(Q761,MIN(P761*Inputs!$B$3/(R761-AE760),P761*Inputs!$B$11/R761),0)</f>
        <v>0</v>
      </c>
      <c r="T761" s="11" t="n">
        <f aca="false">IF(Q761,S761,IF(M761,0,Y760))</f>
        <v>520.766408956647</v>
      </c>
      <c r="U761" s="8" t="n">
        <f aca="false">IF(Q761,AE760,AF760)</f>
        <v>0.881481743637052</v>
      </c>
      <c r="V761" s="9" t="b">
        <f aca="false">AND(T761&gt;0,D761&lt;=U761)</f>
        <v>0</v>
      </c>
      <c r="W761" s="10" t="n">
        <f aca="false">IF(V761,T761*(AK761-AB761)-Inputs!$B$9-T761*AD761*Inputs!$B$13*(A761-AC761),0)</f>
        <v>0</v>
      </c>
      <c r="X761" s="10" t="n">
        <f aca="false">P761-IF(Q761,Inputs!$B$9,0)+W761</f>
        <v>1020.59119261745</v>
      </c>
      <c r="Y761" s="11" t="n">
        <f aca="false">IF(V761,0,T761)</f>
        <v>520.766408956647</v>
      </c>
      <c r="Z761" s="9" t="b">
        <f aca="false">AND(Y761&gt;0,K761)</f>
        <v>0</v>
      </c>
      <c r="AA761" s="9" t="b">
        <f aca="false">AND(Y761=0,J761,ISNUMBER(L761))</f>
        <v>0</v>
      </c>
      <c r="AB761" s="8" t="n">
        <f aca="false">IF(Q761,R761,AB760)</f>
        <v>0.901098815227061</v>
      </c>
      <c r="AC761" s="12" t="n">
        <f aca="false">IF(Q761,A761,AC760)</f>
        <v>45543</v>
      </c>
      <c r="AD761" s="8" t="n">
        <f aca="false">IF(Q761,B761,AD760)</f>
        <v>0.900918631500761</v>
      </c>
      <c r="AE761" s="8" t="str">
        <f aca="false">IF(AA761,L761,"")</f>
        <v/>
      </c>
      <c r="AF761" s="8" t="n">
        <f aca="false">U761</f>
        <v>0.881481743637052</v>
      </c>
      <c r="AG761" s="2" t="n">
        <f aca="false">AG760+IF(Q761,1,0)</f>
        <v>6</v>
      </c>
      <c r="AH761" s="2" t="n">
        <f aca="false">AG760</f>
        <v>6</v>
      </c>
      <c r="AI761" s="10" t="n">
        <f aca="false">X761+Y761*(E761-AB761)-Y761*AD761*Inputs!$B$13*(A761-AC761)</f>
        <v>1012.9862313067</v>
      </c>
      <c r="AJ761" s="10" t="n">
        <v>0</v>
      </c>
      <c r="AK761" s="8" t="n">
        <f aca="false">IF(AND(B761&lt;=U761,NOT(Q761)),B761,U761)*(1-Inputs!$B$12)</f>
        <v>0.881305447288324</v>
      </c>
    </row>
    <row r="762" customFormat="false" ht="15" hidden="false" customHeight="false" outlineLevel="0" collapsed="false">
      <c r="A762" s="6" t="n">
        <v>45546</v>
      </c>
      <c r="B762" s="7" t="n">
        <v>0.88681628817815</v>
      </c>
      <c r="C762" s="7" t="n">
        <v>0.898157495695486</v>
      </c>
      <c r="D762" s="7" t="n">
        <v>0.882703116505776</v>
      </c>
      <c r="E762" s="7" t="n">
        <v>0.893993498614253</v>
      </c>
      <c r="F762" s="8" t="n">
        <f aca="true">IF(ROW()-2&gt;=Inputs!$B$4,AVERAGE(OFFSET(E762,1-Inputs!$B$4,0,Inputs!$B$4,1)),"")</f>
        <v>0.898610497067262</v>
      </c>
      <c r="G762" s="8" t="n">
        <f aca="true">IF(ROW()-2&gt;=Inputs!$B$5,AVERAGE(OFFSET(E762,1-Inputs!$B$5,0,Inputs!$B$5,1)),"")</f>
        <v>0.897074286069977</v>
      </c>
      <c r="H762" s="8" t="n">
        <f aca="false">MAX(C762-D762,ABS(C762-E761),ABS(D762-E761))</f>
        <v>0.0154543791897104</v>
      </c>
      <c r="I762" s="8" t="n">
        <f aca="true">IF(ROW()-2&lt;14,"",IF(ROW()-2=14,AVERAGE(OFFSET(H762,-13,0,14,1)),(I761*13+H762)/14))</f>
        <v>0.0102682227307315</v>
      </c>
      <c r="J762" s="9" t="b">
        <f aca="false">IF(AND(ISNUMBER(F762),ISNUMBER(G762),ISNUMBER(F761),ISNUMBER(G761)),AND(F762&gt;G762,F761&lt;=G761),FALSE())</f>
        <v>0</v>
      </c>
      <c r="K762" s="9" t="b">
        <f aca="false">IF(AND(ISNUMBER(F762),ISNUMBER(G762),ISNUMBER(F761),ISNUMBER(G761)),AND(F762&lt;G762,F761&gt;=G761),FALSE())</f>
        <v>0</v>
      </c>
      <c r="L762" s="8" t="n">
        <f aca="false">IF(ISNUMBER(I762),E762-Inputs!$B$6*I762,"")</f>
        <v>0.873457053152789</v>
      </c>
      <c r="M762" s="9" t="b">
        <f aca="false">AND(Y761&gt;0,Z761)</f>
        <v>0</v>
      </c>
      <c r="N762" s="8" t="n">
        <f aca="false">B762*(1-Inputs!$B$12)</f>
        <v>0.886638924920514</v>
      </c>
      <c r="O762" s="10" t="n">
        <f aca="false">IF(M762,Y761*(N762-AB761)-Inputs!$B$9-Y761*AD761*Inputs!$B$13*(A762-AC761),0)</f>
        <v>0</v>
      </c>
      <c r="P762" s="10" t="n">
        <f aca="false">X761+O762</f>
        <v>1020.59119261745</v>
      </c>
      <c r="Q762" s="9" t="b">
        <f aca="false">AND(IF(M762,0,Y761)=0,AA761,IF(ISNUMBER(AE761),B762&gt;AE761,FALSE()))</f>
        <v>0</v>
      </c>
      <c r="R762" s="8" t="n">
        <f aca="false">B762*(1+Inputs!$B$12)</f>
        <v>0.886993651435785</v>
      </c>
      <c r="S762" s="11" t="n">
        <f aca="false">IF(Q762,MIN(P762*Inputs!$B$3/(R762-AE761),P762*Inputs!$B$11/R762),0)</f>
        <v>0</v>
      </c>
      <c r="T762" s="11" t="n">
        <f aca="false">IF(Q762,S762,IF(M762,0,Y761))</f>
        <v>520.766408956647</v>
      </c>
      <c r="U762" s="8" t="n">
        <f aca="false">IF(Q762,AE761,AF761)</f>
        <v>0.881481743637052</v>
      </c>
      <c r="V762" s="9" t="b">
        <f aca="false">AND(T762&gt;0,D762&lt;=U762)</f>
        <v>0</v>
      </c>
      <c r="W762" s="10" t="n">
        <f aca="false">IF(V762,T762*(AK762-AB762)-Inputs!$B$9-T762*AD762*Inputs!$B$13*(A762-AC762),0)</f>
        <v>0</v>
      </c>
      <c r="X762" s="10" t="n">
        <f aca="false">P762-IF(Q762,Inputs!$B$9,0)+W762</f>
        <v>1020.59119261745</v>
      </c>
      <c r="Y762" s="11" t="n">
        <f aca="false">IF(V762,0,T762)</f>
        <v>520.766408956647</v>
      </c>
      <c r="Z762" s="9" t="b">
        <f aca="false">AND(Y762&gt;0,K762)</f>
        <v>0</v>
      </c>
      <c r="AA762" s="9" t="b">
        <f aca="false">AND(Y762=0,J762,ISNUMBER(L762))</f>
        <v>0</v>
      </c>
      <c r="AB762" s="8" t="n">
        <f aca="false">IF(Q762,R762,AB761)</f>
        <v>0.901098815227061</v>
      </c>
      <c r="AC762" s="12" t="n">
        <f aca="false">IF(Q762,A762,AC761)</f>
        <v>45543</v>
      </c>
      <c r="AD762" s="8" t="n">
        <f aca="false">IF(Q762,B762,AD761)</f>
        <v>0.900918631500761</v>
      </c>
      <c r="AE762" s="8" t="str">
        <f aca="false">IF(AA762,L762,"")</f>
        <v/>
      </c>
      <c r="AF762" s="8" t="n">
        <f aca="false">U762</f>
        <v>0.881481743637052</v>
      </c>
      <c r="AG762" s="2" t="n">
        <f aca="false">AG761+IF(Q762,1,0)</f>
        <v>6</v>
      </c>
      <c r="AH762" s="2" t="n">
        <f aca="false">AG761</f>
        <v>6</v>
      </c>
      <c r="AI762" s="10" t="n">
        <f aca="false">X762+Y762*(E762-AB762)-Y762*AD762*Inputs!$B$13*(A762-AC762)</f>
        <v>1016.6403309175</v>
      </c>
      <c r="AJ762" s="10" t="n">
        <v>0</v>
      </c>
      <c r="AK762" s="8" t="n">
        <f aca="false">IF(AND(B762&lt;=U762,NOT(Q762)),B762,U762)*(1-Inputs!$B$12)</f>
        <v>0.881305447288324</v>
      </c>
    </row>
    <row r="763" customFormat="false" ht="15" hidden="false" customHeight="false" outlineLevel="0" collapsed="false">
      <c r="A763" s="6" t="n">
        <v>45547</v>
      </c>
      <c r="B763" s="7" t="n">
        <v>0.893993498614253</v>
      </c>
      <c r="C763" s="7" t="n">
        <v>0.896431291864967</v>
      </c>
      <c r="D763" s="7" t="n">
        <v>0.887505976651645</v>
      </c>
      <c r="E763" s="7" t="n">
        <v>0.888020788191024</v>
      </c>
      <c r="F763" s="8" t="n">
        <f aca="true">IF(ROW()-2&gt;=Inputs!$B$4,AVERAGE(OFFSET(E763,1-Inputs!$B$4,0,Inputs!$B$4,1)),"")</f>
        <v>0.898544925610423</v>
      </c>
      <c r="G763" s="8" t="n">
        <f aca="true">IF(ROW()-2&gt;=Inputs!$B$5,AVERAGE(OFFSET(E763,1-Inputs!$B$5,0,Inputs!$B$5,1)),"")</f>
        <v>0.896928897651894</v>
      </c>
      <c r="H763" s="8" t="n">
        <f aca="false">MAX(C763-D763,ABS(C763-E762),ABS(D763-E762))</f>
        <v>0.00892531521332163</v>
      </c>
      <c r="I763" s="8" t="n">
        <f aca="true">IF(ROW()-2&lt;14,"",IF(ROW()-2=14,AVERAGE(OFFSET(H763,-13,0,14,1)),(I762*13+H763)/14))</f>
        <v>0.0101723007652023</v>
      </c>
      <c r="J763" s="9" t="b">
        <f aca="false">IF(AND(ISNUMBER(F763),ISNUMBER(G763),ISNUMBER(F762),ISNUMBER(G762)),AND(F763&gt;G763,F762&lt;=G762),FALSE())</f>
        <v>0</v>
      </c>
      <c r="K763" s="9" t="b">
        <f aca="false">IF(AND(ISNUMBER(F763),ISNUMBER(G763),ISNUMBER(F762),ISNUMBER(G762)),AND(F763&lt;G763,F762&gt;=G762),FALSE())</f>
        <v>0</v>
      </c>
      <c r="L763" s="8" t="n">
        <f aca="false">IF(ISNUMBER(I763),E763-Inputs!$B$6*I763,"")</f>
        <v>0.867676186660619</v>
      </c>
      <c r="M763" s="9" t="b">
        <f aca="false">AND(Y762&gt;0,Z762)</f>
        <v>0</v>
      </c>
      <c r="N763" s="8" t="n">
        <f aca="false">B763*(1-Inputs!$B$12)</f>
        <v>0.89381469991453</v>
      </c>
      <c r="O763" s="10" t="n">
        <f aca="false">IF(M763,Y762*(N763-AB762)-Inputs!$B$9-Y762*AD762*Inputs!$B$13*(A763-AC762),0)</f>
        <v>0</v>
      </c>
      <c r="P763" s="10" t="n">
        <f aca="false">X762+O763</f>
        <v>1020.59119261745</v>
      </c>
      <c r="Q763" s="9" t="b">
        <f aca="false">AND(IF(M763,0,Y762)=0,AA762,IF(ISNUMBER(AE762),B763&gt;AE762,FALSE()))</f>
        <v>0</v>
      </c>
      <c r="R763" s="8" t="n">
        <f aca="false">B763*(1+Inputs!$B$12)</f>
        <v>0.894172297313975</v>
      </c>
      <c r="S763" s="11" t="n">
        <f aca="false">IF(Q763,MIN(P763*Inputs!$B$3/(R763-AE762),P763*Inputs!$B$11/R763),0)</f>
        <v>0</v>
      </c>
      <c r="T763" s="11" t="n">
        <f aca="false">IF(Q763,S763,IF(M763,0,Y762))</f>
        <v>520.766408956647</v>
      </c>
      <c r="U763" s="8" t="n">
        <f aca="false">IF(Q763,AE762,AF762)</f>
        <v>0.881481743637052</v>
      </c>
      <c r="V763" s="9" t="b">
        <f aca="false">AND(T763&gt;0,D763&lt;=U763)</f>
        <v>0</v>
      </c>
      <c r="W763" s="10" t="n">
        <f aca="false">IF(V763,T763*(AK763-AB763)-Inputs!$B$9-T763*AD763*Inputs!$B$13*(A763-AC763),0)</f>
        <v>0</v>
      </c>
      <c r="X763" s="10" t="n">
        <f aca="false">P763-IF(Q763,Inputs!$B$9,0)+W763</f>
        <v>1020.59119261745</v>
      </c>
      <c r="Y763" s="11" t="n">
        <f aca="false">IF(V763,0,T763)</f>
        <v>520.766408956647</v>
      </c>
      <c r="Z763" s="9" t="b">
        <f aca="false">AND(Y763&gt;0,K763)</f>
        <v>0</v>
      </c>
      <c r="AA763" s="9" t="b">
        <f aca="false">AND(Y763=0,J763,ISNUMBER(L763))</f>
        <v>0</v>
      </c>
      <c r="AB763" s="8" t="n">
        <f aca="false">IF(Q763,R763,AB762)</f>
        <v>0.901098815227061</v>
      </c>
      <c r="AC763" s="12" t="n">
        <f aca="false">IF(Q763,A763,AC762)</f>
        <v>45543</v>
      </c>
      <c r="AD763" s="8" t="n">
        <f aca="false">IF(Q763,B763,AD762)</f>
        <v>0.900918631500761</v>
      </c>
      <c r="AE763" s="8" t="str">
        <f aca="false">IF(AA763,L763,"")</f>
        <v/>
      </c>
      <c r="AF763" s="8" t="n">
        <f aca="false">U763</f>
        <v>0.881481743637052</v>
      </c>
      <c r="AG763" s="2" t="n">
        <f aca="false">AG762+IF(Q763,1,0)</f>
        <v>6</v>
      </c>
      <c r="AH763" s="2" t="n">
        <f aca="false">AG762</f>
        <v>6</v>
      </c>
      <c r="AI763" s="10" t="n">
        <f aca="false">X763+Y763*(E763-AB763)-Y763*AD763*Inputs!$B$13*(A763-AC763)</f>
        <v>1013.44639346432</v>
      </c>
      <c r="AJ763" s="10" t="n">
        <v>0</v>
      </c>
      <c r="AK763" s="8" t="n">
        <f aca="false">IF(AND(B763&lt;=U763,NOT(Q763)),B763,U763)*(1-Inputs!$B$12)</f>
        <v>0.881305447288324</v>
      </c>
    </row>
    <row r="764" customFormat="false" ht="15" hidden="false" customHeight="false" outlineLevel="0" collapsed="false">
      <c r="A764" s="6" t="n">
        <v>45548</v>
      </c>
      <c r="B764" s="7" t="n">
        <v>0.888020788191024</v>
      </c>
      <c r="C764" s="7" t="n">
        <v>0.890053910878264</v>
      </c>
      <c r="D764" s="7" t="n">
        <v>0.8776572722191</v>
      </c>
      <c r="E764" s="7" t="n">
        <v>0.881402306072816</v>
      </c>
      <c r="F764" s="8" t="n">
        <f aca="true">IF(ROW()-2&gt;=Inputs!$B$4,AVERAGE(OFFSET(E764,1-Inputs!$B$4,0,Inputs!$B$4,1)),"")</f>
        <v>0.897899676078763</v>
      </c>
      <c r="G764" s="8" t="n">
        <f aca="true">IF(ROW()-2&gt;=Inputs!$B$5,AVERAGE(OFFSET(E764,1-Inputs!$B$5,0,Inputs!$B$5,1)),"")</f>
        <v>0.896560168646775</v>
      </c>
      <c r="H764" s="8" t="n">
        <f aca="false">MAX(C764-D764,ABS(C764-E763),ABS(D764-E763))</f>
        <v>0.0123966386591633</v>
      </c>
      <c r="I764" s="8" t="n">
        <f aca="true">IF(ROW()-2&lt;14,"",IF(ROW()-2=14,AVERAGE(OFFSET(H764,-13,0,14,1)),(I763*13+H764)/14))</f>
        <v>0.0103311820433423</v>
      </c>
      <c r="J764" s="9" t="b">
        <f aca="false">IF(AND(ISNUMBER(F764),ISNUMBER(G764),ISNUMBER(F763),ISNUMBER(G763)),AND(F764&gt;G764,F763&lt;=G763),FALSE())</f>
        <v>0</v>
      </c>
      <c r="K764" s="9" t="b">
        <f aca="false">IF(AND(ISNUMBER(F764),ISNUMBER(G764),ISNUMBER(F763),ISNUMBER(G763)),AND(F764&lt;G764,F763&gt;=G763),FALSE())</f>
        <v>0</v>
      </c>
      <c r="L764" s="8" t="n">
        <f aca="false">IF(ISNUMBER(I764),E764-Inputs!$B$6*I764,"")</f>
        <v>0.860739941986132</v>
      </c>
      <c r="M764" s="9" t="b">
        <f aca="false">AND(Y763&gt;0,Z763)</f>
        <v>0</v>
      </c>
      <c r="N764" s="8" t="n">
        <f aca="false">B764*(1-Inputs!$B$12)</f>
        <v>0.887843184033385</v>
      </c>
      <c r="O764" s="10" t="n">
        <f aca="false">IF(M764,Y763*(N764-AB763)-Inputs!$B$9-Y763*AD763*Inputs!$B$13*(A764-AC763),0)</f>
        <v>0</v>
      </c>
      <c r="P764" s="10" t="n">
        <f aca="false">X763+O764</f>
        <v>1020.59119261745</v>
      </c>
      <c r="Q764" s="9" t="b">
        <f aca="false">AND(IF(M764,0,Y763)=0,AA763,IF(ISNUMBER(AE763),B764&gt;AE763,FALSE()))</f>
        <v>0</v>
      </c>
      <c r="R764" s="8" t="n">
        <f aca="false">B764*(1+Inputs!$B$12)</f>
        <v>0.888198392348662</v>
      </c>
      <c r="S764" s="11" t="n">
        <f aca="false">IF(Q764,MIN(P764*Inputs!$B$3/(R764-AE763),P764*Inputs!$B$11/R764),0)</f>
        <v>0</v>
      </c>
      <c r="T764" s="11" t="n">
        <f aca="false">IF(Q764,S764,IF(M764,0,Y763))</f>
        <v>520.766408956647</v>
      </c>
      <c r="U764" s="8" t="n">
        <f aca="false">IF(Q764,AE763,AF763)</f>
        <v>0.881481743637052</v>
      </c>
      <c r="V764" s="9" t="b">
        <f aca="false">AND(T764&gt;0,D764&lt;=U764)</f>
        <v>1</v>
      </c>
      <c r="W764" s="10" t="n">
        <f aca="false">IF(V764,T764*(AK764-AB764)-Inputs!$B$9-T764*AD764*Inputs!$B$13*(A764-AC764),0)</f>
        <v>-11.7254736142816</v>
      </c>
      <c r="X764" s="10" t="n">
        <f aca="false">P764-IF(Q764,Inputs!$B$9,0)+W764</f>
        <v>1008.86571900317</v>
      </c>
      <c r="Y764" s="11" t="n">
        <f aca="false">IF(V764,0,T764)</f>
        <v>0</v>
      </c>
      <c r="Z764" s="9" t="b">
        <f aca="false">AND(Y764&gt;0,K764)</f>
        <v>0</v>
      </c>
      <c r="AA764" s="9" t="b">
        <f aca="false">AND(Y764=0,J764,ISNUMBER(L764))</f>
        <v>0</v>
      </c>
      <c r="AB764" s="8" t="n">
        <f aca="false">IF(Q764,R764,AB763)</f>
        <v>0.901098815227061</v>
      </c>
      <c r="AC764" s="12" t="n">
        <f aca="false">IF(Q764,A764,AC763)</f>
        <v>45543</v>
      </c>
      <c r="AD764" s="8" t="n">
        <f aca="false">IF(Q764,B764,AD763)</f>
        <v>0.900918631500761</v>
      </c>
      <c r="AE764" s="8" t="str">
        <f aca="false">IF(AA764,L764,"")</f>
        <v/>
      </c>
      <c r="AF764" s="8" t="n">
        <f aca="false">U764</f>
        <v>0.881481743637052</v>
      </c>
      <c r="AG764" s="2" t="n">
        <f aca="false">AG763+IF(Q764,1,0)</f>
        <v>6</v>
      </c>
      <c r="AH764" s="2" t="n">
        <f aca="false">AG763</f>
        <v>6</v>
      </c>
      <c r="AI764" s="10" t="n">
        <f aca="false">X764+Y764*(E764-AB764)-Y764*AD764*Inputs!$B$13*(A764-AC764)</f>
        <v>1008.86571900317</v>
      </c>
      <c r="AJ764" s="10" t="n">
        <v>0</v>
      </c>
      <c r="AK764" s="8" t="n">
        <f aca="false">IF(AND(B764&lt;=U764,NOT(Q764)),B764,U764)*(1-Inputs!$B$12)</f>
        <v>0.881305447288324</v>
      </c>
    </row>
    <row r="765" customFormat="false" ht="15" hidden="false" customHeight="false" outlineLevel="0" collapsed="false">
      <c r="A765" s="6" t="n">
        <v>45549</v>
      </c>
      <c r="B765" s="7" t="n">
        <v>0.881402306072816</v>
      </c>
      <c r="C765" s="7" t="n">
        <v>0.882538266583397</v>
      </c>
      <c r="D765" s="7" t="n">
        <v>0.879749511970841</v>
      </c>
      <c r="E765" s="7" t="n">
        <v>0.882227200458071</v>
      </c>
      <c r="F765" s="8" t="n">
        <f aca="true">IF(ROW()-2&gt;=Inputs!$B$4,AVERAGE(OFFSET(E765,1-Inputs!$B$4,0,Inputs!$B$4,1)),"")</f>
        <v>0.897565593872664</v>
      </c>
      <c r="G765" s="8" t="n">
        <f aca="true">IF(ROW()-2&gt;=Inputs!$B$5,AVERAGE(OFFSET(E765,1-Inputs!$B$5,0,Inputs!$B$5,1)),"")</f>
        <v>0.896419303760661</v>
      </c>
      <c r="H765" s="8" t="n">
        <f aca="false">MAX(C765-D765,ABS(C765-E764),ABS(D765-E764))</f>
        <v>0.00278875461255612</v>
      </c>
      <c r="I765" s="8" t="n">
        <f aca="true">IF(ROW()-2&lt;14,"",IF(ROW()-2=14,AVERAGE(OFFSET(H765,-13,0,14,1)),(I764*13+H765)/14))</f>
        <v>0.0097924372268576</v>
      </c>
      <c r="J765" s="9" t="b">
        <f aca="false">IF(AND(ISNUMBER(F765),ISNUMBER(G765),ISNUMBER(F764),ISNUMBER(G764)),AND(F765&gt;G765,F764&lt;=G764),FALSE())</f>
        <v>0</v>
      </c>
      <c r="K765" s="9" t="b">
        <f aca="false">IF(AND(ISNUMBER(F765),ISNUMBER(G765),ISNUMBER(F764),ISNUMBER(G764)),AND(F765&lt;G765,F764&gt;=G764),FALSE())</f>
        <v>0</v>
      </c>
      <c r="L765" s="8" t="n">
        <f aca="false">IF(ISNUMBER(I765),E765-Inputs!$B$6*I765,"")</f>
        <v>0.862642326004356</v>
      </c>
      <c r="M765" s="9" t="b">
        <f aca="false">AND(Y764&gt;0,Z764)</f>
        <v>0</v>
      </c>
      <c r="N765" s="8" t="n">
        <f aca="false">B765*(1-Inputs!$B$12)</f>
        <v>0.881226025611602</v>
      </c>
      <c r="O765" s="10" t="n">
        <f aca="false">IF(M765,Y764*(N765-AB764)-Inputs!$B$9-Y764*AD764*Inputs!$B$13*(A765-AC764),0)</f>
        <v>0</v>
      </c>
      <c r="P765" s="10" t="n">
        <f aca="false">X764+O765</f>
        <v>1008.86571900317</v>
      </c>
      <c r="Q765" s="9" t="b">
        <f aca="false">AND(IF(M765,0,Y764)=0,AA764,IF(ISNUMBER(AE764),B765&gt;AE764,FALSE()))</f>
        <v>0</v>
      </c>
      <c r="R765" s="8" t="n">
        <f aca="false">B765*(1+Inputs!$B$12)</f>
        <v>0.881578586534031</v>
      </c>
      <c r="S765" s="11" t="n">
        <f aca="false">IF(Q765,MIN(P765*Inputs!$B$3/(R765-AE764),P765*Inputs!$B$11/R765),0)</f>
        <v>0</v>
      </c>
      <c r="T765" s="11" t="n">
        <f aca="false">IF(Q765,S765,IF(M765,0,Y764))</f>
        <v>0</v>
      </c>
      <c r="U765" s="8" t="n">
        <f aca="false">IF(Q765,AE764,AF764)</f>
        <v>0.881481743637052</v>
      </c>
      <c r="V765" s="9" t="b">
        <f aca="false">AND(T765&gt;0,D765&lt;=U765)</f>
        <v>0</v>
      </c>
      <c r="W765" s="10" t="n">
        <f aca="false">IF(V765,T765*(AK765-AB765)-Inputs!$B$9-T765*AD765*Inputs!$B$13*(A765-AC765),0)</f>
        <v>0</v>
      </c>
      <c r="X765" s="10" t="n">
        <f aca="false">P765-IF(Q765,Inputs!$B$9,0)+W765</f>
        <v>1008.86571900317</v>
      </c>
      <c r="Y765" s="11" t="n">
        <f aca="false">IF(V765,0,T765)</f>
        <v>0</v>
      </c>
      <c r="Z765" s="9" t="b">
        <f aca="false">AND(Y765&gt;0,K765)</f>
        <v>0</v>
      </c>
      <c r="AA765" s="9" t="b">
        <f aca="false">AND(Y765=0,J765,ISNUMBER(L765))</f>
        <v>0</v>
      </c>
      <c r="AB765" s="8" t="n">
        <f aca="false">IF(Q765,R765,AB764)</f>
        <v>0.901098815227061</v>
      </c>
      <c r="AC765" s="12" t="n">
        <f aca="false">IF(Q765,A765,AC764)</f>
        <v>45543</v>
      </c>
      <c r="AD765" s="8" t="n">
        <f aca="false">IF(Q765,B765,AD764)</f>
        <v>0.900918631500761</v>
      </c>
      <c r="AE765" s="8" t="str">
        <f aca="false">IF(AA765,L765,"")</f>
        <v/>
      </c>
      <c r="AF765" s="8" t="n">
        <f aca="false">U765</f>
        <v>0.881481743637052</v>
      </c>
      <c r="AG765" s="2" t="n">
        <f aca="false">AG764+IF(Q765,1,0)</f>
        <v>6</v>
      </c>
      <c r="AH765" s="2" t="n">
        <f aca="false">AG764</f>
        <v>6</v>
      </c>
      <c r="AI765" s="10" t="n">
        <f aca="false">X765+Y765*(E765-AB765)-Y765*AD765*Inputs!$B$13*(A765-AC765)</f>
        <v>1008.86571900317</v>
      </c>
      <c r="AJ765" s="10" t="n">
        <v>0</v>
      </c>
      <c r="AK765" s="8" t="n">
        <f aca="false">IF(AND(B765&lt;=U765,NOT(Q765)),B765,U765)*(1-Inputs!$B$12)</f>
        <v>0.881226025611602</v>
      </c>
    </row>
    <row r="766" customFormat="false" ht="15" hidden="false" customHeight="false" outlineLevel="0" collapsed="false">
      <c r="A766" s="6" t="n">
        <v>45550</v>
      </c>
      <c r="B766" s="7" t="n">
        <v>0.882227200458071</v>
      </c>
      <c r="C766" s="7" t="n">
        <v>0.892424748357667</v>
      </c>
      <c r="D766" s="7" t="n">
        <v>0.881081154753732</v>
      </c>
      <c r="E766" s="7" t="n">
        <v>0.889311869645037</v>
      </c>
      <c r="F766" s="8" t="n">
        <f aca="true">IF(ROW()-2&gt;=Inputs!$B$4,AVERAGE(OFFSET(E766,1-Inputs!$B$4,0,Inputs!$B$4,1)),"")</f>
        <v>0.897447305741789</v>
      </c>
      <c r="G766" s="8" t="n">
        <f aca="true">IF(ROW()-2&gt;=Inputs!$B$5,AVERAGE(OFFSET(E766,1-Inputs!$B$5,0,Inputs!$B$5,1)),"")</f>
        <v>0.896301136489803</v>
      </c>
      <c r="H766" s="8" t="n">
        <f aca="false">MAX(C766-D766,ABS(C766-E765),ABS(D766-E765))</f>
        <v>0.0113435936039357</v>
      </c>
      <c r="I766" s="8" t="n">
        <f aca="true">IF(ROW()-2&lt;14,"",IF(ROW()-2=14,AVERAGE(OFFSET(H766,-13,0,14,1)),(I765*13+H766)/14))</f>
        <v>0.0099032341109346</v>
      </c>
      <c r="J766" s="9" t="b">
        <f aca="false">IF(AND(ISNUMBER(F766),ISNUMBER(G766),ISNUMBER(F765),ISNUMBER(G765)),AND(F766&gt;G766,F765&lt;=G765),FALSE())</f>
        <v>0</v>
      </c>
      <c r="K766" s="9" t="b">
        <f aca="false">IF(AND(ISNUMBER(F766),ISNUMBER(G766),ISNUMBER(F765),ISNUMBER(G765)),AND(F766&lt;G766,F765&gt;=G765),FALSE())</f>
        <v>0</v>
      </c>
      <c r="L766" s="8" t="n">
        <f aca="false">IF(ISNUMBER(I766),E766-Inputs!$B$6*I766,"")</f>
        <v>0.869505401423168</v>
      </c>
      <c r="M766" s="9" t="b">
        <f aca="false">AND(Y765&gt;0,Z765)</f>
        <v>0</v>
      </c>
      <c r="N766" s="8" t="n">
        <f aca="false">B766*(1-Inputs!$B$12)</f>
        <v>0.88205075501798</v>
      </c>
      <c r="O766" s="10" t="n">
        <f aca="false">IF(M766,Y765*(N766-AB765)-Inputs!$B$9-Y765*AD765*Inputs!$B$13*(A766-AC765),0)</f>
        <v>0</v>
      </c>
      <c r="P766" s="10" t="n">
        <f aca="false">X765+O766</f>
        <v>1008.86571900317</v>
      </c>
      <c r="Q766" s="9" t="b">
        <f aca="false">AND(IF(M766,0,Y765)=0,AA765,IF(ISNUMBER(AE765),B766&gt;AE765,FALSE()))</f>
        <v>0</v>
      </c>
      <c r="R766" s="8" t="n">
        <f aca="false">B766*(1+Inputs!$B$12)</f>
        <v>0.882403645898163</v>
      </c>
      <c r="S766" s="11" t="n">
        <f aca="false">IF(Q766,MIN(P766*Inputs!$B$3/(R766-AE765),P766*Inputs!$B$11/R766),0)</f>
        <v>0</v>
      </c>
      <c r="T766" s="11" t="n">
        <f aca="false">IF(Q766,S766,IF(M766,0,Y765))</f>
        <v>0</v>
      </c>
      <c r="U766" s="8" t="n">
        <f aca="false">IF(Q766,AE765,AF765)</f>
        <v>0.881481743637052</v>
      </c>
      <c r="V766" s="9" t="b">
        <f aca="false">AND(T766&gt;0,D766&lt;=U766)</f>
        <v>0</v>
      </c>
      <c r="W766" s="10" t="n">
        <f aca="false">IF(V766,T766*(AK766-AB766)-Inputs!$B$9-T766*AD766*Inputs!$B$13*(A766-AC766),0)</f>
        <v>0</v>
      </c>
      <c r="X766" s="10" t="n">
        <f aca="false">P766-IF(Q766,Inputs!$B$9,0)+W766</f>
        <v>1008.86571900317</v>
      </c>
      <c r="Y766" s="11" t="n">
        <f aca="false">IF(V766,0,T766)</f>
        <v>0</v>
      </c>
      <c r="Z766" s="9" t="b">
        <f aca="false">AND(Y766&gt;0,K766)</f>
        <v>0</v>
      </c>
      <c r="AA766" s="9" t="b">
        <f aca="false">AND(Y766=0,J766,ISNUMBER(L766))</f>
        <v>0</v>
      </c>
      <c r="AB766" s="8" t="n">
        <f aca="false">IF(Q766,R766,AB765)</f>
        <v>0.901098815227061</v>
      </c>
      <c r="AC766" s="12" t="n">
        <f aca="false">IF(Q766,A766,AC765)</f>
        <v>45543</v>
      </c>
      <c r="AD766" s="8" t="n">
        <f aca="false">IF(Q766,B766,AD765)</f>
        <v>0.900918631500761</v>
      </c>
      <c r="AE766" s="8" t="str">
        <f aca="false">IF(AA766,L766,"")</f>
        <v/>
      </c>
      <c r="AF766" s="8" t="n">
        <f aca="false">U766</f>
        <v>0.881481743637052</v>
      </c>
      <c r="AG766" s="2" t="n">
        <f aca="false">AG765+IF(Q766,1,0)</f>
        <v>6</v>
      </c>
      <c r="AH766" s="2" t="n">
        <f aca="false">AG765</f>
        <v>6</v>
      </c>
      <c r="AI766" s="10" t="n">
        <f aca="false">X766+Y766*(E766-AB766)-Y766*AD766*Inputs!$B$13*(A766-AC766)</f>
        <v>1008.86571900317</v>
      </c>
      <c r="AJ766" s="10" t="n">
        <v>0</v>
      </c>
      <c r="AK766" s="8" t="n">
        <f aca="false">IF(AND(B766&lt;=U766,NOT(Q766)),B766,U766)*(1-Inputs!$B$12)</f>
        <v>0.881305447288324</v>
      </c>
    </row>
    <row r="767" customFormat="false" ht="15" hidden="false" customHeight="false" outlineLevel="0" collapsed="false">
      <c r="A767" s="6" t="n">
        <v>45551</v>
      </c>
      <c r="B767" s="7" t="n">
        <v>0.889311869645037</v>
      </c>
      <c r="C767" s="7" t="n">
        <v>0.900011914947744</v>
      </c>
      <c r="D767" s="7" t="n">
        <v>0.888643210278442</v>
      </c>
      <c r="E767" s="7" t="n">
        <v>0.892940743911174</v>
      </c>
      <c r="F767" s="8" t="n">
        <f aca="true">IF(ROW()-2&gt;=Inputs!$B$4,AVERAGE(OFFSET(E767,1-Inputs!$B$4,0,Inputs!$B$4,1)),"")</f>
        <v>0.896834019376872</v>
      </c>
      <c r="G767" s="8" t="n">
        <f aca="true">IF(ROW()-2&gt;=Inputs!$B$5,AVERAGE(OFFSET(E767,1-Inputs!$B$5,0,Inputs!$B$5,1)),"")</f>
        <v>0.896246159926264</v>
      </c>
      <c r="H767" s="8" t="n">
        <f aca="false">MAX(C767-D767,ABS(C767-E766),ABS(D767-E766))</f>
        <v>0.0113687046693016</v>
      </c>
      <c r="I767" s="8" t="n">
        <f aca="true">IF(ROW()-2&lt;14,"",IF(ROW()-2=14,AVERAGE(OFFSET(H767,-13,0,14,1)),(I766*13+H767)/14))</f>
        <v>0.0100079105793894</v>
      </c>
      <c r="J767" s="9" t="b">
        <f aca="false">IF(AND(ISNUMBER(F767),ISNUMBER(G767),ISNUMBER(F766),ISNUMBER(G766)),AND(F767&gt;G767,F766&lt;=G766),FALSE())</f>
        <v>0</v>
      </c>
      <c r="K767" s="9" t="b">
        <f aca="false">IF(AND(ISNUMBER(F767),ISNUMBER(G767),ISNUMBER(F766),ISNUMBER(G766)),AND(F767&lt;G767,F766&gt;=G766),FALSE())</f>
        <v>0</v>
      </c>
      <c r="L767" s="8" t="n">
        <f aca="false">IF(ISNUMBER(I767),E767-Inputs!$B$6*I767,"")</f>
        <v>0.872924922752395</v>
      </c>
      <c r="M767" s="9" t="b">
        <f aca="false">AND(Y766&gt;0,Z766)</f>
        <v>0</v>
      </c>
      <c r="N767" s="8" t="n">
        <f aca="false">B767*(1-Inputs!$B$12)</f>
        <v>0.889134007271108</v>
      </c>
      <c r="O767" s="10" t="n">
        <f aca="false">IF(M767,Y766*(N767-AB766)-Inputs!$B$9-Y766*AD766*Inputs!$B$13*(A767-AC766),0)</f>
        <v>0</v>
      </c>
      <c r="P767" s="10" t="n">
        <f aca="false">X766+O767</f>
        <v>1008.86571900317</v>
      </c>
      <c r="Q767" s="9" t="b">
        <f aca="false">AND(IF(M767,0,Y766)=0,AA766,IF(ISNUMBER(AE766),B767&gt;AE766,FALSE()))</f>
        <v>0</v>
      </c>
      <c r="R767" s="8" t="n">
        <f aca="false">B767*(1+Inputs!$B$12)</f>
        <v>0.889489732018966</v>
      </c>
      <c r="S767" s="11" t="n">
        <f aca="false">IF(Q767,MIN(P767*Inputs!$B$3/(R767-AE766),P767*Inputs!$B$11/R767),0)</f>
        <v>0</v>
      </c>
      <c r="T767" s="11" t="n">
        <f aca="false">IF(Q767,S767,IF(M767,0,Y766))</f>
        <v>0</v>
      </c>
      <c r="U767" s="8" t="n">
        <f aca="false">IF(Q767,AE766,AF766)</f>
        <v>0.881481743637052</v>
      </c>
      <c r="V767" s="9" t="b">
        <f aca="false">AND(T767&gt;0,D767&lt;=U767)</f>
        <v>0</v>
      </c>
      <c r="W767" s="10" t="n">
        <f aca="false">IF(V767,T767*(AK767-AB767)-Inputs!$B$9-T767*AD767*Inputs!$B$13*(A767-AC767),0)</f>
        <v>0</v>
      </c>
      <c r="X767" s="10" t="n">
        <f aca="false">P767-IF(Q767,Inputs!$B$9,0)+W767</f>
        <v>1008.86571900317</v>
      </c>
      <c r="Y767" s="11" t="n">
        <f aca="false">IF(V767,0,T767)</f>
        <v>0</v>
      </c>
      <c r="Z767" s="9" t="b">
        <f aca="false">AND(Y767&gt;0,K767)</f>
        <v>0</v>
      </c>
      <c r="AA767" s="9" t="b">
        <f aca="false">AND(Y767=0,J767,ISNUMBER(L767))</f>
        <v>0</v>
      </c>
      <c r="AB767" s="8" t="n">
        <f aca="false">IF(Q767,R767,AB766)</f>
        <v>0.901098815227061</v>
      </c>
      <c r="AC767" s="12" t="n">
        <f aca="false">IF(Q767,A767,AC766)</f>
        <v>45543</v>
      </c>
      <c r="AD767" s="8" t="n">
        <f aca="false">IF(Q767,B767,AD766)</f>
        <v>0.900918631500761</v>
      </c>
      <c r="AE767" s="8" t="str">
        <f aca="false">IF(AA767,L767,"")</f>
        <v/>
      </c>
      <c r="AF767" s="8" t="n">
        <f aca="false">U767</f>
        <v>0.881481743637052</v>
      </c>
      <c r="AG767" s="2" t="n">
        <f aca="false">AG766+IF(Q767,1,0)</f>
        <v>6</v>
      </c>
      <c r="AH767" s="2" t="n">
        <f aca="false">AG766</f>
        <v>6</v>
      </c>
      <c r="AI767" s="10" t="n">
        <f aca="false">X767+Y767*(E767-AB767)-Y767*AD767*Inputs!$B$13*(A767-AC767)</f>
        <v>1008.86571900317</v>
      </c>
      <c r="AJ767" s="10" t="n">
        <v>0</v>
      </c>
      <c r="AK767" s="8" t="n">
        <f aca="false">IF(AND(B767&lt;=U767,NOT(Q767)),B767,U767)*(1-Inputs!$B$12)</f>
        <v>0.881305447288324</v>
      </c>
    </row>
    <row r="768" customFormat="false" ht="15" hidden="false" customHeight="false" outlineLevel="0" collapsed="false">
      <c r="A768" s="6" t="n">
        <v>45552</v>
      </c>
      <c r="B768" s="7" t="n">
        <v>0.892940743911174</v>
      </c>
      <c r="C768" s="7" t="n">
        <v>0.894076896739247</v>
      </c>
      <c r="D768" s="7" t="n">
        <v>0.890683198538386</v>
      </c>
      <c r="E768" s="7" t="n">
        <v>0.89073928829714</v>
      </c>
      <c r="F768" s="8" t="n">
        <f aca="true">IF(ROW()-2&gt;=Inputs!$B$4,AVERAGE(OFFSET(E768,1-Inputs!$B$4,0,Inputs!$B$4,1)),"")</f>
        <v>0.895965547852365</v>
      </c>
      <c r="G768" s="8" t="n">
        <f aca="true">IF(ROW()-2&gt;=Inputs!$B$5,AVERAGE(OFFSET(E768,1-Inputs!$B$5,0,Inputs!$B$5,1)),"")</f>
        <v>0.896195370255017</v>
      </c>
      <c r="H768" s="8" t="n">
        <f aca="false">MAX(C768-D768,ABS(C768-E767),ABS(D768-E767))</f>
        <v>0.00339369820086077</v>
      </c>
      <c r="I768" s="8" t="n">
        <f aca="true">IF(ROW()-2&lt;14,"",IF(ROW()-2=14,AVERAGE(OFFSET(H768,-13,0,14,1)),(I767*13+H768)/14))</f>
        <v>0.00953546683806592</v>
      </c>
      <c r="J768" s="9" t="b">
        <f aca="false">IF(AND(ISNUMBER(F768),ISNUMBER(G768),ISNUMBER(F767),ISNUMBER(G767)),AND(F768&gt;G768,F767&lt;=G767),FALSE())</f>
        <v>0</v>
      </c>
      <c r="K768" s="9" t="b">
        <f aca="false">IF(AND(ISNUMBER(F768),ISNUMBER(G768),ISNUMBER(F767),ISNUMBER(G767)),AND(F768&lt;G768,F767&gt;=G767),FALSE())</f>
        <v>1</v>
      </c>
      <c r="L768" s="8" t="n">
        <f aca="false">IF(ISNUMBER(I768),E768-Inputs!$B$6*I768,"")</f>
        <v>0.871668354621008</v>
      </c>
      <c r="M768" s="9" t="b">
        <f aca="false">AND(Y767&gt;0,Z767)</f>
        <v>0</v>
      </c>
      <c r="N768" s="8" t="n">
        <f aca="false">B768*(1-Inputs!$B$12)</f>
        <v>0.892762155762392</v>
      </c>
      <c r="O768" s="10" t="n">
        <f aca="false">IF(M768,Y767*(N768-AB767)-Inputs!$B$9-Y767*AD767*Inputs!$B$13*(A768-AC767),0)</f>
        <v>0</v>
      </c>
      <c r="P768" s="10" t="n">
        <f aca="false">X767+O768</f>
        <v>1008.86571900317</v>
      </c>
      <c r="Q768" s="9" t="b">
        <f aca="false">AND(IF(M768,0,Y767)=0,AA767,IF(ISNUMBER(AE767),B768&gt;AE767,FALSE()))</f>
        <v>0</v>
      </c>
      <c r="R768" s="8" t="n">
        <f aca="false">B768*(1+Inputs!$B$12)</f>
        <v>0.893119332059956</v>
      </c>
      <c r="S768" s="11" t="n">
        <f aca="false">IF(Q768,MIN(P768*Inputs!$B$3/(R768-AE767),P768*Inputs!$B$11/R768),0)</f>
        <v>0</v>
      </c>
      <c r="T768" s="11" t="n">
        <f aca="false">IF(Q768,S768,IF(M768,0,Y767))</f>
        <v>0</v>
      </c>
      <c r="U768" s="8" t="n">
        <f aca="false">IF(Q768,AE767,AF767)</f>
        <v>0.881481743637052</v>
      </c>
      <c r="V768" s="9" t="b">
        <f aca="false">AND(T768&gt;0,D768&lt;=U768)</f>
        <v>0</v>
      </c>
      <c r="W768" s="10" t="n">
        <f aca="false">IF(V768,T768*(AK768-AB768)-Inputs!$B$9-T768*AD768*Inputs!$B$13*(A768-AC768),0)</f>
        <v>0</v>
      </c>
      <c r="X768" s="10" t="n">
        <f aca="false">P768-IF(Q768,Inputs!$B$9,0)+W768</f>
        <v>1008.86571900317</v>
      </c>
      <c r="Y768" s="11" t="n">
        <f aca="false">IF(V768,0,T768)</f>
        <v>0</v>
      </c>
      <c r="Z768" s="9" t="b">
        <f aca="false">AND(Y768&gt;0,K768)</f>
        <v>0</v>
      </c>
      <c r="AA768" s="9" t="b">
        <f aca="false">AND(Y768=0,J768,ISNUMBER(L768))</f>
        <v>0</v>
      </c>
      <c r="AB768" s="8" t="n">
        <f aca="false">IF(Q768,R768,AB767)</f>
        <v>0.901098815227061</v>
      </c>
      <c r="AC768" s="12" t="n">
        <f aca="false">IF(Q768,A768,AC767)</f>
        <v>45543</v>
      </c>
      <c r="AD768" s="8" t="n">
        <f aca="false">IF(Q768,B768,AD767)</f>
        <v>0.900918631500761</v>
      </c>
      <c r="AE768" s="8" t="str">
        <f aca="false">IF(AA768,L768,"")</f>
        <v/>
      </c>
      <c r="AF768" s="8" t="n">
        <f aca="false">U768</f>
        <v>0.881481743637052</v>
      </c>
      <c r="AG768" s="2" t="n">
        <f aca="false">AG767+IF(Q768,1,0)</f>
        <v>6</v>
      </c>
      <c r="AH768" s="2" t="n">
        <f aca="false">AG767</f>
        <v>6</v>
      </c>
      <c r="AI768" s="10" t="n">
        <f aca="false">X768+Y768*(E768-AB768)-Y768*AD768*Inputs!$B$13*(A768-AC768)</f>
        <v>1008.86571900317</v>
      </c>
      <c r="AJ768" s="10" t="n">
        <v>0</v>
      </c>
      <c r="AK768" s="8" t="n">
        <f aca="false">IF(AND(B768&lt;=U768,NOT(Q768)),B768,U768)*(1-Inputs!$B$12)</f>
        <v>0.881305447288324</v>
      </c>
    </row>
    <row r="769" customFormat="false" ht="15" hidden="false" customHeight="false" outlineLevel="0" collapsed="false">
      <c r="A769" s="6" t="n">
        <v>45553</v>
      </c>
      <c r="B769" s="7" t="n">
        <v>0.89073928829714</v>
      </c>
      <c r="C769" s="7" t="n">
        <v>0.90247099603158</v>
      </c>
      <c r="D769" s="7" t="n">
        <v>0.887978120605454</v>
      </c>
      <c r="E769" s="7" t="n">
        <v>0.896067198222997</v>
      </c>
      <c r="F769" s="8" t="n">
        <f aca="true">IF(ROW()-2&gt;=Inputs!$B$4,AVERAGE(OFFSET(E769,1-Inputs!$B$4,0,Inputs!$B$4,1)),"")</f>
        <v>0.895461999792177</v>
      </c>
      <c r="G769" s="8" t="n">
        <f aca="true">IF(ROW()-2&gt;=Inputs!$B$5,AVERAGE(OFFSET(E769,1-Inputs!$B$5,0,Inputs!$B$5,1)),"")</f>
        <v>0.896240859153222</v>
      </c>
      <c r="H769" s="8" t="n">
        <f aca="false">MAX(C769-D769,ABS(C769-E768),ABS(D769-E768))</f>
        <v>0.0144928754261255</v>
      </c>
      <c r="I769" s="8" t="n">
        <f aca="true">IF(ROW()-2&lt;14,"",IF(ROW()-2=14,AVERAGE(OFFSET(H769,-13,0,14,1)),(I768*13+H769)/14))</f>
        <v>0.00988956745149875</v>
      </c>
      <c r="J769" s="9" t="b">
        <f aca="false">IF(AND(ISNUMBER(F769),ISNUMBER(G769),ISNUMBER(F768),ISNUMBER(G768)),AND(F769&gt;G769,F768&lt;=G768),FALSE())</f>
        <v>0</v>
      </c>
      <c r="K769" s="9" t="b">
        <f aca="false">IF(AND(ISNUMBER(F769),ISNUMBER(G769),ISNUMBER(F768),ISNUMBER(G768)),AND(F769&lt;G769,F768&gt;=G768),FALSE())</f>
        <v>0</v>
      </c>
      <c r="L769" s="8" t="n">
        <f aca="false">IF(ISNUMBER(I769),E769-Inputs!$B$6*I769,"")</f>
        <v>0.876288063319999</v>
      </c>
      <c r="M769" s="9" t="b">
        <f aca="false">AND(Y768&gt;0,Z768)</f>
        <v>0</v>
      </c>
      <c r="N769" s="8" t="n">
        <f aca="false">B769*(1-Inputs!$B$12)</f>
        <v>0.890561140439481</v>
      </c>
      <c r="O769" s="10" t="n">
        <f aca="false">IF(M769,Y768*(N769-AB768)-Inputs!$B$9-Y768*AD768*Inputs!$B$13*(A769-AC768),0)</f>
        <v>0</v>
      </c>
      <c r="P769" s="10" t="n">
        <f aca="false">X768+O769</f>
        <v>1008.86571900317</v>
      </c>
      <c r="Q769" s="9" t="b">
        <f aca="false">AND(IF(M769,0,Y768)=0,AA768,IF(ISNUMBER(AE768),B769&gt;AE768,FALSE()))</f>
        <v>0</v>
      </c>
      <c r="R769" s="8" t="n">
        <f aca="false">B769*(1+Inputs!$B$12)</f>
        <v>0.8909174361548</v>
      </c>
      <c r="S769" s="11" t="n">
        <f aca="false">IF(Q769,MIN(P769*Inputs!$B$3/(R769-AE768),P769*Inputs!$B$11/R769),0)</f>
        <v>0</v>
      </c>
      <c r="T769" s="11" t="n">
        <f aca="false">IF(Q769,S769,IF(M769,0,Y768))</f>
        <v>0</v>
      </c>
      <c r="U769" s="8" t="n">
        <f aca="false">IF(Q769,AE768,AF768)</f>
        <v>0.881481743637052</v>
      </c>
      <c r="V769" s="9" t="b">
        <f aca="false">AND(T769&gt;0,D769&lt;=U769)</f>
        <v>0</v>
      </c>
      <c r="W769" s="10" t="n">
        <f aca="false">IF(V769,T769*(AK769-AB769)-Inputs!$B$9-T769*AD769*Inputs!$B$13*(A769-AC769),0)</f>
        <v>0</v>
      </c>
      <c r="X769" s="10" t="n">
        <f aca="false">P769-IF(Q769,Inputs!$B$9,0)+W769</f>
        <v>1008.86571900317</v>
      </c>
      <c r="Y769" s="11" t="n">
        <f aca="false">IF(V769,0,T769)</f>
        <v>0</v>
      </c>
      <c r="Z769" s="9" t="b">
        <f aca="false">AND(Y769&gt;0,K769)</f>
        <v>0</v>
      </c>
      <c r="AA769" s="9" t="b">
        <f aca="false">AND(Y769=0,J769,ISNUMBER(L769))</f>
        <v>0</v>
      </c>
      <c r="AB769" s="8" t="n">
        <f aca="false">IF(Q769,R769,AB768)</f>
        <v>0.901098815227061</v>
      </c>
      <c r="AC769" s="12" t="n">
        <f aca="false">IF(Q769,A769,AC768)</f>
        <v>45543</v>
      </c>
      <c r="AD769" s="8" t="n">
        <f aca="false">IF(Q769,B769,AD768)</f>
        <v>0.900918631500761</v>
      </c>
      <c r="AE769" s="8" t="str">
        <f aca="false">IF(AA769,L769,"")</f>
        <v/>
      </c>
      <c r="AF769" s="8" t="n">
        <f aca="false">U769</f>
        <v>0.881481743637052</v>
      </c>
      <c r="AG769" s="2" t="n">
        <f aca="false">AG768+IF(Q769,1,0)</f>
        <v>6</v>
      </c>
      <c r="AH769" s="2" t="n">
        <f aca="false">AG768</f>
        <v>6</v>
      </c>
      <c r="AI769" s="10" t="n">
        <f aca="false">X769+Y769*(E769-AB769)-Y769*AD769*Inputs!$B$13*(A769-AC769)</f>
        <v>1008.86571900317</v>
      </c>
      <c r="AJ769" s="10" t="n">
        <v>0</v>
      </c>
      <c r="AK769" s="8" t="n">
        <f aca="false">IF(AND(B769&lt;=U769,NOT(Q769)),B769,U769)*(1-Inputs!$B$12)</f>
        <v>0.881305447288324</v>
      </c>
    </row>
    <row r="770" customFormat="false" ht="15" hidden="false" customHeight="false" outlineLevel="0" collapsed="false">
      <c r="A770" s="6" t="n">
        <v>45554</v>
      </c>
      <c r="B770" s="7" t="n">
        <v>0.896067198222997</v>
      </c>
      <c r="C770" s="7" t="n">
        <v>0.898659445427435</v>
      </c>
      <c r="D770" s="7" t="n">
        <v>0.895847157479168</v>
      </c>
      <c r="E770" s="7" t="n">
        <v>0.898367362893266</v>
      </c>
      <c r="F770" s="8" t="n">
        <f aca="true">IF(ROW()-2&gt;=Inputs!$B$4,AVERAGE(OFFSET(E770,1-Inputs!$B$4,0,Inputs!$B$4,1)),"")</f>
        <v>0.895051063100665</v>
      </c>
      <c r="G770" s="8" t="n">
        <f aca="true">IF(ROW()-2&gt;=Inputs!$B$5,AVERAGE(OFFSET(E770,1-Inputs!$B$5,0,Inputs!$B$5,1)),"")</f>
        <v>0.8961371303274</v>
      </c>
      <c r="H770" s="8" t="n">
        <f aca="false">MAX(C770-D770,ABS(C770-E769),ABS(D770-E769))</f>
        <v>0.0028122879482666</v>
      </c>
      <c r="I770" s="8" t="n">
        <f aca="true">IF(ROW()-2&lt;14,"",IF(ROW()-2=14,AVERAGE(OFFSET(H770,-13,0,14,1)),(I769*13+H770)/14))</f>
        <v>0.00938404748698217</v>
      </c>
      <c r="J770" s="9" t="b">
        <f aca="false">IF(AND(ISNUMBER(F770),ISNUMBER(G770),ISNUMBER(F769),ISNUMBER(G769)),AND(F770&gt;G770,F769&lt;=G769),FALSE())</f>
        <v>0</v>
      </c>
      <c r="K770" s="9" t="b">
        <f aca="false">IF(AND(ISNUMBER(F770),ISNUMBER(G770),ISNUMBER(F769),ISNUMBER(G769)),AND(F770&lt;G770,F769&gt;=G769),FALSE())</f>
        <v>0</v>
      </c>
      <c r="L770" s="8" t="n">
        <f aca="false">IF(ISNUMBER(I770),E770-Inputs!$B$6*I770,"")</f>
        <v>0.879599267919301</v>
      </c>
      <c r="M770" s="9" t="b">
        <f aca="false">AND(Y769&gt;0,Z769)</f>
        <v>0</v>
      </c>
      <c r="N770" s="8" t="n">
        <f aca="false">B770*(1-Inputs!$B$12)</f>
        <v>0.895887984783352</v>
      </c>
      <c r="O770" s="10" t="n">
        <f aca="false">IF(M770,Y769*(N770-AB769)-Inputs!$B$9-Y769*AD769*Inputs!$B$13*(A770-AC769),0)</f>
        <v>0</v>
      </c>
      <c r="P770" s="10" t="n">
        <f aca="false">X769+O770</f>
        <v>1008.86571900317</v>
      </c>
      <c r="Q770" s="9" t="b">
        <f aca="false">AND(IF(M770,0,Y769)=0,AA769,IF(ISNUMBER(AE769),B770&gt;AE769,FALSE()))</f>
        <v>0</v>
      </c>
      <c r="R770" s="8" t="n">
        <f aca="false">B770*(1+Inputs!$B$12)</f>
        <v>0.896246411662641</v>
      </c>
      <c r="S770" s="11" t="n">
        <f aca="false">IF(Q770,MIN(P770*Inputs!$B$3/(R770-AE769),P770*Inputs!$B$11/R770),0)</f>
        <v>0</v>
      </c>
      <c r="T770" s="11" t="n">
        <f aca="false">IF(Q770,S770,IF(M770,0,Y769))</f>
        <v>0</v>
      </c>
      <c r="U770" s="8" t="n">
        <f aca="false">IF(Q770,AE769,AF769)</f>
        <v>0.881481743637052</v>
      </c>
      <c r="V770" s="9" t="b">
        <f aca="false">AND(T770&gt;0,D770&lt;=U770)</f>
        <v>0</v>
      </c>
      <c r="W770" s="10" t="n">
        <f aca="false">IF(V770,T770*(AK770-AB770)-Inputs!$B$9-T770*AD770*Inputs!$B$13*(A770-AC770),0)</f>
        <v>0</v>
      </c>
      <c r="X770" s="10" t="n">
        <f aca="false">P770-IF(Q770,Inputs!$B$9,0)+W770</f>
        <v>1008.86571900317</v>
      </c>
      <c r="Y770" s="11" t="n">
        <f aca="false">IF(V770,0,T770)</f>
        <v>0</v>
      </c>
      <c r="Z770" s="9" t="b">
        <f aca="false">AND(Y770&gt;0,K770)</f>
        <v>0</v>
      </c>
      <c r="AA770" s="9" t="b">
        <f aca="false">AND(Y770=0,J770,ISNUMBER(L770))</f>
        <v>0</v>
      </c>
      <c r="AB770" s="8" t="n">
        <f aca="false">IF(Q770,R770,AB769)</f>
        <v>0.901098815227061</v>
      </c>
      <c r="AC770" s="12" t="n">
        <f aca="false">IF(Q770,A770,AC769)</f>
        <v>45543</v>
      </c>
      <c r="AD770" s="8" t="n">
        <f aca="false">IF(Q770,B770,AD769)</f>
        <v>0.900918631500761</v>
      </c>
      <c r="AE770" s="8" t="str">
        <f aca="false">IF(AA770,L770,"")</f>
        <v/>
      </c>
      <c r="AF770" s="8" t="n">
        <f aca="false">U770</f>
        <v>0.881481743637052</v>
      </c>
      <c r="AG770" s="2" t="n">
        <f aca="false">AG769+IF(Q770,1,0)</f>
        <v>6</v>
      </c>
      <c r="AH770" s="2" t="n">
        <f aca="false">AG769</f>
        <v>6</v>
      </c>
      <c r="AI770" s="10" t="n">
        <f aca="false">X770+Y770*(E770-AB770)-Y770*AD770*Inputs!$B$13*(A770-AC770)</f>
        <v>1008.86571900317</v>
      </c>
      <c r="AJ770" s="10" t="n">
        <v>0</v>
      </c>
      <c r="AK770" s="8" t="n">
        <f aca="false">IF(AND(B770&lt;=U770,NOT(Q770)),B770,U770)*(1-Inputs!$B$12)</f>
        <v>0.881305447288324</v>
      </c>
    </row>
    <row r="771" customFormat="false" ht="15" hidden="false" customHeight="false" outlineLevel="0" collapsed="false">
      <c r="A771" s="6" t="n">
        <v>45555</v>
      </c>
      <c r="B771" s="7" t="n">
        <v>0.898367362893266</v>
      </c>
      <c r="C771" s="7" t="n">
        <v>0.904506400723048</v>
      </c>
      <c r="D771" s="7" t="n">
        <v>0.89654834264913</v>
      </c>
      <c r="E771" s="7" t="n">
        <v>0.901581874732747</v>
      </c>
      <c r="F771" s="8" t="n">
        <f aca="true">IF(ROW()-2&gt;=Inputs!$B$4,AVERAGE(OFFSET(E771,1-Inputs!$B$4,0,Inputs!$B$4,1)),"")</f>
        <v>0.895045226880529</v>
      </c>
      <c r="G771" s="8" t="n">
        <f aca="true">IF(ROW()-2&gt;=Inputs!$B$5,AVERAGE(OFFSET(E771,1-Inputs!$B$5,0,Inputs!$B$5,1)),"")</f>
        <v>0.896125873240322</v>
      </c>
      <c r="H771" s="8" t="n">
        <f aca="false">MAX(C771-D771,ABS(C771-E770),ABS(D771-E770))</f>
        <v>0.00795805807391792</v>
      </c>
      <c r="I771" s="8" t="n">
        <f aca="true">IF(ROW()-2&lt;14,"",IF(ROW()-2=14,AVERAGE(OFFSET(H771,-13,0,14,1)),(I770*13+H771)/14))</f>
        <v>0.00928219110033472</v>
      </c>
      <c r="J771" s="9" t="b">
        <f aca="false">IF(AND(ISNUMBER(F771),ISNUMBER(G771),ISNUMBER(F770),ISNUMBER(G770)),AND(F771&gt;G771,F770&lt;=G770),FALSE())</f>
        <v>0</v>
      </c>
      <c r="K771" s="9" t="b">
        <f aca="false">IF(AND(ISNUMBER(F771),ISNUMBER(G771),ISNUMBER(F770),ISNUMBER(G770)),AND(F771&lt;G771,F770&gt;=G770),FALSE())</f>
        <v>0</v>
      </c>
      <c r="L771" s="8" t="n">
        <f aca="false">IF(ISNUMBER(I771),E771-Inputs!$B$6*I771,"")</f>
        <v>0.883017492532077</v>
      </c>
      <c r="M771" s="9" t="b">
        <f aca="false">AND(Y770&gt;0,Z770)</f>
        <v>0</v>
      </c>
      <c r="N771" s="8" t="n">
        <f aca="false">B771*(1-Inputs!$B$12)</f>
        <v>0.898187689420687</v>
      </c>
      <c r="O771" s="10" t="n">
        <f aca="false">IF(M771,Y770*(N771-AB770)-Inputs!$B$9-Y770*AD770*Inputs!$B$13*(A771-AC770),0)</f>
        <v>0</v>
      </c>
      <c r="P771" s="10" t="n">
        <f aca="false">X770+O771</f>
        <v>1008.86571900317</v>
      </c>
      <c r="Q771" s="9" t="b">
        <f aca="false">AND(IF(M771,0,Y770)=0,AA770,IF(ISNUMBER(AE770),B771&gt;AE770,FALSE()))</f>
        <v>0</v>
      </c>
      <c r="R771" s="8" t="n">
        <f aca="false">B771*(1+Inputs!$B$12)</f>
        <v>0.898547036365844</v>
      </c>
      <c r="S771" s="11" t="n">
        <f aca="false">IF(Q771,MIN(P771*Inputs!$B$3/(R771-AE770),P771*Inputs!$B$11/R771),0)</f>
        <v>0</v>
      </c>
      <c r="T771" s="11" t="n">
        <f aca="false">IF(Q771,S771,IF(M771,0,Y770))</f>
        <v>0</v>
      </c>
      <c r="U771" s="8" t="n">
        <f aca="false">IF(Q771,AE770,AF770)</f>
        <v>0.881481743637052</v>
      </c>
      <c r="V771" s="9" t="b">
        <f aca="false">AND(T771&gt;0,D771&lt;=U771)</f>
        <v>0</v>
      </c>
      <c r="W771" s="10" t="n">
        <f aca="false">IF(V771,T771*(AK771-AB771)-Inputs!$B$9-T771*AD771*Inputs!$B$13*(A771-AC771),0)</f>
        <v>0</v>
      </c>
      <c r="X771" s="10" t="n">
        <f aca="false">P771-IF(Q771,Inputs!$B$9,0)+W771</f>
        <v>1008.86571900317</v>
      </c>
      <c r="Y771" s="11" t="n">
        <f aca="false">IF(V771,0,T771)</f>
        <v>0</v>
      </c>
      <c r="Z771" s="9" t="b">
        <f aca="false">AND(Y771&gt;0,K771)</f>
        <v>0</v>
      </c>
      <c r="AA771" s="9" t="b">
        <f aca="false">AND(Y771=0,J771,ISNUMBER(L771))</f>
        <v>0</v>
      </c>
      <c r="AB771" s="8" t="n">
        <f aca="false">IF(Q771,R771,AB770)</f>
        <v>0.901098815227061</v>
      </c>
      <c r="AC771" s="12" t="n">
        <f aca="false">IF(Q771,A771,AC770)</f>
        <v>45543</v>
      </c>
      <c r="AD771" s="8" t="n">
        <f aca="false">IF(Q771,B771,AD770)</f>
        <v>0.900918631500761</v>
      </c>
      <c r="AE771" s="8" t="str">
        <f aca="false">IF(AA771,L771,"")</f>
        <v/>
      </c>
      <c r="AF771" s="8" t="n">
        <f aca="false">U771</f>
        <v>0.881481743637052</v>
      </c>
      <c r="AG771" s="2" t="n">
        <f aca="false">AG770+IF(Q771,1,0)</f>
        <v>6</v>
      </c>
      <c r="AH771" s="2" t="n">
        <f aca="false">AG770</f>
        <v>6</v>
      </c>
      <c r="AI771" s="10" t="n">
        <f aca="false">X771+Y771*(E771-AB771)-Y771*AD771*Inputs!$B$13*(A771-AC771)</f>
        <v>1008.86571900317</v>
      </c>
      <c r="AJ771" s="10" t="n">
        <v>0</v>
      </c>
      <c r="AK771" s="8" t="n">
        <f aca="false">IF(AND(B771&lt;=U771,NOT(Q771)),B771,U771)*(1-Inputs!$B$12)</f>
        <v>0.881305447288324</v>
      </c>
    </row>
    <row r="772" customFormat="false" ht="15" hidden="false" customHeight="false" outlineLevel="0" collapsed="false">
      <c r="A772" s="6" t="n">
        <v>45556</v>
      </c>
      <c r="B772" s="7" t="n">
        <v>0.901581874732747</v>
      </c>
      <c r="C772" s="7" t="n">
        <v>0.907971927365451</v>
      </c>
      <c r="D772" s="7" t="n">
        <v>0.900237354351157</v>
      </c>
      <c r="E772" s="7" t="n">
        <v>0.905151740417871</v>
      </c>
      <c r="F772" s="8" t="n">
        <f aca="true">IF(ROW()-2&gt;=Inputs!$B$4,AVERAGE(OFFSET(E772,1-Inputs!$B$4,0,Inputs!$B$4,1)),"")</f>
        <v>0.895563294627213</v>
      </c>
      <c r="G772" s="8" t="n">
        <f aca="true">IF(ROW()-2&gt;=Inputs!$B$5,AVERAGE(OFFSET(E772,1-Inputs!$B$5,0,Inputs!$B$5,1)),"")</f>
        <v>0.896174942181573</v>
      </c>
      <c r="H772" s="8" t="n">
        <f aca="false">MAX(C772-D772,ABS(C772-E771),ABS(D772-E771))</f>
        <v>0.00773457301429426</v>
      </c>
      <c r="I772" s="8" t="n">
        <f aca="true">IF(ROW()-2&lt;14,"",IF(ROW()-2=14,AVERAGE(OFFSET(H772,-13,0,14,1)),(I771*13+H772)/14))</f>
        <v>0.00917164695133183</v>
      </c>
      <c r="J772" s="9" t="b">
        <f aca="false">IF(AND(ISNUMBER(F772),ISNUMBER(G772),ISNUMBER(F771),ISNUMBER(G771)),AND(F772&gt;G772,F771&lt;=G771),FALSE())</f>
        <v>0</v>
      </c>
      <c r="K772" s="9" t="b">
        <f aca="false">IF(AND(ISNUMBER(F772),ISNUMBER(G772),ISNUMBER(F771),ISNUMBER(G771)),AND(F772&lt;G772,F771&gt;=G771),FALSE())</f>
        <v>0</v>
      </c>
      <c r="L772" s="8" t="n">
        <f aca="false">IF(ISNUMBER(I772),E772-Inputs!$B$6*I772,"")</f>
        <v>0.886808446515208</v>
      </c>
      <c r="M772" s="9" t="b">
        <f aca="false">AND(Y771&gt;0,Z771)</f>
        <v>0</v>
      </c>
      <c r="N772" s="8" t="n">
        <f aca="false">B772*(1-Inputs!$B$12)</f>
        <v>0.9014015583578</v>
      </c>
      <c r="O772" s="10" t="n">
        <f aca="false">IF(M772,Y771*(N772-AB771)-Inputs!$B$9-Y771*AD771*Inputs!$B$13*(A772-AC771),0)</f>
        <v>0</v>
      </c>
      <c r="P772" s="10" t="n">
        <f aca="false">X771+O772</f>
        <v>1008.86571900317</v>
      </c>
      <c r="Q772" s="9" t="b">
        <f aca="false">AND(IF(M772,0,Y771)=0,AA771,IF(ISNUMBER(AE771),B772&gt;AE771,FALSE()))</f>
        <v>0</v>
      </c>
      <c r="R772" s="8" t="n">
        <f aca="false">B772*(1+Inputs!$B$12)</f>
        <v>0.901762191107693</v>
      </c>
      <c r="S772" s="11" t="n">
        <f aca="false">IF(Q772,MIN(P772*Inputs!$B$3/(R772-AE771),P772*Inputs!$B$11/R772),0)</f>
        <v>0</v>
      </c>
      <c r="T772" s="11" t="n">
        <f aca="false">IF(Q772,S772,IF(M772,0,Y771))</f>
        <v>0</v>
      </c>
      <c r="U772" s="8" t="n">
        <f aca="false">IF(Q772,AE771,AF771)</f>
        <v>0.881481743637052</v>
      </c>
      <c r="V772" s="9" t="b">
        <f aca="false">AND(T772&gt;0,D772&lt;=U772)</f>
        <v>0</v>
      </c>
      <c r="W772" s="10" t="n">
        <f aca="false">IF(V772,T772*(AK772-AB772)-Inputs!$B$9-T772*AD772*Inputs!$B$13*(A772-AC772),0)</f>
        <v>0</v>
      </c>
      <c r="X772" s="10" t="n">
        <f aca="false">P772-IF(Q772,Inputs!$B$9,0)+W772</f>
        <v>1008.86571900317</v>
      </c>
      <c r="Y772" s="11" t="n">
        <f aca="false">IF(V772,0,T772)</f>
        <v>0</v>
      </c>
      <c r="Z772" s="9" t="b">
        <f aca="false">AND(Y772&gt;0,K772)</f>
        <v>0</v>
      </c>
      <c r="AA772" s="9" t="b">
        <f aca="false">AND(Y772=0,J772,ISNUMBER(L772))</f>
        <v>0</v>
      </c>
      <c r="AB772" s="8" t="n">
        <f aca="false">IF(Q772,R772,AB771)</f>
        <v>0.901098815227061</v>
      </c>
      <c r="AC772" s="12" t="n">
        <f aca="false">IF(Q772,A772,AC771)</f>
        <v>45543</v>
      </c>
      <c r="AD772" s="8" t="n">
        <f aca="false">IF(Q772,B772,AD771)</f>
        <v>0.900918631500761</v>
      </c>
      <c r="AE772" s="8" t="str">
        <f aca="false">IF(AA772,L772,"")</f>
        <v/>
      </c>
      <c r="AF772" s="8" t="n">
        <f aca="false">U772</f>
        <v>0.881481743637052</v>
      </c>
      <c r="AG772" s="2" t="n">
        <f aca="false">AG771+IF(Q772,1,0)</f>
        <v>6</v>
      </c>
      <c r="AH772" s="2" t="n">
        <f aca="false">AG771</f>
        <v>6</v>
      </c>
      <c r="AI772" s="10" t="n">
        <f aca="false">X772+Y772*(E772-AB772)-Y772*AD772*Inputs!$B$13*(A772-AC772)</f>
        <v>1008.86571900317</v>
      </c>
      <c r="AJ772" s="10" t="n">
        <v>0</v>
      </c>
      <c r="AK772" s="8" t="n">
        <f aca="false">IF(AND(B772&lt;=U772,NOT(Q772)),B772,U772)*(1-Inputs!$B$12)</f>
        <v>0.881305447288324</v>
      </c>
    </row>
    <row r="773" customFormat="false" ht="15" hidden="false" customHeight="false" outlineLevel="0" collapsed="false">
      <c r="A773" s="6" t="n">
        <v>45557</v>
      </c>
      <c r="B773" s="7" t="n">
        <v>0.905151740417871</v>
      </c>
      <c r="C773" s="7" t="n">
        <v>0.908793494219159</v>
      </c>
      <c r="D773" s="7" t="n">
        <v>0.901185983669883</v>
      </c>
      <c r="E773" s="7" t="n">
        <v>0.901266872501852</v>
      </c>
      <c r="F773" s="8" t="n">
        <f aca="true">IF(ROW()-2&gt;=Inputs!$B$4,AVERAGE(OFFSET(E773,1-Inputs!$B$4,0,Inputs!$B$4,1)),"")</f>
        <v>0.895645188849201</v>
      </c>
      <c r="G773" s="8" t="n">
        <f aca="true">IF(ROW()-2&gt;=Inputs!$B$5,AVERAGE(OFFSET(E773,1-Inputs!$B$5,0,Inputs!$B$5,1)),"")</f>
        <v>0.896277240153674</v>
      </c>
      <c r="H773" s="8" t="n">
        <f aca="false">MAX(C773-D773,ABS(C773-E772),ABS(D773-E772))</f>
        <v>0.00760751054927655</v>
      </c>
      <c r="I773" s="8" t="n">
        <f aca="true">IF(ROW()-2&lt;14,"",IF(ROW()-2=14,AVERAGE(OFFSET(H773,-13,0,14,1)),(I772*13+H773)/14))</f>
        <v>0.0090599229226136</v>
      </c>
      <c r="J773" s="9" t="b">
        <f aca="false">IF(AND(ISNUMBER(F773),ISNUMBER(G773),ISNUMBER(F772),ISNUMBER(G772)),AND(F773&gt;G773,F772&lt;=G772),FALSE())</f>
        <v>0</v>
      </c>
      <c r="K773" s="9" t="b">
        <f aca="false">IF(AND(ISNUMBER(F773),ISNUMBER(G773),ISNUMBER(F772),ISNUMBER(G772)),AND(F773&lt;G773,F772&gt;=G772),FALSE())</f>
        <v>0</v>
      </c>
      <c r="L773" s="8" t="n">
        <f aca="false">IF(ISNUMBER(I773),E773-Inputs!$B$6*I773,"")</f>
        <v>0.883147026656625</v>
      </c>
      <c r="M773" s="9" t="b">
        <f aca="false">AND(Y772&gt;0,Z772)</f>
        <v>0</v>
      </c>
      <c r="N773" s="8" t="n">
        <f aca="false">B773*(1-Inputs!$B$12)</f>
        <v>0.904970710069788</v>
      </c>
      <c r="O773" s="10" t="n">
        <f aca="false">IF(M773,Y772*(N773-AB772)-Inputs!$B$9-Y772*AD772*Inputs!$B$13*(A773-AC772),0)</f>
        <v>0</v>
      </c>
      <c r="P773" s="10" t="n">
        <f aca="false">X772+O773</f>
        <v>1008.86571900317</v>
      </c>
      <c r="Q773" s="9" t="b">
        <f aca="false">AND(IF(M773,0,Y772)=0,AA772,IF(ISNUMBER(AE772),B773&gt;AE772,FALSE()))</f>
        <v>0</v>
      </c>
      <c r="R773" s="8" t="n">
        <f aca="false">B773*(1+Inputs!$B$12)</f>
        <v>0.905332770765955</v>
      </c>
      <c r="S773" s="11" t="n">
        <f aca="false">IF(Q773,MIN(P773*Inputs!$B$3/(R773-AE772),P773*Inputs!$B$11/R773),0)</f>
        <v>0</v>
      </c>
      <c r="T773" s="11" t="n">
        <f aca="false">IF(Q773,S773,IF(M773,0,Y772))</f>
        <v>0</v>
      </c>
      <c r="U773" s="8" t="n">
        <f aca="false">IF(Q773,AE772,AF772)</f>
        <v>0.881481743637052</v>
      </c>
      <c r="V773" s="9" t="b">
        <f aca="false">AND(T773&gt;0,D773&lt;=U773)</f>
        <v>0</v>
      </c>
      <c r="W773" s="10" t="n">
        <f aca="false">IF(V773,T773*(AK773-AB773)-Inputs!$B$9-T773*AD773*Inputs!$B$13*(A773-AC773),0)</f>
        <v>0</v>
      </c>
      <c r="X773" s="10" t="n">
        <f aca="false">P773-IF(Q773,Inputs!$B$9,0)+W773</f>
        <v>1008.86571900317</v>
      </c>
      <c r="Y773" s="11" t="n">
        <f aca="false">IF(V773,0,T773)</f>
        <v>0</v>
      </c>
      <c r="Z773" s="9" t="b">
        <f aca="false">AND(Y773&gt;0,K773)</f>
        <v>0</v>
      </c>
      <c r="AA773" s="9" t="b">
        <f aca="false">AND(Y773=0,J773,ISNUMBER(L773))</f>
        <v>0</v>
      </c>
      <c r="AB773" s="8" t="n">
        <f aca="false">IF(Q773,R773,AB772)</f>
        <v>0.901098815227061</v>
      </c>
      <c r="AC773" s="12" t="n">
        <f aca="false">IF(Q773,A773,AC772)</f>
        <v>45543</v>
      </c>
      <c r="AD773" s="8" t="n">
        <f aca="false">IF(Q773,B773,AD772)</f>
        <v>0.900918631500761</v>
      </c>
      <c r="AE773" s="8" t="str">
        <f aca="false">IF(AA773,L773,"")</f>
        <v/>
      </c>
      <c r="AF773" s="8" t="n">
        <f aca="false">U773</f>
        <v>0.881481743637052</v>
      </c>
      <c r="AG773" s="2" t="n">
        <f aca="false">AG772+IF(Q773,1,0)</f>
        <v>6</v>
      </c>
      <c r="AH773" s="2" t="n">
        <f aca="false">AG772</f>
        <v>6</v>
      </c>
      <c r="AI773" s="10" t="n">
        <f aca="false">X773+Y773*(E773-AB773)-Y773*AD773*Inputs!$B$13*(A773-AC773)</f>
        <v>1008.86571900317</v>
      </c>
      <c r="AJ773" s="10" t="n">
        <v>0</v>
      </c>
      <c r="AK773" s="8" t="n">
        <f aca="false">IF(AND(B773&lt;=U773,NOT(Q773)),B773,U773)*(1-Inputs!$B$12)</f>
        <v>0.881305447288324</v>
      </c>
    </row>
    <row r="774" customFormat="false" ht="15" hidden="false" customHeight="false" outlineLevel="0" collapsed="false">
      <c r="A774" s="6" t="n">
        <v>45558</v>
      </c>
      <c r="B774" s="7" t="n">
        <v>0.901266872501852</v>
      </c>
      <c r="C774" s="7" t="n">
        <v>0.912812794594898</v>
      </c>
      <c r="D774" s="7" t="n">
        <v>0.897448164911996</v>
      </c>
      <c r="E774" s="7" t="n">
        <v>0.905668884733012</v>
      </c>
      <c r="F774" s="8" t="n">
        <f aca="true">IF(ROW()-2&gt;=Inputs!$B$4,AVERAGE(OFFSET(E774,1-Inputs!$B$4,0,Inputs!$B$4,1)),"")</f>
        <v>0.895843305249183</v>
      </c>
      <c r="G774" s="8" t="n">
        <f aca="true">IF(ROW()-2&gt;=Inputs!$B$5,AVERAGE(OFFSET(E774,1-Inputs!$B$5,0,Inputs!$B$5,1)),"")</f>
        <v>0.896494897665487</v>
      </c>
      <c r="H774" s="8" t="n">
        <f aca="false">MAX(C774-D774,ABS(C774-E773),ABS(D774-E773))</f>
        <v>0.015364629682902</v>
      </c>
      <c r="I774" s="8" t="n">
        <f aca="true">IF(ROW()-2&lt;14,"",IF(ROW()-2=14,AVERAGE(OFFSET(H774,-13,0,14,1)),(I773*13+H774)/14))</f>
        <v>0.00951025911977705</v>
      </c>
      <c r="J774" s="9" t="b">
        <f aca="false">IF(AND(ISNUMBER(F774),ISNUMBER(G774),ISNUMBER(F773),ISNUMBER(G773)),AND(F774&gt;G774,F773&lt;=G773),FALSE())</f>
        <v>0</v>
      </c>
      <c r="K774" s="9" t="b">
        <f aca="false">IF(AND(ISNUMBER(F774),ISNUMBER(G774),ISNUMBER(F773),ISNUMBER(G773)),AND(F774&lt;G774,F773&gt;=G773),FALSE())</f>
        <v>0</v>
      </c>
      <c r="L774" s="8" t="n">
        <f aca="false">IF(ISNUMBER(I774),E774-Inputs!$B$6*I774,"")</f>
        <v>0.886648366493458</v>
      </c>
      <c r="M774" s="9" t="b">
        <f aca="false">AND(Y773&gt;0,Z773)</f>
        <v>0</v>
      </c>
      <c r="N774" s="8" t="n">
        <f aca="false">B774*(1-Inputs!$B$12)</f>
        <v>0.901086619127352</v>
      </c>
      <c r="O774" s="10" t="n">
        <f aca="false">IF(M774,Y773*(N774-AB773)-Inputs!$B$9-Y773*AD773*Inputs!$B$13*(A774-AC773),0)</f>
        <v>0</v>
      </c>
      <c r="P774" s="10" t="n">
        <f aca="false">X773+O774</f>
        <v>1008.86571900317</v>
      </c>
      <c r="Q774" s="9" t="b">
        <f aca="false">AND(IF(M774,0,Y773)=0,AA773,IF(ISNUMBER(AE773),B774&gt;AE773,FALSE()))</f>
        <v>0</v>
      </c>
      <c r="R774" s="8" t="n">
        <f aca="false">B774*(1+Inputs!$B$12)</f>
        <v>0.901447125876353</v>
      </c>
      <c r="S774" s="11" t="n">
        <f aca="false">IF(Q774,MIN(P774*Inputs!$B$3/(R774-AE773),P774*Inputs!$B$11/R774),0)</f>
        <v>0</v>
      </c>
      <c r="T774" s="11" t="n">
        <f aca="false">IF(Q774,S774,IF(M774,0,Y773))</f>
        <v>0</v>
      </c>
      <c r="U774" s="8" t="n">
        <f aca="false">IF(Q774,AE773,AF773)</f>
        <v>0.881481743637052</v>
      </c>
      <c r="V774" s="9" t="b">
        <f aca="false">AND(T774&gt;0,D774&lt;=U774)</f>
        <v>0</v>
      </c>
      <c r="W774" s="10" t="n">
        <f aca="false">IF(V774,T774*(AK774-AB774)-Inputs!$B$9-T774*AD774*Inputs!$B$13*(A774-AC774),0)</f>
        <v>0</v>
      </c>
      <c r="X774" s="10" t="n">
        <f aca="false">P774-IF(Q774,Inputs!$B$9,0)+W774</f>
        <v>1008.86571900317</v>
      </c>
      <c r="Y774" s="11" t="n">
        <f aca="false">IF(V774,0,T774)</f>
        <v>0</v>
      </c>
      <c r="Z774" s="9" t="b">
        <f aca="false">AND(Y774&gt;0,K774)</f>
        <v>0</v>
      </c>
      <c r="AA774" s="9" t="b">
        <f aca="false">AND(Y774=0,J774,ISNUMBER(L774))</f>
        <v>0</v>
      </c>
      <c r="AB774" s="8" t="n">
        <f aca="false">IF(Q774,R774,AB773)</f>
        <v>0.901098815227061</v>
      </c>
      <c r="AC774" s="12" t="n">
        <f aca="false">IF(Q774,A774,AC773)</f>
        <v>45543</v>
      </c>
      <c r="AD774" s="8" t="n">
        <f aca="false">IF(Q774,B774,AD773)</f>
        <v>0.900918631500761</v>
      </c>
      <c r="AE774" s="8" t="str">
        <f aca="false">IF(AA774,L774,"")</f>
        <v/>
      </c>
      <c r="AF774" s="8" t="n">
        <f aca="false">U774</f>
        <v>0.881481743637052</v>
      </c>
      <c r="AG774" s="2" t="n">
        <f aca="false">AG773+IF(Q774,1,0)</f>
        <v>6</v>
      </c>
      <c r="AH774" s="2" t="n">
        <f aca="false">AG773</f>
        <v>6</v>
      </c>
      <c r="AI774" s="10" t="n">
        <f aca="false">X774+Y774*(E774-AB774)-Y774*AD774*Inputs!$B$13*(A774-AC774)</f>
        <v>1008.86571900317</v>
      </c>
      <c r="AJ774" s="10" t="n">
        <v>0</v>
      </c>
      <c r="AK774" s="8" t="n">
        <f aca="false">IF(AND(B774&lt;=U774,NOT(Q774)),B774,U774)*(1-Inputs!$B$12)</f>
        <v>0.881305447288324</v>
      </c>
    </row>
    <row r="775" customFormat="false" ht="15" hidden="false" customHeight="false" outlineLevel="0" collapsed="false">
      <c r="A775" s="6" t="n">
        <v>45559</v>
      </c>
      <c r="B775" s="7" t="n">
        <v>0.905668884733012</v>
      </c>
      <c r="C775" s="7" t="n">
        <v>0.910732284397846</v>
      </c>
      <c r="D775" s="7" t="n">
        <v>0.904388542155454</v>
      </c>
      <c r="E775" s="7" t="n">
        <v>0.909105648078902</v>
      </c>
      <c r="F775" s="8" t="n">
        <f aca="true">IF(ROW()-2&gt;=Inputs!$B$4,AVERAGE(OFFSET(E775,1-Inputs!$B$4,0,Inputs!$B$4,1)),"")</f>
        <v>0.895931341032162</v>
      </c>
      <c r="G775" s="8" t="n">
        <f aca="true">IF(ROW()-2&gt;=Inputs!$B$5,AVERAGE(OFFSET(E775,1-Inputs!$B$5,0,Inputs!$B$5,1)),"")</f>
        <v>0.896655785710433</v>
      </c>
      <c r="H775" s="8" t="n">
        <f aca="false">MAX(C775-D775,ABS(C775-E774),ABS(D775-E774))</f>
        <v>0.00634374224239231</v>
      </c>
      <c r="I775" s="8" t="n">
        <f aca="true">IF(ROW()-2&lt;14,"",IF(ROW()-2=14,AVERAGE(OFFSET(H775,-13,0,14,1)),(I774*13+H775)/14))</f>
        <v>0.009284079342821</v>
      </c>
      <c r="J775" s="9" t="b">
        <f aca="false">IF(AND(ISNUMBER(F775),ISNUMBER(G775),ISNUMBER(F774),ISNUMBER(G774)),AND(F775&gt;G775,F774&lt;=G774),FALSE())</f>
        <v>0</v>
      </c>
      <c r="K775" s="9" t="b">
        <f aca="false">IF(AND(ISNUMBER(F775),ISNUMBER(G775),ISNUMBER(F774),ISNUMBER(G774)),AND(F775&lt;G775,F774&gt;=G774),FALSE())</f>
        <v>0</v>
      </c>
      <c r="L775" s="8" t="n">
        <f aca="false">IF(ISNUMBER(I775),E775-Inputs!$B$6*I775,"")</f>
        <v>0.89053748939326</v>
      </c>
      <c r="M775" s="9" t="b">
        <f aca="false">AND(Y774&gt;0,Z774)</f>
        <v>0</v>
      </c>
      <c r="N775" s="8" t="n">
        <f aca="false">B775*(1-Inputs!$B$12)</f>
        <v>0.905487750956066</v>
      </c>
      <c r="O775" s="10" t="n">
        <f aca="false">IF(M775,Y774*(N775-AB774)-Inputs!$B$9-Y774*AD774*Inputs!$B$13*(A775-AC774),0)</f>
        <v>0</v>
      </c>
      <c r="P775" s="10" t="n">
        <f aca="false">X774+O775</f>
        <v>1008.86571900317</v>
      </c>
      <c r="Q775" s="9" t="b">
        <f aca="false">AND(IF(M775,0,Y774)=0,AA774,IF(ISNUMBER(AE774),B775&gt;AE774,FALSE()))</f>
        <v>0</v>
      </c>
      <c r="R775" s="8" t="n">
        <f aca="false">B775*(1+Inputs!$B$12)</f>
        <v>0.905850018509959</v>
      </c>
      <c r="S775" s="11" t="n">
        <f aca="false">IF(Q775,MIN(P775*Inputs!$B$3/(R775-AE774),P775*Inputs!$B$11/R775),0)</f>
        <v>0</v>
      </c>
      <c r="T775" s="11" t="n">
        <f aca="false">IF(Q775,S775,IF(M775,0,Y774))</f>
        <v>0</v>
      </c>
      <c r="U775" s="8" t="n">
        <f aca="false">IF(Q775,AE774,AF774)</f>
        <v>0.881481743637052</v>
      </c>
      <c r="V775" s="9" t="b">
        <f aca="false">AND(T775&gt;0,D775&lt;=U775)</f>
        <v>0</v>
      </c>
      <c r="W775" s="10" t="n">
        <f aca="false">IF(V775,T775*(AK775-AB775)-Inputs!$B$9-T775*AD775*Inputs!$B$13*(A775-AC775),0)</f>
        <v>0</v>
      </c>
      <c r="X775" s="10" t="n">
        <f aca="false">P775-IF(Q775,Inputs!$B$9,0)+W775</f>
        <v>1008.86571900317</v>
      </c>
      <c r="Y775" s="11" t="n">
        <f aca="false">IF(V775,0,T775)</f>
        <v>0</v>
      </c>
      <c r="Z775" s="9" t="b">
        <f aca="false">AND(Y775&gt;0,K775)</f>
        <v>0</v>
      </c>
      <c r="AA775" s="9" t="b">
        <f aca="false">AND(Y775=0,J775,ISNUMBER(L775))</f>
        <v>0</v>
      </c>
      <c r="AB775" s="8" t="n">
        <f aca="false">IF(Q775,R775,AB774)</f>
        <v>0.901098815227061</v>
      </c>
      <c r="AC775" s="12" t="n">
        <f aca="false">IF(Q775,A775,AC774)</f>
        <v>45543</v>
      </c>
      <c r="AD775" s="8" t="n">
        <f aca="false">IF(Q775,B775,AD774)</f>
        <v>0.900918631500761</v>
      </c>
      <c r="AE775" s="8" t="str">
        <f aca="false">IF(AA775,L775,"")</f>
        <v/>
      </c>
      <c r="AF775" s="8" t="n">
        <f aca="false">U775</f>
        <v>0.881481743637052</v>
      </c>
      <c r="AG775" s="2" t="n">
        <f aca="false">AG774+IF(Q775,1,0)</f>
        <v>6</v>
      </c>
      <c r="AH775" s="2" t="n">
        <f aca="false">AG774</f>
        <v>6</v>
      </c>
      <c r="AI775" s="10" t="n">
        <f aca="false">X775+Y775*(E775-AB775)-Y775*AD775*Inputs!$B$13*(A775-AC775)</f>
        <v>1008.86571900317</v>
      </c>
      <c r="AJ775" s="10" t="n">
        <v>0</v>
      </c>
      <c r="AK775" s="8" t="n">
        <f aca="false">IF(AND(B775&lt;=U775,NOT(Q775)),B775,U775)*(1-Inputs!$B$12)</f>
        <v>0.881305447288324</v>
      </c>
    </row>
    <row r="776" customFormat="false" ht="15" hidden="false" customHeight="false" outlineLevel="0" collapsed="false">
      <c r="A776" s="6" t="n">
        <v>45560</v>
      </c>
      <c r="B776" s="7" t="n">
        <v>0.909105648078902</v>
      </c>
      <c r="C776" s="7" t="n">
        <v>0.918282505224013</v>
      </c>
      <c r="D776" s="7" t="n">
        <v>0.907399281809521</v>
      </c>
      <c r="E776" s="7" t="n">
        <v>0.915546754232615</v>
      </c>
      <c r="F776" s="8" t="n">
        <f aca="true">IF(ROW()-2&gt;=Inputs!$B$4,AVERAGE(OFFSET(E776,1-Inputs!$B$4,0,Inputs!$B$4,1)),"")</f>
        <v>0.896833367954207</v>
      </c>
      <c r="G776" s="8" t="n">
        <f aca="true">IF(ROW()-2&gt;=Inputs!$B$5,AVERAGE(OFFSET(E776,1-Inputs!$B$5,0,Inputs!$B$5,1)),"")</f>
        <v>0.896924252729721</v>
      </c>
      <c r="H776" s="8" t="n">
        <f aca="false">MAX(C776-D776,ABS(C776-E775),ABS(D776-E775))</f>
        <v>0.0108832234144917</v>
      </c>
      <c r="I776" s="8" t="n">
        <f aca="true">IF(ROW()-2&lt;14,"",IF(ROW()-2=14,AVERAGE(OFFSET(H776,-13,0,14,1)),(I775*13+H776)/14))</f>
        <v>0.0093983039193689</v>
      </c>
      <c r="J776" s="9" t="b">
        <f aca="false">IF(AND(ISNUMBER(F776),ISNUMBER(G776),ISNUMBER(F775),ISNUMBER(G775)),AND(F776&gt;G776,F775&lt;=G775),FALSE())</f>
        <v>0</v>
      </c>
      <c r="K776" s="9" t="b">
        <f aca="false">IF(AND(ISNUMBER(F776),ISNUMBER(G776),ISNUMBER(F775),ISNUMBER(G775)),AND(F776&lt;G776,F775&gt;=G775),FALSE())</f>
        <v>0</v>
      </c>
      <c r="L776" s="8" t="n">
        <f aca="false">IF(ISNUMBER(I776),E776-Inputs!$B$6*I776,"")</f>
        <v>0.896750146393877</v>
      </c>
      <c r="M776" s="9" t="b">
        <f aca="false">AND(Y775&gt;0,Z775)</f>
        <v>0</v>
      </c>
      <c r="N776" s="8" t="n">
        <f aca="false">B776*(1-Inputs!$B$12)</f>
        <v>0.908923826949286</v>
      </c>
      <c r="O776" s="10" t="n">
        <f aca="false">IF(M776,Y775*(N776-AB775)-Inputs!$B$9-Y775*AD775*Inputs!$B$13*(A776-AC775),0)</f>
        <v>0</v>
      </c>
      <c r="P776" s="10" t="n">
        <f aca="false">X775+O776</f>
        <v>1008.86571900317</v>
      </c>
      <c r="Q776" s="9" t="b">
        <f aca="false">AND(IF(M776,0,Y775)=0,AA775,IF(ISNUMBER(AE775),B776&gt;AE775,FALSE()))</f>
        <v>0</v>
      </c>
      <c r="R776" s="8" t="n">
        <f aca="false">B776*(1+Inputs!$B$12)</f>
        <v>0.909287469208518</v>
      </c>
      <c r="S776" s="11" t="n">
        <f aca="false">IF(Q776,MIN(P776*Inputs!$B$3/(R776-AE775),P776*Inputs!$B$11/R776),0)</f>
        <v>0</v>
      </c>
      <c r="T776" s="11" t="n">
        <f aca="false">IF(Q776,S776,IF(M776,0,Y775))</f>
        <v>0</v>
      </c>
      <c r="U776" s="8" t="n">
        <f aca="false">IF(Q776,AE775,AF775)</f>
        <v>0.881481743637052</v>
      </c>
      <c r="V776" s="9" t="b">
        <f aca="false">AND(T776&gt;0,D776&lt;=U776)</f>
        <v>0</v>
      </c>
      <c r="W776" s="10" t="n">
        <f aca="false">IF(V776,T776*(AK776-AB776)-Inputs!$B$9-T776*AD776*Inputs!$B$13*(A776-AC776),0)</f>
        <v>0</v>
      </c>
      <c r="X776" s="10" t="n">
        <f aca="false">P776-IF(Q776,Inputs!$B$9,0)+W776</f>
        <v>1008.86571900317</v>
      </c>
      <c r="Y776" s="11" t="n">
        <f aca="false">IF(V776,0,T776)</f>
        <v>0</v>
      </c>
      <c r="Z776" s="9" t="b">
        <f aca="false">AND(Y776&gt;0,K776)</f>
        <v>0</v>
      </c>
      <c r="AA776" s="9" t="b">
        <f aca="false">AND(Y776=0,J776,ISNUMBER(L776))</f>
        <v>0</v>
      </c>
      <c r="AB776" s="8" t="n">
        <f aca="false">IF(Q776,R776,AB775)</f>
        <v>0.901098815227061</v>
      </c>
      <c r="AC776" s="12" t="n">
        <f aca="false">IF(Q776,A776,AC775)</f>
        <v>45543</v>
      </c>
      <c r="AD776" s="8" t="n">
        <f aca="false">IF(Q776,B776,AD775)</f>
        <v>0.900918631500761</v>
      </c>
      <c r="AE776" s="8" t="str">
        <f aca="false">IF(AA776,L776,"")</f>
        <v/>
      </c>
      <c r="AF776" s="8" t="n">
        <f aca="false">U776</f>
        <v>0.881481743637052</v>
      </c>
      <c r="AG776" s="2" t="n">
        <f aca="false">AG775+IF(Q776,1,0)</f>
        <v>6</v>
      </c>
      <c r="AH776" s="2" t="n">
        <f aca="false">AG775</f>
        <v>6</v>
      </c>
      <c r="AI776" s="10" t="n">
        <f aca="false">X776+Y776*(E776-AB776)-Y776*AD776*Inputs!$B$13*(A776-AC776)</f>
        <v>1008.86571900317</v>
      </c>
      <c r="AJ776" s="10" t="n">
        <v>0</v>
      </c>
      <c r="AK776" s="8" t="n">
        <f aca="false">IF(AND(B776&lt;=U776,NOT(Q776)),B776,U776)*(1-Inputs!$B$12)</f>
        <v>0.881305447288324</v>
      </c>
    </row>
    <row r="777" customFormat="false" ht="15" hidden="false" customHeight="false" outlineLevel="0" collapsed="false">
      <c r="A777" s="6" t="n">
        <v>45561</v>
      </c>
      <c r="B777" s="7" t="n">
        <v>0.915546754232615</v>
      </c>
      <c r="C777" s="7" t="n">
        <v>0.916251404582892</v>
      </c>
      <c r="D777" s="7" t="n">
        <v>0.9028811388798</v>
      </c>
      <c r="E777" s="7" t="n">
        <v>0.908612916880285</v>
      </c>
      <c r="F777" s="8" t="n">
        <f aca="true">IF(ROW()-2&gt;=Inputs!$B$4,AVERAGE(OFFSET(E777,1-Inputs!$B$4,0,Inputs!$B$4,1)),"")</f>
        <v>0.897410299736305</v>
      </c>
      <c r="G777" s="8" t="n">
        <f aca="true">IF(ROW()-2&gt;=Inputs!$B$5,AVERAGE(OFFSET(E777,1-Inputs!$B$5,0,Inputs!$B$5,1)),"")</f>
        <v>0.897238482016178</v>
      </c>
      <c r="H777" s="8" t="n">
        <f aca="false">MAX(C777-D777,ABS(C777-E776),ABS(D777-E776))</f>
        <v>0.0133702657030912</v>
      </c>
      <c r="I777" s="8" t="n">
        <f aca="true">IF(ROW()-2&lt;14,"",IF(ROW()-2=14,AVERAGE(OFFSET(H777,-13,0,14,1)),(I776*13+H777)/14))</f>
        <v>0.00968201547534907</v>
      </c>
      <c r="J777" s="9" t="b">
        <f aca="false">IF(AND(ISNUMBER(F777),ISNUMBER(G777),ISNUMBER(F776),ISNUMBER(G776)),AND(F777&gt;G777,F776&lt;=G776),FALSE())</f>
        <v>1</v>
      </c>
      <c r="K777" s="9" t="b">
        <f aca="false">IF(AND(ISNUMBER(F777),ISNUMBER(G777),ISNUMBER(F776),ISNUMBER(G776)),AND(F777&lt;G777,F776&gt;=G776),FALSE())</f>
        <v>0</v>
      </c>
      <c r="L777" s="8" t="n">
        <f aca="false">IF(ISNUMBER(I777),E777-Inputs!$B$6*I777,"")</f>
        <v>0.889248885929587</v>
      </c>
      <c r="M777" s="9" t="b">
        <f aca="false">AND(Y776&gt;0,Z776)</f>
        <v>0</v>
      </c>
      <c r="N777" s="8" t="n">
        <f aca="false">B777*(1-Inputs!$B$12)</f>
        <v>0.915363644881769</v>
      </c>
      <c r="O777" s="10" t="n">
        <f aca="false">IF(M777,Y776*(N777-AB776)-Inputs!$B$9-Y776*AD776*Inputs!$B$13*(A777-AC776),0)</f>
        <v>0</v>
      </c>
      <c r="P777" s="10" t="n">
        <f aca="false">X776+O777</f>
        <v>1008.86571900317</v>
      </c>
      <c r="Q777" s="9" t="b">
        <f aca="false">AND(IF(M777,0,Y776)=0,AA776,IF(ISNUMBER(AE776),B777&gt;AE776,FALSE()))</f>
        <v>0</v>
      </c>
      <c r="R777" s="8" t="n">
        <f aca="false">B777*(1+Inputs!$B$12)</f>
        <v>0.915729863583462</v>
      </c>
      <c r="S777" s="11" t="n">
        <f aca="false">IF(Q777,MIN(P777*Inputs!$B$3/(R777-AE776),P777*Inputs!$B$11/R777),0)</f>
        <v>0</v>
      </c>
      <c r="T777" s="11" t="n">
        <f aca="false">IF(Q777,S777,IF(M777,0,Y776))</f>
        <v>0</v>
      </c>
      <c r="U777" s="8" t="n">
        <f aca="false">IF(Q777,AE776,AF776)</f>
        <v>0.881481743637052</v>
      </c>
      <c r="V777" s="9" t="b">
        <f aca="false">AND(T777&gt;0,D777&lt;=U777)</f>
        <v>0</v>
      </c>
      <c r="W777" s="10" t="n">
        <f aca="false">IF(V777,T777*(AK777-AB777)-Inputs!$B$9-T777*AD777*Inputs!$B$13*(A777-AC777),0)</f>
        <v>0</v>
      </c>
      <c r="X777" s="10" t="n">
        <f aca="false">P777-IF(Q777,Inputs!$B$9,0)+W777</f>
        <v>1008.86571900317</v>
      </c>
      <c r="Y777" s="11" t="n">
        <f aca="false">IF(V777,0,T777)</f>
        <v>0</v>
      </c>
      <c r="Z777" s="9" t="b">
        <f aca="false">AND(Y777&gt;0,K777)</f>
        <v>0</v>
      </c>
      <c r="AA777" s="9" t="b">
        <f aca="false">AND(Y777=0,J777,ISNUMBER(L777))</f>
        <v>1</v>
      </c>
      <c r="AB777" s="8" t="n">
        <f aca="false">IF(Q777,R777,AB776)</f>
        <v>0.901098815227061</v>
      </c>
      <c r="AC777" s="12" t="n">
        <f aca="false">IF(Q777,A777,AC776)</f>
        <v>45543</v>
      </c>
      <c r="AD777" s="8" t="n">
        <f aca="false">IF(Q777,B777,AD776)</f>
        <v>0.900918631500761</v>
      </c>
      <c r="AE777" s="8" t="n">
        <f aca="false">IF(AA777,L777,"")</f>
        <v>0.889248885929587</v>
      </c>
      <c r="AF777" s="8" t="n">
        <f aca="false">U777</f>
        <v>0.881481743637052</v>
      </c>
      <c r="AG777" s="2" t="n">
        <f aca="false">AG776+IF(Q777,1,0)</f>
        <v>6</v>
      </c>
      <c r="AH777" s="2" t="n">
        <f aca="false">AG776</f>
        <v>6</v>
      </c>
      <c r="AI777" s="10" t="n">
        <f aca="false">X777+Y777*(E777-AB777)-Y777*AD777*Inputs!$B$13*(A777-AC777)</f>
        <v>1008.86571900317</v>
      </c>
      <c r="AJ777" s="10" t="n">
        <v>0</v>
      </c>
      <c r="AK777" s="8" t="n">
        <f aca="false">IF(AND(B777&lt;=U777,NOT(Q777)),B777,U777)*(1-Inputs!$B$12)</f>
        <v>0.881305447288324</v>
      </c>
    </row>
    <row r="778" customFormat="false" ht="15" hidden="false" customHeight="false" outlineLevel="0" collapsed="false">
      <c r="A778" s="6" t="n">
        <v>45562</v>
      </c>
      <c r="B778" s="7" t="n">
        <v>0.908612916880285</v>
      </c>
      <c r="C778" s="7" t="n">
        <v>0.913023857490278</v>
      </c>
      <c r="D778" s="7" t="n">
        <v>0.893528921803775</v>
      </c>
      <c r="E778" s="7" t="n">
        <v>0.90091434533634</v>
      </c>
      <c r="F778" s="8" t="n">
        <f aca="true">IF(ROW()-2&gt;=Inputs!$B$4,AVERAGE(OFFSET(E778,1-Inputs!$B$4,0,Inputs!$B$4,1)),"")</f>
        <v>0.897410085428084</v>
      </c>
      <c r="G778" s="8" t="n">
        <f aca="true">IF(ROW()-2&gt;=Inputs!$B$5,AVERAGE(OFFSET(E778,1-Inputs!$B$5,0,Inputs!$B$5,1)),"")</f>
        <v>0.897309222731698</v>
      </c>
      <c r="H778" s="8" t="n">
        <f aca="false">MAX(C778-D778,ABS(C778-E777),ABS(D778-E777))</f>
        <v>0.0194949356865027</v>
      </c>
      <c r="I778" s="8" t="n">
        <f aca="true">IF(ROW()-2&lt;14,"",IF(ROW()-2=14,AVERAGE(OFFSET(H778,-13,0,14,1)),(I777*13+H778)/14))</f>
        <v>0.0103829383475743</v>
      </c>
      <c r="J778" s="9" t="b">
        <f aca="false">IF(AND(ISNUMBER(F778),ISNUMBER(G778),ISNUMBER(F777),ISNUMBER(G777)),AND(F778&gt;G778,F777&lt;=G777),FALSE())</f>
        <v>0</v>
      </c>
      <c r="K778" s="9" t="b">
        <f aca="false">IF(AND(ISNUMBER(F778),ISNUMBER(G778),ISNUMBER(F777),ISNUMBER(G777)),AND(F778&lt;G778,F777&gt;=G777),FALSE())</f>
        <v>0</v>
      </c>
      <c r="L778" s="8" t="n">
        <f aca="false">IF(ISNUMBER(I778),E778-Inputs!$B$6*I778,"")</f>
        <v>0.880148468641192</v>
      </c>
      <c r="M778" s="9" t="b">
        <f aca="false">AND(Y777&gt;0,Z777)</f>
        <v>0</v>
      </c>
      <c r="N778" s="8" t="n">
        <f aca="false">B778*(1-Inputs!$B$12)</f>
        <v>0.908431194296909</v>
      </c>
      <c r="O778" s="10" t="n">
        <f aca="false">IF(M778,Y777*(N778-AB777)-Inputs!$B$9-Y777*AD777*Inputs!$B$13*(A778-AC777),0)</f>
        <v>0</v>
      </c>
      <c r="P778" s="10" t="n">
        <f aca="false">X777+O778</f>
        <v>1008.86571900317</v>
      </c>
      <c r="Q778" s="9" t="b">
        <f aca="false">AND(IF(M778,0,Y777)=0,AA777,IF(ISNUMBER(AE777),B778&gt;AE777,FALSE()))</f>
        <v>1</v>
      </c>
      <c r="R778" s="8" t="n">
        <f aca="false">B778*(1+Inputs!$B$12)</f>
        <v>0.908794639463661</v>
      </c>
      <c r="S778" s="11" t="n">
        <f aca="false">IF(Q778,MIN(P778*Inputs!$B$3/(R778-AE777),P778*Inputs!$B$11/R778),0)</f>
        <v>516.155960548879</v>
      </c>
      <c r="T778" s="11" t="n">
        <f aca="false">IF(Q778,S778,IF(M778,0,Y777))</f>
        <v>516.155960548879</v>
      </c>
      <c r="U778" s="8" t="n">
        <f aca="false">IF(Q778,AE777,AF777)</f>
        <v>0.889248885929587</v>
      </c>
      <c r="V778" s="9" t="b">
        <f aca="false">AND(T778&gt;0,D778&lt;=U778)</f>
        <v>0</v>
      </c>
      <c r="W778" s="10" t="n">
        <f aca="false">IF(V778,T778*(AK778-AB778)-Inputs!$B$9-T778*AD778*Inputs!$B$13*(A778-AC778),0)</f>
        <v>0</v>
      </c>
      <c r="X778" s="10" t="n">
        <f aca="false">P778-IF(Q778,Inputs!$B$9,0)+W778</f>
        <v>1007.86571900317</v>
      </c>
      <c r="Y778" s="11" t="n">
        <f aca="false">IF(V778,0,T778)</f>
        <v>516.155960548879</v>
      </c>
      <c r="Z778" s="9" t="b">
        <f aca="false">AND(Y778&gt;0,K778)</f>
        <v>0</v>
      </c>
      <c r="AA778" s="9" t="b">
        <f aca="false">AND(Y778=0,J778,ISNUMBER(L778))</f>
        <v>0</v>
      </c>
      <c r="AB778" s="8" t="n">
        <f aca="false">IF(Q778,R778,AB777)</f>
        <v>0.908794639463661</v>
      </c>
      <c r="AC778" s="12" t="n">
        <f aca="false">IF(Q778,A778,AC777)</f>
        <v>45562</v>
      </c>
      <c r="AD778" s="8" t="n">
        <f aca="false">IF(Q778,B778,AD777)</f>
        <v>0.908612916880285</v>
      </c>
      <c r="AE778" s="8" t="str">
        <f aca="false">IF(AA778,L778,"")</f>
        <v/>
      </c>
      <c r="AF778" s="8" t="n">
        <f aca="false">U778</f>
        <v>0.889248885929587</v>
      </c>
      <c r="AG778" s="2" t="n">
        <f aca="false">AG777+IF(Q778,1,0)</f>
        <v>7</v>
      </c>
      <c r="AH778" s="2" t="n">
        <f aca="false">AG777</f>
        <v>6</v>
      </c>
      <c r="AI778" s="10" t="n">
        <f aca="false">X778+Y778*(E778-AB778)-Y778*AD778*Inputs!$B$13*(A778-AC778)</f>
        <v>1003.79825821848</v>
      </c>
      <c r="AJ778" s="10" t="n">
        <v>0</v>
      </c>
      <c r="AK778" s="8" t="n">
        <f aca="false">IF(AND(B778&lt;=U778,NOT(Q778)),B778,U778)*(1-Inputs!$B$12)</f>
        <v>0.889071036152401</v>
      </c>
    </row>
    <row r="779" customFormat="false" ht="15" hidden="false" customHeight="false" outlineLevel="0" collapsed="false">
      <c r="A779" s="6" t="n">
        <v>45563</v>
      </c>
      <c r="B779" s="7" t="n">
        <v>0.90091434533634</v>
      </c>
      <c r="C779" s="7" t="n">
        <v>0.90436409022075</v>
      </c>
      <c r="D779" s="7" t="n">
        <v>0.897621900559197</v>
      </c>
      <c r="E779" s="7" t="n">
        <v>0.90211169064262</v>
      </c>
      <c r="F779" s="8" t="n">
        <f aca="true">IF(ROW()-2&gt;=Inputs!$B$4,AVERAGE(OFFSET(E779,1-Inputs!$B$4,0,Inputs!$B$4,1)),"")</f>
        <v>0.897467712297559</v>
      </c>
      <c r="G779" s="8" t="n">
        <f aca="true">IF(ROW()-2&gt;=Inputs!$B$5,AVERAGE(OFFSET(E779,1-Inputs!$B$5,0,Inputs!$B$5,1)),"")</f>
        <v>0.8974490752499</v>
      </c>
      <c r="H779" s="8" t="n">
        <f aca="false">MAX(C779-D779,ABS(C779-E778),ABS(D779-E778))</f>
        <v>0.00674218966155293</v>
      </c>
      <c r="I779" s="8" t="n">
        <f aca="true">IF(ROW()-2&lt;14,"",IF(ROW()-2=14,AVERAGE(OFFSET(H779,-13,0,14,1)),(I778*13+H779)/14))</f>
        <v>0.0101228848700014</v>
      </c>
      <c r="J779" s="9" t="b">
        <f aca="false">IF(AND(ISNUMBER(F779),ISNUMBER(G779),ISNUMBER(F778),ISNUMBER(G778)),AND(F779&gt;G779,F778&lt;=G778),FALSE())</f>
        <v>0</v>
      </c>
      <c r="K779" s="9" t="b">
        <f aca="false">IF(AND(ISNUMBER(F779),ISNUMBER(G779),ISNUMBER(F778),ISNUMBER(G778)),AND(F779&lt;G779,F778&gt;=G778),FALSE())</f>
        <v>0</v>
      </c>
      <c r="L779" s="8" t="n">
        <f aca="false">IF(ISNUMBER(I779),E779-Inputs!$B$6*I779,"")</f>
        <v>0.881865920902617</v>
      </c>
      <c r="M779" s="9" t="b">
        <f aca="false">AND(Y778&gt;0,Z778)</f>
        <v>0</v>
      </c>
      <c r="N779" s="8" t="n">
        <f aca="false">B779*(1-Inputs!$B$12)</f>
        <v>0.900734162467273</v>
      </c>
      <c r="O779" s="10" t="n">
        <f aca="false">IF(M779,Y778*(N779-AB778)-Inputs!$B$9-Y778*AD778*Inputs!$B$13*(A779-AC778),0)</f>
        <v>0</v>
      </c>
      <c r="P779" s="10" t="n">
        <f aca="false">X778+O779</f>
        <v>1007.86571900317</v>
      </c>
      <c r="Q779" s="9" t="b">
        <f aca="false">AND(IF(M779,0,Y778)=0,AA778,IF(ISNUMBER(AE778),B779&gt;AE778,FALSE()))</f>
        <v>0</v>
      </c>
      <c r="R779" s="8" t="n">
        <f aca="false">B779*(1+Inputs!$B$12)</f>
        <v>0.901094528205408</v>
      </c>
      <c r="S779" s="11" t="n">
        <f aca="false">IF(Q779,MIN(P779*Inputs!$B$3/(R779-AE778),P779*Inputs!$B$11/R779),0)</f>
        <v>0</v>
      </c>
      <c r="T779" s="11" t="n">
        <f aca="false">IF(Q779,S779,IF(M779,0,Y778))</f>
        <v>516.155960548879</v>
      </c>
      <c r="U779" s="8" t="n">
        <f aca="false">IF(Q779,AE778,AF778)</f>
        <v>0.889248885929587</v>
      </c>
      <c r="V779" s="9" t="b">
        <f aca="false">AND(T779&gt;0,D779&lt;=U779)</f>
        <v>0</v>
      </c>
      <c r="W779" s="10" t="n">
        <f aca="false">IF(V779,T779*(AK779-AB779)-Inputs!$B$9-T779*AD779*Inputs!$B$13*(A779-AC779),0)</f>
        <v>0</v>
      </c>
      <c r="X779" s="10" t="n">
        <f aca="false">P779-IF(Q779,Inputs!$B$9,0)+W779</f>
        <v>1007.86571900317</v>
      </c>
      <c r="Y779" s="11" t="n">
        <f aca="false">IF(V779,0,T779)</f>
        <v>516.155960548879</v>
      </c>
      <c r="Z779" s="9" t="b">
        <f aca="false">AND(Y779&gt;0,K779)</f>
        <v>0</v>
      </c>
      <c r="AA779" s="9" t="b">
        <f aca="false">AND(Y779=0,J779,ISNUMBER(L779))</f>
        <v>0</v>
      </c>
      <c r="AB779" s="8" t="n">
        <f aca="false">IF(Q779,R779,AB778)</f>
        <v>0.908794639463661</v>
      </c>
      <c r="AC779" s="12" t="n">
        <f aca="false">IF(Q779,A779,AC778)</f>
        <v>45562</v>
      </c>
      <c r="AD779" s="8" t="n">
        <f aca="false">IF(Q779,B779,AD778)</f>
        <v>0.908612916880285</v>
      </c>
      <c r="AE779" s="8" t="str">
        <f aca="false">IF(AA779,L779,"")</f>
        <v/>
      </c>
      <c r="AF779" s="8" t="n">
        <f aca="false">U779</f>
        <v>0.889248885929587</v>
      </c>
      <c r="AG779" s="2" t="n">
        <f aca="false">AG778+IF(Q779,1,0)</f>
        <v>7</v>
      </c>
      <c r="AH779" s="2" t="n">
        <f aca="false">AG778</f>
        <v>7</v>
      </c>
      <c r="AI779" s="10" t="n">
        <f aca="false">X779+Y779*(E779-AB779)-Y779*AD779*Inputs!$B$13*(A779-AC779)</f>
        <v>1004.33275708518</v>
      </c>
      <c r="AJ779" s="10" t="n">
        <v>0</v>
      </c>
      <c r="AK779" s="8" t="n">
        <f aca="false">IF(AND(B779&lt;=U779,NOT(Q779)),B779,U779)*(1-Inputs!$B$12)</f>
        <v>0.889071036152401</v>
      </c>
    </row>
    <row r="780" customFormat="false" ht="15" hidden="false" customHeight="false" outlineLevel="0" collapsed="false">
      <c r="A780" s="6" t="n">
        <v>45564</v>
      </c>
      <c r="B780" s="7" t="n">
        <v>0.90211169064262</v>
      </c>
      <c r="C780" s="7" t="n">
        <v>0.90663418323142</v>
      </c>
      <c r="D780" s="7" t="n">
        <v>0.901105465002139</v>
      </c>
      <c r="E780" s="7" t="n">
        <v>0.905165916907481</v>
      </c>
      <c r="F780" s="8" t="n">
        <f aca="true">IF(ROW()-2&gt;=Inputs!$B$4,AVERAGE(OFFSET(E780,1-Inputs!$B$4,0,Inputs!$B$4,1)),"")</f>
        <v>0.897750659447383</v>
      </c>
      <c r="G780" s="8" t="n">
        <f aca="true">IF(ROW()-2&gt;=Inputs!$B$5,AVERAGE(OFFSET(E780,1-Inputs!$B$5,0,Inputs!$B$5,1)),"")</f>
        <v>0.897446316361687</v>
      </c>
      <c r="H780" s="8" t="n">
        <f aca="false">MAX(C780-D780,ABS(C780-E779),ABS(D780-E779))</f>
        <v>0.00552871822928147</v>
      </c>
      <c r="I780" s="8" t="n">
        <f aca="true">IF(ROW()-2&lt;14,"",IF(ROW()-2=14,AVERAGE(OFFSET(H780,-13,0,14,1)),(I779*13+H780)/14))</f>
        <v>0.00979473010994995</v>
      </c>
      <c r="J780" s="9" t="b">
        <f aca="false">IF(AND(ISNUMBER(F780),ISNUMBER(G780),ISNUMBER(F779),ISNUMBER(G779)),AND(F780&gt;G780,F779&lt;=G779),FALSE())</f>
        <v>0</v>
      </c>
      <c r="K780" s="9" t="b">
        <f aca="false">IF(AND(ISNUMBER(F780),ISNUMBER(G780),ISNUMBER(F779),ISNUMBER(G779)),AND(F780&lt;G780,F779&gt;=G779),FALSE())</f>
        <v>0</v>
      </c>
      <c r="L780" s="8" t="n">
        <f aca="false">IF(ISNUMBER(I780),E780-Inputs!$B$6*I780,"")</f>
        <v>0.885576456687581</v>
      </c>
      <c r="M780" s="9" t="b">
        <f aca="false">AND(Y779&gt;0,Z779)</f>
        <v>0</v>
      </c>
      <c r="N780" s="8" t="n">
        <f aca="false">B780*(1-Inputs!$B$12)</f>
        <v>0.901931268304491</v>
      </c>
      <c r="O780" s="10" t="n">
        <f aca="false">IF(M780,Y779*(N780-AB779)-Inputs!$B$9-Y779*AD779*Inputs!$B$13*(A780-AC779),0)</f>
        <v>0</v>
      </c>
      <c r="P780" s="10" t="n">
        <f aca="false">X779+O780</f>
        <v>1007.86571900317</v>
      </c>
      <c r="Q780" s="9" t="b">
        <f aca="false">AND(IF(M780,0,Y779)=0,AA779,IF(ISNUMBER(AE779),B780&gt;AE779,FALSE()))</f>
        <v>0</v>
      </c>
      <c r="R780" s="8" t="n">
        <f aca="false">B780*(1+Inputs!$B$12)</f>
        <v>0.902292112980748</v>
      </c>
      <c r="S780" s="11" t="n">
        <f aca="false">IF(Q780,MIN(P780*Inputs!$B$3/(R780-AE779),P780*Inputs!$B$11/R780),0)</f>
        <v>0</v>
      </c>
      <c r="T780" s="11" t="n">
        <f aca="false">IF(Q780,S780,IF(M780,0,Y779))</f>
        <v>516.155960548879</v>
      </c>
      <c r="U780" s="8" t="n">
        <f aca="false">IF(Q780,AE779,AF779)</f>
        <v>0.889248885929587</v>
      </c>
      <c r="V780" s="9" t="b">
        <f aca="false">AND(T780&gt;0,D780&lt;=U780)</f>
        <v>0</v>
      </c>
      <c r="W780" s="10" t="n">
        <f aca="false">IF(V780,T780*(AK780-AB780)-Inputs!$B$9-T780*AD780*Inputs!$B$13*(A780-AC780),0)</f>
        <v>0</v>
      </c>
      <c r="X780" s="10" t="n">
        <f aca="false">P780-IF(Q780,Inputs!$B$9,0)+W780</f>
        <v>1007.86571900317</v>
      </c>
      <c r="Y780" s="11" t="n">
        <f aca="false">IF(V780,0,T780)</f>
        <v>516.155960548879</v>
      </c>
      <c r="Z780" s="9" t="b">
        <f aca="false">AND(Y780&gt;0,K780)</f>
        <v>0</v>
      </c>
      <c r="AA780" s="9" t="b">
        <f aca="false">AND(Y780=0,J780,ISNUMBER(L780))</f>
        <v>0</v>
      </c>
      <c r="AB780" s="8" t="n">
        <f aca="false">IF(Q780,R780,AB779)</f>
        <v>0.908794639463661</v>
      </c>
      <c r="AC780" s="12" t="n">
        <f aca="false">IF(Q780,A780,AC779)</f>
        <v>45562</v>
      </c>
      <c r="AD780" s="8" t="n">
        <f aca="false">IF(Q780,B780,AD779)</f>
        <v>0.908612916880285</v>
      </c>
      <c r="AE780" s="8" t="str">
        <f aca="false">IF(AA780,L780,"")</f>
        <v/>
      </c>
      <c r="AF780" s="8" t="n">
        <f aca="false">U780</f>
        <v>0.889248885929587</v>
      </c>
      <c r="AG780" s="2" t="n">
        <f aca="false">AG779+IF(Q780,1,0)</f>
        <v>7</v>
      </c>
      <c r="AH780" s="2" t="n">
        <f aca="false">AG779</f>
        <v>7</v>
      </c>
      <c r="AI780" s="10" t="n">
        <f aca="false">X780+Y780*(E780-AB780)-Y780*AD780*Inputs!$B$13*(A780-AC780)</f>
        <v>1005.82569612669</v>
      </c>
      <c r="AJ780" s="10" t="n">
        <v>0</v>
      </c>
      <c r="AK780" s="8" t="n">
        <f aca="false">IF(AND(B780&lt;=U780,NOT(Q780)),B780,U780)*(1-Inputs!$B$12)</f>
        <v>0.889071036152401</v>
      </c>
    </row>
    <row r="781" customFormat="false" ht="15" hidden="false" customHeight="false" outlineLevel="0" collapsed="false">
      <c r="A781" s="6" t="n">
        <v>45565</v>
      </c>
      <c r="B781" s="7" t="n">
        <v>0.905165916907481</v>
      </c>
      <c r="C781" s="7" t="n">
        <v>0.908946428498821</v>
      </c>
      <c r="D781" s="7" t="n">
        <v>0.900946254123577</v>
      </c>
      <c r="E781" s="7" t="n">
        <v>0.904925276670913</v>
      </c>
      <c r="F781" s="8" t="n">
        <f aca="true">IF(ROW()-2&gt;=Inputs!$B$4,AVERAGE(OFFSET(E781,1-Inputs!$B$4,0,Inputs!$B$4,1)),"")</f>
        <v>0.898656108872021</v>
      </c>
      <c r="G781" s="8" t="n">
        <f aca="true">IF(ROW()-2&gt;=Inputs!$B$5,AVERAGE(OFFSET(E781,1-Inputs!$B$5,0,Inputs!$B$5,1)),"")</f>
        <v>0.897593710348103</v>
      </c>
      <c r="H781" s="8" t="n">
        <f aca="false">MAX(C781-D781,ABS(C781-E780),ABS(D781-E780))</f>
        <v>0.00800017437524359</v>
      </c>
      <c r="I781" s="8" t="n">
        <f aca="true">IF(ROW()-2&lt;14,"",IF(ROW()-2=14,AVERAGE(OFFSET(H781,-13,0,14,1)),(I780*13+H781)/14))</f>
        <v>0.00966654755747093</v>
      </c>
      <c r="J781" s="9" t="b">
        <f aca="false">IF(AND(ISNUMBER(F781),ISNUMBER(G781),ISNUMBER(F780),ISNUMBER(G780)),AND(F781&gt;G781,F780&lt;=G780),FALSE())</f>
        <v>0</v>
      </c>
      <c r="K781" s="9" t="b">
        <f aca="false">IF(AND(ISNUMBER(F781),ISNUMBER(G781),ISNUMBER(F780),ISNUMBER(G780)),AND(F781&lt;G781,F780&gt;=G780),FALSE())</f>
        <v>0</v>
      </c>
      <c r="L781" s="8" t="n">
        <f aca="false">IF(ISNUMBER(I781),E781-Inputs!$B$6*I781,"")</f>
        <v>0.885592181555971</v>
      </c>
      <c r="M781" s="9" t="b">
        <f aca="false">AND(Y780&gt;0,Z780)</f>
        <v>0</v>
      </c>
      <c r="N781" s="8" t="n">
        <f aca="false">B781*(1-Inputs!$B$12)</f>
        <v>0.904984883724099</v>
      </c>
      <c r="O781" s="10" t="n">
        <f aca="false">IF(M781,Y780*(N781-AB780)-Inputs!$B$9-Y780*AD780*Inputs!$B$13*(A781-AC780),0)</f>
        <v>0</v>
      </c>
      <c r="P781" s="10" t="n">
        <f aca="false">X780+O781</f>
        <v>1007.86571900317</v>
      </c>
      <c r="Q781" s="9" t="b">
        <f aca="false">AND(IF(M781,0,Y780)=0,AA780,IF(ISNUMBER(AE780),B781&gt;AE780,FALSE()))</f>
        <v>0</v>
      </c>
      <c r="R781" s="8" t="n">
        <f aca="false">B781*(1+Inputs!$B$12)</f>
        <v>0.905346950090862</v>
      </c>
      <c r="S781" s="11" t="n">
        <f aca="false">IF(Q781,MIN(P781*Inputs!$B$3/(R781-AE780),P781*Inputs!$B$11/R781),0)</f>
        <v>0</v>
      </c>
      <c r="T781" s="11" t="n">
        <f aca="false">IF(Q781,S781,IF(M781,0,Y780))</f>
        <v>516.155960548879</v>
      </c>
      <c r="U781" s="8" t="n">
        <f aca="false">IF(Q781,AE780,AF780)</f>
        <v>0.889248885929587</v>
      </c>
      <c r="V781" s="9" t="b">
        <f aca="false">AND(T781&gt;0,D781&lt;=U781)</f>
        <v>0</v>
      </c>
      <c r="W781" s="10" t="n">
        <f aca="false">IF(V781,T781*(AK781-AB781)-Inputs!$B$9-T781*AD781*Inputs!$B$13*(A781-AC781),0)</f>
        <v>0</v>
      </c>
      <c r="X781" s="10" t="n">
        <f aca="false">P781-IF(Q781,Inputs!$B$9,0)+W781</f>
        <v>1007.86571900317</v>
      </c>
      <c r="Y781" s="11" t="n">
        <f aca="false">IF(V781,0,T781)</f>
        <v>516.155960548879</v>
      </c>
      <c r="Z781" s="9" t="b">
        <f aca="false">AND(Y781&gt;0,K781)</f>
        <v>0</v>
      </c>
      <c r="AA781" s="9" t="b">
        <f aca="false">AND(Y781=0,J781,ISNUMBER(L781))</f>
        <v>0</v>
      </c>
      <c r="AB781" s="8" t="n">
        <f aca="false">IF(Q781,R781,AB780)</f>
        <v>0.908794639463661</v>
      </c>
      <c r="AC781" s="12" t="n">
        <f aca="false">IF(Q781,A781,AC780)</f>
        <v>45562</v>
      </c>
      <c r="AD781" s="8" t="n">
        <f aca="false">IF(Q781,B781,AD780)</f>
        <v>0.908612916880285</v>
      </c>
      <c r="AE781" s="8" t="str">
        <f aca="false">IF(AA781,L781,"")</f>
        <v/>
      </c>
      <c r="AF781" s="8" t="n">
        <f aca="false">U781</f>
        <v>0.889248885929587</v>
      </c>
      <c r="AG781" s="2" t="n">
        <f aca="false">AG780+IF(Q781,1,0)</f>
        <v>7</v>
      </c>
      <c r="AH781" s="2" t="n">
        <f aca="false">AG780</f>
        <v>7</v>
      </c>
      <c r="AI781" s="10" t="n">
        <f aca="false">X781+Y781*(E781-AB781)-Y781*AD781*Inputs!$B$13*(A781-AC781)</f>
        <v>1005.61797018427</v>
      </c>
      <c r="AJ781" s="10" t="n">
        <v>0</v>
      </c>
      <c r="AK781" s="8" t="n">
        <f aca="false">IF(AND(B781&lt;=U781,NOT(Q781)),B781,U781)*(1-Inputs!$B$12)</f>
        <v>0.889071036152401</v>
      </c>
    </row>
    <row r="782" customFormat="false" ht="15" hidden="false" customHeight="false" outlineLevel="0" collapsed="false">
      <c r="A782" s="6" t="n">
        <v>45566</v>
      </c>
      <c r="B782" s="7" t="n">
        <v>0.904925276670913</v>
      </c>
      <c r="C782" s="7" t="n">
        <v>0.910844520687354</v>
      </c>
      <c r="D782" s="7" t="n">
        <v>0.898818865871597</v>
      </c>
      <c r="E782" s="7" t="n">
        <v>0.899017512431823</v>
      </c>
      <c r="F782" s="8" t="n">
        <f aca="true">IF(ROW()-2&gt;=Inputs!$B$4,AVERAGE(OFFSET(E782,1-Inputs!$B$4,0,Inputs!$B$4,1)),"")</f>
        <v>0.898907309562899</v>
      </c>
      <c r="G782" s="8" t="n">
        <f aca="true">IF(ROW()-2&gt;=Inputs!$B$5,AVERAGE(OFFSET(E782,1-Inputs!$B$5,0,Inputs!$B$5,1)),"")</f>
        <v>0.897780230237738</v>
      </c>
      <c r="H782" s="8" t="n">
        <f aca="false">MAX(C782-D782,ABS(C782-E781),ABS(D782-E781))</f>
        <v>0.0120256548157576</v>
      </c>
      <c r="I782" s="8" t="n">
        <f aca="true">IF(ROW()-2&lt;14,"",IF(ROW()-2=14,AVERAGE(OFFSET(H782,-13,0,14,1)),(I781*13+H782)/14))</f>
        <v>0.00983505521877711</v>
      </c>
      <c r="J782" s="9" t="b">
        <f aca="false">IF(AND(ISNUMBER(F782),ISNUMBER(G782),ISNUMBER(F781),ISNUMBER(G781)),AND(F782&gt;G782,F781&lt;=G781),FALSE())</f>
        <v>0</v>
      </c>
      <c r="K782" s="9" t="b">
        <f aca="false">IF(AND(ISNUMBER(F782),ISNUMBER(G782),ISNUMBER(F781),ISNUMBER(G781)),AND(F782&lt;G782,F781&gt;=G781),FALSE())</f>
        <v>0</v>
      </c>
      <c r="L782" s="8" t="n">
        <f aca="false">IF(ISNUMBER(I782),E782-Inputs!$B$6*I782,"")</f>
        <v>0.879347401994269</v>
      </c>
      <c r="M782" s="9" t="b">
        <f aca="false">AND(Y781&gt;0,Z781)</f>
        <v>0</v>
      </c>
      <c r="N782" s="8" t="n">
        <f aca="false">B782*(1-Inputs!$B$12)</f>
        <v>0.904744291615579</v>
      </c>
      <c r="O782" s="10" t="n">
        <f aca="false">IF(M782,Y781*(N782-AB781)-Inputs!$B$9-Y781*AD781*Inputs!$B$13*(A782-AC781),0)</f>
        <v>0</v>
      </c>
      <c r="P782" s="10" t="n">
        <f aca="false">X781+O782</f>
        <v>1007.86571900317</v>
      </c>
      <c r="Q782" s="9" t="b">
        <f aca="false">AND(IF(M782,0,Y781)=0,AA781,IF(ISNUMBER(AE781),B782&gt;AE781,FALSE()))</f>
        <v>0</v>
      </c>
      <c r="R782" s="8" t="n">
        <f aca="false">B782*(1+Inputs!$B$12)</f>
        <v>0.905106261726247</v>
      </c>
      <c r="S782" s="11" t="n">
        <f aca="false">IF(Q782,MIN(P782*Inputs!$B$3/(R782-AE781),P782*Inputs!$B$11/R782),0)</f>
        <v>0</v>
      </c>
      <c r="T782" s="11" t="n">
        <f aca="false">IF(Q782,S782,IF(M782,0,Y781))</f>
        <v>516.155960548879</v>
      </c>
      <c r="U782" s="8" t="n">
        <f aca="false">IF(Q782,AE781,AF781)</f>
        <v>0.889248885929587</v>
      </c>
      <c r="V782" s="9" t="b">
        <f aca="false">AND(T782&gt;0,D782&lt;=U782)</f>
        <v>0</v>
      </c>
      <c r="W782" s="10" t="n">
        <f aca="false">IF(V782,T782*(AK782-AB782)-Inputs!$B$9-T782*AD782*Inputs!$B$13*(A782-AC782),0)</f>
        <v>0</v>
      </c>
      <c r="X782" s="10" t="n">
        <f aca="false">P782-IF(Q782,Inputs!$B$9,0)+W782</f>
        <v>1007.86571900317</v>
      </c>
      <c r="Y782" s="11" t="n">
        <f aca="false">IF(V782,0,T782)</f>
        <v>516.155960548879</v>
      </c>
      <c r="Z782" s="9" t="b">
        <f aca="false">AND(Y782&gt;0,K782)</f>
        <v>0</v>
      </c>
      <c r="AA782" s="9" t="b">
        <f aca="false">AND(Y782=0,J782,ISNUMBER(L782))</f>
        <v>0</v>
      </c>
      <c r="AB782" s="8" t="n">
        <f aca="false">IF(Q782,R782,AB781)</f>
        <v>0.908794639463661</v>
      </c>
      <c r="AC782" s="12" t="n">
        <f aca="false">IF(Q782,A782,AC781)</f>
        <v>45562</v>
      </c>
      <c r="AD782" s="8" t="n">
        <f aca="false">IF(Q782,B782,AD781)</f>
        <v>0.908612916880285</v>
      </c>
      <c r="AE782" s="8" t="str">
        <f aca="false">IF(AA782,L782,"")</f>
        <v/>
      </c>
      <c r="AF782" s="8" t="n">
        <f aca="false">U782</f>
        <v>0.889248885929587</v>
      </c>
      <c r="AG782" s="2" t="n">
        <f aca="false">AG781+IF(Q782,1,0)</f>
        <v>7</v>
      </c>
      <c r="AH782" s="2" t="n">
        <f aca="false">AG781</f>
        <v>7</v>
      </c>
      <c r="AI782" s="10" t="n">
        <f aca="false">X782+Y782*(E782-AB782)-Y782*AD782*Inputs!$B$13*(A782-AC782)</f>
        <v>1002.48512440878</v>
      </c>
      <c r="AJ782" s="10" t="n">
        <v>0</v>
      </c>
      <c r="AK782" s="8" t="n">
        <f aca="false">IF(AND(B782&lt;=U782,NOT(Q782)),B782,U782)*(1-Inputs!$B$12)</f>
        <v>0.889071036152401</v>
      </c>
    </row>
    <row r="783" customFormat="false" ht="15" hidden="false" customHeight="false" outlineLevel="0" collapsed="false">
      <c r="A783" s="6" t="n">
        <v>45567</v>
      </c>
      <c r="B783" s="7" t="n">
        <v>0.899017512431823</v>
      </c>
      <c r="C783" s="7" t="n">
        <v>0.899154988826608</v>
      </c>
      <c r="D783" s="7" t="n">
        <v>0.892013998439626</v>
      </c>
      <c r="E783" s="7" t="n">
        <v>0.894893026913068</v>
      </c>
      <c r="F783" s="8" t="n">
        <f aca="true">IF(ROW()-2&gt;=Inputs!$B$4,AVERAGE(OFFSET(E783,1-Inputs!$B$4,0,Inputs!$B$4,1)),"")</f>
        <v>0.899250921499002</v>
      </c>
      <c r="G783" s="8" t="n">
        <f aca="true">IF(ROW()-2&gt;=Inputs!$B$5,AVERAGE(OFFSET(E783,1-Inputs!$B$5,0,Inputs!$B$5,1)),"")</f>
        <v>0.897833265948054</v>
      </c>
      <c r="H783" s="8" t="n">
        <f aca="false">MAX(C783-D783,ABS(C783-E782),ABS(D783-E782))</f>
        <v>0.00714099038698257</v>
      </c>
      <c r="I783" s="8" t="n">
        <f aca="true">IF(ROW()-2&lt;14,"",IF(ROW()-2=14,AVERAGE(OFFSET(H783,-13,0,14,1)),(I782*13+H783)/14))</f>
        <v>0.00964262201650607</v>
      </c>
      <c r="J783" s="9" t="b">
        <f aca="false">IF(AND(ISNUMBER(F783),ISNUMBER(G783),ISNUMBER(F782),ISNUMBER(G782)),AND(F783&gt;G783,F782&lt;=G782),FALSE())</f>
        <v>0</v>
      </c>
      <c r="K783" s="9" t="b">
        <f aca="false">IF(AND(ISNUMBER(F783),ISNUMBER(G783),ISNUMBER(F782),ISNUMBER(G782)),AND(F783&lt;G783,F782&gt;=G782),FALSE())</f>
        <v>0</v>
      </c>
      <c r="L783" s="8" t="n">
        <f aca="false">IF(ISNUMBER(I783),E783-Inputs!$B$6*I783,"")</f>
        <v>0.875607782880056</v>
      </c>
      <c r="M783" s="9" t="b">
        <f aca="false">AND(Y782&gt;0,Z782)</f>
        <v>0</v>
      </c>
      <c r="N783" s="8" t="n">
        <f aca="false">B783*(1-Inputs!$B$12)</f>
        <v>0.898837708929337</v>
      </c>
      <c r="O783" s="10" t="n">
        <f aca="false">IF(M783,Y782*(N783-AB782)-Inputs!$B$9-Y782*AD782*Inputs!$B$13*(A783-AC782),0)</f>
        <v>0</v>
      </c>
      <c r="P783" s="10" t="n">
        <f aca="false">X782+O783</f>
        <v>1007.86571900317</v>
      </c>
      <c r="Q783" s="9" t="b">
        <f aca="false">AND(IF(M783,0,Y782)=0,AA782,IF(ISNUMBER(AE782),B783&gt;AE782,FALSE()))</f>
        <v>0</v>
      </c>
      <c r="R783" s="8" t="n">
        <f aca="false">B783*(1+Inputs!$B$12)</f>
        <v>0.899197315934309</v>
      </c>
      <c r="S783" s="11" t="n">
        <f aca="false">IF(Q783,MIN(P783*Inputs!$B$3/(R783-AE782),P783*Inputs!$B$11/R783),0)</f>
        <v>0</v>
      </c>
      <c r="T783" s="11" t="n">
        <f aca="false">IF(Q783,S783,IF(M783,0,Y782))</f>
        <v>516.155960548879</v>
      </c>
      <c r="U783" s="8" t="n">
        <f aca="false">IF(Q783,AE782,AF782)</f>
        <v>0.889248885929587</v>
      </c>
      <c r="V783" s="9" t="b">
        <f aca="false">AND(T783&gt;0,D783&lt;=U783)</f>
        <v>0</v>
      </c>
      <c r="W783" s="10" t="n">
        <f aca="false">IF(V783,T783*(AK783-AB783)-Inputs!$B$9-T783*AD783*Inputs!$B$13*(A783-AC783),0)</f>
        <v>0</v>
      </c>
      <c r="X783" s="10" t="n">
        <f aca="false">P783-IF(Q783,Inputs!$B$9,0)+W783</f>
        <v>1007.86571900317</v>
      </c>
      <c r="Y783" s="11" t="n">
        <f aca="false">IF(V783,0,T783)</f>
        <v>516.155960548879</v>
      </c>
      <c r="Z783" s="9" t="b">
        <f aca="false">AND(Y783&gt;0,K783)</f>
        <v>0</v>
      </c>
      <c r="AA783" s="9" t="b">
        <f aca="false">AND(Y783=0,J783,ISNUMBER(L783))</f>
        <v>0</v>
      </c>
      <c r="AB783" s="8" t="n">
        <f aca="false">IF(Q783,R783,AB782)</f>
        <v>0.908794639463661</v>
      </c>
      <c r="AC783" s="12" t="n">
        <f aca="false">IF(Q783,A783,AC782)</f>
        <v>45562</v>
      </c>
      <c r="AD783" s="8" t="n">
        <f aca="false">IF(Q783,B783,AD782)</f>
        <v>0.908612916880285</v>
      </c>
      <c r="AE783" s="8" t="str">
        <f aca="false">IF(AA783,L783,"")</f>
        <v/>
      </c>
      <c r="AF783" s="8" t="n">
        <f aca="false">U783</f>
        <v>0.889248885929587</v>
      </c>
      <c r="AG783" s="2" t="n">
        <f aca="false">AG782+IF(Q783,1,0)</f>
        <v>7</v>
      </c>
      <c r="AH783" s="2" t="n">
        <f aca="false">AG782</f>
        <v>7</v>
      </c>
      <c r="AI783" s="10" t="n">
        <f aca="false">X783+Y783*(E783-AB783)-Y783*AD783*Inputs!$B$13*(A783-AC783)</f>
        <v>1000.27272857412</v>
      </c>
      <c r="AJ783" s="10" t="n">
        <v>0</v>
      </c>
      <c r="AK783" s="8" t="n">
        <f aca="false">IF(AND(B783&lt;=U783,NOT(Q783)),B783,U783)*(1-Inputs!$B$12)</f>
        <v>0.889071036152401</v>
      </c>
    </row>
    <row r="784" customFormat="false" ht="15" hidden="false" customHeight="false" outlineLevel="0" collapsed="false">
      <c r="A784" s="6" t="n">
        <v>45568</v>
      </c>
      <c r="B784" s="7" t="n">
        <v>0.894893026913068</v>
      </c>
      <c r="C784" s="7" t="n">
        <v>0.898228031363925</v>
      </c>
      <c r="D784" s="7" t="n">
        <v>0.884008893209635</v>
      </c>
      <c r="E784" s="7" t="n">
        <v>0.885703220588285</v>
      </c>
      <c r="F784" s="8" t="n">
        <f aca="true">IF(ROW()-2&gt;=Inputs!$B$4,AVERAGE(OFFSET(E784,1-Inputs!$B$4,0,Inputs!$B$4,1)),"")</f>
        <v>0.899465967224775</v>
      </c>
      <c r="G784" s="8" t="n">
        <f aca="true">IF(ROW()-2&gt;=Inputs!$B$5,AVERAGE(OFFSET(E784,1-Inputs!$B$5,0,Inputs!$B$5,1)),"")</f>
        <v>0.897669881054762</v>
      </c>
      <c r="H784" s="8" t="n">
        <f aca="false">MAX(C784-D784,ABS(C784-E783),ABS(D784-E783))</f>
        <v>0.0142191381542901</v>
      </c>
      <c r="I784" s="8" t="n">
        <f aca="true">IF(ROW()-2&lt;14,"",IF(ROW()-2=14,AVERAGE(OFFSET(H784,-13,0,14,1)),(I783*13+H784)/14))</f>
        <v>0.00996951602634779</v>
      </c>
      <c r="J784" s="9" t="b">
        <f aca="false">IF(AND(ISNUMBER(F784),ISNUMBER(G784),ISNUMBER(F783),ISNUMBER(G783)),AND(F784&gt;G784,F783&lt;=G783),FALSE())</f>
        <v>0</v>
      </c>
      <c r="K784" s="9" t="b">
        <f aca="false">IF(AND(ISNUMBER(F784),ISNUMBER(G784),ISNUMBER(F783),ISNUMBER(G783)),AND(F784&lt;G784,F783&gt;=G783),FALSE())</f>
        <v>0</v>
      </c>
      <c r="L784" s="8" t="n">
        <f aca="false">IF(ISNUMBER(I784),E784-Inputs!$B$6*I784,"")</f>
        <v>0.86576418853559</v>
      </c>
      <c r="M784" s="9" t="b">
        <f aca="false">AND(Y783&gt;0,Z783)</f>
        <v>0</v>
      </c>
      <c r="N784" s="8" t="n">
        <f aca="false">B784*(1-Inputs!$B$12)</f>
        <v>0.894714048307685</v>
      </c>
      <c r="O784" s="10" t="n">
        <f aca="false">IF(M784,Y783*(N784-AB783)-Inputs!$B$9-Y783*AD783*Inputs!$B$13*(A784-AC783),0)</f>
        <v>0</v>
      </c>
      <c r="P784" s="10" t="n">
        <f aca="false">X783+O784</f>
        <v>1007.86571900317</v>
      </c>
      <c r="Q784" s="9" t="b">
        <f aca="false">AND(IF(M784,0,Y783)=0,AA783,IF(ISNUMBER(AE783),B784&gt;AE783,FALSE()))</f>
        <v>0</v>
      </c>
      <c r="R784" s="8" t="n">
        <f aca="false">B784*(1+Inputs!$B$12)</f>
        <v>0.89507200551845</v>
      </c>
      <c r="S784" s="11" t="n">
        <f aca="false">IF(Q784,MIN(P784*Inputs!$B$3/(R784-AE783),P784*Inputs!$B$11/R784),0)</f>
        <v>0</v>
      </c>
      <c r="T784" s="11" t="n">
        <f aca="false">IF(Q784,S784,IF(M784,0,Y783))</f>
        <v>516.155960548879</v>
      </c>
      <c r="U784" s="8" t="n">
        <f aca="false">IF(Q784,AE783,AF783)</f>
        <v>0.889248885929587</v>
      </c>
      <c r="V784" s="9" t="b">
        <f aca="false">AND(T784&gt;0,D784&lt;=U784)</f>
        <v>1</v>
      </c>
      <c r="W784" s="10" t="n">
        <f aca="false">IF(V784,T784*(AK784-AB784)-Inputs!$B$9-T784*AD784*Inputs!$B$13*(A784-AC784),0)</f>
        <v>-11.6815637123975</v>
      </c>
      <c r="X784" s="10" t="n">
        <f aca="false">P784-IF(Q784,Inputs!$B$9,0)+W784</f>
        <v>996.184155290773</v>
      </c>
      <c r="Y784" s="11" t="n">
        <f aca="false">IF(V784,0,T784)</f>
        <v>0</v>
      </c>
      <c r="Z784" s="9" t="b">
        <f aca="false">AND(Y784&gt;0,K784)</f>
        <v>0</v>
      </c>
      <c r="AA784" s="9" t="b">
        <f aca="false">AND(Y784=0,J784,ISNUMBER(L784))</f>
        <v>0</v>
      </c>
      <c r="AB784" s="8" t="n">
        <f aca="false">IF(Q784,R784,AB783)</f>
        <v>0.908794639463661</v>
      </c>
      <c r="AC784" s="12" t="n">
        <f aca="false">IF(Q784,A784,AC783)</f>
        <v>45562</v>
      </c>
      <c r="AD784" s="8" t="n">
        <f aca="false">IF(Q784,B784,AD783)</f>
        <v>0.908612916880285</v>
      </c>
      <c r="AE784" s="8" t="str">
        <f aca="false">IF(AA784,L784,"")</f>
        <v/>
      </c>
      <c r="AF784" s="8" t="n">
        <f aca="false">U784</f>
        <v>0.889248885929587</v>
      </c>
      <c r="AG784" s="2" t="n">
        <f aca="false">AG783+IF(Q784,1,0)</f>
        <v>7</v>
      </c>
      <c r="AH784" s="2" t="n">
        <f aca="false">AG783</f>
        <v>7</v>
      </c>
      <c r="AI784" s="10" t="n">
        <f aca="false">X784+Y784*(E784-AB784)-Y784*AD784*Inputs!$B$13*(A784-AC784)</f>
        <v>996.184155290773</v>
      </c>
      <c r="AJ784" s="10" t="n">
        <v>0</v>
      </c>
      <c r="AK784" s="8" t="n">
        <f aca="false">IF(AND(B784&lt;=U784,NOT(Q784)),B784,U784)*(1-Inputs!$B$12)</f>
        <v>0.889071036152401</v>
      </c>
    </row>
    <row r="785" customFormat="false" ht="15" hidden="false" customHeight="false" outlineLevel="0" collapsed="false">
      <c r="A785" s="6" t="n">
        <v>45569</v>
      </c>
      <c r="B785" s="7" t="n">
        <v>0.885703220588285</v>
      </c>
      <c r="C785" s="7" t="n">
        <v>0.888164449996234</v>
      </c>
      <c r="D785" s="7" t="n">
        <v>0.884107694866628</v>
      </c>
      <c r="E785" s="7" t="n">
        <v>0.884743473025632</v>
      </c>
      <c r="F785" s="8" t="n">
        <f aca="true">IF(ROW()-2&gt;=Inputs!$B$4,AVERAGE(OFFSET(E785,1-Inputs!$B$4,0,Inputs!$B$4,1)),"")</f>
        <v>0.899591780853153</v>
      </c>
      <c r="G785" s="8" t="n">
        <f aca="true">IF(ROW()-2&gt;=Inputs!$B$5,AVERAGE(OFFSET(E785,1-Inputs!$B$5,0,Inputs!$B$5,1)),"")</f>
        <v>0.897381017668758</v>
      </c>
      <c r="H785" s="8" t="n">
        <f aca="false">MAX(C785-D785,ABS(C785-E784),ABS(D785-E784))</f>
        <v>0.00405675512960579</v>
      </c>
      <c r="I785" s="8" t="n">
        <f aca="true">IF(ROW()-2&lt;14,"",IF(ROW()-2=14,AVERAGE(OFFSET(H785,-13,0,14,1)),(I784*13+H785)/14))</f>
        <v>0.00954717596229479</v>
      </c>
      <c r="J785" s="9" t="b">
        <f aca="false">IF(AND(ISNUMBER(F785),ISNUMBER(G785),ISNUMBER(F784),ISNUMBER(G784)),AND(F785&gt;G785,F784&lt;=G784),FALSE())</f>
        <v>0</v>
      </c>
      <c r="K785" s="9" t="b">
        <f aca="false">IF(AND(ISNUMBER(F785),ISNUMBER(G785),ISNUMBER(F784),ISNUMBER(G784)),AND(F785&lt;G785,F784&gt;=G784),FALSE())</f>
        <v>0</v>
      </c>
      <c r="L785" s="8" t="n">
        <f aca="false">IF(ISNUMBER(I785),E785-Inputs!$B$6*I785,"")</f>
        <v>0.865649121101042</v>
      </c>
      <c r="M785" s="9" t="b">
        <f aca="false">AND(Y784&gt;0,Z784)</f>
        <v>0</v>
      </c>
      <c r="N785" s="8" t="n">
        <f aca="false">B785*(1-Inputs!$B$12)</f>
        <v>0.885526079944168</v>
      </c>
      <c r="O785" s="10" t="n">
        <f aca="false">IF(M785,Y784*(N785-AB784)-Inputs!$B$9-Y784*AD784*Inputs!$B$13*(A785-AC784),0)</f>
        <v>0</v>
      </c>
      <c r="P785" s="10" t="n">
        <f aca="false">X784+O785</f>
        <v>996.184155290773</v>
      </c>
      <c r="Q785" s="9" t="b">
        <f aca="false">AND(IF(M785,0,Y784)=0,AA784,IF(ISNUMBER(AE784),B785&gt;AE784,FALSE()))</f>
        <v>0</v>
      </c>
      <c r="R785" s="8" t="n">
        <f aca="false">B785*(1+Inputs!$B$12)</f>
        <v>0.885880361232403</v>
      </c>
      <c r="S785" s="11" t="n">
        <f aca="false">IF(Q785,MIN(P785*Inputs!$B$3/(R785-AE784),P785*Inputs!$B$11/R785),0)</f>
        <v>0</v>
      </c>
      <c r="T785" s="11" t="n">
        <f aca="false">IF(Q785,S785,IF(M785,0,Y784))</f>
        <v>0</v>
      </c>
      <c r="U785" s="8" t="n">
        <f aca="false">IF(Q785,AE784,AF784)</f>
        <v>0.889248885929587</v>
      </c>
      <c r="V785" s="9" t="b">
        <f aca="false">AND(T785&gt;0,D785&lt;=U785)</f>
        <v>0</v>
      </c>
      <c r="W785" s="10" t="n">
        <f aca="false">IF(V785,T785*(AK785-AB785)-Inputs!$B$9-T785*AD785*Inputs!$B$13*(A785-AC785),0)</f>
        <v>0</v>
      </c>
      <c r="X785" s="10" t="n">
        <f aca="false">P785-IF(Q785,Inputs!$B$9,0)+W785</f>
        <v>996.184155290773</v>
      </c>
      <c r="Y785" s="11" t="n">
        <f aca="false">IF(V785,0,T785)</f>
        <v>0</v>
      </c>
      <c r="Z785" s="9" t="b">
        <f aca="false">AND(Y785&gt;0,K785)</f>
        <v>0</v>
      </c>
      <c r="AA785" s="9" t="b">
        <f aca="false">AND(Y785=0,J785,ISNUMBER(L785))</f>
        <v>0</v>
      </c>
      <c r="AB785" s="8" t="n">
        <f aca="false">IF(Q785,R785,AB784)</f>
        <v>0.908794639463661</v>
      </c>
      <c r="AC785" s="12" t="n">
        <f aca="false">IF(Q785,A785,AC784)</f>
        <v>45562</v>
      </c>
      <c r="AD785" s="8" t="n">
        <f aca="false">IF(Q785,B785,AD784)</f>
        <v>0.908612916880285</v>
      </c>
      <c r="AE785" s="8" t="str">
        <f aca="false">IF(AA785,L785,"")</f>
        <v/>
      </c>
      <c r="AF785" s="8" t="n">
        <f aca="false">U785</f>
        <v>0.889248885929587</v>
      </c>
      <c r="AG785" s="2" t="n">
        <f aca="false">AG784+IF(Q785,1,0)</f>
        <v>7</v>
      </c>
      <c r="AH785" s="2" t="n">
        <f aca="false">AG784</f>
        <v>7</v>
      </c>
      <c r="AI785" s="10" t="n">
        <f aca="false">X785+Y785*(E785-AB785)-Y785*AD785*Inputs!$B$13*(A785-AC785)</f>
        <v>996.184155290773</v>
      </c>
      <c r="AJ785" s="10" t="n">
        <v>0</v>
      </c>
      <c r="AK785" s="8" t="n">
        <f aca="false">IF(AND(B785&lt;=U785,NOT(Q785)),B785,U785)*(1-Inputs!$B$12)</f>
        <v>0.885526079944168</v>
      </c>
    </row>
    <row r="786" customFormat="false" ht="15" hidden="false" customHeight="false" outlineLevel="0" collapsed="false">
      <c r="A786" s="6" t="n">
        <v>45570</v>
      </c>
      <c r="B786" s="7" t="n">
        <v>0.884743473025632</v>
      </c>
      <c r="C786" s="7" t="n">
        <v>0.884778951299312</v>
      </c>
      <c r="D786" s="7" t="n">
        <v>0.879075272712699</v>
      </c>
      <c r="E786" s="7" t="n">
        <v>0.882465043921803</v>
      </c>
      <c r="F786" s="8" t="n">
        <f aca="true">IF(ROW()-2&gt;=Inputs!$B$4,AVERAGE(OFFSET(E786,1-Inputs!$B$4,0,Inputs!$B$4,1)),"")</f>
        <v>0.899249439566991</v>
      </c>
      <c r="G786" s="8" t="n">
        <f aca="true">IF(ROW()-2&gt;=Inputs!$B$5,AVERAGE(OFFSET(E786,1-Inputs!$B$5,0,Inputs!$B$5,1)),"")</f>
        <v>0.89719156575508</v>
      </c>
      <c r="H786" s="8" t="n">
        <f aca="false">MAX(C786-D786,ABS(C786-E785),ABS(D786-E785))</f>
        <v>0.00570367858661303</v>
      </c>
      <c r="I786" s="8" t="n">
        <f aca="true">IF(ROW()-2&lt;14,"",IF(ROW()-2=14,AVERAGE(OFFSET(H786,-13,0,14,1)),(I785*13+H786)/14))</f>
        <v>0.00927264043546038</v>
      </c>
      <c r="J786" s="9" t="b">
        <f aca="false">IF(AND(ISNUMBER(F786),ISNUMBER(G786),ISNUMBER(F785),ISNUMBER(G785)),AND(F786&gt;G786,F785&lt;=G785),FALSE())</f>
        <v>0</v>
      </c>
      <c r="K786" s="9" t="b">
        <f aca="false">IF(AND(ISNUMBER(F786),ISNUMBER(G786),ISNUMBER(F785),ISNUMBER(G785)),AND(F786&lt;G786,F785&gt;=G785),FALSE())</f>
        <v>0</v>
      </c>
      <c r="L786" s="8" t="n">
        <f aca="false">IF(ISNUMBER(I786),E786-Inputs!$B$6*I786,"")</f>
        <v>0.863919763050883</v>
      </c>
      <c r="M786" s="9" t="b">
        <f aca="false">AND(Y785&gt;0,Z785)</f>
        <v>0</v>
      </c>
      <c r="N786" s="8" t="n">
        <f aca="false">B786*(1-Inputs!$B$12)</f>
        <v>0.884566524331026</v>
      </c>
      <c r="O786" s="10" t="n">
        <f aca="false">IF(M786,Y785*(N786-AB785)-Inputs!$B$9-Y785*AD785*Inputs!$B$13*(A786-AC785),0)</f>
        <v>0</v>
      </c>
      <c r="P786" s="10" t="n">
        <f aca="false">X785+O786</f>
        <v>996.184155290773</v>
      </c>
      <c r="Q786" s="9" t="b">
        <f aca="false">AND(IF(M786,0,Y785)=0,AA785,IF(ISNUMBER(AE785),B786&gt;AE785,FALSE()))</f>
        <v>0</v>
      </c>
      <c r="R786" s="8" t="n">
        <f aca="false">B786*(1+Inputs!$B$12)</f>
        <v>0.884920421720237</v>
      </c>
      <c r="S786" s="11" t="n">
        <f aca="false">IF(Q786,MIN(P786*Inputs!$B$3/(R786-AE785),P786*Inputs!$B$11/R786),0)</f>
        <v>0</v>
      </c>
      <c r="T786" s="11" t="n">
        <f aca="false">IF(Q786,S786,IF(M786,0,Y785))</f>
        <v>0</v>
      </c>
      <c r="U786" s="8" t="n">
        <f aca="false">IF(Q786,AE785,AF785)</f>
        <v>0.889248885929587</v>
      </c>
      <c r="V786" s="9" t="b">
        <f aca="false">AND(T786&gt;0,D786&lt;=U786)</f>
        <v>0</v>
      </c>
      <c r="W786" s="10" t="n">
        <f aca="false">IF(V786,T786*(AK786-AB786)-Inputs!$B$9-T786*AD786*Inputs!$B$13*(A786-AC786),0)</f>
        <v>0</v>
      </c>
      <c r="X786" s="10" t="n">
        <f aca="false">P786-IF(Q786,Inputs!$B$9,0)+W786</f>
        <v>996.184155290773</v>
      </c>
      <c r="Y786" s="11" t="n">
        <f aca="false">IF(V786,0,T786)</f>
        <v>0</v>
      </c>
      <c r="Z786" s="9" t="b">
        <f aca="false">AND(Y786&gt;0,K786)</f>
        <v>0</v>
      </c>
      <c r="AA786" s="9" t="b">
        <f aca="false">AND(Y786=0,J786,ISNUMBER(L786))</f>
        <v>0</v>
      </c>
      <c r="AB786" s="8" t="n">
        <f aca="false">IF(Q786,R786,AB785)</f>
        <v>0.908794639463661</v>
      </c>
      <c r="AC786" s="12" t="n">
        <f aca="false">IF(Q786,A786,AC785)</f>
        <v>45562</v>
      </c>
      <c r="AD786" s="8" t="n">
        <f aca="false">IF(Q786,B786,AD785)</f>
        <v>0.908612916880285</v>
      </c>
      <c r="AE786" s="8" t="str">
        <f aca="false">IF(AA786,L786,"")</f>
        <v/>
      </c>
      <c r="AF786" s="8" t="n">
        <f aca="false">U786</f>
        <v>0.889248885929587</v>
      </c>
      <c r="AG786" s="2" t="n">
        <f aca="false">AG785+IF(Q786,1,0)</f>
        <v>7</v>
      </c>
      <c r="AH786" s="2" t="n">
        <f aca="false">AG785</f>
        <v>7</v>
      </c>
      <c r="AI786" s="10" t="n">
        <f aca="false">X786+Y786*(E786-AB786)-Y786*AD786*Inputs!$B$13*(A786-AC786)</f>
        <v>996.184155290773</v>
      </c>
      <c r="AJ786" s="10" t="n">
        <v>0</v>
      </c>
      <c r="AK786" s="8" t="n">
        <f aca="false">IF(AND(B786&lt;=U786,NOT(Q786)),B786,U786)*(1-Inputs!$B$12)</f>
        <v>0.884566524331026</v>
      </c>
    </row>
    <row r="787" customFormat="false" ht="15" hidden="false" customHeight="false" outlineLevel="0" collapsed="false">
      <c r="A787" s="6" t="n">
        <v>45571</v>
      </c>
      <c r="B787" s="7" t="n">
        <v>0.882465043921803</v>
      </c>
      <c r="C787" s="7" t="n">
        <v>0.883984970269928</v>
      </c>
      <c r="D787" s="7" t="n">
        <v>0.876821248974219</v>
      </c>
      <c r="E787" s="7" t="n">
        <v>0.879672906211974</v>
      </c>
      <c r="F787" s="8" t="n">
        <f aca="true">IF(ROW()-2&gt;=Inputs!$B$4,AVERAGE(OFFSET(E787,1-Inputs!$B$4,0,Inputs!$B$4,1)),"")</f>
        <v>0.898586047682031</v>
      </c>
      <c r="G787" s="8" t="n">
        <f aca="true">IF(ROW()-2&gt;=Inputs!$B$5,AVERAGE(OFFSET(E787,1-Inputs!$B$5,0,Inputs!$B$5,1)),"")</f>
        <v>0.896845154055898</v>
      </c>
      <c r="H787" s="8" t="n">
        <f aca="false">MAX(C787-D787,ABS(C787-E786),ABS(D787-E786))</f>
        <v>0.00716372129570919</v>
      </c>
      <c r="I787" s="8" t="n">
        <f aca="true">IF(ROW()-2&lt;14,"",IF(ROW()-2=14,AVERAGE(OFFSET(H787,-13,0,14,1)),(I786*13+H787)/14))</f>
        <v>0.00912200335404958</v>
      </c>
      <c r="J787" s="9" t="b">
        <f aca="false">IF(AND(ISNUMBER(F787),ISNUMBER(G787),ISNUMBER(F786),ISNUMBER(G786)),AND(F787&gt;G787,F786&lt;=G786),FALSE())</f>
        <v>0</v>
      </c>
      <c r="K787" s="9" t="b">
        <f aca="false">IF(AND(ISNUMBER(F787),ISNUMBER(G787),ISNUMBER(F786),ISNUMBER(G786)),AND(F787&lt;G787,F786&gt;=G786),FALSE())</f>
        <v>0</v>
      </c>
      <c r="L787" s="8" t="n">
        <f aca="false">IF(ISNUMBER(I787),E787-Inputs!$B$6*I787,"")</f>
        <v>0.861428899503874</v>
      </c>
      <c r="M787" s="9" t="b">
        <f aca="false">AND(Y786&gt;0,Z786)</f>
        <v>0</v>
      </c>
      <c r="N787" s="8" t="n">
        <f aca="false">B787*(1-Inputs!$B$12)</f>
        <v>0.882288550913019</v>
      </c>
      <c r="O787" s="10" t="n">
        <f aca="false">IF(M787,Y786*(N787-AB786)-Inputs!$B$9-Y786*AD786*Inputs!$B$13*(A787-AC786),0)</f>
        <v>0</v>
      </c>
      <c r="P787" s="10" t="n">
        <f aca="false">X786+O787</f>
        <v>996.184155290773</v>
      </c>
      <c r="Q787" s="9" t="b">
        <f aca="false">AND(IF(M787,0,Y786)=0,AA786,IF(ISNUMBER(AE786),B787&gt;AE786,FALSE()))</f>
        <v>0</v>
      </c>
      <c r="R787" s="8" t="n">
        <f aca="false">B787*(1+Inputs!$B$12)</f>
        <v>0.882641536930588</v>
      </c>
      <c r="S787" s="11" t="n">
        <f aca="false">IF(Q787,MIN(P787*Inputs!$B$3/(R787-AE786),P787*Inputs!$B$11/R787),0)</f>
        <v>0</v>
      </c>
      <c r="T787" s="11" t="n">
        <f aca="false">IF(Q787,S787,IF(M787,0,Y786))</f>
        <v>0</v>
      </c>
      <c r="U787" s="8" t="n">
        <f aca="false">IF(Q787,AE786,AF786)</f>
        <v>0.889248885929587</v>
      </c>
      <c r="V787" s="9" t="b">
        <f aca="false">AND(T787&gt;0,D787&lt;=U787)</f>
        <v>0</v>
      </c>
      <c r="W787" s="10" t="n">
        <f aca="false">IF(V787,T787*(AK787-AB787)-Inputs!$B$9-T787*AD787*Inputs!$B$13*(A787-AC787),0)</f>
        <v>0</v>
      </c>
      <c r="X787" s="10" t="n">
        <f aca="false">P787-IF(Q787,Inputs!$B$9,0)+W787</f>
        <v>996.184155290773</v>
      </c>
      <c r="Y787" s="11" t="n">
        <f aca="false">IF(V787,0,T787)</f>
        <v>0</v>
      </c>
      <c r="Z787" s="9" t="b">
        <f aca="false">AND(Y787&gt;0,K787)</f>
        <v>0</v>
      </c>
      <c r="AA787" s="9" t="b">
        <f aca="false">AND(Y787=0,J787,ISNUMBER(L787))</f>
        <v>0</v>
      </c>
      <c r="AB787" s="8" t="n">
        <f aca="false">IF(Q787,R787,AB786)</f>
        <v>0.908794639463661</v>
      </c>
      <c r="AC787" s="12" t="n">
        <f aca="false">IF(Q787,A787,AC786)</f>
        <v>45562</v>
      </c>
      <c r="AD787" s="8" t="n">
        <f aca="false">IF(Q787,B787,AD786)</f>
        <v>0.908612916880285</v>
      </c>
      <c r="AE787" s="8" t="str">
        <f aca="false">IF(AA787,L787,"")</f>
        <v/>
      </c>
      <c r="AF787" s="8" t="n">
        <f aca="false">U787</f>
        <v>0.889248885929587</v>
      </c>
      <c r="AG787" s="2" t="n">
        <f aca="false">AG786+IF(Q787,1,0)</f>
        <v>7</v>
      </c>
      <c r="AH787" s="2" t="n">
        <f aca="false">AG786</f>
        <v>7</v>
      </c>
      <c r="AI787" s="10" t="n">
        <f aca="false">X787+Y787*(E787-AB787)-Y787*AD787*Inputs!$B$13*(A787-AC787)</f>
        <v>996.184155290773</v>
      </c>
      <c r="AJ787" s="10" t="n">
        <v>0</v>
      </c>
      <c r="AK787" s="8" t="n">
        <f aca="false">IF(AND(B787&lt;=U787,NOT(Q787)),B787,U787)*(1-Inputs!$B$12)</f>
        <v>0.882288550913019</v>
      </c>
    </row>
    <row r="788" customFormat="false" ht="15" hidden="false" customHeight="false" outlineLevel="0" collapsed="false">
      <c r="A788" s="6" t="n">
        <v>45572</v>
      </c>
      <c r="B788" s="7" t="n">
        <v>0.879672906211974</v>
      </c>
      <c r="C788" s="7" t="n">
        <v>0.881172731179406</v>
      </c>
      <c r="D788" s="7" t="n">
        <v>0.868007644676154</v>
      </c>
      <c r="E788" s="7" t="n">
        <v>0.870744995309109</v>
      </c>
      <c r="F788" s="8" t="n">
        <f aca="true">IF(ROW()-2&gt;=Inputs!$B$4,AVERAGE(OFFSET(E788,1-Inputs!$B$4,0,Inputs!$B$4,1)),"")</f>
        <v>0.89758633303263</v>
      </c>
      <c r="G788" s="8" t="n">
        <f aca="true">IF(ROW()-2&gt;=Inputs!$B$5,AVERAGE(OFFSET(E788,1-Inputs!$B$5,0,Inputs!$B$5,1)),"")</f>
        <v>0.89646060843626</v>
      </c>
      <c r="H788" s="8" t="n">
        <f aca="false">MAX(C788-D788,ABS(C788-E787),ABS(D788-E787))</f>
        <v>0.0131650865032514</v>
      </c>
      <c r="I788" s="8" t="n">
        <f aca="true">IF(ROW()-2&lt;14,"",IF(ROW()-2=14,AVERAGE(OFFSET(H788,-13,0,14,1)),(I787*13+H788)/14))</f>
        <v>0.009410795007564</v>
      </c>
      <c r="J788" s="9" t="b">
        <f aca="false">IF(AND(ISNUMBER(F788),ISNUMBER(G788),ISNUMBER(F787),ISNUMBER(G787)),AND(F788&gt;G788,F787&lt;=G787),FALSE())</f>
        <v>0</v>
      </c>
      <c r="K788" s="9" t="b">
        <f aca="false">IF(AND(ISNUMBER(F788),ISNUMBER(G788),ISNUMBER(F787),ISNUMBER(G787)),AND(F788&lt;G788,F787&gt;=G787),FALSE())</f>
        <v>0</v>
      </c>
      <c r="L788" s="8" t="n">
        <f aca="false">IF(ISNUMBER(I788),E788-Inputs!$B$6*I788,"")</f>
        <v>0.851923405293981</v>
      </c>
      <c r="M788" s="9" t="b">
        <f aca="false">AND(Y787&gt;0,Z787)</f>
        <v>0</v>
      </c>
      <c r="N788" s="8" t="n">
        <f aca="false">B788*(1-Inputs!$B$12)</f>
        <v>0.879496971630731</v>
      </c>
      <c r="O788" s="10" t="n">
        <f aca="false">IF(M788,Y787*(N788-AB787)-Inputs!$B$9-Y787*AD787*Inputs!$B$13*(A788-AC787),0)</f>
        <v>0</v>
      </c>
      <c r="P788" s="10" t="n">
        <f aca="false">X787+O788</f>
        <v>996.184155290773</v>
      </c>
      <c r="Q788" s="9" t="b">
        <f aca="false">AND(IF(M788,0,Y787)=0,AA787,IF(ISNUMBER(AE787),B788&gt;AE787,FALSE()))</f>
        <v>0</v>
      </c>
      <c r="R788" s="8" t="n">
        <f aca="false">B788*(1+Inputs!$B$12)</f>
        <v>0.879848840793216</v>
      </c>
      <c r="S788" s="11" t="n">
        <f aca="false">IF(Q788,MIN(P788*Inputs!$B$3/(R788-AE787),P788*Inputs!$B$11/R788),0)</f>
        <v>0</v>
      </c>
      <c r="T788" s="11" t="n">
        <f aca="false">IF(Q788,S788,IF(M788,0,Y787))</f>
        <v>0</v>
      </c>
      <c r="U788" s="8" t="n">
        <f aca="false">IF(Q788,AE787,AF787)</f>
        <v>0.889248885929587</v>
      </c>
      <c r="V788" s="9" t="b">
        <f aca="false">AND(T788&gt;0,D788&lt;=U788)</f>
        <v>0</v>
      </c>
      <c r="W788" s="10" t="n">
        <f aca="false">IF(V788,T788*(AK788-AB788)-Inputs!$B$9-T788*AD788*Inputs!$B$13*(A788-AC788),0)</f>
        <v>0</v>
      </c>
      <c r="X788" s="10" t="n">
        <f aca="false">P788-IF(Q788,Inputs!$B$9,0)+W788</f>
        <v>996.184155290773</v>
      </c>
      <c r="Y788" s="11" t="n">
        <f aca="false">IF(V788,0,T788)</f>
        <v>0</v>
      </c>
      <c r="Z788" s="9" t="b">
        <f aca="false">AND(Y788&gt;0,K788)</f>
        <v>0</v>
      </c>
      <c r="AA788" s="9" t="b">
        <f aca="false">AND(Y788=0,J788,ISNUMBER(L788))</f>
        <v>0</v>
      </c>
      <c r="AB788" s="8" t="n">
        <f aca="false">IF(Q788,R788,AB787)</f>
        <v>0.908794639463661</v>
      </c>
      <c r="AC788" s="12" t="n">
        <f aca="false">IF(Q788,A788,AC787)</f>
        <v>45562</v>
      </c>
      <c r="AD788" s="8" t="n">
        <f aca="false">IF(Q788,B788,AD787)</f>
        <v>0.908612916880285</v>
      </c>
      <c r="AE788" s="8" t="str">
        <f aca="false">IF(AA788,L788,"")</f>
        <v/>
      </c>
      <c r="AF788" s="8" t="n">
        <f aca="false">U788</f>
        <v>0.889248885929587</v>
      </c>
      <c r="AG788" s="2" t="n">
        <f aca="false">AG787+IF(Q788,1,0)</f>
        <v>7</v>
      </c>
      <c r="AH788" s="2" t="n">
        <f aca="false">AG787</f>
        <v>7</v>
      </c>
      <c r="AI788" s="10" t="n">
        <f aca="false">X788+Y788*(E788-AB788)-Y788*AD788*Inputs!$B$13*(A788-AC788)</f>
        <v>996.184155290773</v>
      </c>
      <c r="AJ788" s="10" t="n">
        <v>0</v>
      </c>
      <c r="AK788" s="8" t="n">
        <f aca="false">IF(AND(B788&lt;=U788,NOT(Q788)),B788,U788)*(1-Inputs!$B$12)</f>
        <v>0.879496971630731</v>
      </c>
    </row>
    <row r="789" customFormat="false" ht="15" hidden="false" customHeight="false" outlineLevel="0" collapsed="false">
      <c r="A789" s="6" t="n">
        <v>45573</v>
      </c>
      <c r="B789" s="7" t="n">
        <v>0.870744995309109</v>
      </c>
      <c r="C789" s="7" t="n">
        <v>0.871488769602944</v>
      </c>
      <c r="D789" s="7" t="n">
        <v>0.864420086195097</v>
      </c>
      <c r="E789" s="7" t="n">
        <v>0.867809388118502</v>
      </c>
      <c r="F789" s="8" t="n">
        <f aca="true">IF(ROW()-2&gt;=Inputs!$B$4,AVERAGE(OFFSET(E789,1-Inputs!$B$4,0,Inputs!$B$4,1)),"")</f>
        <v>0.896173442527405</v>
      </c>
      <c r="G789" s="8" t="n">
        <f aca="true">IF(ROW()-2&gt;=Inputs!$B$5,AVERAGE(OFFSET(E789,1-Inputs!$B$5,0,Inputs!$B$5,1)),"")</f>
        <v>0.895986772943333</v>
      </c>
      <c r="H789" s="8" t="n">
        <f aca="false">MAX(C789-D789,ABS(C789-E788),ABS(D789-E788))</f>
        <v>0.00706868340784639</v>
      </c>
      <c r="I789" s="8" t="n">
        <f aca="true">IF(ROW()-2&lt;14,"",IF(ROW()-2=14,AVERAGE(OFFSET(H789,-13,0,14,1)),(I788*13+H789)/14))</f>
        <v>0.00924350132186989</v>
      </c>
      <c r="J789" s="9" t="b">
        <f aca="false">IF(AND(ISNUMBER(F789),ISNUMBER(G789),ISNUMBER(F788),ISNUMBER(G788)),AND(F789&gt;G789,F788&lt;=G788),FALSE())</f>
        <v>0</v>
      </c>
      <c r="K789" s="9" t="b">
        <f aca="false">IF(AND(ISNUMBER(F789),ISNUMBER(G789),ISNUMBER(F788),ISNUMBER(G788)),AND(F789&lt;G789,F788&gt;=G788),FALSE())</f>
        <v>0</v>
      </c>
      <c r="L789" s="8" t="n">
        <f aca="false">IF(ISNUMBER(I789),E789-Inputs!$B$6*I789,"")</f>
        <v>0.849322385474762</v>
      </c>
      <c r="M789" s="9" t="b">
        <f aca="false">AND(Y788&gt;0,Z788)</f>
        <v>0</v>
      </c>
      <c r="N789" s="8" t="n">
        <f aca="false">B789*(1-Inputs!$B$12)</f>
        <v>0.870570846310047</v>
      </c>
      <c r="O789" s="10" t="n">
        <f aca="false">IF(M789,Y788*(N789-AB788)-Inputs!$B$9-Y788*AD788*Inputs!$B$13*(A789-AC788),0)</f>
        <v>0</v>
      </c>
      <c r="P789" s="10" t="n">
        <f aca="false">X788+O789</f>
        <v>996.184155290773</v>
      </c>
      <c r="Q789" s="9" t="b">
        <f aca="false">AND(IF(M789,0,Y788)=0,AA788,IF(ISNUMBER(AE788),B789&gt;AE788,FALSE()))</f>
        <v>0</v>
      </c>
      <c r="R789" s="8" t="n">
        <f aca="false">B789*(1+Inputs!$B$12)</f>
        <v>0.870919144308171</v>
      </c>
      <c r="S789" s="11" t="n">
        <f aca="false">IF(Q789,MIN(P789*Inputs!$B$3/(R789-AE788),P789*Inputs!$B$11/R789),0)</f>
        <v>0</v>
      </c>
      <c r="T789" s="11" t="n">
        <f aca="false">IF(Q789,S789,IF(M789,0,Y788))</f>
        <v>0</v>
      </c>
      <c r="U789" s="8" t="n">
        <f aca="false">IF(Q789,AE788,AF788)</f>
        <v>0.889248885929587</v>
      </c>
      <c r="V789" s="9" t="b">
        <f aca="false">AND(T789&gt;0,D789&lt;=U789)</f>
        <v>0</v>
      </c>
      <c r="W789" s="10" t="n">
        <f aca="false">IF(V789,T789*(AK789-AB789)-Inputs!$B$9-T789*AD789*Inputs!$B$13*(A789-AC789),0)</f>
        <v>0</v>
      </c>
      <c r="X789" s="10" t="n">
        <f aca="false">P789-IF(Q789,Inputs!$B$9,0)+W789</f>
        <v>996.184155290773</v>
      </c>
      <c r="Y789" s="11" t="n">
        <f aca="false">IF(V789,0,T789)</f>
        <v>0</v>
      </c>
      <c r="Z789" s="9" t="b">
        <f aca="false">AND(Y789&gt;0,K789)</f>
        <v>0</v>
      </c>
      <c r="AA789" s="9" t="b">
        <f aca="false">AND(Y789=0,J789,ISNUMBER(L789))</f>
        <v>0</v>
      </c>
      <c r="AB789" s="8" t="n">
        <f aca="false">IF(Q789,R789,AB788)</f>
        <v>0.908794639463661</v>
      </c>
      <c r="AC789" s="12" t="n">
        <f aca="false">IF(Q789,A789,AC788)</f>
        <v>45562</v>
      </c>
      <c r="AD789" s="8" t="n">
        <f aca="false">IF(Q789,B789,AD788)</f>
        <v>0.908612916880285</v>
      </c>
      <c r="AE789" s="8" t="str">
        <f aca="false">IF(AA789,L789,"")</f>
        <v/>
      </c>
      <c r="AF789" s="8" t="n">
        <f aca="false">U789</f>
        <v>0.889248885929587</v>
      </c>
      <c r="AG789" s="2" t="n">
        <f aca="false">AG788+IF(Q789,1,0)</f>
        <v>7</v>
      </c>
      <c r="AH789" s="2" t="n">
        <f aca="false">AG788</f>
        <v>7</v>
      </c>
      <c r="AI789" s="10" t="n">
        <f aca="false">X789+Y789*(E789-AB789)-Y789*AD789*Inputs!$B$13*(A789-AC789)</f>
        <v>996.184155290773</v>
      </c>
      <c r="AJ789" s="10" t="n">
        <v>0</v>
      </c>
      <c r="AK789" s="8" t="n">
        <f aca="false">IF(AND(B789&lt;=U789,NOT(Q789)),B789,U789)*(1-Inputs!$B$12)</f>
        <v>0.870570846310047</v>
      </c>
    </row>
    <row r="790" customFormat="false" ht="15" hidden="false" customHeight="false" outlineLevel="0" collapsed="false">
      <c r="A790" s="6" t="n">
        <v>45574</v>
      </c>
      <c r="B790" s="7" t="n">
        <v>0.867809388118502</v>
      </c>
      <c r="C790" s="7" t="n">
        <v>0.872033156053605</v>
      </c>
      <c r="D790" s="7" t="n">
        <v>0.867040096038065</v>
      </c>
      <c r="E790" s="7" t="n">
        <v>0.868422480921851</v>
      </c>
      <c r="F790" s="8" t="n">
        <f aca="true">IF(ROW()-2&gt;=Inputs!$B$4,AVERAGE(OFFSET(E790,1-Inputs!$B$4,0,Inputs!$B$4,1)),"")</f>
        <v>0.894676198428834</v>
      </c>
      <c r="G790" s="8" t="n">
        <f aca="true">IF(ROW()-2&gt;=Inputs!$B$5,AVERAGE(OFFSET(E790,1-Inputs!$B$5,0,Inputs!$B$5,1)),"")</f>
        <v>0.895432663471602</v>
      </c>
      <c r="H790" s="8" t="n">
        <f aca="false">MAX(C790-D790,ABS(C790-E789),ABS(D790-E789))</f>
        <v>0.00499306001553956</v>
      </c>
      <c r="I790" s="8" t="n">
        <f aca="true">IF(ROW()-2&lt;14,"",IF(ROW()-2=14,AVERAGE(OFFSET(H790,-13,0,14,1)),(I789*13+H790)/14))</f>
        <v>0.00893989837141772</v>
      </c>
      <c r="J790" s="9" t="b">
        <f aca="false">IF(AND(ISNUMBER(F790),ISNUMBER(G790),ISNUMBER(F789),ISNUMBER(G789)),AND(F790&gt;G790,F789&lt;=G789),FALSE())</f>
        <v>0</v>
      </c>
      <c r="K790" s="9" t="b">
        <f aca="false">IF(AND(ISNUMBER(F790),ISNUMBER(G790),ISNUMBER(F789),ISNUMBER(G789)),AND(F790&lt;G790,F789&gt;=G789),FALSE())</f>
        <v>1</v>
      </c>
      <c r="L790" s="8" t="n">
        <f aca="false">IF(ISNUMBER(I790),E790-Inputs!$B$6*I790,"")</f>
        <v>0.850542684179015</v>
      </c>
      <c r="M790" s="9" t="b">
        <f aca="false">AND(Y789&gt;0,Z789)</f>
        <v>0</v>
      </c>
      <c r="N790" s="8" t="n">
        <f aca="false">B790*(1-Inputs!$B$12)</f>
        <v>0.867635826240878</v>
      </c>
      <c r="O790" s="10" t="n">
        <f aca="false">IF(M790,Y789*(N790-AB789)-Inputs!$B$9-Y789*AD789*Inputs!$B$13*(A790-AC789),0)</f>
        <v>0</v>
      </c>
      <c r="P790" s="10" t="n">
        <f aca="false">X789+O790</f>
        <v>996.184155290773</v>
      </c>
      <c r="Q790" s="9" t="b">
        <f aca="false">AND(IF(M790,0,Y789)=0,AA789,IF(ISNUMBER(AE789),B790&gt;AE789,FALSE()))</f>
        <v>0</v>
      </c>
      <c r="R790" s="8" t="n">
        <f aca="false">B790*(1+Inputs!$B$12)</f>
        <v>0.867982949996125</v>
      </c>
      <c r="S790" s="11" t="n">
        <f aca="false">IF(Q790,MIN(P790*Inputs!$B$3/(R790-AE789),P790*Inputs!$B$11/R790),0)</f>
        <v>0</v>
      </c>
      <c r="T790" s="11" t="n">
        <f aca="false">IF(Q790,S790,IF(M790,0,Y789))</f>
        <v>0</v>
      </c>
      <c r="U790" s="8" t="n">
        <f aca="false">IF(Q790,AE789,AF789)</f>
        <v>0.889248885929587</v>
      </c>
      <c r="V790" s="9" t="b">
        <f aca="false">AND(T790&gt;0,D790&lt;=U790)</f>
        <v>0</v>
      </c>
      <c r="W790" s="10" t="n">
        <f aca="false">IF(V790,T790*(AK790-AB790)-Inputs!$B$9-T790*AD790*Inputs!$B$13*(A790-AC790),0)</f>
        <v>0</v>
      </c>
      <c r="X790" s="10" t="n">
        <f aca="false">P790-IF(Q790,Inputs!$B$9,0)+W790</f>
        <v>996.184155290773</v>
      </c>
      <c r="Y790" s="11" t="n">
        <f aca="false">IF(V790,0,T790)</f>
        <v>0</v>
      </c>
      <c r="Z790" s="9" t="b">
        <f aca="false">AND(Y790&gt;0,K790)</f>
        <v>0</v>
      </c>
      <c r="AA790" s="9" t="b">
        <f aca="false">AND(Y790=0,J790,ISNUMBER(L790))</f>
        <v>0</v>
      </c>
      <c r="AB790" s="8" t="n">
        <f aca="false">IF(Q790,R790,AB789)</f>
        <v>0.908794639463661</v>
      </c>
      <c r="AC790" s="12" t="n">
        <f aca="false">IF(Q790,A790,AC789)</f>
        <v>45562</v>
      </c>
      <c r="AD790" s="8" t="n">
        <f aca="false">IF(Q790,B790,AD789)</f>
        <v>0.908612916880285</v>
      </c>
      <c r="AE790" s="8" t="str">
        <f aca="false">IF(AA790,L790,"")</f>
        <v/>
      </c>
      <c r="AF790" s="8" t="n">
        <f aca="false">U790</f>
        <v>0.889248885929587</v>
      </c>
      <c r="AG790" s="2" t="n">
        <f aca="false">AG789+IF(Q790,1,0)</f>
        <v>7</v>
      </c>
      <c r="AH790" s="2" t="n">
        <f aca="false">AG789</f>
        <v>7</v>
      </c>
      <c r="AI790" s="10" t="n">
        <f aca="false">X790+Y790*(E790-AB790)-Y790*AD790*Inputs!$B$13*(A790-AC790)</f>
        <v>996.184155290773</v>
      </c>
      <c r="AJ790" s="10" t="n">
        <v>0</v>
      </c>
      <c r="AK790" s="8" t="n">
        <f aca="false">IF(AND(B790&lt;=U790,NOT(Q790)),B790,U790)*(1-Inputs!$B$12)</f>
        <v>0.867635826240878</v>
      </c>
    </row>
    <row r="791" customFormat="false" ht="15" hidden="false" customHeight="false" outlineLevel="0" collapsed="false">
      <c r="A791" s="6" t="n">
        <v>45575</v>
      </c>
      <c r="B791" s="7" t="n">
        <v>0.868422480921851</v>
      </c>
      <c r="C791" s="7" t="n">
        <v>0.870607963664803</v>
      </c>
      <c r="D791" s="7" t="n">
        <v>0.865985093895953</v>
      </c>
      <c r="E791" s="7" t="n">
        <v>0.866696481843688</v>
      </c>
      <c r="F791" s="8" t="n">
        <f aca="true">IF(ROW()-2&gt;=Inputs!$B$4,AVERAGE(OFFSET(E791,1-Inputs!$B$4,0,Inputs!$B$4,1)),"")</f>
        <v>0.892931928784381</v>
      </c>
      <c r="G791" s="8" t="n">
        <f aca="true">IF(ROW()-2&gt;=Inputs!$B$5,AVERAGE(OFFSET(E791,1-Inputs!$B$5,0,Inputs!$B$5,1)),"")</f>
        <v>0.894806380138266</v>
      </c>
      <c r="H791" s="8" t="n">
        <f aca="false">MAX(C791-D791,ABS(C791-E790),ABS(D791-E790))</f>
        <v>0.00462286976885074</v>
      </c>
      <c r="I791" s="8" t="n">
        <f aca="true">IF(ROW()-2&lt;14,"",IF(ROW()-2=14,AVERAGE(OFFSET(H791,-13,0,14,1)),(I790*13+H791)/14))</f>
        <v>0.00863153918552008</v>
      </c>
      <c r="J791" s="9" t="b">
        <f aca="false">IF(AND(ISNUMBER(F791),ISNUMBER(G791),ISNUMBER(F790),ISNUMBER(G790)),AND(F791&gt;G791,F790&lt;=G790),FALSE())</f>
        <v>0</v>
      </c>
      <c r="K791" s="9" t="b">
        <f aca="false">IF(AND(ISNUMBER(F791),ISNUMBER(G791),ISNUMBER(F790),ISNUMBER(G790)),AND(F791&lt;G791,F790&gt;=G790),FALSE())</f>
        <v>0</v>
      </c>
      <c r="L791" s="8" t="n">
        <f aca="false">IF(ISNUMBER(I791),E791-Inputs!$B$6*I791,"")</f>
        <v>0.849433403472648</v>
      </c>
      <c r="M791" s="9" t="b">
        <f aca="false">AND(Y790&gt;0,Z790)</f>
        <v>0</v>
      </c>
      <c r="N791" s="8" t="n">
        <f aca="false">B791*(1-Inputs!$B$12)</f>
        <v>0.868248796425666</v>
      </c>
      <c r="O791" s="10" t="n">
        <f aca="false">IF(M791,Y790*(N791-AB790)-Inputs!$B$9-Y790*AD790*Inputs!$B$13*(A791-AC790),0)</f>
        <v>0</v>
      </c>
      <c r="P791" s="10" t="n">
        <f aca="false">X790+O791</f>
        <v>996.184155290773</v>
      </c>
      <c r="Q791" s="9" t="b">
        <f aca="false">AND(IF(M791,0,Y790)=0,AA790,IF(ISNUMBER(AE790),B791&gt;AE790,FALSE()))</f>
        <v>0</v>
      </c>
      <c r="R791" s="8" t="n">
        <f aca="false">B791*(1+Inputs!$B$12)</f>
        <v>0.868596165418035</v>
      </c>
      <c r="S791" s="11" t="n">
        <f aca="false">IF(Q791,MIN(P791*Inputs!$B$3/(R791-AE790),P791*Inputs!$B$11/R791),0)</f>
        <v>0</v>
      </c>
      <c r="T791" s="11" t="n">
        <f aca="false">IF(Q791,S791,IF(M791,0,Y790))</f>
        <v>0</v>
      </c>
      <c r="U791" s="8" t="n">
        <f aca="false">IF(Q791,AE790,AF790)</f>
        <v>0.889248885929587</v>
      </c>
      <c r="V791" s="9" t="b">
        <f aca="false">AND(T791&gt;0,D791&lt;=U791)</f>
        <v>0</v>
      </c>
      <c r="W791" s="10" t="n">
        <f aca="false">IF(V791,T791*(AK791-AB791)-Inputs!$B$9-T791*AD791*Inputs!$B$13*(A791-AC791),0)</f>
        <v>0</v>
      </c>
      <c r="X791" s="10" t="n">
        <f aca="false">P791-IF(Q791,Inputs!$B$9,0)+W791</f>
        <v>996.184155290773</v>
      </c>
      <c r="Y791" s="11" t="n">
        <f aca="false">IF(V791,0,T791)</f>
        <v>0</v>
      </c>
      <c r="Z791" s="9" t="b">
        <f aca="false">AND(Y791&gt;0,K791)</f>
        <v>0</v>
      </c>
      <c r="AA791" s="9" t="b">
        <f aca="false">AND(Y791=0,J791,ISNUMBER(L791))</f>
        <v>0</v>
      </c>
      <c r="AB791" s="8" t="n">
        <f aca="false">IF(Q791,R791,AB790)</f>
        <v>0.908794639463661</v>
      </c>
      <c r="AC791" s="12" t="n">
        <f aca="false">IF(Q791,A791,AC790)</f>
        <v>45562</v>
      </c>
      <c r="AD791" s="8" t="n">
        <f aca="false">IF(Q791,B791,AD790)</f>
        <v>0.908612916880285</v>
      </c>
      <c r="AE791" s="8" t="str">
        <f aca="false">IF(AA791,L791,"")</f>
        <v/>
      </c>
      <c r="AF791" s="8" t="n">
        <f aca="false">U791</f>
        <v>0.889248885929587</v>
      </c>
      <c r="AG791" s="2" t="n">
        <f aca="false">AG790+IF(Q791,1,0)</f>
        <v>7</v>
      </c>
      <c r="AH791" s="2" t="n">
        <f aca="false">AG790</f>
        <v>7</v>
      </c>
      <c r="AI791" s="10" t="n">
        <f aca="false">X791+Y791*(E791-AB791)-Y791*AD791*Inputs!$B$13*(A791-AC791)</f>
        <v>996.184155290773</v>
      </c>
      <c r="AJ791" s="10" t="n">
        <v>0</v>
      </c>
      <c r="AK791" s="8" t="n">
        <f aca="false">IF(AND(B791&lt;=U791,NOT(Q791)),B791,U791)*(1-Inputs!$B$12)</f>
        <v>0.868248796425666</v>
      </c>
    </row>
    <row r="792" customFormat="false" ht="15" hidden="false" customHeight="false" outlineLevel="0" collapsed="false">
      <c r="A792" s="6" t="n">
        <v>45576</v>
      </c>
      <c r="B792" s="7" t="n">
        <v>0.866696481843688</v>
      </c>
      <c r="C792" s="7" t="n">
        <v>0.874099851778686</v>
      </c>
      <c r="D792" s="7" t="n">
        <v>0.862294125617801</v>
      </c>
      <c r="E792" s="7" t="n">
        <v>0.87146154359795</v>
      </c>
      <c r="F792" s="8" t="n">
        <f aca="true">IF(ROW()-2&gt;=Inputs!$B$4,AVERAGE(OFFSET(E792,1-Inputs!$B$4,0,Inputs!$B$4,1)),"")</f>
        <v>0.891247418943385</v>
      </c>
      <c r="G792" s="8" t="n">
        <f aca="true">IF(ROW()-2&gt;=Inputs!$B$5,AVERAGE(OFFSET(E792,1-Inputs!$B$5,0,Inputs!$B$5,1)),"")</f>
        <v>0.894459373861102</v>
      </c>
      <c r="H792" s="8" t="n">
        <f aca="false">MAX(C792-D792,ABS(C792-E791),ABS(D792-E791))</f>
        <v>0.0118057261608855</v>
      </c>
      <c r="I792" s="8" t="n">
        <f aca="true">IF(ROW()-2&lt;14,"",IF(ROW()-2=14,AVERAGE(OFFSET(H792,-13,0,14,1)),(I791*13+H792)/14))</f>
        <v>0.00885826682661761</v>
      </c>
      <c r="J792" s="9" t="b">
        <f aca="false">IF(AND(ISNUMBER(F792),ISNUMBER(G792),ISNUMBER(F791),ISNUMBER(G791)),AND(F792&gt;G792,F791&lt;=G791),FALSE())</f>
        <v>0</v>
      </c>
      <c r="K792" s="9" t="b">
        <f aca="false">IF(AND(ISNUMBER(F792),ISNUMBER(G792),ISNUMBER(F791),ISNUMBER(G791)),AND(F792&lt;G792,F791&gt;=G791),FALSE())</f>
        <v>0</v>
      </c>
      <c r="L792" s="8" t="n">
        <f aca="false">IF(ISNUMBER(I792),E792-Inputs!$B$6*I792,"")</f>
        <v>0.853745009944715</v>
      </c>
      <c r="M792" s="9" t="b">
        <f aca="false">AND(Y791&gt;0,Z791)</f>
        <v>0</v>
      </c>
      <c r="N792" s="8" t="n">
        <f aca="false">B792*(1-Inputs!$B$12)</f>
        <v>0.86652314254732</v>
      </c>
      <c r="O792" s="10" t="n">
        <f aca="false">IF(M792,Y791*(N792-AB791)-Inputs!$B$9-Y791*AD791*Inputs!$B$13*(A792-AC791),0)</f>
        <v>0</v>
      </c>
      <c r="P792" s="10" t="n">
        <f aca="false">X791+O792</f>
        <v>996.184155290773</v>
      </c>
      <c r="Q792" s="9" t="b">
        <f aca="false">AND(IF(M792,0,Y791)=0,AA791,IF(ISNUMBER(AE791),B792&gt;AE791,FALSE()))</f>
        <v>0</v>
      </c>
      <c r="R792" s="8" t="n">
        <f aca="false">B792*(1+Inputs!$B$12)</f>
        <v>0.866869821140057</v>
      </c>
      <c r="S792" s="11" t="n">
        <f aca="false">IF(Q792,MIN(P792*Inputs!$B$3/(R792-AE791),P792*Inputs!$B$11/R792),0)</f>
        <v>0</v>
      </c>
      <c r="T792" s="11" t="n">
        <f aca="false">IF(Q792,S792,IF(M792,0,Y791))</f>
        <v>0</v>
      </c>
      <c r="U792" s="8" t="n">
        <f aca="false">IF(Q792,AE791,AF791)</f>
        <v>0.889248885929587</v>
      </c>
      <c r="V792" s="9" t="b">
        <f aca="false">AND(T792&gt;0,D792&lt;=U792)</f>
        <v>0</v>
      </c>
      <c r="W792" s="10" t="n">
        <f aca="false">IF(V792,T792*(AK792-AB792)-Inputs!$B$9-T792*AD792*Inputs!$B$13*(A792-AC792),0)</f>
        <v>0</v>
      </c>
      <c r="X792" s="10" t="n">
        <f aca="false">P792-IF(Q792,Inputs!$B$9,0)+W792</f>
        <v>996.184155290773</v>
      </c>
      <c r="Y792" s="11" t="n">
        <f aca="false">IF(V792,0,T792)</f>
        <v>0</v>
      </c>
      <c r="Z792" s="9" t="b">
        <f aca="false">AND(Y792&gt;0,K792)</f>
        <v>0</v>
      </c>
      <c r="AA792" s="9" t="b">
        <f aca="false">AND(Y792=0,J792,ISNUMBER(L792))</f>
        <v>0</v>
      </c>
      <c r="AB792" s="8" t="n">
        <f aca="false">IF(Q792,R792,AB791)</f>
        <v>0.908794639463661</v>
      </c>
      <c r="AC792" s="12" t="n">
        <f aca="false">IF(Q792,A792,AC791)</f>
        <v>45562</v>
      </c>
      <c r="AD792" s="8" t="n">
        <f aca="false">IF(Q792,B792,AD791)</f>
        <v>0.908612916880285</v>
      </c>
      <c r="AE792" s="8" t="str">
        <f aca="false">IF(AA792,L792,"")</f>
        <v/>
      </c>
      <c r="AF792" s="8" t="n">
        <f aca="false">U792</f>
        <v>0.889248885929587</v>
      </c>
      <c r="AG792" s="2" t="n">
        <f aca="false">AG791+IF(Q792,1,0)</f>
        <v>7</v>
      </c>
      <c r="AH792" s="2" t="n">
        <f aca="false">AG791</f>
        <v>7</v>
      </c>
      <c r="AI792" s="10" t="n">
        <f aca="false">X792+Y792*(E792-AB792)-Y792*AD792*Inputs!$B$13*(A792-AC792)</f>
        <v>996.184155290773</v>
      </c>
      <c r="AJ792" s="10" t="n">
        <v>0</v>
      </c>
      <c r="AK792" s="8" t="n">
        <f aca="false">IF(AND(B792&lt;=U792,NOT(Q792)),B792,U792)*(1-Inputs!$B$12)</f>
        <v>0.86652314254732</v>
      </c>
    </row>
    <row r="793" customFormat="false" ht="15" hidden="false" customHeight="false" outlineLevel="0" collapsed="false">
      <c r="A793" s="6" t="n">
        <v>45577</v>
      </c>
      <c r="B793" s="7" t="n">
        <v>0.87146154359795</v>
      </c>
      <c r="C793" s="7" t="n">
        <v>0.878325080478562</v>
      </c>
      <c r="D793" s="7" t="n">
        <v>0.871424342388511</v>
      </c>
      <c r="E793" s="7" t="n">
        <v>0.871802825330232</v>
      </c>
      <c r="F793" s="8" t="n">
        <f aca="true">IF(ROW()-2&gt;=Inputs!$B$4,AVERAGE(OFFSET(E793,1-Inputs!$B$4,0,Inputs!$B$4,1)),"")</f>
        <v>0.889774216584804</v>
      </c>
      <c r="G793" s="8" t="n">
        <f aca="true">IF(ROW()-2&gt;=Inputs!$B$5,AVERAGE(OFFSET(E793,1-Inputs!$B$5,0,Inputs!$B$5,1)),"")</f>
        <v>0.89410878602115</v>
      </c>
      <c r="H793" s="8" t="n">
        <f aca="false">MAX(C793-D793,ABS(C793-E792),ABS(D793-E792))</f>
        <v>0.00690073809005132</v>
      </c>
      <c r="I793" s="8" t="n">
        <f aca="true">IF(ROW()-2&lt;14,"",IF(ROW()-2=14,AVERAGE(OFFSET(H793,-13,0,14,1)),(I792*13+H793)/14))</f>
        <v>0.0087184433454343</v>
      </c>
      <c r="J793" s="9" t="b">
        <f aca="false">IF(AND(ISNUMBER(F793),ISNUMBER(G793),ISNUMBER(F792),ISNUMBER(G792)),AND(F793&gt;G793,F792&lt;=G792),FALSE())</f>
        <v>0</v>
      </c>
      <c r="K793" s="9" t="b">
        <f aca="false">IF(AND(ISNUMBER(F793),ISNUMBER(G793),ISNUMBER(F792),ISNUMBER(G792)),AND(F793&lt;G793,F792&gt;=G792),FALSE())</f>
        <v>0</v>
      </c>
      <c r="L793" s="8" t="n">
        <f aca="false">IF(ISNUMBER(I793),E793-Inputs!$B$6*I793,"")</f>
        <v>0.854365938639364</v>
      </c>
      <c r="M793" s="9" t="b">
        <f aca="false">AND(Y792&gt;0,Z792)</f>
        <v>0</v>
      </c>
      <c r="N793" s="8" t="n">
        <f aca="false">B793*(1-Inputs!$B$12)</f>
        <v>0.87128725128923</v>
      </c>
      <c r="O793" s="10" t="n">
        <f aca="false">IF(M793,Y792*(N793-AB792)-Inputs!$B$9-Y792*AD792*Inputs!$B$13*(A793-AC792),0)</f>
        <v>0</v>
      </c>
      <c r="P793" s="10" t="n">
        <f aca="false">X792+O793</f>
        <v>996.184155290773</v>
      </c>
      <c r="Q793" s="9" t="b">
        <f aca="false">AND(IF(M793,0,Y792)=0,AA792,IF(ISNUMBER(AE792),B793&gt;AE792,FALSE()))</f>
        <v>0</v>
      </c>
      <c r="R793" s="8" t="n">
        <f aca="false">B793*(1+Inputs!$B$12)</f>
        <v>0.871635835906669</v>
      </c>
      <c r="S793" s="11" t="n">
        <f aca="false">IF(Q793,MIN(P793*Inputs!$B$3/(R793-AE792),P793*Inputs!$B$11/R793),0)</f>
        <v>0</v>
      </c>
      <c r="T793" s="11" t="n">
        <f aca="false">IF(Q793,S793,IF(M793,0,Y792))</f>
        <v>0</v>
      </c>
      <c r="U793" s="8" t="n">
        <f aca="false">IF(Q793,AE792,AF792)</f>
        <v>0.889248885929587</v>
      </c>
      <c r="V793" s="9" t="b">
        <f aca="false">AND(T793&gt;0,D793&lt;=U793)</f>
        <v>0</v>
      </c>
      <c r="W793" s="10" t="n">
        <f aca="false">IF(V793,T793*(AK793-AB793)-Inputs!$B$9-T793*AD793*Inputs!$B$13*(A793-AC793),0)</f>
        <v>0</v>
      </c>
      <c r="X793" s="10" t="n">
        <f aca="false">P793-IF(Q793,Inputs!$B$9,0)+W793</f>
        <v>996.184155290773</v>
      </c>
      <c r="Y793" s="11" t="n">
        <f aca="false">IF(V793,0,T793)</f>
        <v>0</v>
      </c>
      <c r="Z793" s="9" t="b">
        <f aca="false">AND(Y793&gt;0,K793)</f>
        <v>0</v>
      </c>
      <c r="AA793" s="9" t="b">
        <f aca="false">AND(Y793=0,J793,ISNUMBER(L793))</f>
        <v>0</v>
      </c>
      <c r="AB793" s="8" t="n">
        <f aca="false">IF(Q793,R793,AB792)</f>
        <v>0.908794639463661</v>
      </c>
      <c r="AC793" s="12" t="n">
        <f aca="false">IF(Q793,A793,AC792)</f>
        <v>45562</v>
      </c>
      <c r="AD793" s="8" t="n">
        <f aca="false">IF(Q793,B793,AD792)</f>
        <v>0.908612916880285</v>
      </c>
      <c r="AE793" s="8" t="str">
        <f aca="false">IF(AA793,L793,"")</f>
        <v/>
      </c>
      <c r="AF793" s="8" t="n">
        <f aca="false">U793</f>
        <v>0.889248885929587</v>
      </c>
      <c r="AG793" s="2" t="n">
        <f aca="false">AG792+IF(Q793,1,0)</f>
        <v>7</v>
      </c>
      <c r="AH793" s="2" t="n">
        <f aca="false">AG792</f>
        <v>7</v>
      </c>
      <c r="AI793" s="10" t="n">
        <f aca="false">X793+Y793*(E793-AB793)-Y793*AD793*Inputs!$B$13*(A793-AC793)</f>
        <v>996.184155290773</v>
      </c>
      <c r="AJ793" s="10" t="n">
        <v>0</v>
      </c>
      <c r="AK793" s="8" t="n">
        <f aca="false">IF(AND(B793&lt;=U793,NOT(Q793)),B793,U793)*(1-Inputs!$B$12)</f>
        <v>0.87128725128923</v>
      </c>
    </row>
    <row r="794" customFormat="false" ht="15" hidden="false" customHeight="false" outlineLevel="0" collapsed="false">
      <c r="A794" s="6" t="n">
        <v>45578</v>
      </c>
      <c r="B794" s="7" t="n">
        <v>0.871802825330232</v>
      </c>
      <c r="C794" s="7" t="n">
        <v>0.880405218135873</v>
      </c>
      <c r="D794" s="7" t="n">
        <v>0.866475026922543</v>
      </c>
      <c r="E794" s="7" t="n">
        <v>0.876336027442931</v>
      </c>
      <c r="F794" s="8" t="n">
        <f aca="true">IF(ROW()-2&gt;=Inputs!$B$4,AVERAGE(OFFSET(E794,1-Inputs!$B$4,0,Inputs!$B$4,1)),"")</f>
        <v>0.8883075737203</v>
      </c>
      <c r="G794" s="8" t="n">
        <f aca="true">IF(ROW()-2&gt;=Inputs!$B$5,AVERAGE(OFFSET(E794,1-Inputs!$B$5,0,Inputs!$B$5,1)),"")</f>
        <v>0.893749360635889</v>
      </c>
      <c r="H794" s="8" t="n">
        <f aca="false">MAX(C794-D794,ABS(C794-E793),ABS(D794-E793))</f>
        <v>0.0139301912133293</v>
      </c>
      <c r="I794" s="8" t="n">
        <f aca="true">IF(ROW()-2&lt;14,"",IF(ROW()-2=14,AVERAGE(OFFSET(H794,-13,0,14,1)),(I793*13+H794)/14))</f>
        <v>0.00909071105028394</v>
      </c>
      <c r="J794" s="9" t="b">
        <f aca="false">IF(AND(ISNUMBER(F794),ISNUMBER(G794),ISNUMBER(F793),ISNUMBER(G793)),AND(F794&gt;G794,F793&lt;=G793),FALSE())</f>
        <v>0</v>
      </c>
      <c r="K794" s="9" t="b">
        <f aca="false">IF(AND(ISNUMBER(F794),ISNUMBER(G794),ISNUMBER(F793),ISNUMBER(G793)),AND(F794&lt;G794,F793&gt;=G793),FALSE())</f>
        <v>0</v>
      </c>
      <c r="L794" s="8" t="n">
        <f aca="false">IF(ISNUMBER(I794),E794-Inputs!$B$6*I794,"")</f>
        <v>0.858154605342363</v>
      </c>
      <c r="M794" s="9" t="b">
        <f aca="false">AND(Y793&gt;0,Z793)</f>
        <v>0</v>
      </c>
      <c r="N794" s="8" t="n">
        <f aca="false">B794*(1-Inputs!$B$12)</f>
        <v>0.871628464765166</v>
      </c>
      <c r="O794" s="10" t="n">
        <f aca="false">IF(M794,Y793*(N794-AB793)-Inputs!$B$9-Y793*AD793*Inputs!$B$13*(A794-AC793),0)</f>
        <v>0</v>
      </c>
      <c r="P794" s="10" t="n">
        <f aca="false">X793+O794</f>
        <v>996.184155290773</v>
      </c>
      <c r="Q794" s="9" t="b">
        <f aca="false">AND(IF(M794,0,Y793)=0,AA793,IF(ISNUMBER(AE793),B794&gt;AE793,FALSE()))</f>
        <v>0</v>
      </c>
      <c r="R794" s="8" t="n">
        <f aca="false">B794*(1+Inputs!$B$12)</f>
        <v>0.871977185895298</v>
      </c>
      <c r="S794" s="11" t="n">
        <f aca="false">IF(Q794,MIN(P794*Inputs!$B$3/(R794-AE793),P794*Inputs!$B$11/R794),0)</f>
        <v>0</v>
      </c>
      <c r="T794" s="11" t="n">
        <f aca="false">IF(Q794,S794,IF(M794,0,Y793))</f>
        <v>0</v>
      </c>
      <c r="U794" s="8" t="n">
        <f aca="false">IF(Q794,AE793,AF793)</f>
        <v>0.889248885929587</v>
      </c>
      <c r="V794" s="9" t="b">
        <f aca="false">AND(T794&gt;0,D794&lt;=U794)</f>
        <v>0</v>
      </c>
      <c r="W794" s="10" t="n">
        <f aca="false">IF(V794,T794*(AK794-AB794)-Inputs!$B$9-T794*AD794*Inputs!$B$13*(A794-AC794),0)</f>
        <v>0</v>
      </c>
      <c r="X794" s="10" t="n">
        <f aca="false">P794-IF(Q794,Inputs!$B$9,0)+W794</f>
        <v>996.184155290773</v>
      </c>
      <c r="Y794" s="11" t="n">
        <f aca="false">IF(V794,0,T794)</f>
        <v>0</v>
      </c>
      <c r="Z794" s="9" t="b">
        <f aca="false">AND(Y794&gt;0,K794)</f>
        <v>0</v>
      </c>
      <c r="AA794" s="9" t="b">
        <f aca="false">AND(Y794=0,J794,ISNUMBER(L794))</f>
        <v>0</v>
      </c>
      <c r="AB794" s="8" t="n">
        <f aca="false">IF(Q794,R794,AB793)</f>
        <v>0.908794639463661</v>
      </c>
      <c r="AC794" s="12" t="n">
        <f aca="false">IF(Q794,A794,AC793)</f>
        <v>45562</v>
      </c>
      <c r="AD794" s="8" t="n">
        <f aca="false">IF(Q794,B794,AD793)</f>
        <v>0.908612916880285</v>
      </c>
      <c r="AE794" s="8" t="str">
        <f aca="false">IF(AA794,L794,"")</f>
        <v/>
      </c>
      <c r="AF794" s="8" t="n">
        <f aca="false">U794</f>
        <v>0.889248885929587</v>
      </c>
      <c r="AG794" s="2" t="n">
        <f aca="false">AG793+IF(Q794,1,0)</f>
        <v>7</v>
      </c>
      <c r="AH794" s="2" t="n">
        <f aca="false">AG793</f>
        <v>7</v>
      </c>
      <c r="AI794" s="10" t="n">
        <f aca="false">X794+Y794*(E794-AB794)-Y794*AD794*Inputs!$B$13*(A794-AC794)</f>
        <v>996.184155290773</v>
      </c>
      <c r="AJ794" s="10" t="n">
        <v>0</v>
      </c>
      <c r="AK794" s="8" t="n">
        <f aca="false">IF(AND(B794&lt;=U794,NOT(Q794)),B794,U794)*(1-Inputs!$B$12)</f>
        <v>0.871628464765166</v>
      </c>
    </row>
    <row r="795" customFormat="false" ht="15" hidden="false" customHeight="false" outlineLevel="0" collapsed="false">
      <c r="A795" s="6" t="n">
        <v>45579</v>
      </c>
      <c r="B795" s="7" t="n">
        <v>0.876336027442931</v>
      </c>
      <c r="C795" s="7" t="n">
        <v>0.877598724030416</v>
      </c>
      <c r="D795" s="7" t="n">
        <v>0.872991349706803</v>
      </c>
      <c r="E795" s="7" t="n">
        <v>0.875563000426748</v>
      </c>
      <c r="F795" s="8" t="n">
        <f aca="true">IF(ROW()-2&gt;=Inputs!$B$4,AVERAGE(OFFSET(E795,1-Inputs!$B$4,0,Inputs!$B$4,1)),"")</f>
        <v>0.886630441337692</v>
      </c>
      <c r="G795" s="8" t="n">
        <f aca="true">IF(ROW()-2&gt;=Inputs!$B$5,AVERAGE(OFFSET(E795,1-Inputs!$B$5,0,Inputs!$B$5,1)),"")</f>
        <v>0.893482443752823</v>
      </c>
      <c r="H795" s="8" t="n">
        <f aca="false">MAX(C795-D795,ABS(C795-E794),ABS(D795-E794))</f>
        <v>0.00460737432361302</v>
      </c>
      <c r="I795" s="8" t="n">
        <f aca="true">IF(ROW()-2&lt;14,"",IF(ROW()-2=14,AVERAGE(OFFSET(H795,-13,0,14,1)),(I794*13+H795)/14))</f>
        <v>0.00877047271266459</v>
      </c>
      <c r="J795" s="9" t="b">
        <f aca="false">IF(AND(ISNUMBER(F795),ISNUMBER(G795),ISNUMBER(F794),ISNUMBER(G794)),AND(F795&gt;G795,F794&lt;=G794),FALSE())</f>
        <v>0</v>
      </c>
      <c r="K795" s="9" t="b">
        <f aca="false">IF(AND(ISNUMBER(F795),ISNUMBER(G795),ISNUMBER(F794),ISNUMBER(G794)),AND(F795&lt;G795,F794&gt;=G794),FALSE())</f>
        <v>0</v>
      </c>
      <c r="L795" s="8" t="n">
        <f aca="false">IF(ISNUMBER(I795),E795-Inputs!$B$6*I795,"")</f>
        <v>0.858022055001419</v>
      </c>
      <c r="M795" s="9" t="b">
        <f aca="false">AND(Y794&gt;0,Z794)</f>
        <v>0</v>
      </c>
      <c r="N795" s="8" t="n">
        <f aca="false">B795*(1-Inputs!$B$12)</f>
        <v>0.876160760237442</v>
      </c>
      <c r="O795" s="10" t="n">
        <f aca="false">IF(M795,Y794*(N795-AB794)-Inputs!$B$9-Y794*AD794*Inputs!$B$13*(A795-AC794),0)</f>
        <v>0</v>
      </c>
      <c r="P795" s="10" t="n">
        <f aca="false">X794+O795</f>
        <v>996.184155290773</v>
      </c>
      <c r="Q795" s="9" t="b">
        <f aca="false">AND(IF(M795,0,Y794)=0,AA794,IF(ISNUMBER(AE794),B795&gt;AE794,FALSE()))</f>
        <v>0</v>
      </c>
      <c r="R795" s="8" t="n">
        <f aca="false">B795*(1+Inputs!$B$12)</f>
        <v>0.876511294648419</v>
      </c>
      <c r="S795" s="11" t="n">
        <f aca="false">IF(Q795,MIN(P795*Inputs!$B$3/(R795-AE794),P795*Inputs!$B$11/R795),0)</f>
        <v>0</v>
      </c>
      <c r="T795" s="11" t="n">
        <f aca="false">IF(Q795,S795,IF(M795,0,Y794))</f>
        <v>0</v>
      </c>
      <c r="U795" s="8" t="n">
        <f aca="false">IF(Q795,AE794,AF794)</f>
        <v>0.889248885929587</v>
      </c>
      <c r="V795" s="9" t="b">
        <f aca="false">AND(T795&gt;0,D795&lt;=U795)</f>
        <v>0</v>
      </c>
      <c r="W795" s="10" t="n">
        <f aca="false">IF(V795,T795*(AK795-AB795)-Inputs!$B$9-T795*AD795*Inputs!$B$13*(A795-AC795),0)</f>
        <v>0</v>
      </c>
      <c r="X795" s="10" t="n">
        <f aca="false">P795-IF(Q795,Inputs!$B$9,0)+W795</f>
        <v>996.184155290773</v>
      </c>
      <c r="Y795" s="11" t="n">
        <f aca="false">IF(V795,0,T795)</f>
        <v>0</v>
      </c>
      <c r="Z795" s="9" t="b">
        <f aca="false">AND(Y795&gt;0,K795)</f>
        <v>0</v>
      </c>
      <c r="AA795" s="9" t="b">
        <f aca="false">AND(Y795=0,J795,ISNUMBER(L795))</f>
        <v>0</v>
      </c>
      <c r="AB795" s="8" t="n">
        <f aca="false">IF(Q795,R795,AB794)</f>
        <v>0.908794639463661</v>
      </c>
      <c r="AC795" s="12" t="n">
        <f aca="false">IF(Q795,A795,AC794)</f>
        <v>45562</v>
      </c>
      <c r="AD795" s="8" t="n">
        <f aca="false">IF(Q795,B795,AD794)</f>
        <v>0.908612916880285</v>
      </c>
      <c r="AE795" s="8" t="str">
        <f aca="false">IF(AA795,L795,"")</f>
        <v/>
      </c>
      <c r="AF795" s="8" t="n">
        <f aca="false">U795</f>
        <v>0.889248885929587</v>
      </c>
      <c r="AG795" s="2" t="n">
        <f aca="false">AG794+IF(Q795,1,0)</f>
        <v>7</v>
      </c>
      <c r="AH795" s="2" t="n">
        <f aca="false">AG794</f>
        <v>7</v>
      </c>
      <c r="AI795" s="10" t="n">
        <f aca="false">X795+Y795*(E795-AB795)-Y795*AD795*Inputs!$B$13*(A795-AC795)</f>
        <v>996.184155290773</v>
      </c>
      <c r="AJ795" s="10" t="n">
        <v>0</v>
      </c>
      <c r="AK795" s="8" t="n">
        <f aca="false">IF(AND(B795&lt;=U795,NOT(Q795)),B795,U795)*(1-Inputs!$B$12)</f>
        <v>0.876160760237442</v>
      </c>
    </row>
    <row r="796" customFormat="false" ht="15" hidden="false" customHeight="false" outlineLevel="0" collapsed="false">
      <c r="A796" s="6" t="n">
        <v>45580</v>
      </c>
      <c r="B796" s="7" t="n">
        <v>0.875563000426748</v>
      </c>
      <c r="C796" s="7" t="n">
        <v>0.886714469876861</v>
      </c>
      <c r="D796" s="7" t="n">
        <v>0.874241494890474</v>
      </c>
      <c r="E796" s="7" t="n">
        <v>0.885354757535066</v>
      </c>
      <c r="F796" s="8" t="n">
        <f aca="true">IF(ROW()-2&gt;=Inputs!$B$4,AVERAGE(OFFSET(E796,1-Inputs!$B$4,0,Inputs!$B$4,1)),"")</f>
        <v>0.885120841502815</v>
      </c>
      <c r="G796" s="8" t="n">
        <f aca="true">IF(ROW()-2&gt;=Inputs!$B$5,AVERAGE(OFFSET(E796,1-Inputs!$B$5,0,Inputs!$B$5,1)),"")</f>
        <v>0.893355986258273</v>
      </c>
      <c r="H796" s="8" t="n">
        <f aca="false">MAX(C796-D796,ABS(C796-E795),ABS(D796-E795))</f>
        <v>0.0124729749863866</v>
      </c>
      <c r="I796" s="8" t="n">
        <f aca="true">IF(ROW()-2&lt;14,"",IF(ROW()-2=14,AVERAGE(OFFSET(H796,-13,0,14,1)),(I795*13+H796)/14))</f>
        <v>0.00903493716078759</v>
      </c>
      <c r="J796" s="9" t="b">
        <f aca="false">IF(AND(ISNUMBER(F796),ISNUMBER(G796),ISNUMBER(F795),ISNUMBER(G795)),AND(F796&gt;G796,F795&lt;=G795),FALSE())</f>
        <v>0</v>
      </c>
      <c r="K796" s="9" t="b">
        <f aca="false">IF(AND(ISNUMBER(F796),ISNUMBER(G796),ISNUMBER(F795),ISNUMBER(G795)),AND(F796&lt;G796,F795&gt;=G795),FALSE())</f>
        <v>0</v>
      </c>
      <c r="L796" s="8" t="n">
        <f aca="false">IF(ISNUMBER(I796),E796-Inputs!$B$6*I796,"")</f>
        <v>0.867284883213491</v>
      </c>
      <c r="M796" s="9" t="b">
        <f aca="false">AND(Y795&gt;0,Z795)</f>
        <v>0</v>
      </c>
      <c r="N796" s="8" t="n">
        <f aca="false">B796*(1-Inputs!$B$12)</f>
        <v>0.875387887826663</v>
      </c>
      <c r="O796" s="10" t="n">
        <f aca="false">IF(M796,Y795*(N796-AB795)-Inputs!$B$9-Y795*AD795*Inputs!$B$13*(A796-AC795),0)</f>
        <v>0</v>
      </c>
      <c r="P796" s="10" t="n">
        <f aca="false">X795+O796</f>
        <v>996.184155290773</v>
      </c>
      <c r="Q796" s="9" t="b">
        <f aca="false">AND(IF(M796,0,Y795)=0,AA795,IF(ISNUMBER(AE795),B796&gt;AE795,FALSE()))</f>
        <v>0</v>
      </c>
      <c r="R796" s="8" t="n">
        <f aca="false">B796*(1+Inputs!$B$12)</f>
        <v>0.875738113026833</v>
      </c>
      <c r="S796" s="11" t="n">
        <f aca="false">IF(Q796,MIN(P796*Inputs!$B$3/(R796-AE795),P796*Inputs!$B$11/R796),0)</f>
        <v>0</v>
      </c>
      <c r="T796" s="11" t="n">
        <f aca="false">IF(Q796,S796,IF(M796,0,Y795))</f>
        <v>0</v>
      </c>
      <c r="U796" s="8" t="n">
        <f aca="false">IF(Q796,AE795,AF795)</f>
        <v>0.889248885929587</v>
      </c>
      <c r="V796" s="9" t="b">
        <f aca="false">AND(T796&gt;0,D796&lt;=U796)</f>
        <v>0</v>
      </c>
      <c r="W796" s="10" t="n">
        <f aca="false">IF(V796,T796*(AK796-AB796)-Inputs!$B$9-T796*AD796*Inputs!$B$13*(A796-AC796),0)</f>
        <v>0</v>
      </c>
      <c r="X796" s="10" t="n">
        <f aca="false">P796-IF(Q796,Inputs!$B$9,0)+W796</f>
        <v>996.184155290773</v>
      </c>
      <c r="Y796" s="11" t="n">
        <f aca="false">IF(V796,0,T796)</f>
        <v>0</v>
      </c>
      <c r="Z796" s="9" t="b">
        <f aca="false">AND(Y796&gt;0,K796)</f>
        <v>0</v>
      </c>
      <c r="AA796" s="9" t="b">
        <f aca="false">AND(Y796=0,J796,ISNUMBER(L796))</f>
        <v>0</v>
      </c>
      <c r="AB796" s="8" t="n">
        <f aca="false">IF(Q796,R796,AB795)</f>
        <v>0.908794639463661</v>
      </c>
      <c r="AC796" s="12" t="n">
        <f aca="false">IF(Q796,A796,AC795)</f>
        <v>45562</v>
      </c>
      <c r="AD796" s="8" t="n">
        <f aca="false">IF(Q796,B796,AD795)</f>
        <v>0.908612916880285</v>
      </c>
      <c r="AE796" s="8" t="str">
        <f aca="false">IF(AA796,L796,"")</f>
        <v/>
      </c>
      <c r="AF796" s="8" t="n">
        <f aca="false">U796</f>
        <v>0.889248885929587</v>
      </c>
      <c r="AG796" s="2" t="n">
        <f aca="false">AG795+IF(Q796,1,0)</f>
        <v>7</v>
      </c>
      <c r="AH796" s="2" t="n">
        <f aca="false">AG795</f>
        <v>7</v>
      </c>
      <c r="AI796" s="10" t="n">
        <f aca="false">X796+Y796*(E796-AB796)-Y796*AD796*Inputs!$B$13*(A796-AC796)</f>
        <v>996.184155290773</v>
      </c>
      <c r="AJ796" s="10" t="n">
        <v>0</v>
      </c>
      <c r="AK796" s="8" t="n">
        <f aca="false">IF(AND(B796&lt;=U796,NOT(Q796)),B796,U796)*(1-Inputs!$B$12)</f>
        <v>0.875387887826663</v>
      </c>
    </row>
    <row r="797" customFormat="false" ht="15" hidden="false" customHeight="false" outlineLevel="0" collapsed="false">
      <c r="A797" s="6" t="n">
        <v>45581</v>
      </c>
      <c r="B797" s="7" t="n">
        <v>0.885354757535066</v>
      </c>
      <c r="C797" s="7" t="n">
        <v>0.8921469611342</v>
      </c>
      <c r="D797" s="7" t="n">
        <v>0.877675683381541</v>
      </c>
      <c r="E797" s="7" t="n">
        <v>0.883792210455796</v>
      </c>
      <c r="F797" s="8" t="n">
        <f aca="true">IF(ROW()-2&gt;=Inputs!$B$4,AVERAGE(OFFSET(E797,1-Inputs!$B$4,0,Inputs!$B$4,1)),"")</f>
        <v>0.883879806181591</v>
      </c>
      <c r="G797" s="8" t="n">
        <f aca="true">IF(ROW()-2&gt;=Inputs!$B$5,AVERAGE(OFFSET(E797,1-Inputs!$B$5,0,Inputs!$B$5,1)),"")</f>
        <v>0.892927701043199</v>
      </c>
      <c r="H797" s="8" t="n">
        <f aca="false">MAX(C797-D797,ABS(C797-E796),ABS(D797-E796))</f>
        <v>0.0144712777526594</v>
      </c>
      <c r="I797" s="8" t="n">
        <f aca="true">IF(ROW()-2&lt;14,"",IF(ROW()-2=14,AVERAGE(OFFSET(H797,-13,0,14,1)),(I796*13+H797)/14))</f>
        <v>0.00942324720306415</v>
      </c>
      <c r="J797" s="9" t="b">
        <f aca="false">IF(AND(ISNUMBER(F797),ISNUMBER(G797),ISNUMBER(F796),ISNUMBER(G796)),AND(F797&gt;G797,F796&lt;=G796),FALSE())</f>
        <v>0</v>
      </c>
      <c r="K797" s="9" t="b">
        <f aca="false">IF(AND(ISNUMBER(F797),ISNUMBER(G797),ISNUMBER(F796),ISNUMBER(G796)),AND(F797&lt;G797,F796&gt;=G796),FALSE())</f>
        <v>0</v>
      </c>
      <c r="L797" s="8" t="n">
        <f aca="false">IF(ISNUMBER(I797),E797-Inputs!$B$6*I797,"")</f>
        <v>0.864945716049668</v>
      </c>
      <c r="M797" s="9" t="b">
        <f aca="false">AND(Y796&gt;0,Z796)</f>
        <v>0</v>
      </c>
      <c r="N797" s="8" t="n">
        <f aca="false">B797*(1-Inputs!$B$12)</f>
        <v>0.885177686583559</v>
      </c>
      <c r="O797" s="10" t="n">
        <f aca="false">IF(M797,Y796*(N797-AB796)-Inputs!$B$9-Y796*AD796*Inputs!$B$13*(A797-AC796),0)</f>
        <v>0</v>
      </c>
      <c r="P797" s="10" t="n">
        <f aca="false">X796+O797</f>
        <v>996.184155290773</v>
      </c>
      <c r="Q797" s="9" t="b">
        <f aca="false">AND(IF(M797,0,Y796)=0,AA796,IF(ISNUMBER(AE796),B797&gt;AE796,FALSE()))</f>
        <v>0</v>
      </c>
      <c r="R797" s="8" t="n">
        <f aca="false">B797*(1+Inputs!$B$12)</f>
        <v>0.885531828486573</v>
      </c>
      <c r="S797" s="11" t="n">
        <f aca="false">IF(Q797,MIN(P797*Inputs!$B$3/(R797-AE796),P797*Inputs!$B$11/R797),0)</f>
        <v>0</v>
      </c>
      <c r="T797" s="11" t="n">
        <f aca="false">IF(Q797,S797,IF(M797,0,Y796))</f>
        <v>0</v>
      </c>
      <c r="U797" s="8" t="n">
        <f aca="false">IF(Q797,AE796,AF796)</f>
        <v>0.889248885929587</v>
      </c>
      <c r="V797" s="9" t="b">
        <f aca="false">AND(T797&gt;0,D797&lt;=U797)</f>
        <v>0</v>
      </c>
      <c r="W797" s="10" t="n">
        <f aca="false">IF(V797,T797*(AK797-AB797)-Inputs!$B$9-T797*AD797*Inputs!$B$13*(A797-AC797),0)</f>
        <v>0</v>
      </c>
      <c r="X797" s="10" t="n">
        <f aca="false">P797-IF(Q797,Inputs!$B$9,0)+W797</f>
        <v>996.184155290773</v>
      </c>
      <c r="Y797" s="11" t="n">
        <f aca="false">IF(V797,0,T797)</f>
        <v>0</v>
      </c>
      <c r="Z797" s="9" t="b">
        <f aca="false">AND(Y797&gt;0,K797)</f>
        <v>0</v>
      </c>
      <c r="AA797" s="9" t="b">
        <f aca="false">AND(Y797=0,J797,ISNUMBER(L797))</f>
        <v>0</v>
      </c>
      <c r="AB797" s="8" t="n">
        <f aca="false">IF(Q797,R797,AB796)</f>
        <v>0.908794639463661</v>
      </c>
      <c r="AC797" s="12" t="n">
        <f aca="false">IF(Q797,A797,AC796)</f>
        <v>45562</v>
      </c>
      <c r="AD797" s="8" t="n">
        <f aca="false">IF(Q797,B797,AD796)</f>
        <v>0.908612916880285</v>
      </c>
      <c r="AE797" s="8" t="str">
        <f aca="false">IF(AA797,L797,"")</f>
        <v/>
      </c>
      <c r="AF797" s="8" t="n">
        <f aca="false">U797</f>
        <v>0.889248885929587</v>
      </c>
      <c r="AG797" s="2" t="n">
        <f aca="false">AG796+IF(Q797,1,0)</f>
        <v>7</v>
      </c>
      <c r="AH797" s="2" t="n">
        <f aca="false">AG796</f>
        <v>7</v>
      </c>
      <c r="AI797" s="10" t="n">
        <f aca="false">X797+Y797*(E797-AB797)-Y797*AD797*Inputs!$B$13*(A797-AC797)</f>
        <v>996.184155290773</v>
      </c>
      <c r="AJ797" s="10" t="n">
        <v>0</v>
      </c>
      <c r="AK797" s="8" t="n">
        <f aca="false">IF(AND(B797&lt;=U797,NOT(Q797)),B797,U797)*(1-Inputs!$B$12)</f>
        <v>0.885177686583559</v>
      </c>
    </row>
    <row r="798" customFormat="false" ht="15" hidden="false" customHeight="false" outlineLevel="0" collapsed="false">
      <c r="A798" s="6" t="n">
        <v>45582</v>
      </c>
      <c r="B798" s="7" t="n">
        <v>0.883792210455796</v>
      </c>
      <c r="C798" s="7" t="n">
        <v>0.888117849510975</v>
      </c>
      <c r="D798" s="7" t="n">
        <v>0.876901402758023</v>
      </c>
      <c r="E798" s="7" t="n">
        <v>0.881803445073143</v>
      </c>
      <c r="F798" s="8" t="n">
        <f aca="true">IF(ROW()-2&gt;=Inputs!$B$4,AVERAGE(OFFSET(E798,1-Inputs!$B$4,0,Inputs!$B$4,1)),"")</f>
        <v>0.882924261168431</v>
      </c>
      <c r="G798" s="8" t="n">
        <f aca="true">IF(ROW()-2&gt;=Inputs!$B$5,AVERAGE(OFFSET(E798,1-Inputs!$B$5,0,Inputs!$B$5,1)),"")</f>
        <v>0.892401595568916</v>
      </c>
      <c r="H798" s="8" t="n">
        <f aca="false">MAX(C798-D798,ABS(C798-E797),ABS(D798-E797))</f>
        <v>0.0112164467529517</v>
      </c>
      <c r="I798" s="8" t="n">
        <f aca="true">IF(ROW()-2&lt;14,"",IF(ROW()-2=14,AVERAGE(OFFSET(H798,-13,0,14,1)),(I797*13+H798)/14))</f>
        <v>0.00955133288519898</v>
      </c>
      <c r="J798" s="9" t="b">
        <f aca="false">IF(AND(ISNUMBER(F798),ISNUMBER(G798),ISNUMBER(F797),ISNUMBER(G797)),AND(F798&gt;G798,F797&lt;=G797),FALSE())</f>
        <v>0</v>
      </c>
      <c r="K798" s="9" t="b">
        <f aca="false">IF(AND(ISNUMBER(F798),ISNUMBER(G798),ISNUMBER(F797),ISNUMBER(G797)),AND(F798&lt;G798,F797&gt;=G797),FALSE())</f>
        <v>0</v>
      </c>
      <c r="L798" s="8" t="n">
        <f aca="false">IF(ISNUMBER(I798),E798-Inputs!$B$6*I798,"")</f>
        <v>0.862700779302745</v>
      </c>
      <c r="M798" s="9" t="b">
        <f aca="false">AND(Y797&gt;0,Z797)</f>
        <v>0</v>
      </c>
      <c r="N798" s="8" t="n">
        <f aca="false">B798*(1-Inputs!$B$12)</f>
        <v>0.883615452013705</v>
      </c>
      <c r="O798" s="10" t="n">
        <f aca="false">IF(M798,Y797*(N798-AB797)-Inputs!$B$9-Y797*AD797*Inputs!$B$13*(A798-AC797),0)</f>
        <v>0</v>
      </c>
      <c r="P798" s="10" t="n">
        <f aca="false">X797+O798</f>
        <v>996.184155290773</v>
      </c>
      <c r="Q798" s="9" t="b">
        <f aca="false">AND(IF(M798,0,Y797)=0,AA797,IF(ISNUMBER(AE797),B798&gt;AE797,FALSE()))</f>
        <v>0</v>
      </c>
      <c r="R798" s="8" t="n">
        <f aca="false">B798*(1+Inputs!$B$12)</f>
        <v>0.883968968897887</v>
      </c>
      <c r="S798" s="11" t="n">
        <f aca="false">IF(Q798,MIN(P798*Inputs!$B$3/(R798-AE797),P798*Inputs!$B$11/R798),0)</f>
        <v>0</v>
      </c>
      <c r="T798" s="11" t="n">
        <f aca="false">IF(Q798,S798,IF(M798,0,Y797))</f>
        <v>0</v>
      </c>
      <c r="U798" s="8" t="n">
        <f aca="false">IF(Q798,AE797,AF797)</f>
        <v>0.889248885929587</v>
      </c>
      <c r="V798" s="9" t="b">
        <f aca="false">AND(T798&gt;0,D798&lt;=U798)</f>
        <v>0</v>
      </c>
      <c r="W798" s="10" t="n">
        <f aca="false">IF(V798,T798*(AK798-AB798)-Inputs!$B$9-T798*AD798*Inputs!$B$13*(A798-AC798),0)</f>
        <v>0</v>
      </c>
      <c r="X798" s="10" t="n">
        <f aca="false">P798-IF(Q798,Inputs!$B$9,0)+W798</f>
        <v>996.184155290773</v>
      </c>
      <c r="Y798" s="11" t="n">
        <f aca="false">IF(V798,0,T798)</f>
        <v>0</v>
      </c>
      <c r="Z798" s="9" t="b">
        <f aca="false">AND(Y798&gt;0,K798)</f>
        <v>0</v>
      </c>
      <c r="AA798" s="9" t="b">
        <f aca="false">AND(Y798=0,J798,ISNUMBER(L798))</f>
        <v>0</v>
      </c>
      <c r="AB798" s="8" t="n">
        <f aca="false">IF(Q798,R798,AB797)</f>
        <v>0.908794639463661</v>
      </c>
      <c r="AC798" s="12" t="n">
        <f aca="false">IF(Q798,A798,AC797)</f>
        <v>45562</v>
      </c>
      <c r="AD798" s="8" t="n">
        <f aca="false">IF(Q798,B798,AD797)</f>
        <v>0.908612916880285</v>
      </c>
      <c r="AE798" s="8" t="str">
        <f aca="false">IF(AA798,L798,"")</f>
        <v/>
      </c>
      <c r="AF798" s="8" t="n">
        <f aca="false">U798</f>
        <v>0.889248885929587</v>
      </c>
      <c r="AG798" s="2" t="n">
        <f aca="false">AG797+IF(Q798,1,0)</f>
        <v>7</v>
      </c>
      <c r="AH798" s="2" t="n">
        <f aca="false">AG797</f>
        <v>7</v>
      </c>
      <c r="AI798" s="10" t="n">
        <f aca="false">X798+Y798*(E798-AB798)-Y798*AD798*Inputs!$B$13*(A798-AC798)</f>
        <v>996.184155290773</v>
      </c>
      <c r="AJ798" s="10" t="n">
        <v>0</v>
      </c>
      <c r="AK798" s="8" t="n">
        <f aca="false">IF(AND(B798&lt;=U798,NOT(Q798)),B798,U798)*(1-Inputs!$B$12)</f>
        <v>0.883615452013705</v>
      </c>
    </row>
    <row r="799" customFormat="false" ht="15" hidden="false" customHeight="false" outlineLevel="0" collapsed="false">
      <c r="A799" s="6" t="n">
        <v>45583</v>
      </c>
      <c r="B799" s="7" t="n">
        <v>0.881803445073143</v>
      </c>
      <c r="C799" s="7" t="n">
        <v>0.891667537899236</v>
      </c>
      <c r="D799" s="7" t="n">
        <v>0.877282189882602</v>
      </c>
      <c r="E799" s="7" t="n">
        <v>0.889192320869002</v>
      </c>
      <c r="F799" s="8" t="n">
        <f aca="true">IF(ROW()-2&gt;=Inputs!$B$4,AVERAGE(OFFSET(E799,1-Inputs!$B$4,0,Inputs!$B$4,1)),"")</f>
        <v>0.88227829267975</v>
      </c>
      <c r="G799" s="8" t="n">
        <f aca="true">IF(ROW()-2&gt;=Inputs!$B$5,AVERAGE(OFFSET(E799,1-Inputs!$B$5,0,Inputs!$B$5,1)),"")</f>
        <v>0.892062678797761</v>
      </c>
      <c r="H799" s="8" t="n">
        <f aca="false">MAX(C799-D799,ABS(C799-E798),ABS(D799-E798))</f>
        <v>0.014385348016634</v>
      </c>
      <c r="I799" s="8" t="n">
        <f aca="true">IF(ROW()-2&lt;14,"",IF(ROW()-2=14,AVERAGE(OFFSET(H799,-13,0,14,1)),(I798*13+H799)/14))</f>
        <v>0.00989661968030148</v>
      </c>
      <c r="J799" s="9" t="b">
        <f aca="false">IF(AND(ISNUMBER(F799),ISNUMBER(G799),ISNUMBER(F798),ISNUMBER(G798)),AND(F799&gt;G799,F798&lt;=G798),FALSE())</f>
        <v>0</v>
      </c>
      <c r="K799" s="9" t="b">
        <f aca="false">IF(AND(ISNUMBER(F799),ISNUMBER(G799),ISNUMBER(F798),ISNUMBER(G798)),AND(F799&lt;G799,F798&gt;=G798),FALSE())</f>
        <v>0</v>
      </c>
      <c r="L799" s="8" t="n">
        <f aca="false">IF(ISNUMBER(I799),E799-Inputs!$B$6*I799,"")</f>
        <v>0.869399081508399</v>
      </c>
      <c r="M799" s="9" t="b">
        <f aca="false">AND(Y798&gt;0,Z798)</f>
        <v>0</v>
      </c>
      <c r="N799" s="8" t="n">
        <f aca="false">B799*(1-Inputs!$B$12)</f>
        <v>0.881627084384129</v>
      </c>
      <c r="O799" s="10" t="n">
        <f aca="false">IF(M799,Y798*(N799-AB798)-Inputs!$B$9-Y798*AD798*Inputs!$B$13*(A799-AC798),0)</f>
        <v>0</v>
      </c>
      <c r="P799" s="10" t="n">
        <f aca="false">X798+O799</f>
        <v>996.184155290773</v>
      </c>
      <c r="Q799" s="9" t="b">
        <f aca="false">AND(IF(M799,0,Y798)=0,AA798,IF(ISNUMBER(AE798),B799&gt;AE798,FALSE()))</f>
        <v>0</v>
      </c>
      <c r="R799" s="8" t="n">
        <f aca="false">B799*(1+Inputs!$B$12)</f>
        <v>0.881979805762158</v>
      </c>
      <c r="S799" s="11" t="n">
        <f aca="false">IF(Q799,MIN(P799*Inputs!$B$3/(R799-AE798),P799*Inputs!$B$11/R799),0)</f>
        <v>0</v>
      </c>
      <c r="T799" s="11" t="n">
        <f aca="false">IF(Q799,S799,IF(M799,0,Y798))</f>
        <v>0</v>
      </c>
      <c r="U799" s="8" t="n">
        <f aca="false">IF(Q799,AE798,AF798)</f>
        <v>0.889248885929587</v>
      </c>
      <c r="V799" s="9" t="b">
        <f aca="false">AND(T799&gt;0,D799&lt;=U799)</f>
        <v>0</v>
      </c>
      <c r="W799" s="10" t="n">
        <f aca="false">IF(V799,T799*(AK799-AB799)-Inputs!$B$9-T799*AD799*Inputs!$B$13*(A799-AC799),0)</f>
        <v>0</v>
      </c>
      <c r="X799" s="10" t="n">
        <f aca="false">P799-IF(Q799,Inputs!$B$9,0)+W799</f>
        <v>996.184155290773</v>
      </c>
      <c r="Y799" s="11" t="n">
        <f aca="false">IF(V799,0,T799)</f>
        <v>0</v>
      </c>
      <c r="Z799" s="9" t="b">
        <f aca="false">AND(Y799&gt;0,K799)</f>
        <v>0</v>
      </c>
      <c r="AA799" s="9" t="b">
        <f aca="false">AND(Y799=0,J799,ISNUMBER(L799))</f>
        <v>0</v>
      </c>
      <c r="AB799" s="8" t="n">
        <f aca="false">IF(Q799,R799,AB798)</f>
        <v>0.908794639463661</v>
      </c>
      <c r="AC799" s="12" t="n">
        <f aca="false">IF(Q799,A799,AC798)</f>
        <v>45562</v>
      </c>
      <c r="AD799" s="8" t="n">
        <f aca="false">IF(Q799,B799,AD798)</f>
        <v>0.908612916880285</v>
      </c>
      <c r="AE799" s="8" t="str">
        <f aca="false">IF(AA799,L799,"")</f>
        <v/>
      </c>
      <c r="AF799" s="8" t="n">
        <f aca="false">U799</f>
        <v>0.889248885929587</v>
      </c>
      <c r="AG799" s="2" t="n">
        <f aca="false">AG798+IF(Q799,1,0)</f>
        <v>7</v>
      </c>
      <c r="AH799" s="2" t="n">
        <f aca="false">AG798</f>
        <v>7</v>
      </c>
      <c r="AI799" s="10" t="n">
        <f aca="false">X799+Y799*(E799-AB799)-Y799*AD799*Inputs!$B$13*(A799-AC799)</f>
        <v>996.184155290773</v>
      </c>
      <c r="AJ799" s="10" t="n">
        <v>0</v>
      </c>
      <c r="AK799" s="8" t="n">
        <f aca="false">IF(AND(B799&lt;=U799,NOT(Q799)),B799,U799)*(1-Inputs!$B$12)</f>
        <v>0.881627084384129</v>
      </c>
    </row>
    <row r="800" customFormat="false" ht="15" hidden="false" customHeight="false" outlineLevel="0" collapsed="false">
      <c r="A800" s="6" t="n">
        <v>45584</v>
      </c>
      <c r="B800" s="7" t="n">
        <v>0.889192320869002</v>
      </c>
      <c r="C800" s="7" t="n">
        <v>0.891326894034221</v>
      </c>
      <c r="D800" s="7" t="n">
        <v>0.882814502146338</v>
      </c>
      <c r="E800" s="7" t="n">
        <v>0.890561780971545</v>
      </c>
      <c r="F800" s="8" t="n">
        <f aca="true">IF(ROW()-2&gt;=Inputs!$B$4,AVERAGE(OFFSET(E800,1-Inputs!$B$4,0,Inputs!$B$4,1)),"")</f>
        <v>0.881548085882953</v>
      </c>
      <c r="G800" s="8" t="n">
        <f aca="true">IF(ROW()-2&gt;=Inputs!$B$5,AVERAGE(OFFSET(E800,1-Inputs!$B$5,0,Inputs!$B$5,1)),"")</f>
        <v>0.891742192482722</v>
      </c>
      <c r="H800" s="8" t="n">
        <f aca="false">MAX(C800-D800,ABS(C800-E799),ABS(D800-E799))</f>
        <v>0.00851239188788289</v>
      </c>
      <c r="I800" s="8" t="n">
        <f aca="true">IF(ROW()-2&lt;14,"",IF(ROW()-2=14,AVERAGE(OFFSET(H800,-13,0,14,1)),(I799*13+H800)/14))</f>
        <v>0.0097977462665573</v>
      </c>
      <c r="J800" s="9" t="b">
        <f aca="false">IF(AND(ISNUMBER(F800),ISNUMBER(G800),ISNUMBER(F799),ISNUMBER(G799)),AND(F800&gt;G800,F799&lt;=G799),FALSE())</f>
        <v>0</v>
      </c>
      <c r="K800" s="9" t="b">
        <f aca="false">IF(AND(ISNUMBER(F800),ISNUMBER(G800),ISNUMBER(F799),ISNUMBER(G799)),AND(F800&lt;G800,F799&gt;=G799),FALSE())</f>
        <v>0</v>
      </c>
      <c r="L800" s="8" t="n">
        <f aca="false">IF(ISNUMBER(I800),E800-Inputs!$B$6*I800,"")</f>
        <v>0.87096628843843</v>
      </c>
      <c r="M800" s="9" t="b">
        <f aca="false">AND(Y799&gt;0,Z799)</f>
        <v>0</v>
      </c>
      <c r="N800" s="8" t="n">
        <f aca="false">B800*(1-Inputs!$B$12)</f>
        <v>0.889014482404828</v>
      </c>
      <c r="O800" s="10" t="n">
        <f aca="false">IF(M800,Y799*(N800-AB799)-Inputs!$B$9-Y799*AD799*Inputs!$B$13*(A800-AC799),0)</f>
        <v>0</v>
      </c>
      <c r="P800" s="10" t="n">
        <f aca="false">X799+O800</f>
        <v>996.184155290773</v>
      </c>
      <c r="Q800" s="9" t="b">
        <f aca="false">AND(IF(M800,0,Y799)=0,AA799,IF(ISNUMBER(AE799),B800&gt;AE799,FALSE()))</f>
        <v>0</v>
      </c>
      <c r="R800" s="8" t="n">
        <f aca="false">B800*(1+Inputs!$B$12)</f>
        <v>0.889370159333175</v>
      </c>
      <c r="S800" s="11" t="n">
        <f aca="false">IF(Q800,MIN(P800*Inputs!$B$3/(R800-AE799),P800*Inputs!$B$11/R800),0)</f>
        <v>0</v>
      </c>
      <c r="T800" s="11" t="n">
        <f aca="false">IF(Q800,S800,IF(M800,0,Y799))</f>
        <v>0</v>
      </c>
      <c r="U800" s="8" t="n">
        <f aca="false">IF(Q800,AE799,AF799)</f>
        <v>0.889248885929587</v>
      </c>
      <c r="V800" s="9" t="b">
        <f aca="false">AND(T800&gt;0,D800&lt;=U800)</f>
        <v>0</v>
      </c>
      <c r="W800" s="10" t="n">
        <f aca="false">IF(V800,T800*(AK800-AB800)-Inputs!$B$9-T800*AD800*Inputs!$B$13*(A800-AC800),0)</f>
        <v>0</v>
      </c>
      <c r="X800" s="10" t="n">
        <f aca="false">P800-IF(Q800,Inputs!$B$9,0)+W800</f>
        <v>996.184155290773</v>
      </c>
      <c r="Y800" s="11" t="n">
        <f aca="false">IF(V800,0,T800)</f>
        <v>0</v>
      </c>
      <c r="Z800" s="9" t="b">
        <f aca="false">AND(Y800&gt;0,K800)</f>
        <v>0</v>
      </c>
      <c r="AA800" s="9" t="b">
        <f aca="false">AND(Y800=0,J800,ISNUMBER(L800))</f>
        <v>0</v>
      </c>
      <c r="AB800" s="8" t="n">
        <f aca="false">IF(Q800,R800,AB799)</f>
        <v>0.908794639463661</v>
      </c>
      <c r="AC800" s="12" t="n">
        <f aca="false">IF(Q800,A800,AC799)</f>
        <v>45562</v>
      </c>
      <c r="AD800" s="8" t="n">
        <f aca="false">IF(Q800,B800,AD799)</f>
        <v>0.908612916880285</v>
      </c>
      <c r="AE800" s="8" t="str">
        <f aca="false">IF(AA800,L800,"")</f>
        <v/>
      </c>
      <c r="AF800" s="8" t="n">
        <f aca="false">U800</f>
        <v>0.889248885929587</v>
      </c>
      <c r="AG800" s="2" t="n">
        <f aca="false">AG799+IF(Q800,1,0)</f>
        <v>7</v>
      </c>
      <c r="AH800" s="2" t="n">
        <f aca="false">AG799</f>
        <v>7</v>
      </c>
      <c r="AI800" s="10" t="n">
        <f aca="false">X800+Y800*(E800-AB800)-Y800*AD800*Inputs!$B$13*(A800-AC800)</f>
        <v>996.184155290773</v>
      </c>
      <c r="AJ800" s="10" t="n">
        <v>0</v>
      </c>
      <c r="AK800" s="8" t="n">
        <f aca="false">IF(AND(B800&lt;=U800,NOT(Q800)),B800,U800)*(1-Inputs!$B$12)</f>
        <v>0.889014482404828</v>
      </c>
    </row>
    <row r="801" customFormat="false" ht="15" hidden="false" customHeight="false" outlineLevel="0" collapsed="false">
      <c r="A801" s="6" t="n">
        <v>45585</v>
      </c>
      <c r="B801" s="7" t="n">
        <v>0.890561780971545</v>
      </c>
      <c r="C801" s="7" t="n">
        <v>0.892495220535196</v>
      </c>
      <c r="D801" s="7" t="n">
        <v>0.879941453895733</v>
      </c>
      <c r="E801" s="7" t="n">
        <v>0.883821818003949</v>
      </c>
      <c r="F801" s="8" t="n">
        <f aca="true">IF(ROW()-2&gt;=Inputs!$B$4,AVERAGE(OFFSET(E801,1-Inputs!$B$4,0,Inputs!$B$4,1)),"")</f>
        <v>0.880492912949605</v>
      </c>
      <c r="G801" s="8" t="n">
        <f aca="true">IF(ROW()-2&gt;=Inputs!$B$5,AVERAGE(OFFSET(E801,1-Inputs!$B$5,0,Inputs!$B$5,1)),"")</f>
        <v>0.891384656860091</v>
      </c>
      <c r="H801" s="8" t="n">
        <f aca="false">MAX(C801-D801,ABS(C801-E800),ABS(D801-E800))</f>
        <v>0.0125537666394624</v>
      </c>
      <c r="I801" s="8" t="n">
        <f aca="true">IF(ROW()-2&lt;14,"",IF(ROW()-2=14,AVERAGE(OFFSET(H801,-13,0,14,1)),(I800*13+H801)/14))</f>
        <v>0.00999460486462195</v>
      </c>
      <c r="J801" s="9" t="b">
        <f aca="false">IF(AND(ISNUMBER(F801),ISNUMBER(G801),ISNUMBER(F800),ISNUMBER(G800)),AND(F801&gt;G801,F800&lt;=G800),FALSE())</f>
        <v>0</v>
      </c>
      <c r="K801" s="9" t="b">
        <f aca="false">IF(AND(ISNUMBER(F801),ISNUMBER(G801),ISNUMBER(F800),ISNUMBER(G800)),AND(F801&lt;G801,F800&gt;=G800),FALSE())</f>
        <v>0</v>
      </c>
      <c r="L801" s="8" t="n">
        <f aca="false">IF(ISNUMBER(I801),E801-Inputs!$B$6*I801,"")</f>
        <v>0.863832608274705</v>
      </c>
      <c r="M801" s="9" t="b">
        <f aca="false">AND(Y800&gt;0,Z800)</f>
        <v>0</v>
      </c>
      <c r="N801" s="8" t="n">
        <f aca="false">B801*(1-Inputs!$B$12)</f>
        <v>0.89038366861535</v>
      </c>
      <c r="O801" s="10" t="n">
        <f aca="false">IF(M801,Y800*(N801-AB800)-Inputs!$B$9-Y800*AD800*Inputs!$B$13*(A801-AC800),0)</f>
        <v>0</v>
      </c>
      <c r="P801" s="10" t="n">
        <f aca="false">X800+O801</f>
        <v>996.184155290773</v>
      </c>
      <c r="Q801" s="9" t="b">
        <f aca="false">AND(IF(M801,0,Y800)=0,AA800,IF(ISNUMBER(AE800),B801&gt;AE800,FALSE()))</f>
        <v>0</v>
      </c>
      <c r="R801" s="8" t="n">
        <f aca="false">B801*(1+Inputs!$B$12)</f>
        <v>0.890739893327739</v>
      </c>
      <c r="S801" s="11" t="n">
        <f aca="false">IF(Q801,MIN(P801*Inputs!$B$3/(R801-AE800),P801*Inputs!$B$11/R801),0)</f>
        <v>0</v>
      </c>
      <c r="T801" s="11" t="n">
        <f aca="false">IF(Q801,S801,IF(M801,0,Y800))</f>
        <v>0</v>
      </c>
      <c r="U801" s="8" t="n">
        <f aca="false">IF(Q801,AE800,AF800)</f>
        <v>0.889248885929587</v>
      </c>
      <c r="V801" s="9" t="b">
        <f aca="false">AND(T801&gt;0,D801&lt;=U801)</f>
        <v>0</v>
      </c>
      <c r="W801" s="10" t="n">
        <f aca="false">IF(V801,T801*(AK801-AB801)-Inputs!$B$9-T801*AD801*Inputs!$B$13*(A801-AC801),0)</f>
        <v>0</v>
      </c>
      <c r="X801" s="10" t="n">
        <f aca="false">P801-IF(Q801,Inputs!$B$9,0)+W801</f>
        <v>996.184155290773</v>
      </c>
      <c r="Y801" s="11" t="n">
        <f aca="false">IF(V801,0,T801)</f>
        <v>0</v>
      </c>
      <c r="Z801" s="9" t="b">
        <f aca="false">AND(Y801&gt;0,K801)</f>
        <v>0</v>
      </c>
      <c r="AA801" s="9" t="b">
        <f aca="false">AND(Y801=0,J801,ISNUMBER(L801))</f>
        <v>0</v>
      </c>
      <c r="AB801" s="8" t="n">
        <f aca="false">IF(Q801,R801,AB800)</f>
        <v>0.908794639463661</v>
      </c>
      <c r="AC801" s="12" t="n">
        <f aca="false">IF(Q801,A801,AC800)</f>
        <v>45562</v>
      </c>
      <c r="AD801" s="8" t="n">
        <f aca="false">IF(Q801,B801,AD800)</f>
        <v>0.908612916880285</v>
      </c>
      <c r="AE801" s="8" t="str">
        <f aca="false">IF(AA801,L801,"")</f>
        <v/>
      </c>
      <c r="AF801" s="8" t="n">
        <f aca="false">U801</f>
        <v>0.889248885929587</v>
      </c>
      <c r="AG801" s="2" t="n">
        <f aca="false">AG800+IF(Q801,1,0)</f>
        <v>7</v>
      </c>
      <c r="AH801" s="2" t="n">
        <f aca="false">AG800</f>
        <v>7</v>
      </c>
      <c r="AI801" s="10" t="n">
        <f aca="false">X801+Y801*(E801-AB801)-Y801*AD801*Inputs!$B$13*(A801-AC801)</f>
        <v>996.184155290773</v>
      </c>
      <c r="AJ801" s="10" t="n">
        <v>0</v>
      </c>
      <c r="AK801" s="8" t="n">
        <f aca="false">IF(AND(B801&lt;=U801,NOT(Q801)),B801,U801)*(1-Inputs!$B$12)</f>
        <v>0.889071036152401</v>
      </c>
    </row>
    <row r="802" customFormat="false" ht="15" hidden="false" customHeight="false" outlineLevel="0" collapsed="false">
      <c r="A802" s="6" t="n">
        <v>45586</v>
      </c>
      <c r="B802" s="7" t="n">
        <v>0.883821818003949</v>
      </c>
      <c r="C802" s="7" t="n">
        <v>0.88612762939831</v>
      </c>
      <c r="D802" s="7" t="n">
        <v>0.882209452785733</v>
      </c>
      <c r="E802" s="7" t="n">
        <v>0.882749886189988</v>
      </c>
      <c r="F802" s="8" t="n">
        <f aca="true">IF(ROW()-2&gt;=Inputs!$B$4,AVERAGE(OFFSET(E802,1-Inputs!$B$4,0,Inputs!$B$4,1)),"")</f>
        <v>0.879679531637513</v>
      </c>
      <c r="G802" s="8" t="n">
        <f aca="true">IF(ROW()-2&gt;=Inputs!$B$5,AVERAGE(OFFSET(E802,1-Inputs!$B$5,0,Inputs!$B$5,1)),"")</f>
        <v>0.891143846874207</v>
      </c>
      <c r="H802" s="8" t="n">
        <f aca="false">MAX(C802-D802,ABS(C802-E801),ABS(D802-E801))</f>
        <v>0.00391817661257665</v>
      </c>
      <c r="I802" s="8" t="n">
        <f aca="true">IF(ROW()-2&lt;14,"",IF(ROW()-2=14,AVERAGE(OFFSET(H802,-13,0,14,1)),(I801*13+H802)/14))</f>
        <v>0.00956057427519014</v>
      </c>
      <c r="J802" s="9" t="b">
        <f aca="false">IF(AND(ISNUMBER(F802),ISNUMBER(G802),ISNUMBER(F801),ISNUMBER(G801)),AND(F802&gt;G802,F801&lt;=G801),FALSE())</f>
        <v>0</v>
      </c>
      <c r="K802" s="9" t="b">
        <f aca="false">IF(AND(ISNUMBER(F802),ISNUMBER(G802),ISNUMBER(F801),ISNUMBER(G801)),AND(F802&lt;G802,F801&gt;=G801),FALSE())</f>
        <v>0</v>
      </c>
      <c r="L802" s="8" t="n">
        <f aca="false">IF(ISNUMBER(I802),E802-Inputs!$B$6*I802,"")</f>
        <v>0.863628737639608</v>
      </c>
      <c r="M802" s="9" t="b">
        <f aca="false">AND(Y801&gt;0,Z801)</f>
        <v>0</v>
      </c>
      <c r="N802" s="8" t="n">
        <f aca="false">B802*(1-Inputs!$B$12)</f>
        <v>0.883645053640349</v>
      </c>
      <c r="O802" s="10" t="n">
        <f aca="false">IF(M802,Y801*(N802-AB801)-Inputs!$B$9-Y801*AD801*Inputs!$B$13*(A802-AC801),0)</f>
        <v>0</v>
      </c>
      <c r="P802" s="10" t="n">
        <f aca="false">X801+O802</f>
        <v>996.184155290773</v>
      </c>
      <c r="Q802" s="9" t="b">
        <f aca="false">AND(IF(M802,0,Y801)=0,AA801,IF(ISNUMBER(AE801),B802&gt;AE801,FALSE()))</f>
        <v>0</v>
      </c>
      <c r="R802" s="8" t="n">
        <f aca="false">B802*(1+Inputs!$B$12)</f>
        <v>0.88399858236755</v>
      </c>
      <c r="S802" s="11" t="n">
        <f aca="false">IF(Q802,MIN(P802*Inputs!$B$3/(R802-AE801),P802*Inputs!$B$11/R802),0)</f>
        <v>0</v>
      </c>
      <c r="T802" s="11" t="n">
        <f aca="false">IF(Q802,S802,IF(M802,0,Y801))</f>
        <v>0</v>
      </c>
      <c r="U802" s="8" t="n">
        <f aca="false">IF(Q802,AE801,AF801)</f>
        <v>0.889248885929587</v>
      </c>
      <c r="V802" s="9" t="b">
        <f aca="false">AND(T802&gt;0,D802&lt;=U802)</f>
        <v>0</v>
      </c>
      <c r="W802" s="10" t="n">
        <f aca="false">IF(V802,T802*(AK802-AB802)-Inputs!$B$9-T802*AD802*Inputs!$B$13*(A802-AC802),0)</f>
        <v>0</v>
      </c>
      <c r="X802" s="10" t="n">
        <f aca="false">P802-IF(Q802,Inputs!$B$9,0)+W802</f>
        <v>996.184155290773</v>
      </c>
      <c r="Y802" s="11" t="n">
        <f aca="false">IF(V802,0,T802)</f>
        <v>0</v>
      </c>
      <c r="Z802" s="9" t="b">
        <f aca="false">AND(Y802&gt;0,K802)</f>
        <v>0</v>
      </c>
      <c r="AA802" s="9" t="b">
        <f aca="false">AND(Y802=0,J802,ISNUMBER(L802))</f>
        <v>0</v>
      </c>
      <c r="AB802" s="8" t="n">
        <f aca="false">IF(Q802,R802,AB801)</f>
        <v>0.908794639463661</v>
      </c>
      <c r="AC802" s="12" t="n">
        <f aca="false">IF(Q802,A802,AC801)</f>
        <v>45562</v>
      </c>
      <c r="AD802" s="8" t="n">
        <f aca="false">IF(Q802,B802,AD801)</f>
        <v>0.908612916880285</v>
      </c>
      <c r="AE802" s="8" t="str">
        <f aca="false">IF(AA802,L802,"")</f>
        <v/>
      </c>
      <c r="AF802" s="8" t="n">
        <f aca="false">U802</f>
        <v>0.889248885929587</v>
      </c>
      <c r="AG802" s="2" t="n">
        <f aca="false">AG801+IF(Q802,1,0)</f>
        <v>7</v>
      </c>
      <c r="AH802" s="2" t="n">
        <f aca="false">AG801</f>
        <v>7</v>
      </c>
      <c r="AI802" s="10" t="n">
        <f aca="false">X802+Y802*(E802-AB802)-Y802*AD802*Inputs!$B$13*(A802-AC802)</f>
        <v>996.184155290773</v>
      </c>
      <c r="AJ802" s="10" t="n">
        <v>0</v>
      </c>
      <c r="AK802" s="8" t="n">
        <f aca="false">IF(AND(B802&lt;=U802,NOT(Q802)),B802,U802)*(1-Inputs!$B$12)</f>
        <v>0.883645053640349</v>
      </c>
    </row>
    <row r="803" customFormat="false" ht="15" hidden="false" customHeight="false" outlineLevel="0" collapsed="false">
      <c r="A803" s="6" t="n">
        <v>45587</v>
      </c>
      <c r="B803" s="7" t="n">
        <v>0.882749886189988</v>
      </c>
      <c r="C803" s="7" t="n">
        <v>0.886614711698613</v>
      </c>
      <c r="D803" s="7" t="n">
        <v>0.865735598919113</v>
      </c>
      <c r="E803" s="7" t="n">
        <v>0.868919741417887</v>
      </c>
      <c r="F803" s="8" t="n">
        <f aca="true">IF(ROW()-2&gt;=Inputs!$B$4,AVERAGE(OFFSET(E803,1-Inputs!$B$4,0,Inputs!$B$4,1)),"")</f>
        <v>0.878380867362754</v>
      </c>
      <c r="G803" s="8" t="n">
        <f aca="true">IF(ROW()-2&gt;=Inputs!$B$5,AVERAGE(OFFSET(E803,1-Inputs!$B$5,0,Inputs!$B$5,1)),"")</f>
        <v>0.890529661941323</v>
      </c>
      <c r="H803" s="8" t="n">
        <f aca="false">MAX(C803-D803,ABS(C803-E802),ABS(D803-E802))</f>
        <v>0.0208791127794998</v>
      </c>
      <c r="I803" s="8" t="n">
        <f aca="true">IF(ROW()-2&lt;14,"",IF(ROW()-2=14,AVERAGE(OFFSET(H803,-13,0,14,1)),(I802*13+H803)/14))</f>
        <v>0.0103690413112123</v>
      </c>
      <c r="J803" s="9" t="b">
        <f aca="false">IF(AND(ISNUMBER(F803),ISNUMBER(G803),ISNUMBER(F802),ISNUMBER(G802)),AND(F803&gt;G803,F802&lt;=G802),FALSE())</f>
        <v>0</v>
      </c>
      <c r="K803" s="9" t="b">
        <f aca="false">IF(AND(ISNUMBER(F803),ISNUMBER(G803),ISNUMBER(F802),ISNUMBER(G802)),AND(F803&lt;G803,F802&gt;=G802),FALSE())</f>
        <v>0</v>
      </c>
      <c r="L803" s="8" t="n">
        <f aca="false">IF(ISNUMBER(I803),E803-Inputs!$B$6*I803,"")</f>
        <v>0.848181658795462</v>
      </c>
      <c r="M803" s="9" t="b">
        <f aca="false">AND(Y802&gt;0,Z802)</f>
        <v>0</v>
      </c>
      <c r="N803" s="8" t="n">
        <f aca="false">B803*(1-Inputs!$B$12)</f>
        <v>0.88257333621275</v>
      </c>
      <c r="O803" s="10" t="n">
        <f aca="false">IF(M803,Y802*(N803-AB802)-Inputs!$B$9-Y802*AD802*Inputs!$B$13*(A803-AC802),0)</f>
        <v>0</v>
      </c>
      <c r="P803" s="10" t="n">
        <f aca="false">X802+O803</f>
        <v>996.184155290773</v>
      </c>
      <c r="Q803" s="9" t="b">
        <f aca="false">AND(IF(M803,0,Y802)=0,AA802,IF(ISNUMBER(AE802),B803&gt;AE802,FALSE()))</f>
        <v>0</v>
      </c>
      <c r="R803" s="8" t="n">
        <f aca="false">B803*(1+Inputs!$B$12)</f>
        <v>0.882926436167226</v>
      </c>
      <c r="S803" s="11" t="n">
        <f aca="false">IF(Q803,MIN(P803*Inputs!$B$3/(R803-AE802),P803*Inputs!$B$11/R803),0)</f>
        <v>0</v>
      </c>
      <c r="T803" s="11" t="n">
        <f aca="false">IF(Q803,S803,IF(M803,0,Y802))</f>
        <v>0</v>
      </c>
      <c r="U803" s="8" t="n">
        <f aca="false">IF(Q803,AE802,AF802)</f>
        <v>0.889248885929587</v>
      </c>
      <c r="V803" s="9" t="b">
        <f aca="false">AND(T803&gt;0,D803&lt;=U803)</f>
        <v>0</v>
      </c>
      <c r="W803" s="10" t="n">
        <f aca="false">IF(V803,T803*(AK803-AB803)-Inputs!$B$9-T803*AD803*Inputs!$B$13*(A803-AC803),0)</f>
        <v>0</v>
      </c>
      <c r="X803" s="10" t="n">
        <f aca="false">P803-IF(Q803,Inputs!$B$9,0)+W803</f>
        <v>996.184155290773</v>
      </c>
      <c r="Y803" s="11" t="n">
        <f aca="false">IF(V803,0,T803)</f>
        <v>0</v>
      </c>
      <c r="Z803" s="9" t="b">
        <f aca="false">AND(Y803&gt;0,K803)</f>
        <v>0</v>
      </c>
      <c r="AA803" s="9" t="b">
        <f aca="false">AND(Y803=0,J803,ISNUMBER(L803))</f>
        <v>0</v>
      </c>
      <c r="AB803" s="8" t="n">
        <f aca="false">IF(Q803,R803,AB802)</f>
        <v>0.908794639463661</v>
      </c>
      <c r="AC803" s="12" t="n">
        <f aca="false">IF(Q803,A803,AC802)</f>
        <v>45562</v>
      </c>
      <c r="AD803" s="8" t="n">
        <f aca="false">IF(Q803,B803,AD802)</f>
        <v>0.908612916880285</v>
      </c>
      <c r="AE803" s="8" t="str">
        <f aca="false">IF(AA803,L803,"")</f>
        <v/>
      </c>
      <c r="AF803" s="8" t="n">
        <f aca="false">U803</f>
        <v>0.889248885929587</v>
      </c>
      <c r="AG803" s="2" t="n">
        <f aca="false">AG802+IF(Q803,1,0)</f>
        <v>7</v>
      </c>
      <c r="AH803" s="2" t="n">
        <f aca="false">AG802</f>
        <v>7</v>
      </c>
      <c r="AI803" s="10" t="n">
        <f aca="false">X803+Y803*(E803-AB803)-Y803*AD803*Inputs!$B$13*(A803-AC803)</f>
        <v>996.184155290773</v>
      </c>
      <c r="AJ803" s="10" t="n">
        <v>0</v>
      </c>
      <c r="AK803" s="8" t="n">
        <f aca="false">IF(AND(B803&lt;=U803,NOT(Q803)),B803,U803)*(1-Inputs!$B$12)</f>
        <v>0.88257333621275</v>
      </c>
    </row>
    <row r="804" customFormat="false" ht="15" hidden="false" customHeight="false" outlineLevel="0" collapsed="false">
      <c r="A804" s="6" t="n">
        <v>45588</v>
      </c>
      <c r="B804" s="7" t="n">
        <v>0.868919741417887</v>
      </c>
      <c r="C804" s="7" t="n">
        <v>0.879845051077444</v>
      </c>
      <c r="D804" s="7" t="n">
        <v>0.863573875104954</v>
      </c>
      <c r="E804" s="7" t="n">
        <v>0.876778434716894</v>
      </c>
      <c r="F804" s="8" t="n">
        <f aca="true">IF(ROW()-2&gt;=Inputs!$B$4,AVERAGE(OFFSET(E804,1-Inputs!$B$4,0,Inputs!$B$4,1)),"")</f>
        <v>0.877934628069184</v>
      </c>
      <c r="G804" s="8" t="n">
        <f aca="true">IF(ROW()-2&gt;=Inputs!$B$5,AVERAGE(OFFSET(E804,1-Inputs!$B$5,0,Inputs!$B$5,1)),"")</f>
        <v>0.890031099500994</v>
      </c>
      <c r="H804" s="8" t="n">
        <f aca="false">MAX(C804-D804,ABS(C804-E803),ABS(D804-E803))</f>
        <v>0.0162711759724902</v>
      </c>
      <c r="I804" s="8" t="n">
        <f aca="true">IF(ROW()-2&lt;14,"",IF(ROW()-2=14,AVERAGE(OFFSET(H804,-13,0,14,1)),(I803*13+H804)/14))</f>
        <v>0.0107906223584464</v>
      </c>
      <c r="J804" s="9" t="b">
        <f aca="false">IF(AND(ISNUMBER(F804),ISNUMBER(G804),ISNUMBER(F803),ISNUMBER(G803)),AND(F804&gt;G804,F803&lt;=G803),FALSE())</f>
        <v>0</v>
      </c>
      <c r="K804" s="9" t="b">
        <f aca="false">IF(AND(ISNUMBER(F804),ISNUMBER(G804),ISNUMBER(F803),ISNUMBER(G803)),AND(F804&lt;G804,F803&gt;=G803),FALSE())</f>
        <v>0</v>
      </c>
      <c r="L804" s="8" t="n">
        <f aca="false">IF(ISNUMBER(I804),E804-Inputs!$B$6*I804,"")</f>
        <v>0.855197190000001</v>
      </c>
      <c r="M804" s="9" t="b">
        <f aca="false">AND(Y803&gt;0,Z803)</f>
        <v>0</v>
      </c>
      <c r="N804" s="8" t="n">
        <f aca="false">B804*(1-Inputs!$B$12)</f>
        <v>0.868745957469603</v>
      </c>
      <c r="O804" s="10" t="n">
        <f aca="false">IF(M804,Y803*(N804-AB803)-Inputs!$B$9-Y803*AD803*Inputs!$B$13*(A804-AC803),0)</f>
        <v>0</v>
      </c>
      <c r="P804" s="10" t="n">
        <f aca="false">X803+O804</f>
        <v>996.184155290773</v>
      </c>
      <c r="Q804" s="9" t="b">
        <f aca="false">AND(IF(M804,0,Y803)=0,AA803,IF(ISNUMBER(AE803),B804&gt;AE803,FALSE()))</f>
        <v>0</v>
      </c>
      <c r="R804" s="8" t="n">
        <f aca="false">B804*(1+Inputs!$B$12)</f>
        <v>0.86909352536617</v>
      </c>
      <c r="S804" s="11" t="n">
        <f aca="false">IF(Q804,MIN(P804*Inputs!$B$3/(R804-AE803),P804*Inputs!$B$11/R804),0)</f>
        <v>0</v>
      </c>
      <c r="T804" s="11" t="n">
        <f aca="false">IF(Q804,S804,IF(M804,0,Y803))</f>
        <v>0</v>
      </c>
      <c r="U804" s="8" t="n">
        <f aca="false">IF(Q804,AE803,AF803)</f>
        <v>0.889248885929587</v>
      </c>
      <c r="V804" s="9" t="b">
        <f aca="false">AND(T804&gt;0,D804&lt;=U804)</f>
        <v>0</v>
      </c>
      <c r="W804" s="10" t="n">
        <f aca="false">IF(V804,T804*(AK804-AB804)-Inputs!$B$9-T804*AD804*Inputs!$B$13*(A804-AC804),0)</f>
        <v>0</v>
      </c>
      <c r="X804" s="10" t="n">
        <f aca="false">P804-IF(Q804,Inputs!$B$9,0)+W804</f>
        <v>996.184155290773</v>
      </c>
      <c r="Y804" s="11" t="n">
        <f aca="false">IF(V804,0,T804)</f>
        <v>0</v>
      </c>
      <c r="Z804" s="9" t="b">
        <f aca="false">AND(Y804&gt;0,K804)</f>
        <v>0</v>
      </c>
      <c r="AA804" s="9" t="b">
        <f aca="false">AND(Y804=0,J804,ISNUMBER(L804))</f>
        <v>0</v>
      </c>
      <c r="AB804" s="8" t="n">
        <f aca="false">IF(Q804,R804,AB803)</f>
        <v>0.908794639463661</v>
      </c>
      <c r="AC804" s="12" t="n">
        <f aca="false">IF(Q804,A804,AC803)</f>
        <v>45562</v>
      </c>
      <c r="AD804" s="8" t="n">
        <f aca="false">IF(Q804,B804,AD803)</f>
        <v>0.908612916880285</v>
      </c>
      <c r="AE804" s="8" t="str">
        <f aca="false">IF(AA804,L804,"")</f>
        <v/>
      </c>
      <c r="AF804" s="8" t="n">
        <f aca="false">U804</f>
        <v>0.889248885929587</v>
      </c>
      <c r="AG804" s="2" t="n">
        <f aca="false">AG803+IF(Q804,1,0)</f>
        <v>7</v>
      </c>
      <c r="AH804" s="2" t="n">
        <f aca="false">AG803</f>
        <v>7</v>
      </c>
      <c r="AI804" s="10" t="n">
        <f aca="false">X804+Y804*(E804-AB804)-Y804*AD804*Inputs!$B$13*(A804-AC804)</f>
        <v>996.184155290773</v>
      </c>
      <c r="AJ804" s="10" t="n">
        <v>0</v>
      </c>
      <c r="AK804" s="8" t="n">
        <f aca="false">IF(AND(B804&lt;=U804,NOT(Q804)),B804,U804)*(1-Inputs!$B$12)</f>
        <v>0.868745957469603</v>
      </c>
    </row>
    <row r="805" customFormat="false" ht="15" hidden="false" customHeight="false" outlineLevel="0" collapsed="false">
      <c r="A805" s="6" t="n">
        <v>45589</v>
      </c>
      <c r="B805" s="7" t="n">
        <v>0.876778434716894</v>
      </c>
      <c r="C805" s="7" t="n">
        <v>0.880638722409514</v>
      </c>
      <c r="D805" s="7" t="n">
        <v>0.869833952877213</v>
      </c>
      <c r="E805" s="7" t="n">
        <v>0.875011438680375</v>
      </c>
      <c r="F805" s="8" t="n">
        <f aca="true">IF(ROW()-2&gt;=Inputs!$B$4,AVERAGE(OFFSET(E805,1-Inputs!$B$4,0,Inputs!$B$4,1)),"")</f>
        <v>0.877448026351922</v>
      </c>
      <c r="G805" s="8" t="n">
        <f aca="true">IF(ROW()-2&gt;=Inputs!$B$5,AVERAGE(OFFSET(E805,1-Inputs!$B$5,0,Inputs!$B$5,1)),"")</f>
        <v>0.889384429626215</v>
      </c>
      <c r="H805" s="8" t="n">
        <f aca="false">MAX(C805-D805,ABS(C805-E804),ABS(D805-E804))</f>
        <v>0.0108047695323017</v>
      </c>
      <c r="I805" s="8" t="n">
        <f aca="true">IF(ROW()-2&lt;14,"",IF(ROW()-2=14,AVERAGE(OFFSET(H805,-13,0,14,1)),(I804*13+H805)/14))</f>
        <v>0.0107916328708646</v>
      </c>
      <c r="J805" s="9" t="b">
        <f aca="false">IF(AND(ISNUMBER(F805),ISNUMBER(G805),ISNUMBER(F804),ISNUMBER(G804)),AND(F805&gt;G805,F804&lt;=G804),FALSE())</f>
        <v>0</v>
      </c>
      <c r="K805" s="9" t="b">
        <f aca="false">IF(AND(ISNUMBER(F805),ISNUMBER(G805),ISNUMBER(F804),ISNUMBER(G804)),AND(F805&lt;G805,F804&gt;=G804),FALSE())</f>
        <v>0</v>
      </c>
      <c r="L805" s="8" t="n">
        <f aca="false">IF(ISNUMBER(I805),E805-Inputs!$B$6*I805,"")</f>
        <v>0.853428172938646</v>
      </c>
      <c r="M805" s="9" t="b">
        <f aca="false">AND(Y804&gt;0,Z804)</f>
        <v>0</v>
      </c>
      <c r="N805" s="8" t="n">
        <f aca="false">B805*(1-Inputs!$B$12)</f>
        <v>0.876603079029951</v>
      </c>
      <c r="O805" s="10" t="n">
        <f aca="false">IF(M805,Y804*(N805-AB804)-Inputs!$B$9-Y804*AD804*Inputs!$B$13*(A805-AC804),0)</f>
        <v>0</v>
      </c>
      <c r="P805" s="10" t="n">
        <f aca="false">X804+O805</f>
        <v>996.184155290773</v>
      </c>
      <c r="Q805" s="9" t="b">
        <f aca="false">AND(IF(M805,0,Y804)=0,AA804,IF(ISNUMBER(AE804),B805&gt;AE804,FALSE()))</f>
        <v>0</v>
      </c>
      <c r="R805" s="8" t="n">
        <f aca="false">B805*(1+Inputs!$B$12)</f>
        <v>0.876953790403837</v>
      </c>
      <c r="S805" s="11" t="n">
        <f aca="false">IF(Q805,MIN(P805*Inputs!$B$3/(R805-AE804),P805*Inputs!$B$11/R805),0)</f>
        <v>0</v>
      </c>
      <c r="T805" s="11" t="n">
        <f aca="false">IF(Q805,S805,IF(M805,0,Y804))</f>
        <v>0</v>
      </c>
      <c r="U805" s="8" t="n">
        <f aca="false">IF(Q805,AE804,AF804)</f>
        <v>0.889248885929587</v>
      </c>
      <c r="V805" s="9" t="b">
        <f aca="false">AND(T805&gt;0,D805&lt;=U805)</f>
        <v>0</v>
      </c>
      <c r="W805" s="10" t="n">
        <f aca="false">IF(V805,T805*(AK805-AB805)-Inputs!$B$9-T805*AD805*Inputs!$B$13*(A805-AC805),0)</f>
        <v>0</v>
      </c>
      <c r="X805" s="10" t="n">
        <f aca="false">P805-IF(Q805,Inputs!$B$9,0)+W805</f>
        <v>996.184155290773</v>
      </c>
      <c r="Y805" s="11" t="n">
        <f aca="false">IF(V805,0,T805)</f>
        <v>0</v>
      </c>
      <c r="Z805" s="9" t="b">
        <f aca="false">AND(Y805&gt;0,K805)</f>
        <v>0</v>
      </c>
      <c r="AA805" s="9" t="b">
        <f aca="false">AND(Y805=0,J805,ISNUMBER(L805))</f>
        <v>0</v>
      </c>
      <c r="AB805" s="8" t="n">
        <f aca="false">IF(Q805,R805,AB804)</f>
        <v>0.908794639463661</v>
      </c>
      <c r="AC805" s="12" t="n">
        <f aca="false">IF(Q805,A805,AC804)</f>
        <v>45562</v>
      </c>
      <c r="AD805" s="8" t="n">
        <f aca="false">IF(Q805,B805,AD804)</f>
        <v>0.908612916880285</v>
      </c>
      <c r="AE805" s="8" t="str">
        <f aca="false">IF(AA805,L805,"")</f>
        <v/>
      </c>
      <c r="AF805" s="8" t="n">
        <f aca="false">U805</f>
        <v>0.889248885929587</v>
      </c>
      <c r="AG805" s="2" t="n">
        <f aca="false">AG804+IF(Q805,1,0)</f>
        <v>7</v>
      </c>
      <c r="AH805" s="2" t="n">
        <f aca="false">AG804</f>
        <v>7</v>
      </c>
      <c r="AI805" s="10" t="n">
        <f aca="false">X805+Y805*(E805-AB805)-Y805*AD805*Inputs!$B$13*(A805-AC805)</f>
        <v>996.184155290773</v>
      </c>
      <c r="AJ805" s="10" t="n">
        <v>0</v>
      </c>
      <c r="AK805" s="8" t="n">
        <f aca="false">IF(AND(B805&lt;=U805,NOT(Q805)),B805,U805)*(1-Inputs!$B$12)</f>
        <v>0.876603079029951</v>
      </c>
    </row>
    <row r="806" customFormat="false" ht="15" hidden="false" customHeight="false" outlineLevel="0" collapsed="false">
      <c r="A806" s="6" t="n">
        <v>45590</v>
      </c>
      <c r="B806" s="7" t="n">
        <v>0.875011438680375</v>
      </c>
      <c r="C806" s="7" t="n">
        <v>0.878637067888284</v>
      </c>
      <c r="D806" s="7" t="n">
        <v>0.8737484862007</v>
      </c>
      <c r="E806" s="7" t="n">
        <v>0.877821013153843</v>
      </c>
      <c r="F806" s="8" t="n">
        <f aca="true">IF(ROW()-2&gt;=Inputs!$B$4,AVERAGE(OFFSET(E806,1-Inputs!$B$4,0,Inputs!$B$4,1)),"")</f>
        <v>0.877215824813524</v>
      </c>
      <c r="G806" s="8" t="n">
        <f aca="true">IF(ROW()-2&gt;=Inputs!$B$5,AVERAGE(OFFSET(E806,1-Inputs!$B$5,0,Inputs!$B$5,1)),"")</f>
        <v>0.888990725573457</v>
      </c>
      <c r="H806" s="8" t="n">
        <f aca="false">MAX(C806-D806,ABS(C806-E805),ABS(D806-E805))</f>
        <v>0.00488858168758455</v>
      </c>
      <c r="I806" s="8" t="n">
        <f aca="true">IF(ROW()-2&lt;14,"",IF(ROW()-2=14,AVERAGE(OFFSET(H806,-13,0,14,1)),(I805*13+H806)/14))</f>
        <v>0.0103699863577732</v>
      </c>
      <c r="J806" s="9" t="b">
        <f aca="false">IF(AND(ISNUMBER(F806),ISNUMBER(G806),ISNUMBER(F805),ISNUMBER(G805)),AND(F806&gt;G806,F805&lt;=G805),FALSE())</f>
        <v>0</v>
      </c>
      <c r="K806" s="9" t="b">
        <f aca="false">IF(AND(ISNUMBER(F806),ISNUMBER(G806),ISNUMBER(F805),ISNUMBER(G805)),AND(F806&lt;G806,F805&gt;=G805),FALSE())</f>
        <v>0</v>
      </c>
      <c r="L806" s="8" t="n">
        <f aca="false">IF(ISNUMBER(I806),E806-Inputs!$B$6*I806,"")</f>
        <v>0.857081040438296</v>
      </c>
      <c r="M806" s="9" t="b">
        <f aca="false">AND(Y805&gt;0,Z805)</f>
        <v>0</v>
      </c>
      <c r="N806" s="8" t="n">
        <f aca="false">B806*(1-Inputs!$B$12)</f>
        <v>0.874836436392639</v>
      </c>
      <c r="O806" s="10" t="n">
        <f aca="false">IF(M806,Y805*(N806-AB805)-Inputs!$B$9-Y805*AD805*Inputs!$B$13*(A806-AC805),0)</f>
        <v>0</v>
      </c>
      <c r="P806" s="10" t="n">
        <f aca="false">X805+O806</f>
        <v>996.184155290773</v>
      </c>
      <c r="Q806" s="9" t="b">
        <f aca="false">AND(IF(M806,0,Y805)=0,AA805,IF(ISNUMBER(AE805),B806&gt;AE805,FALSE()))</f>
        <v>0</v>
      </c>
      <c r="R806" s="8" t="n">
        <f aca="false">B806*(1+Inputs!$B$12)</f>
        <v>0.875186440968111</v>
      </c>
      <c r="S806" s="11" t="n">
        <f aca="false">IF(Q806,MIN(P806*Inputs!$B$3/(R806-AE805),P806*Inputs!$B$11/R806),0)</f>
        <v>0</v>
      </c>
      <c r="T806" s="11" t="n">
        <f aca="false">IF(Q806,S806,IF(M806,0,Y805))</f>
        <v>0</v>
      </c>
      <c r="U806" s="8" t="n">
        <f aca="false">IF(Q806,AE805,AF805)</f>
        <v>0.889248885929587</v>
      </c>
      <c r="V806" s="9" t="b">
        <f aca="false">AND(T806&gt;0,D806&lt;=U806)</f>
        <v>0</v>
      </c>
      <c r="W806" s="10" t="n">
        <f aca="false">IF(V806,T806*(AK806-AB806)-Inputs!$B$9-T806*AD806*Inputs!$B$13*(A806-AC806),0)</f>
        <v>0</v>
      </c>
      <c r="X806" s="10" t="n">
        <f aca="false">P806-IF(Q806,Inputs!$B$9,0)+W806</f>
        <v>996.184155290773</v>
      </c>
      <c r="Y806" s="11" t="n">
        <f aca="false">IF(V806,0,T806)</f>
        <v>0</v>
      </c>
      <c r="Z806" s="9" t="b">
        <f aca="false">AND(Y806&gt;0,K806)</f>
        <v>0</v>
      </c>
      <c r="AA806" s="9" t="b">
        <f aca="false">AND(Y806=0,J806,ISNUMBER(L806))</f>
        <v>0</v>
      </c>
      <c r="AB806" s="8" t="n">
        <f aca="false">IF(Q806,R806,AB805)</f>
        <v>0.908794639463661</v>
      </c>
      <c r="AC806" s="12" t="n">
        <f aca="false">IF(Q806,A806,AC805)</f>
        <v>45562</v>
      </c>
      <c r="AD806" s="8" t="n">
        <f aca="false">IF(Q806,B806,AD805)</f>
        <v>0.908612916880285</v>
      </c>
      <c r="AE806" s="8" t="str">
        <f aca="false">IF(AA806,L806,"")</f>
        <v/>
      </c>
      <c r="AF806" s="8" t="n">
        <f aca="false">U806</f>
        <v>0.889248885929587</v>
      </c>
      <c r="AG806" s="2" t="n">
        <f aca="false">AG805+IF(Q806,1,0)</f>
        <v>7</v>
      </c>
      <c r="AH806" s="2" t="n">
        <f aca="false">AG805</f>
        <v>7</v>
      </c>
      <c r="AI806" s="10" t="n">
        <f aca="false">X806+Y806*(E806-AB806)-Y806*AD806*Inputs!$B$13*(A806-AC806)</f>
        <v>996.184155290773</v>
      </c>
      <c r="AJ806" s="10" t="n">
        <v>0</v>
      </c>
      <c r="AK806" s="8" t="n">
        <f aca="false">IF(AND(B806&lt;=U806,NOT(Q806)),B806,U806)*(1-Inputs!$B$12)</f>
        <v>0.874836436392639</v>
      </c>
    </row>
    <row r="807" customFormat="false" ht="15" hidden="false" customHeight="false" outlineLevel="0" collapsed="false">
      <c r="A807" s="6" t="n">
        <v>45591</v>
      </c>
      <c r="B807" s="7" t="n">
        <v>0.877821013153843</v>
      </c>
      <c r="C807" s="7" t="n">
        <v>0.884821149368315</v>
      </c>
      <c r="D807" s="7" t="n">
        <v>0.873945121769503</v>
      </c>
      <c r="E807" s="7" t="n">
        <v>0.880938098669038</v>
      </c>
      <c r="F807" s="8" t="n">
        <f aca="true">IF(ROW()-2&gt;=Inputs!$B$4,AVERAGE(OFFSET(E807,1-Inputs!$B$4,0,Inputs!$B$4,1)),"")</f>
        <v>0.877279084436377</v>
      </c>
      <c r="G807" s="8" t="n">
        <f aca="true">IF(ROW()-2&gt;=Inputs!$B$5,AVERAGE(OFFSET(E807,1-Inputs!$B$5,0,Inputs!$B$5,1)),"")</f>
        <v>0.888668001922071</v>
      </c>
      <c r="H807" s="8" t="n">
        <f aca="false">MAX(C807-D807,ABS(C807-E806),ABS(D807-E806))</f>
        <v>0.0108760275988117</v>
      </c>
      <c r="I807" s="8" t="n">
        <f aca="true">IF(ROW()-2&lt;14,"",IF(ROW()-2=14,AVERAGE(OFFSET(H807,-13,0,14,1)),(I806*13+H807)/14))</f>
        <v>0.0104061321607045</v>
      </c>
      <c r="J807" s="9" t="b">
        <f aca="false">IF(AND(ISNUMBER(F807),ISNUMBER(G807),ISNUMBER(F806),ISNUMBER(G806)),AND(F807&gt;G807,F806&lt;=G806),FALSE())</f>
        <v>0</v>
      </c>
      <c r="K807" s="9" t="b">
        <f aca="false">IF(AND(ISNUMBER(F807),ISNUMBER(G807),ISNUMBER(F806),ISNUMBER(G806)),AND(F807&lt;G807,F806&gt;=G806),FALSE())</f>
        <v>0</v>
      </c>
      <c r="L807" s="8" t="n">
        <f aca="false">IF(ISNUMBER(I807),E807-Inputs!$B$6*I807,"")</f>
        <v>0.860125834347629</v>
      </c>
      <c r="M807" s="9" t="b">
        <f aca="false">AND(Y806&gt;0,Z806)</f>
        <v>0</v>
      </c>
      <c r="N807" s="8" t="n">
        <f aca="false">B807*(1-Inputs!$B$12)</f>
        <v>0.877645448951212</v>
      </c>
      <c r="O807" s="10" t="n">
        <f aca="false">IF(M807,Y806*(N807-AB806)-Inputs!$B$9-Y806*AD806*Inputs!$B$13*(A807-AC806),0)</f>
        <v>0</v>
      </c>
      <c r="P807" s="10" t="n">
        <f aca="false">X806+O807</f>
        <v>996.184155290773</v>
      </c>
      <c r="Q807" s="9" t="b">
        <f aca="false">AND(IF(M807,0,Y806)=0,AA806,IF(ISNUMBER(AE806),B807&gt;AE806,FALSE()))</f>
        <v>0</v>
      </c>
      <c r="R807" s="8" t="n">
        <f aca="false">B807*(1+Inputs!$B$12)</f>
        <v>0.877996577356474</v>
      </c>
      <c r="S807" s="11" t="n">
        <f aca="false">IF(Q807,MIN(P807*Inputs!$B$3/(R807-AE806),P807*Inputs!$B$11/R807),0)</f>
        <v>0</v>
      </c>
      <c r="T807" s="11" t="n">
        <f aca="false">IF(Q807,S807,IF(M807,0,Y806))</f>
        <v>0</v>
      </c>
      <c r="U807" s="8" t="n">
        <f aca="false">IF(Q807,AE806,AF806)</f>
        <v>0.889248885929587</v>
      </c>
      <c r="V807" s="9" t="b">
        <f aca="false">AND(T807&gt;0,D807&lt;=U807)</f>
        <v>0</v>
      </c>
      <c r="W807" s="10" t="n">
        <f aca="false">IF(V807,T807*(AK807-AB807)-Inputs!$B$9-T807*AD807*Inputs!$B$13*(A807-AC807),0)</f>
        <v>0</v>
      </c>
      <c r="X807" s="10" t="n">
        <f aca="false">P807-IF(Q807,Inputs!$B$9,0)+W807</f>
        <v>996.184155290773</v>
      </c>
      <c r="Y807" s="11" t="n">
        <f aca="false">IF(V807,0,T807)</f>
        <v>0</v>
      </c>
      <c r="Z807" s="9" t="b">
        <f aca="false">AND(Y807&gt;0,K807)</f>
        <v>0</v>
      </c>
      <c r="AA807" s="9" t="b">
        <f aca="false">AND(Y807=0,J807,ISNUMBER(L807))</f>
        <v>0</v>
      </c>
      <c r="AB807" s="8" t="n">
        <f aca="false">IF(Q807,R807,AB806)</f>
        <v>0.908794639463661</v>
      </c>
      <c r="AC807" s="12" t="n">
        <f aca="false">IF(Q807,A807,AC806)</f>
        <v>45562</v>
      </c>
      <c r="AD807" s="8" t="n">
        <f aca="false">IF(Q807,B807,AD806)</f>
        <v>0.908612916880285</v>
      </c>
      <c r="AE807" s="8" t="str">
        <f aca="false">IF(AA807,L807,"")</f>
        <v/>
      </c>
      <c r="AF807" s="8" t="n">
        <f aca="false">U807</f>
        <v>0.889248885929587</v>
      </c>
      <c r="AG807" s="2" t="n">
        <f aca="false">AG806+IF(Q807,1,0)</f>
        <v>7</v>
      </c>
      <c r="AH807" s="2" t="n">
        <f aca="false">AG806</f>
        <v>7</v>
      </c>
      <c r="AI807" s="10" t="n">
        <f aca="false">X807+Y807*(E807-AB807)-Y807*AD807*Inputs!$B$13*(A807-AC807)</f>
        <v>996.184155290773</v>
      </c>
      <c r="AJ807" s="10" t="n">
        <v>0</v>
      </c>
      <c r="AK807" s="8" t="n">
        <f aca="false">IF(AND(B807&lt;=U807,NOT(Q807)),B807,U807)*(1-Inputs!$B$12)</f>
        <v>0.877645448951212</v>
      </c>
    </row>
    <row r="808" customFormat="false" ht="15" hidden="false" customHeight="false" outlineLevel="0" collapsed="false">
      <c r="A808" s="6" t="n">
        <v>45592</v>
      </c>
      <c r="B808" s="7" t="n">
        <v>0.880938098669038</v>
      </c>
      <c r="C808" s="7" t="n">
        <v>0.88383096953737</v>
      </c>
      <c r="D808" s="7" t="n">
        <v>0.874688400331878</v>
      </c>
      <c r="E808" s="7" t="n">
        <v>0.876902485020781</v>
      </c>
      <c r="F808" s="8" t="n">
        <f aca="true">IF(ROW()-2&gt;=Inputs!$B$4,AVERAGE(OFFSET(E808,1-Inputs!$B$4,0,Inputs!$B$4,1)),"")</f>
        <v>0.87758695892196</v>
      </c>
      <c r="G808" s="8" t="n">
        <f aca="true">IF(ROW()-2&gt;=Inputs!$B$5,AVERAGE(OFFSET(E808,1-Inputs!$B$5,0,Inputs!$B$5,1)),"")</f>
        <v>0.888187678992472</v>
      </c>
      <c r="H808" s="8" t="n">
        <f aca="false">MAX(C808-D808,ABS(C808-E807),ABS(D808-E807))</f>
        <v>0.00914256920549161</v>
      </c>
      <c r="I808" s="8" t="n">
        <f aca="true">IF(ROW()-2&lt;14,"",IF(ROW()-2=14,AVERAGE(OFFSET(H808,-13,0,14,1)),(I807*13+H808)/14))</f>
        <v>0.0103158776639036</v>
      </c>
      <c r="J808" s="9" t="b">
        <f aca="false">IF(AND(ISNUMBER(F808),ISNUMBER(G808),ISNUMBER(F807),ISNUMBER(G807)),AND(F808&gt;G808,F807&lt;=G807),FALSE())</f>
        <v>0</v>
      </c>
      <c r="K808" s="9" t="b">
        <f aca="false">IF(AND(ISNUMBER(F808),ISNUMBER(G808),ISNUMBER(F807),ISNUMBER(G807)),AND(F808&lt;G808,F807&gt;=G807),FALSE())</f>
        <v>0</v>
      </c>
      <c r="L808" s="8" t="n">
        <f aca="false">IF(ISNUMBER(I808),E808-Inputs!$B$6*I808,"")</f>
        <v>0.856270729692974</v>
      </c>
      <c r="M808" s="9" t="b">
        <f aca="false">AND(Y807&gt;0,Z807)</f>
        <v>0</v>
      </c>
      <c r="N808" s="8" t="n">
        <f aca="false">B808*(1-Inputs!$B$12)</f>
        <v>0.880761911049304</v>
      </c>
      <c r="O808" s="10" t="n">
        <f aca="false">IF(M808,Y807*(N808-AB807)-Inputs!$B$9-Y807*AD807*Inputs!$B$13*(A808-AC807),0)</f>
        <v>0</v>
      </c>
      <c r="P808" s="10" t="n">
        <f aca="false">X807+O808</f>
        <v>996.184155290773</v>
      </c>
      <c r="Q808" s="9" t="b">
        <f aca="false">AND(IF(M808,0,Y807)=0,AA807,IF(ISNUMBER(AE807),B808&gt;AE807,FALSE()))</f>
        <v>0</v>
      </c>
      <c r="R808" s="8" t="n">
        <f aca="false">B808*(1+Inputs!$B$12)</f>
        <v>0.881114286288771</v>
      </c>
      <c r="S808" s="11" t="n">
        <f aca="false">IF(Q808,MIN(P808*Inputs!$B$3/(R808-AE807),P808*Inputs!$B$11/R808),0)</f>
        <v>0</v>
      </c>
      <c r="T808" s="11" t="n">
        <f aca="false">IF(Q808,S808,IF(M808,0,Y807))</f>
        <v>0</v>
      </c>
      <c r="U808" s="8" t="n">
        <f aca="false">IF(Q808,AE807,AF807)</f>
        <v>0.889248885929587</v>
      </c>
      <c r="V808" s="9" t="b">
        <f aca="false">AND(T808&gt;0,D808&lt;=U808)</f>
        <v>0</v>
      </c>
      <c r="W808" s="10" t="n">
        <f aca="false">IF(V808,T808*(AK808-AB808)-Inputs!$B$9-T808*AD808*Inputs!$B$13*(A808-AC808),0)</f>
        <v>0</v>
      </c>
      <c r="X808" s="10" t="n">
        <f aca="false">P808-IF(Q808,Inputs!$B$9,0)+W808</f>
        <v>996.184155290773</v>
      </c>
      <c r="Y808" s="11" t="n">
        <f aca="false">IF(V808,0,T808)</f>
        <v>0</v>
      </c>
      <c r="Z808" s="9" t="b">
        <f aca="false">AND(Y808&gt;0,K808)</f>
        <v>0</v>
      </c>
      <c r="AA808" s="9" t="b">
        <f aca="false">AND(Y808=0,J808,ISNUMBER(L808))</f>
        <v>0</v>
      </c>
      <c r="AB808" s="8" t="n">
        <f aca="false">IF(Q808,R808,AB807)</f>
        <v>0.908794639463661</v>
      </c>
      <c r="AC808" s="12" t="n">
        <f aca="false">IF(Q808,A808,AC807)</f>
        <v>45562</v>
      </c>
      <c r="AD808" s="8" t="n">
        <f aca="false">IF(Q808,B808,AD807)</f>
        <v>0.908612916880285</v>
      </c>
      <c r="AE808" s="8" t="str">
        <f aca="false">IF(AA808,L808,"")</f>
        <v/>
      </c>
      <c r="AF808" s="8" t="n">
        <f aca="false">U808</f>
        <v>0.889248885929587</v>
      </c>
      <c r="AG808" s="2" t="n">
        <f aca="false">AG807+IF(Q808,1,0)</f>
        <v>7</v>
      </c>
      <c r="AH808" s="2" t="n">
        <f aca="false">AG807</f>
        <v>7</v>
      </c>
      <c r="AI808" s="10" t="n">
        <f aca="false">X808+Y808*(E808-AB808)-Y808*AD808*Inputs!$B$13*(A808-AC808)</f>
        <v>996.184155290773</v>
      </c>
      <c r="AJ808" s="10" t="n">
        <v>0</v>
      </c>
      <c r="AK808" s="8" t="n">
        <f aca="false">IF(AND(B808&lt;=U808,NOT(Q808)),B808,U808)*(1-Inputs!$B$12)</f>
        <v>0.880761911049304</v>
      </c>
    </row>
    <row r="809" customFormat="false" ht="15" hidden="false" customHeight="false" outlineLevel="0" collapsed="false">
      <c r="A809" s="6" t="n">
        <v>45593</v>
      </c>
      <c r="B809" s="7" t="n">
        <v>0.876902485020781</v>
      </c>
      <c r="C809" s="7" t="n">
        <v>0.881988670733393</v>
      </c>
      <c r="D809" s="7" t="n">
        <v>0.870567777908606</v>
      </c>
      <c r="E809" s="7" t="n">
        <v>0.875343357122955</v>
      </c>
      <c r="F809" s="8" t="n">
        <f aca="true">IF(ROW()-2&gt;=Inputs!$B$4,AVERAGE(OFFSET(E809,1-Inputs!$B$4,0,Inputs!$B$4,1)),"")</f>
        <v>0.877963657372183</v>
      </c>
      <c r="G809" s="8" t="n">
        <f aca="true">IF(ROW()-2&gt;=Inputs!$B$5,AVERAGE(OFFSET(E809,1-Inputs!$B$5,0,Inputs!$B$5,1)),"")</f>
        <v>0.887675363069869</v>
      </c>
      <c r="H809" s="8" t="n">
        <f aca="false">MAX(C809-D809,ABS(C809-E808),ABS(D809-E808))</f>
        <v>0.0114208928247869</v>
      </c>
      <c r="I809" s="8" t="n">
        <f aca="true">IF(ROW()-2&lt;14,"",IF(ROW()-2=14,AVERAGE(OFFSET(H809,-13,0,14,1)),(I808*13+H809)/14))</f>
        <v>0.0103948073182524</v>
      </c>
      <c r="J809" s="9" t="b">
        <f aca="false">IF(AND(ISNUMBER(F809),ISNUMBER(G809),ISNUMBER(F808),ISNUMBER(G808)),AND(F809&gt;G809,F808&lt;=G808),FALSE())</f>
        <v>0</v>
      </c>
      <c r="K809" s="9" t="b">
        <f aca="false">IF(AND(ISNUMBER(F809),ISNUMBER(G809),ISNUMBER(F808),ISNUMBER(G808)),AND(F809&lt;G809,F808&gt;=G808),FALSE())</f>
        <v>0</v>
      </c>
      <c r="L809" s="8" t="n">
        <f aca="false">IF(ISNUMBER(I809),E809-Inputs!$B$6*I809,"")</f>
        <v>0.85455374248645</v>
      </c>
      <c r="M809" s="9" t="b">
        <f aca="false">AND(Y808&gt;0,Z808)</f>
        <v>0</v>
      </c>
      <c r="N809" s="8" t="n">
        <f aca="false">B809*(1-Inputs!$B$12)</f>
        <v>0.876727104523777</v>
      </c>
      <c r="O809" s="10" t="n">
        <f aca="false">IF(M809,Y808*(N809-AB808)-Inputs!$B$9-Y808*AD808*Inputs!$B$13*(A809-AC808),0)</f>
        <v>0</v>
      </c>
      <c r="P809" s="10" t="n">
        <f aca="false">X808+O809</f>
        <v>996.184155290773</v>
      </c>
      <c r="Q809" s="9" t="b">
        <f aca="false">AND(IF(M809,0,Y808)=0,AA808,IF(ISNUMBER(AE808),B809&gt;AE808,FALSE()))</f>
        <v>0</v>
      </c>
      <c r="R809" s="8" t="n">
        <f aca="false">B809*(1+Inputs!$B$12)</f>
        <v>0.877077865517785</v>
      </c>
      <c r="S809" s="11" t="n">
        <f aca="false">IF(Q809,MIN(P809*Inputs!$B$3/(R809-AE808),P809*Inputs!$B$11/R809),0)</f>
        <v>0</v>
      </c>
      <c r="T809" s="11" t="n">
        <f aca="false">IF(Q809,S809,IF(M809,0,Y808))</f>
        <v>0</v>
      </c>
      <c r="U809" s="8" t="n">
        <f aca="false">IF(Q809,AE808,AF808)</f>
        <v>0.889248885929587</v>
      </c>
      <c r="V809" s="9" t="b">
        <f aca="false">AND(T809&gt;0,D809&lt;=U809)</f>
        <v>0</v>
      </c>
      <c r="W809" s="10" t="n">
        <f aca="false">IF(V809,T809*(AK809-AB809)-Inputs!$B$9-T809*AD809*Inputs!$B$13*(A809-AC809),0)</f>
        <v>0</v>
      </c>
      <c r="X809" s="10" t="n">
        <f aca="false">P809-IF(Q809,Inputs!$B$9,0)+W809</f>
        <v>996.184155290773</v>
      </c>
      <c r="Y809" s="11" t="n">
        <f aca="false">IF(V809,0,T809)</f>
        <v>0</v>
      </c>
      <c r="Z809" s="9" t="b">
        <f aca="false">AND(Y809&gt;0,K809)</f>
        <v>0</v>
      </c>
      <c r="AA809" s="9" t="b">
        <f aca="false">AND(Y809=0,J809,ISNUMBER(L809))</f>
        <v>0</v>
      </c>
      <c r="AB809" s="8" t="n">
        <f aca="false">IF(Q809,R809,AB808)</f>
        <v>0.908794639463661</v>
      </c>
      <c r="AC809" s="12" t="n">
        <f aca="false">IF(Q809,A809,AC808)</f>
        <v>45562</v>
      </c>
      <c r="AD809" s="8" t="n">
        <f aca="false">IF(Q809,B809,AD808)</f>
        <v>0.908612916880285</v>
      </c>
      <c r="AE809" s="8" t="str">
        <f aca="false">IF(AA809,L809,"")</f>
        <v/>
      </c>
      <c r="AF809" s="8" t="n">
        <f aca="false">U809</f>
        <v>0.889248885929587</v>
      </c>
      <c r="AG809" s="2" t="n">
        <f aca="false">AG808+IF(Q809,1,0)</f>
        <v>7</v>
      </c>
      <c r="AH809" s="2" t="n">
        <f aca="false">AG808</f>
        <v>7</v>
      </c>
      <c r="AI809" s="10" t="n">
        <f aca="false">X809+Y809*(E809-AB809)-Y809*AD809*Inputs!$B$13*(A809-AC809)</f>
        <v>996.184155290773</v>
      </c>
      <c r="AJ809" s="10" t="n">
        <v>0</v>
      </c>
      <c r="AK809" s="8" t="n">
        <f aca="false">IF(AND(B809&lt;=U809,NOT(Q809)),B809,U809)*(1-Inputs!$B$12)</f>
        <v>0.876727104523777</v>
      </c>
    </row>
    <row r="810" customFormat="false" ht="15" hidden="false" customHeight="false" outlineLevel="0" collapsed="false">
      <c r="A810" s="6" t="n">
        <v>45594</v>
      </c>
      <c r="B810" s="7" t="n">
        <v>0.875343357122955</v>
      </c>
      <c r="C810" s="7" t="n">
        <v>0.88368478746334</v>
      </c>
      <c r="D810" s="7" t="n">
        <v>0.86936907068641</v>
      </c>
      <c r="E810" s="7" t="n">
        <v>0.882596544681122</v>
      </c>
      <c r="F810" s="8" t="n">
        <f aca="true">IF(ROW()-2&gt;=Inputs!$B$4,AVERAGE(OFFSET(E810,1-Inputs!$B$4,0,Inputs!$B$4,1)),"")</f>
        <v>0.878672360560147</v>
      </c>
      <c r="G810" s="8" t="n">
        <f aca="true">IF(ROW()-2&gt;=Inputs!$B$5,AVERAGE(OFFSET(E810,1-Inputs!$B$5,0,Inputs!$B$5,1)),"")</f>
        <v>0.887337154485271</v>
      </c>
      <c r="H810" s="8" t="n">
        <f aca="false">MAX(C810-D810,ABS(C810-E809),ABS(D810-E809))</f>
        <v>0.0143157167769304</v>
      </c>
      <c r="I810" s="8" t="n">
        <f aca="true">IF(ROW()-2&lt;14,"",IF(ROW()-2=14,AVERAGE(OFFSET(H810,-13,0,14,1)),(I809*13+H810)/14))</f>
        <v>0.0106748722795865</v>
      </c>
      <c r="J810" s="9" t="b">
        <f aca="false">IF(AND(ISNUMBER(F810),ISNUMBER(G810),ISNUMBER(F809),ISNUMBER(G809)),AND(F810&gt;G810,F809&lt;=G809),FALSE())</f>
        <v>0</v>
      </c>
      <c r="K810" s="9" t="b">
        <f aca="false">IF(AND(ISNUMBER(F810),ISNUMBER(G810),ISNUMBER(F809),ISNUMBER(G809)),AND(F810&lt;G810,F809&gt;=G809),FALSE())</f>
        <v>0</v>
      </c>
      <c r="L810" s="8" t="n">
        <f aca="false">IF(ISNUMBER(I810),E810-Inputs!$B$6*I810,"")</f>
        <v>0.861246800121949</v>
      </c>
      <c r="M810" s="9" t="b">
        <f aca="false">AND(Y809&gt;0,Z809)</f>
        <v>0</v>
      </c>
      <c r="N810" s="8" t="n">
        <f aca="false">B810*(1-Inputs!$B$12)</f>
        <v>0.87516828845153</v>
      </c>
      <c r="O810" s="10" t="n">
        <f aca="false">IF(M810,Y809*(N810-AB809)-Inputs!$B$9-Y809*AD809*Inputs!$B$13*(A810-AC809),0)</f>
        <v>0</v>
      </c>
      <c r="P810" s="10" t="n">
        <f aca="false">X809+O810</f>
        <v>996.184155290773</v>
      </c>
      <c r="Q810" s="9" t="b">
        <f aca="false">AND(IF(M810,0,Y809)=0,AA809,IF(ISNUMBER(AE809),B810&gt;AE809,FALSE()))</f>
        <v>0</v>
      </c>
      <c r="R810" s="8" t="n">
        <f aca="false">B810*(1+Inputs!$B$12)</f>
        <v>0.875518425794379</v>
      </c>
      <c r="S810" s="11" t="n">
        <f aca="false">IF(Q810,MIN(P810*Inputs!$B$3/(R810-AE809),P810*Inputs!$B$11/R810),0)</f>
        <v>0</v>
      </c>
      <c r="T810" s="11" t="n">
        <f aca="false">IF(Q810,S810,IF(M810,0,Y809))</f>
        <v>0</v>
      </c>
      <c r="U810" s="8" t="n">
        <f aca="false">IF(Q810,AE809,AF809)</f>
        <v>0.889248885929587</v>
      </c>
      <c r="V810" s="9" t="b">
        <f aca="false">AND(T810&gt;0,D810&lt;=U810)</f>
        <v>0</v>
      </c>
      <c r="W810" s="10" t="n">
        <f aca="false">IF(V810,T810*(AK810-AB810)-Inputs!$B$9-T810*AD810*Inputs!$B$13*(A810-AC810),0)</f>
        <v>0</v>
      </c>
      <c r="X810" s="10" t="n">
        <f aca="false">P810-IF(Q810,Inputs!$B$9,0)+W810</f>
        <v>996.184155290773</v>
      </c>
      <c r="Y810" s="11" t="n">
        <f aca="false">IF(V810,0,T810)</f>
        <v>0</v>
      </c>
      <c r="Z810" s="9" t="b">
        <f aca="false">AND(Y810&gt;0,K810)</f>
        <v>0</v>
      </c>
      <c r="AA810" s="9" t="b">
        <f aca="false">AND(Y810=0,J810,ISNUMBER(L810))</f>
        <v>0</v>
      </c>
      <c r="AB810" s="8" t="n">
        <f aca="false">IF(Q810,R810,AB809)</f>
        <v>0.908794639463661</v>
      </c>
      <c r="AC810" s="12" t="n">
        <f aca="false">IF(Q810,A810,AC809)</f>
        <v>45562</v>
      </c>
      <c r="AD810" s="8" t="n">
        <f aca="false">IF(Q810,B810,AD809)</f>
        <v>0.908612916880285</v>
      </c>
      <c r="AE810" s="8" t="str">
        <f aca="false">IF(AA810,L810,"")</f>
        <v/>
      </c>
      <c r="AF810" s="8" t="n">
        <f aca="false">U810</f>
        <v>0.889248885929587</v>
      </c>
      <c r="AG810" s="2" t="n">
        <f aca="false">AG809+IF(Q810,1,0)</f>
        <v>7</v>
      </c>
      <c r="AH810" s="2" t="n">
        <f aca="false">AG809</f>
        <v>7</v>
      </c>
      <c r="AI810" s="10" t="n">
        <f aca="false">X810+Y810*(E810-AB810)-Y810*AD810*Inputs!$B$13*(A810-AC810)</f>
        <v>996.184155290773</v>
      </c>
      <c r="AJ810" s="10" t="n">
        <v>0</v>
      </c>
      <c r="AK810" s="8" t="n">
        <f aca="false">IF(AND(B810&lt;=U810,NOT(Q810)),B810,U810)*(1-Inputs!$B$12)</f>
        <v>0.87516828845153</v>
      </c>
    </row>
    <row r="811" customFormat="false" ht="15" hidden="false" customHeight="false" outlineLevel="0" collapsed="false">
      <c r="A811" s="6" t="n">
        <v>45595</v>
      </c>
      <c r="B811" s="7" t="n">
        <v>0.882596544681122</v>
      </c>
      <c r="C811" s="7" t="n">
        <v>0.885567446700526</v>
      </c>
      <c r="D811" s="7" t="n">
        <v>0.880592536237925</v>
      </c>
      <c r="E811" s="7" t="n">
        <v>0.883715879406871</v>
      </c>
      <c r="F811" s="8" t="n">
        <f aca="true">IF(ROW()-2&gt;=Inputs!$B$4,AVERAGE(OFFSET(E811,1-Inputs!$B$4,0,Inputs!$B$4,1)),"")</f>
        <v>0.879523330438306</v>
      </c>
      <c r="G811" s="8" t="n">
        <f aca="true">IF(ROW()-2&gt;=Inputs!$B$5,AVERAGE(OFFSET(E811,1-Inputs!$B$5,0,Inputs!$B$5,1)),"")</f>
        <v>0.887275146309845</v>
      </c>
      <c r="H811" s="8" t="n">
        <f aca="false">MAX(C811-D811,ABS(C811-E810),ABS(D811-E810))</f>
        <v>0.00497491046260068</v>
      </c>
      <c r="I811" s="8" t="n">
        <f aca="true">IF(ROW()-2&lt;14,"",IF(ROW()-2=14,AVERAGE(OFFSET(H811,-13,0,14,1)),(I810*13+H811)/14))</f>
        <v>0.0102677321498018</v>
      </c>
      <c r="J811" s="9" t="b">
        <f aca="false">IF(AND(ISNUMBER(F811),ISNUMBER(G811),ISNUMBER(F810),ISNUMBER(G810)),AND(F811&gt;G811,F810&lt;=G810),FALSE())</f>
        <v>0</v>
      </c>
      <c r="K811" s="9" t="b">
        <f aca="false">IF(AND(ISNUMBER(F811),ISNUMBER(G811),ISNUMBER(F810),ISNUMBER(G810)),AND(F811&lt;G811,F810&gt;=G810),FALSE())</f>
        <v>0</v>
      </c>
      <c r="L811" s="8" t="n">
        <f aca="false">IF(ISNUMBER(I811),E811-Inputs!$B$6*I811,"")</f>
        <v>0.863180415107268</v>
      </c>
      <c r="M811" s="9" t="b">
        <f aca="false">AND(Y810&gt;0,Z810)</f>
        <v>0</v>
      </c>
      <c r="N811" s="8" t="n">
        <f aca="false">B811*(1-Inputs!$B$12)</f>
        <v>0.882420025372186</v>
      </c>
      <c r="O811" s="10" t="n">
        <f aca="false">IF(M811,Y810*(N811-AB810)-Inputs!$B$9-Y810*AD810*Inputs!$B$13*(A811-AC810),0)</f>
        <v>0</v>
      </c>
      <c r="P811" s="10" t="n">
        <f aca="false">X810+O811</f>
        <v>996.184155290773</v>
      </c>
      <c r="Q811" s="9" t="b">
        <f aca="false">AND(IF(M811,0,Y810)=0,AA810,IF(ISNUMBER(AE810),B811&gt;AE810,FALSE()))</f>
        <v>0</v>
      </c>
      <c r="R811" s="8" t="n">
        <f aca="false">B811*(1+Inputs!$B$12)</f>
        <v>0.882773063990059</v>
      </c>
      <c r="S811" s="11" t="n">
        <f aca="false">IF(Q811,MIN(P811*Inputs!$B$3/(R811-AE810),P811*Inputs!$B$11/R811),0)</f>
        <v>0</v>
      </c>
      <c r="T811" s="11" t="n">
        <f aca="false">IF(Q811,S811,IF(M811,0,Y810))</f>
        <v>0</v>
      </c>
      <c r="U811" s="8" t="n">
        <f aca="false">IF(Q811,AE810,AF810)</f>
        <v>0.889248885929587</v>
      </c>
      <c r="V811" s="9" t="b">
        <f aca="false">AND(T811&gt;0,D811&lt;=U811)</f>
        <v>0</v>
      </c>
      <c r="W811" s="10" t="n">
        <f aca="false">IF(V811,T811*(AK811-AB811)-Inputs!$B$9-T811*AD811*Inputs!$B$13*(A811-AC811),0)</f>
        <v>0</v>
      </c>
      <c r="X811" s="10" t="n">
        <f aca="false">P811-IF(Q811,Inputs!$B$9,0)+W811</f>
        <v>996.184155290773</v>
      </c>
      <c r="Y811" s="11" t="n">
        <f aca="false">IF(V811,0,T811)</f>
        <v>0</v>
      </c>
      <c r="Z811" s="9" t="b">
        <f aca="false">AND(Y811&gt;0,K811)</f>
        <v>0</v>
      </c>
      <c r="AA811" s="9" t="b">
        <f aca="false">AND(Y811=0,J811,ISNUMBER(L811))</f>
        <v>0</v>
      </c>
      <c r="AB811" s="8" t="n">
        <f aca="false">IF(Q811,R811,AB810)</f>
        <v>0.908794639463661</v>
      </c>
      <c r="AC811" s="12" t="n">
        <f aca="false">IF(Q811,A811,AC810)</f>
        <v>45562</v>
      </c>
      <c r="AD811" s="8" t="n">
        <f aca="false">IF(Q811,B811,AD810)</f>
        <v>0.908612916880285</v>
      </c>
      <c r="AE811" s="8" t="str">
        <f aca="false">IF(AA811,L811,"")</f>
        <v/>
      </c>
      <c r="AF811" s="8" t="n">
        <f aca="false">U811</f>
        <v>0.889248885929587</v>
      </c>
      <c r="AG811" s="2" t="n">
        <f aca="false">AG810+IF(Q811,1,0)</f>
        <v>7</v>
      </c>
      <c r="AH811" s="2" t="n">
        <f aca="false">AG810</f>
        <v>7</v>
      </c>
      <c r="AI811" s="10" t="n">
        <f aca="false">X811+Y811*(E811-AB811)-Y811*AD811*Inputs!$B$13*(A811-AC811)</f>
        <v>996.184155290773</v>
      </c>
      <c r="AJ811" s="10" t="n">
        <v>0</v>
      </c>
      <c r="AK811" s="8" t="n">
        <f aca="false">IF(AND(B811&lt;=U811,NOT(Q811)),B811,U811)*(1-Inputs!$B$12)</f>
        <v>0.882420025372186</v>
      </c>
    </row>
    <row r="812" customFormat="false" ht="15" hidden="false" customHeight="false" outlineLevel="0" collapsed="false">
      <c r="A812" s="6" t="n">
        <v>45596</v>
      </c>
      <c r="B812" s="7" t="n">
        <v>0.883715879406871</v>
      </c>
      <c r="C812" s="7" t="n">
        <v>0.884832834558788</v>
      </c>
      <c r="D812" s="7" t="n">
        <v>0.876998747566416</v>
      </c>
      <c r="E812" s="7" t="n">
        <v>0.881910743888602</v>
      </c>
      <c r="F812" s="8" t="n">
        <f aca="true">IF(ROW()-2&gt;=Inputs!$B$4,AVERAGE(OFFSET(E812,1-Inputs!$B$4,0,Inputs!$B$4,1)),"")</f>
        <v>0.880045790452839</v>
      </c>
      <c r="G812" s="8" t="n">
        <f aca="true">IF(ROW()-2&gt;=Inputs!$B$5,AVERAGE(OFFSET(E812,1-Inputs!$B$5,0,Inputs!$B$5,1)),"")</f>
        <v>0.887033491215332</v>
      </c>
      <c r="H812" s="8" t="n">
        <f aca="false">MAX(C812-D812,ABS(C812-E811),ABS(D812-E811))</f>
        <v>0.00783408699237176</v>
      </c>
      <c r="I812" s="8" t="n">
        <f aca="true">IF(ROW()-2&lt;14,"",IF(ROW()-2=14,AVERAGE(OFFSET(H812,-13,0,14,1)),(I811*13+H812)/14))</f>
        <v>0.0100939003528426</v>
      </c>
      <c r="J812" s="9" t="b">
        <f aca="false">IF(AND(ISNUMBER(F812),ISNUMBER(G812),ISNUMBER(F811),ISNUMBER(G811)),AND(F812&gt;G812,F811&lt;=G811),FALSE())</f>
        <v>0</v>
      </c>
      <c r="K812" s="9" t="b">
        <f aca="false">IF(AND(ISNUMBER(F812),ISNUMBER(G812),ISNUMBER(F811),ISNUMBER(G811)),AND(F812&lt;G812,F811&gt;=G811),FALSE())</f>
        <v>0</v>
      </c>
      <c r="L812" s="8" t="n">
        <f aca="false">IF(ISNUMBER(I812),E812-Inputs!$B$6*I812,"")</f>
        <v>0.861722943182917</v>
      </c>
      <c r="M812" s="9" t="b">
        <f aca="false">AND(Y811&gt;0,Z811)</f>
        <v>0</v>
      </c>
      <c r="N812" s="8" t="n">
        <f aca="false">B812*(1-Inputs!$B$12)</f>
        <v>0.88353913623099</v>
      </c>
      <c r="O812" s="10" t="n">
        <f aca="false">IF(M812,Y811*(N812-AB811)-Inputs!$B$9-Y811*AD811*Inputs!$B$13*(A812-AC811),0)</f>
        <v>0</v>
      </c>
      <c r="P812" s="10" t="n">
        <f aca="false">X811+O812</f>
        <v>996.184155290773</v>
      </c>
      <c r="Q812" s="9" t="b">
        <f aca="false">AND(IF(M812,0,Y811)=0,AA811,IF(ISNUMBER(AE811),B812&gt;AE811,FALSE()))</f>
        <v>0</v>
      </c>
      <c r="R812" s="8" t="n">
        <f aca="false">B812*(1+Inputs!$B$12)</f>
        <v>0.883892622582753</v>
      </c>
      <c r="S812" s="11" t="n">
        <f aca="false">IF(Q812,MIN(P812*Inputs!$B$3/(R812-AE811),P812*Inputs!$B$11/R812),0)</f>
        <v>0</v>
      </c>
      <c r="T812" s="11" t="n">
        <f aca="false">IF(Q812,S812,IF(M812,0,Y811))</f>
        <v>0</v>
      </c>
      <c r="U812" s="8" t="n">
        <f aca="false">IF(Q812,AE811,AF811)</f>
        <v>0.889248885929587</v>
      </c>
      <c r="V812" s="9" t="b">
        <f aca="false">AND(T812&gt;0,D812&lt;=U812)</f>
        <v>0</v>
      </c>
      <c r="W812" s="10" t="n">
        <f aca="false">IF(V812,T812*(AK812-AB812)-Inputs!$B$9-T812*AD812*Inputs!$B$13*(A812-AC812),0)</f>
        <v>0</v>
      </c>
      <c r="X812" s="10" t="n">
        <f aca="false">P812-IF(Q812,Inputs!$B$9,0)+W812</f>
        <v>996.184155290773</v>
      </c>
      <c r="Y812" s="11" t="n">
        <f aca="false">IF(V812,0,T812)</f>
        <v>0</v>
      </c>
      <c r="Z812" s="9" t="b">
        <f aca="false">AND(Y812&gt;0,K812)</f>
        <v>0</v>
      </c>
      <c r="AA812" s="9" t="b">
        <f aca="false">AND(Y812=0,J812,ISNUMBER(L812))</f>
        <v>0</v>
      </c>
      <c r="AB812" s="8" t="n">
        <f aca="false">IF(Q812,R812,AB811)</f>
        <v>0.908794639463661</v>
      </c>
      <c r="AC812" s="12" t="n">
        <f aca="false">IF(Q812,A812,AC811)</f>
        <v>45562</v>
      </c>
      <c r="AD812" s="8" t="n">
        <f aca="false">IF(Q812,B812,AD811)</f>
        <v>0.908612916880285</v>
      </c>
      <c r="AE812" s="8" t="str">
        <f aca="false">IF(AA812,L812,"")</f>
        <v/>
      </c>
      <c r="AF812" s="8" t="n">
        <f aca="false">U812</f>
        <v>0.889248885929587</v>
      </c>
      <c r="AG812" s="2" t="n">
        <f aca="false">AG811+IF(Q812,1,0)</f>
        <v>7</v>
      </c>
      <c r="AH812" s="2" t="n">
        <f aca="false">AG811</f>
        <v>7</v>
      </c>
      <c r="AI812" s="10" t="n">
        <f aca="false">X812+Y812*(E812-AB812)-Y812*AD812*Inputs!$B$13*(A812-AC812)</f>
        <v>996.184155290773</v>
      </c>
      <c r="AJ812" s="10" t="n">
        <v>0</v>
      </c>
      <c r="AK812" s="8" t="n">
        <f aca="false">IF(AND(B812&lt;=U812,NOT(Q812)),B812,U812)*(1-Inputs!$B$12)</f>
        <v>0.88353913623099</v>
      </c>
    </row>
    <row r="813" customFormat="false" ht="15" hidden="false" customHeight="false" outlineLevel="0" collapsed="false">
      <c r="A813" s="6" t="n">
        <v>45597</v>
      </c>
      <c r="B813" s="7" t="n">
        <v>0.881910743888602</v>
      </c>
      <c r="C813" s="7" t="n">
        <v>0.882027311731405</v>
      </c>
      <c r="D813" s="7" t="n">
        <v>0.868758138470622</v>
      </c>
      <c r="E813" s="7" t="n">
        <v>0.870785928630154</v>
      </c>
      <c r="F813" s="8" t="n">
        <f aca="true">IF(ROW()-2&gt;=Inputs!$B$4,AVERAGE(OFFSET(E813,1-Inputs!$B$4,0,Inputs!$B$4,1)),"")</f>
        <v>0.879994945617834</v>
      </c>
      <c r="G813" s="8" t="n">
        <f aca="true">IF(ROW()-2&gt;=Inputs!$B$5,AVERAGE(OFFSET(E813,1-Inputs!$B$5,0,Inputs!$B$5,1)),"")</f>
        <v>0.886688794024115</v>
      </c>
      <c r="H813" s="8" t="n">
        <f aca="false">MAX(C813-D813,ABS(C813-E812),ABS(D813-E812))</f>
        <v>0.0132691732607828</v>
      </c>
      <c r="I813" s="8" t="n">
        <f aca="true">IF(ROW()-2&lt;14,"",IF(ROW()-2=14,AVERAGE(OFFSET(H813,-13,0,14,1)),(I812*13+H813)/14))</f>
        <v>0.0103207055605526</v>
      </c>
      <c r="J813" s="9" t="b">
        <f aca="false">IF(AND(ISNUMBER(F813),ISNUMBER(G813),ISNUMBER(F812),ISNUMBER(G812)),AND(F813&gt;G813,F812&lt;=G812),FALSE())</f>
        <v>0</v>
      </c>
      <c r="K813" s="9" t="b">
        <f aca="false">IF(AND(ISNUMBER(F813),ISNUMBER(G813),ISNUMBER(F812),ISNUMBER(G812)),AND(F813&lt;G813,F812&gt;=G812),FALSE())</f>
        <v>0</v>
      </c>
      <c r="L813" s="8" t="n">
        <f aca="false">IF(ISNUMBER(I813),E813-Inputs!$B$6*I813,"")</f>
        <v>0.850144517509049</v>
      </c>
      <c r="M813" s="9" t="b">
        <f aca="false">AND(Y812&gt;0,Z812)</f>
        <v>0</v>
      </c>
      <c r="N813" s="8" t="n">
        <f aca="false">B813*(1-Inputs!$B$12)</f>
        <v>0.881734361739824</v>
      </c>
      <c r="O813" s="10" t="n">
        <f aca="false">IF(M813,Y812*(N813-AB812)-Inputs!$B$9-Y812*AD812*Inputs!$B$13*(A813-AC812),0)</f>
        <v>0</v>
      </c>
      <c r="P813" s="10" t="n">
        <f aca="false">X812+O813</f>
        <v>996.184155290773</v>
      </c>
      <c r="Q813" s="9" t="b">
        <f aca="false">AND(IF(M813,0,Y812)=0,AA812,IF(ISNUMBER(AE812),B813&gt;AE812,FALSE()))</f>
        <v>0</v>
      </c>
      <c r="R813" s="8" t="n">
        <f aca="false">B813*(1+Inputs!$B$12)</f>
        <v>0.88208712603738</v>
      </c>
      <c r="S813" s="11" t="n">
        <f aca="false">IF(Q813,MIN(P813*Inputs!$B$3/(R813-AE812),P813*Inputs!$B$11/R813),0)</f>
        <v>0</v>
      </c>
      <c r="T813" s="11" t="n">
        <f aca="false">IF(Q813,S813,IF(M813,0,Y812))</f>
        <v>0</v>
      </c>
      <c r="U813" s="8" t="n">
        <f aca="false">IF(Q813,AE812,AF812)</f>
        <v>0.889248885929587</v>
      </c>
      <c r="V813" s="9" t="b">
        <f aca="false">AND(T813&gt;0,D813&lt;=U813)</f>
        <v>0</v>
      </c>
      <c r="W813" s="10" t="n">
        <f aca="false">IF(V813,T813*(AK813-AB813)-Inputs!$B$9-T813*AD813*Inputs!$B$13*(A813-AC813),0)</f>
        <v>0</v>
      </c>
      <c r="X813" s="10" t="n">
        <f aca="false">P813-IF(Q813,Inputs!$B$9,0)+W813</f>
        <v>996.184155290773</v>
      </c>
      <c r="Y813" s="11" t="n">
        <f aca="false">IF(V813,0,T813)</f>
        <v>0</v>
      </c>
      <c r="Z813" s="9" t="b">
        <f aca="false">AND(Y813&gt;0,K813)</f>
        <v>0</v>
      </c>
      <c r="AA813" s="9" t="b">
        <f aca="false">AND(Y813=0,J813,ISNUMBER(L813))</f>
        <v>0</v>
      </c>
      <c r="AB813" s="8" t="n">
        <f aca="false">IF(Q813,R813,AB812)</f>
        <v>0.908794639463661</v>
      </c>
      <c r="AC813" s="12" t="n">
        <f aca="false">IF(Q813,A813,AC812)</f>
        <v>45562</v>
      </c>
      <c r="AD813" s="8" t="n">
        <f aca="false">IF(Q813,B813,AD812)</f>
        <v>0.908612916880285</v>
      </c>
      <c r="AE813" s="8" t="str">
        <f aca="false">IF(AA813,L813,"")</f>
        <v/>
      </c>
      <c r="AF813" s="8" t="n">
        <f aca="false">U813</f>
        <v>0.889248885929587</v>
      </c>
      <c r="AG813" s="2" t="n">
        <f aca="false">AG812+IF(Q813,1,0)</f>
        <v>7</v>
      </c>
      <c r="AH813" s="2" t="n">
        <f aca="false">AG812</f>
        <v>7</v>
      </c>
      <c r="AI813" s="10" t="n">
        <f aca="false">X813+Y813*(E813-AB813)-Y813*AD813*Inputs!$B$13*(A813-AC813)</f>
        <v>996.184155290773</v>
      </c>
      <c r="AJ813" s="10" t="n">
        <v>0</v>
      </c>
      <c r="AK813" s="8" t="n">
        <f aca="false">IF(AND(B813&lt;=U813,NOT(Q813)),B813,U813)*(1-Inputs!$B$12)</f>
        <v>0.881734361739824</v>
      </c>
    </row>
    <row r="814" customFormat="false" ht="15" hidden="false" customHeight="false" outlineLevel="0" collapsed="false">
      <c r="A814" s="6" t="n">
        <v>45598</v>
      </c>
      <c r="B814" s="7" t="n">
        <v>0.870785928630154</v>
      </c>
      <c r="C814" s="7" t="n">
        <v>0.87092285003719</v>
      </c>
      <c r="D814" s="7" t="n">
        <v>0.865045970200302</v>
      </c>
      <c r="E814" s="7" t="n">
        <v>0.866768659060224</v>
      </c>
      <c r="F814" s="8" t="n">
        <f aca="true">IF(ROW()-2&gt;=Inputs!$B$4,AVERAGE(OFFSET(E814,1-Inputs!$B$4,0,Inputs!$B$4,1)),"")</f>
        <v>0.879516577198699</v>
      </c>
      <c r="G814" s="8" t="n">
        <f aca="true">IF(ROW()-2&gt;=Inputs!$B$5,AVERAGE(OFFSET(E814,1-Inputs!$B$5,0,Inputs!$B$5,1)),"")</f>
        <v>0.886396121083863</v>
      </c>
      <c r="H814" s="8" t="n">
        <f aca="false">MAX(C814-D814,ABS(C814-E813),ABS(D814-E813))</f>
        <v>0.00587687983688767</v>
      </c>
      <c r="I814" s="8" t="n">
        <f aca="true">IF(ROW()-2&lt;14,"",IF(ROW()-2=14,AVERAGE(OFFSET(H814,-13,0,14,1)),(I813*13+H814)/14))</f>
        <v>0.0100032894374336</v>
      </c>
      <c r="J814" s="9" t="b">
        <f aca="false">IF(AND(ISNUMBER(F814),ISNUMBER(G814),ISNUMBER(F813),ISNUMBER(G813)),AND(F814&gt;G814,F813&lt;=G813),FALSE())</f>
        <v>0</v>
      </c>
      <c r="K814" s="9" t="b">
        <f aca="false">IF(AND(ISNUMBER(F814),ISNUMBER(G814),ISNUMBER(F813),ISNUMBER(G813)),AND(F814&lt;G814,F813&gt;=G813),FALSE())</f>
        <v>0</v>
      </c>
      <c r="L814" s="8" t="n">
        <f aca="false">IF(ISNUMBER(I814),E814-Inputs!$B$6*I814,"")</f>
        <v>0.846762080185357</v>
      </c>
      <c r="M814" s="9" t="b">
        <f aca="false">AND(Y813&gt;0,Z813)</f>
        <v>0</v>
      </c>
      <c r="N814" s="8" t="n">
        <f aca="false">B814*(1-Inputs!$B$12)</f>
        <v>0.870611771444428</v>
      </c>
      <c r="O814" s="10" t="n">
        <f aca="false">IF(M814,Y813*(N814-AB813)-Inputs!$B$9-Y813*AD813*Inputs!$B$13*(A814-AC813),0)</f>
        <v>0</v>
      </c>
      <c r="P814" s="10" t="n">
        <f aca="false">X813+O814</f>
        <v>996.184155290773</v>
      </c>
      <c r="Q814" s="9" t="b">
        <f aca="false">AND(IF(M814,0,Y813)=0,AA813,IF(ISNUMBER(AE813),B814&gt;AE813,FALSE()))</f>
        <v>0</v>
      </c>
      <c r="R814" s="8" t="n">
        <f aca="false">B814*(1+Inputs!$B$12)</f>
        <v>0.87096008581588</v>
      </c>
      <c r="S814" s="11" t="n">
        <f aca="false">IF(Q814,MIN(P814*Inputs!$B$3/(R814-AE813),P814*Inputs!$B$11/R814),0)</f>
        <v>0</v>
      </c>
      <c r="T814" s="11" t="n">
        <f aca="false">IF(Q814,S814,IF(M814,0,Y813))</f>
        <v>0</v>
      </c>
      <c r="U814" s="8" t="n">
        <f aca="false">IF(Q814,AE813,AF813)</f>
        <v>0.889248885929587</v>
      </c>
      <c r="V814" s="9" t="b">
        <f aca="false">AND(T814&gt;0,D814&lt;=U814)</f>
        <v>0</v>
      </c>
      <c r="W814" s="10" t="n">
        <f aca="false">IF(V814,T814*(AK814-AB814)-Inputs!$B$9-T814*AD814*Inputs!$B$13*(A814-AC814),0)</f>
        <v>0</v>
      </c>
      <c r="X814" s="10" t="n">
        <f aca="false">P814-IF(Q814,Inputs!$B$9,0)+W814</f>
        <v>996.184155290773</v>
      </c>
      <c r="Y814" s="11" t="n">
        <f aca="false">IF(V814,0,T814)</f>
        <v>0</v>
      </c>
      <c r="Z814" s="9" t="b">
        <f aca="false">AND(Y814&gt;0,K814)</f>
        <v>0</v>
      </c>
      <c r="AA814" s="9" t="b">
        <f aca="false">AND(Y814=0,J814,ISNUMBER(L814))</f>
        <v>0</v>
      </c>
      <c r="AB814" s="8" t="n">
        <f aca="false">IF(Q814,R814,AB813)</f>
        <v>0.908794639463661</v>
      </c>
      <c r="AC814" s="12" t="n">
        <f aca="false">IF(Q814,A814,AC813)</f>
        <v>45562</v>
      </c>
      <c r="AD814" s="8" t="n">
        <f aca="false">IF(Q814,B814,AD813)</f>
        <v>0.908612916880285</v>
      </c>
      <c r="AE814" s="8" t="str">
        <f aca="false">IF(AA814,L814,"")</f>
        <v/>
      </c>
      <c r="AF814" s="8" t="n">
        <f aca="false">U814</f>
        <v>0.889248885929587</v>
      </c>
      <c r="AG814" s="2" t="n">
        <f aca="false">AG813+IF(Q814,1,0)</f>
        <v>7</v>
      </c>
      <c r="AH814" s="2" t="n">
        <f aca="false">AG813</f>
        <v>7</v>
      </c>
      <c r="AI814" s="10" t="n">
        <f aca="false">X814+Y814*(E814-AB814)-Y814*AD814*Inputs!$B$13*(A814-AC814)</f>
        <v>996.184155290773</v>
      </c>
      <c r="AJ814" s="10" t="n">
        <v>0</v>
      </c>
      <c r="AK814" s="8" t="n">
        <f aca="false">IF(AND(B814&lt;=U814,NOT(Q814)),B814,U814)*(1-Inputs!$B$12)</f>
        <v>0.870611771444428</v>
      </c>
    </row>
    <row r="815" customFormat="false" ht="15" hidden="false" customHeight="false" outlineLevel="0" collapsed="false">
      <c r="A815" s="6" t="n">
        <v>45599</v>
      </c>
      <c r="B815" s="7" t="n">
        <v>0.866768659060224</v>
      </c>
      <c r="C815" s="7" t="n">
        <v>0.871503350907734</v>
      </c>
      <c r="D815" s="7" t="n">
        <v>0.866128445092608</v>
      </c>
      <c r="E815" s="7" t="n">
        <v>0.869024226256164</v>
      </c>
      <c r="F815" s="8" t="n">
        <f aca="true">IF(ROW()-2&gt;=Inputs!$B$4,AVERAGE(OFFSET(E815,1-Inputs!$B$4,0,Inputs!$B$4,1)),"")</f>
        <v>0.87918963849017</v>
      </c>
      <c r="G815" s="8" t="n">
        <f aca="true">IF(ROW()-2&gt;=Inputs!$B$5,AVERAGE(OFFSET(E815,1-Inputs!$B$5,0,Inputs!$B$5,1)),"")</f>
        <v>0.886132061599825</v>
      </c>
      <c r="H815" s="8" t="n">
        <f aca="false">MAX(C815-D815,ABS(C815-E814),ABS(D815-E814))</f>
        <v>0.00537490581512612</v>
      </c>
      <c r="I815" s="8" t="n">
        <f aca="true">IF(ROW()-2&lt;14,"",IF(ROW()-2=14,AVERAGE(OFFSET(H815,-13,0,14,1)),(I814*13+H815)/14))</f>
        <v>0.00967269060726882</v>
      </c>
      <c r="J815" s="9" t="b">
        <f aca="false">IF(AND(ISNUMBER(F815),ISNUMBER(G815),ISNUMBER(F814),ISNUMBER(G814)),AND(F815&gt;G815,F814&lt;=G814),FALSE())</f>
        <v>0</v>
      </c>
      <c r="K815" s="9" t="b">
        <f aca="false">IF(AND(ISNUMBER(F815),ISNUMBER(G815),ISNUMBER(F814),ISNUMBER(G814)),AND(F815&lt;G815,F814&gt;=G814),FALSE())</f>
        <v>0</v>
      </c>
      <c r="L815" s="8" t="n">
        <f aca="false">IF(ISNUMBER(I815),E815-Inputs!$B$6*I815,"")</f>
        <v>0.849678845041626</v>
      </c>
      <c r="M815" s="9" t="b">
        <f aca="false">AND(Y814&gt;0,Z814)</f>
        <v>0</v>
      </c>
      <c r="N815" s="8" t="n">
        <f aca="false">B815*(1-Inputs!$B$12)</f>
        <v>0.866595305328412</v>
      </c>
      <c r="O815" s="10" t="n">
        <f aca="false">IF(M815,Y814*(N815-AB814)-Inputs!$B$9-Y814*AD814*Inputs!$B$13*(A815-AC814),0)</f>
        <v>0</v>
      </c>
      <c r="P815" s="10" t="n">
        <f aca="false">X814+O815</f>
        <v>996.184155290773</v>
      </c>
      <c r="Q815" s="9" t="b">
        <f aca="false">AND(IF(M815,0,Y814)=0,AA814,IF(ISNUMBER(AE814),B815&gt;AE814,FALSE()))</f>
        <v>0</v>
      </c>
      <c r="R815" s="8" t="n">
        <f aca="false">B815*(1+Inputs!$B$12)</f>
        <v>0.866942012792036</v>
      </c>
      <c r="S815" s="11" t="n">
        <f aca="false">IF(Q815,MIN(P815*Inputs!$B$3/(R815-AE814),P815*Inputs!$B$11/R815),0)</f>
        <v>0</v>
      </c>
      <c r="T815" s="11" t="n">
        <f aca="false">IF(Q815,S815,IF(M815,0,Y814))</f>
        <v>0</v>
      </c>
      <c r="U815" s="8" t="n">
        <f aca="false">IF(Q815,AE814,AF814)</f>
        <v>0.889248885929587</v>
      </c>
      <c r="V815" s="9" t="b">
        <f aca="false">AND(T815&gt;0,D815&lt;=U815)</f>
        <v>0</v>
      </c>
      <c r="W815" s="10" t="n">
        <f aca="false">IF(V815,T815*(AK815-AB815)-Inputs!$B$9-T815*AD815*Inputs!$B$13*(A815-AC815),0)</f>
        <v>0</v>
      </c>
      <c r="X815" s="10" t="n">
        <f aca="false">P815-IF(Q815,Inputs!$B$9,0)+W815</f>
        <v>996.184155290773</v>
      </c>
      <c r="Y815" s="11" t="n">
        <f aca="false">IF(V815,0,T815)</f>
        <v>0</v>
      </c>
      <c r="Z815" s="9" t="b">
        <f aca="false">AND(Y815&gt;0,K815)</f>
        <v>0</v>
      </c>
      <c r="AA815" s="9" t="b">
        <f aca="false">AND(Y815=0,J815,ISNUMBER(L815))</f>
        <v>0</v>
      </c>
      <c r="AB815" s="8" t="n">
        <f aca="false">IF(Q815,R815,AB814)</f>
        <v>0.908794639463661</v>
      </c>
      <c r="AC815" s="12" t="n">
        <f aca="false">IF(Q815,A815,AC814)</f>
        <v>45562</v>
      </c>
      <c r="AD815" s="8" t="n">
        <f aca="false">IF(Q815,B815,AD814)</f>
        <v>0.908612916880285</v>
      </c>
      <c r="AE815" s="8" t="str">
        <f aca="false">IF(AA815,L815,"")</f>
        <v/>
      </c>
      <c r="AF815" s="8" t="n">
        <f aca="false">U815</f>
        <v>0.889248885929587</v>
      </c>
      <c r="AG815" s="2" t="n">
        <f aca="false">AG814+IF(Q815,1,0)</f>
        <v>7</v>
      </c>
      <c r="AH815" s="2" t="n">
        <f aca="false">AG814</f>
        <v>7</v>
      </c>
      <c r="AI815" s="10" t="n">
        <f aca="false">X815+Y815*(E815-AB815)-Y815*AD815*Inputs!$B$13*(A815-AC815)</f>
        <v>996.184155290773</v>
      </c>
      <c r="AJ815" s="10" t="n">
        <v>0</v>
      </c>
      <c r="AK815" s="8" t="n">
        <f aca="false">IF(AND(B815&lt;=U815,NOT(Q815)),B815,U815)*(1-Inputs!$B$12)</f>
        <v>0.866595305328412</v>
      </c>
    </row>
    <row r="816" customFormat="false" ht="15" hidden="false" customHeight="false" outlineLevel="0" collapsed="false">
      <c r="A816" s="6" t="n">
        <v>45600</v>
      </c>
      <c r="B816" s="7" t="n">
        <v>0.869024226256164</v>
      </c>
      <c r="C816" s="7" t="n">
        <v>0.871361476033573</v>
      </c>
      <c r="D816" s="7" t="n">
        <v>0.86228364666808</v>
      </c>
      <c r="E816" s="7" t="n">
        <v>0.865254911522435</v>
      </c>
      <c r="F816" s="8" t="n">
        <f aca="true">IF(ROW()-2&gt;=Inputs!$B$4,AVERAGE(OFFSET(E816,1-Inputs!$B$4,0,Inputs!$B$4,1)),"")</f>
        <v>0.878184646189538</v>
      </c>
      <c r="G816" s="8" t="n">
        <f aca="true">IF(ROW()-2&gt;=Inputs!$B$5,AVERAGE(OFFSET(E816,1-Inputs!$B$5,0,Inputs!$B$5,1)),"")</f>
        <v>0.885650922437373</v>
      </c>
      <c r="H816" s="8" t="n">
        <f aca="false">MAX(C816-D816,ABS(C816-E815),ABS(D816-E815))</f>
        <v>0.00907782936549273</v>
      </c>
      <c r="I816" s="8" t="n">
        <f aca="true">IF(ROW()-2&lt;14,"",IF(ROW()-2=14,AVERAGE(OFFSET(H816,-13,0,14,1)),(I815*13+H816)/14))</f>
        <v>0.00963020051857053</v>
      </c>
      <c r="J816" s="9" t="b">
        <f aca="false">IF(AND(ISNUMBER(F816),ISNUMBER(G816),ISNUMBER(F815),ISNUMBER(G815)),AND(F816&gt;G816,F815&lt;=G815),FALSE())</f>
        <v>0</v>
      </c>
      <c r="K816" s="9" t="b">
        <f aca="false">IF(AND(ISNUMBER(F816),ISNUMBER(G816),ISNUMBER(F815),ISNUMBER(G815)),AND(F816&lt;G816,F815&gt;=G815),FALSE())</f>
        <v>0</v>
      </c>
      <c r="L816" s="8" t="n">
        <f aca="false">IF(ISNUMBER(I816),E816-Inputs!$B$6*I816,"")</f>
        <v>0.845994510485294</v>
      </c>
      <c r="M816" s="9" t="b">
        <f aca="false">AND(Y815&gt;0,Z815)</f>
        <v>0</v>
      </c>
      <c r="N816" s="8" t="n">
        <f aca="false">B816*(1-Inputs!$B$12)</f>
        <v>0.868850421410913</v>
      </c>
      <c r="O816" s="10" t="n">
        <f aca="false">IF(M816,Y815*(N816-AB815)-Inputs!$B$9-Y815*AD815*Inputs!$B$13*(A816-AC815),0)</f>
        <v>0</v>
      </c>
      <c r="P816" s="10" t="n">
        <f aca="false">X815+O816</f>
        <v>996.184155290773</v>
      </c>
      <c r="Q816" s="9" t="b">
        <f aca="false">AND(IF(M816,0,Y815)=0,AA815,IF(ISNUMBER(AE815),B816&gt;AE815,FALSE()))</f>
        <v>0</v>
      </c>
      <c r="R816" s="8" t="n">
        <f aca="false">B816*(1+Inputs!$B$12)</f>
        <v>0.869198031101415</v>
      </c>
      <c r="S816" s="11" t="n">
        <f aca="false">IF(Q816,MIN(P816*Inputs!$B$3/(R816-AE815),P816*Inputs!$B$11/R816),0)</f>
        <v>0</v>
      </c>
      <c r="T816" s="11" t="n">
        <f aca="false">IF(Q816,S816,IF(M816,0,Y815))</f>
        <v>0</v>
      </c>
      <c r="U816" s="8" t="n">
        <f aca="false">IF(Q816,AE815,AF815)</f>
        <v>0.889248885929587</v>
      </c>
      <c r="V816" s="9" t="b">
        <f aca="false">AND(T816&gt;0,D816&lt;=U816)</f>
        <v>0</v>
      </c>
      <c r="W816" s="10" t="n">
        <f aca="false">IF(V816,T816*(AK816-AB816)-Inputs!$B$9-T816*AD816*Inputs!$B$13*(A816-AC816),0)</f>
        <v>0</v>
      </c>
      <c r="X816" s="10" t="n">
        <f aca="false">P816-IF(Q816,Inputs!$B$9,0)+W816</f>
        <v>996.184155290773</v>
      </c>
      <c r="Y816" s="11" t="n">
        <f aca="false">IF(V816,0,T816)</f>
        <v>0</v>
      </c>
      <c r="Z816" s="9" t="b">
        <f aca="false">AND(Y816&gt;0,K816)</f>
        <v>0</v>
      </c>
      <c r="AA816" s="9" t="b">
        <f aca="false">AND(Y816=0,J816,ISNUMBER(L816))</f>
        <v>0</v>
      </c>
      <c r="AB816" s="8" t="n">
        <f aca="false">IF(Q816,R816,AB815)</f>
        <v>0.908794639463661</v>
      </c>
      <c r="AC816" s="12" t="n">
        <f aca="false">IF(Q816,A816,AC815)</f>
        <v>45562</v>
      </c>
      <c r="AD816" s="8" t="n">
        <f aca="false">IF(Q816,B816,AD815)</f>
        <v>0.908612916880285</v>
      </c>
      <c r="AE816" s="8" t="str">
        <f aca="false">IF(AA816,L816,"")</f>
        <v/>
      </c>
      <c r="AF816" s="8" t="n">
        <f aca="false">U816</f>
        <v>0.889248885929587</v>
      </c>
      <c r="AG816" s="2" t="n">
        <f aca="false">AG815+IF(Q816,1,0)</f>
        <v>7</v>
      </c>
      <c r="AH816" s="2" t="n">
        <f aca="false">AG815</f>
        <v>7</v>
      </c>
      <c r="AI816" s="10" t="n">
        <f aca="false">X816+Y816*(E816-AB816)-Y816*AD816*Inputs!$B$13*(A816-AC816)</f>
        <v>996.184155290773</v>
      </c>
      <c r="AJ816" s="10" t="n">
        <v>0</v>
      </c>
      <c r="AK816" s="8" t="n">
        <f aca="false">IF(AND(B816&lt;=U816,NOT(Q816)),B816,U816)*(1-Inputs!$B$12)</f>
        <v>0.868850421410913</v>
      </c>
    </row>
    <row r="817" customFormat="false" ht="15" hidden="false" customHeight="false" outlineLevel="0" collapsed="false">
      <c r="A817" s="6" t="n">
        <v>45601</v>
      </c>
      <c r="B817" s="7" t="n">
        <v>0.865254911522435</v>
      </c>
      <c r="C817" s="7" t="n">
        <v>0.866587395874007</v>
      </c>
      <c r="D817" s="7" t="n">
        <v>0.856656330090767</v>
      </c>
      <c r="E817" s="7" t="n">
        <v>0.861801213022279</v>
      </c>
      <c r="F817" s="8" t="n">
        <f aca="true">IF(ROW()-2&gt;=Inputs!$B$4,AVERAGE(OFFSET(E817,1-Inputs!$B$4,0,Inputs!$B$4,1)),"")</f>
        <v>0.877085096317863</v>
      </c>
      <c r="G817" s="8" t="n">
        <f aca="true">IF(ROW()-2&gt;=Inputs!$B$5,AVERAGE(OFFSET(E817,1-Inputs!$B$5,0,Inputs!$B$5,1)),"")</f>
        <v>0.885028131819595</v>
      </c>
      <c r="H817" s="8" t="n">
        <f aca="false">MAX(C817-D817,ABS(C817-E816),ABS(D817-E816))</f>
        <v>0.00993106578323977</v>
      </c>
      <c r="I817" s="8" t="n">
        <f aca="true">IF(ROW()-2&lt;14,"",IF(ROW()-2=14,AVERAGE(OFFSET(H817,-13,0,14,1)),(I816*13+H817)/14))</f>
        <v>0.00965169089461833</v>
      </c>
      <c r="J817" s="9" t="b">
        <f aca="false">IF(AND(ISNUMBER(F817),ISNUMBER(G817),ISNUMBER(F816),ISNUMBER(G816)),AND(F817&gt;G817,F816&lt;=G816),FALSE())</f>
        <v>0</v>
      </c>
      <c r="K817" s="9" t="b">
        <f aca="false">IF(AND(ISNUMBER(F817),ISNUMBER(G817),ISNUMBER(F816),ISNUMBER(G816)),AND(F817&lt;G817,F816&gt;=G816),FALSE())</f>
        <v>0</v>
      </c>
      <c r="L817" s="8" t="n">
        <f aca="false">IF(ISNUMBER(I817),E817-Inputs!$B$6*I817,"")</f>
        <v>0.842497831233042</v>
      </c>
      <c r="M817" s="9" t="b">
        <f aca="false">AND(Y816&gt;0,Z816)</f>
        <v>0</v>
      </c>
      <c r="N817" s="8" t="n">
        <f aca="false">B817*(1-Inputs!$B$12)</f>
        <v>0.865081860540131</v>
      </c>
      <c r="O817" s="10" t="n">
        <f aca="false">IF(M817,Y816*(N817-AB816)-Inputs!$B$9-Y816*AD816*Inputs!$B$13*(A817-AC816),0)</f>
        <v>0</v>
      </c>
      <c r="P817" s="10" t="n">
        <f aca="false">X816+O817</f>
        <v>996.184155290773</v>
      </c>
      <c r="Q817" s="9" t="b">
        <f aca="false">AND(IF(M817,0,Y816)=0,AA816,IF(ISNUMBER(AE816),B817&gt;AE816,FALSE()))</f>
        <v>0</v>
      </c>
      <c r="R817" s="8" t="n">
        <f aca="false">B817*(1+Inputs!$B$12)</f>
        <v>0.86542796250474</v>
      </c>
      <c r="S817" s="11" t="n">
        <f aca="false">IF(Q817,MIN(P817*Inputs!$B$3/(R817-AE816),P817*Inputs!$B$11/R817),0)</f>
        <v>0</v>
      </c>
      <c r="T817" s="11" t="n">
        <f aca="false">IF(Q817,S817,IF(M817,0,Y816))</f>
        <v>0</v>
      </c>
      <c r="U817" s="8" t="n">
        <f aca="false">IF(Q817,AE816,AF816)</f>
        <v>0.889248885929587</v>
      </c>
      <c r="V817" s="9" t="b">
        <f aca="false">AND(T817&gt;0,D817&lt;=U817)</f>
        <v>0</v>
      </c>
      <c r="W817" s="10" t="n">
        <f aca="false">IF(V817,T817*(AK817-AB817)-Inputs!$B$9-T817*AD817*Inputs!$B$13*(A817-AC817),0)</f>
        <v>0</v>
      </c>
      <c r="X817" s="10" t="n">
        <f aca="false">P817-IF(Q817,Inputs!$B$9,0)+W817</f>
        <v>996.184155290773</v>
      </c>
      <c r="Y817" s="11" t="n">
        <f aca="false">IF(V817,0,T817)</f>
        <v>0</v>
      </c>
      <c r="Z817" s="9" t="b">
        <f aca="false">AND(Y817&gt;0,K817)</f>
        <v>0</v>
      </c>
      <c r="AA817" s="9" t="b">
        <f aca="false">AND(Y817=0,J817,ISNUMBER(L817))</f>
        <v>0</v>
      </c>
      <c r="AB817" s="8" t="n">
        <f aca="false">IF(Q817,R817,AB816)</f>
        <v>0.908794639463661</v>
      </c>
      <c r="AC817" s="12" t="n">
        <f aca="false">IF(Q817,A817,AC816)</f>
        <v>45562</v>
      </c>
      <c r="AD817" s="8" t="n">
        <f aca="false">IF(Q817,B817,AD816)</f>
        <v>0.908612916880285</v>
      </c>
      <c r="AE817" s="8" t="str">
        <f aca="false">IF(AA817,L817,"")</f>
        <v/>
      </c>
      <c r="AF817" s="8" t="n">
        <f aca="false">U817</f>
        <v>0.889248885929587</v>
      </c>
      <c r="AG817" s="2" t="n">
        <f aca="false">AG816+IF(Q817,1,0)</f>
        <v>7</v>
      </c>
      <c r="AH817" s="2" t="n">
        <f aca="false">AG816</f>
        <v>7</v>
      </c>
      <c r="AI817" s="10" t="n">
        <f aca="false">X817+Y817*(E817-AB817)-Y817*AD817*Inputs!$B$13*(A817-AC817)</f>
        <v>996.184155290773</v>
      </c>
      <c r="AJ817" s="10" t="n">
        <v>0</v>
      </c>
      <c r="AK817" s="8" t="n">
        <f aca="false">IF(AND(B817&lt;=U817,NOT(Q817)),B817,U817)*(1-Inputs!$B$12)</f>
        <v>0.865081860540131</v>
      </c>
    </row>
    <row r="818" customFormat="false" ht="15" hidden="false" customHeight="false" outlineLevel="0" collapsed="false">
      <c r="A818" s="6" t="n">
        <v>45602</v>
      </c>
      <c r="B818" s="7" t="n">
        <v>0.861801213022279</v>
      </c>
      <c r="C818" s="7" t="n">
        <v>0.863569429498292</v>
      </c>
      <c r="D818" s="7" t="n">
        <v>0.855433322280267</v>
      </c>
      <c r="E818" s="7" t="n">
        <v>0.857356316941553</v>
      </c>
      <c r="F818" s="8" t="n">
        <f aca="true">IF(ROW()-2&gt;=Inputs!$B$4,AVERAGE(OFFSET(E818,1-Inputs!$B$4,0,Inputs!$B$4,1)),"")</f>
        <v>0.875862739911283</v>
      </c>
      <c r="G818" s="8" t="n">
        <f aca="true">IF(ROW()-2&gt;=Inputs!$B$5,AVERAGE(OFFSET(E818,1-Inputs!$B$5,0,Inputs!$B$5,1)),"")</f>
        <v>0.884360472392483</v>
      </c>
      <c r="H818" s="8" t="n">
        <f aca="false">MAX(C818-D818,ABS(C818-E817),ABS(D818-E817))</f>
        <v>0.00813610721802427</v>
      </c>
      <c r="I818" s="8" t="n">
        <f aca="true">IF(ROW()-2&lt;14,"",IF(ROW()-2=14,AVERAGE(OFFSET(H818,-13,0,14,1)),(I817*13+H818)/14))</f>
        <v>0.00954343491771876</v>
      </c>
      <c r="J818" s="9" t="b">
        <f aca="false">IF(AND(ISNUMBER(F818),ISNUMBER(G818),ISNUMBER(F817),ISNUMBER(G817)),AND(F818&gt;G818,F817&lt;=G817),FALSE())</f>
        <v>0</v>
      </c>
      <c r="K818" s="9" t="b">
        <f aca="false">IF(AND(ISNUMBER(F818),ISNUMBER(G818),ISNUMBER(F817),ISNUMBER(G817)),AND(F818&lt;G818,F817&gt;=G817),FALSE())</f>
        <v>0</v>
      </c>
      <c r="L818" s="8" t="n">
        <f aca="false">IF(ISNUMBER(I818),E818-Inputs!$B$6*I818,"")</f>
        <v>0.838269447106116</v>
      </c>
      <c r="M818" s="9" t="b">
        <f aca="false">AND(Y817&gt;0,Z817)</f>
        <v>0</v>
      </c>
      <c r="N818" s="8" t="n">
        <f aca="false">B818*(1-Inputs!$B$12)</f>
        <v>0.861628852779674</v>
      </c>
      <c r="O818" s="10" t="n">
        <f aca="false">IF(M818,Y817*(N818-AB817)-Inputs!$B$9-Y817*AD817*Inputs!$B$13*(A818-AC817),0)</f>
        <v>0</v>
      </c>
      <c r="P818" s="10" t="n">
        <f aca="false">X817+O818</f>
        <v>996.184155290773</v>
      </c>
      <c r="Q818" s="9" t="b">
        <f aca="false">AND(IF(M818,0,Y817)=0,AA817,IF(ISNUMBER(AE817),B818&gt;AE817,FALSE()))</f>
        <v>0</v>
      </c>
      <c r="R818" s="8" t="n">
        <f aca="false">B818*(1+Inputs!$B$12)</f>
        <v>0.861973573264883</v>
      </c>
      <c r="S818" s="11" t="n">
        <f aca="false">IF(Q818,MIN(P818*Inputs!$B$3/(R818-AE817),P818*Inputs!$B$11/R818),0)</f>
        <v>0</v>
      </c>
      <c r="T818" s="11" t="n">
        <f aca="false">IF(Q818,S818,IF(M818,0,Y817))</f>
        <v>0</v>
      </c>
      <c r="U818" s="8" t="n">
        <f aca="false">IF(Q818,AE817,AF817)</f>
        <v>0.889248885929587</v>
      </c>
      <c r="V818" s="9" t="b">
        <f aca="false">AND(T818&gt;0,D818&lt;=U818)</f>
        <v>0</v>
      </c>
      <c r="W818" s="10" t="n">
        <f aca="false">IF(V818,T818*(AK818-AB818)-Inputs!$B$9-T818*AD818*Inputs!$B$13*(A818-AC818),0)</f>
        <v>0</v>
      </c>
      <c r="X818" s="10" t="n">
        <f aca="false">P818-IF(Q818,Inputs!$B$9,0)+W818</f>
        <v>996.184155290773</v>
      </c>
      <c r="Y818" s="11" t="n">
        <f aca="false">IF(V818,0,T818)</f>
        <v>0</v>
      </c>
      <c r="Z818" s="9" t="b">
        <f aca="false">AND(Y818&gt;0,K818)</f>
        <v>0</v>
      </c>
      <c r="AA818" s="9" t="b">
        <f aca="false">AND(Y818=0,J818,ISNUMBER(L818))</f>
        <v>0</v>
      </c>
      <c r="AB818" s="8" t="n">
        <f aca="false">IF(Q818,R818,AB817)</f>
        <v>0.908794639463661</v>
      </c>
      <c r="AC818" s="12" t="n">
        <f aca="false">IF(Q818,A818,AC817)</f>
        <v>45562</v>
      </c>
      <c r="AD818" s="8" t="n">
        <f aca="false">IF(Q818,B818,AD817)</f>
        <v>0.908612916880285</v>
      </c>
      <c r="AE818" s="8" t="str">
        <f aca="false">IF(AA818,L818,"")</f>
        <v/>
      </c>
      <c r="AF818" s="8" t="n">
        <f aca="false">U818</f>
        <v>0.889248885929587</v>
      </c>
      <c r="AG818" s="2" t="n">
        <f aca="false">AG817+IF(Q818,1,0)</f>
        <v>7</v>
      </c>
      <c r="AH818" s="2" t="n">
        <f aca="false">AG817</f>
        <v>7</v>
      </c>
      <c r="AI818" s="10" t="n">
        <f aca="false">X818+Y818*(E818-AB818)-Y818*AD818*Inputs!$B$13*(A818-AC818)</f>
        <v>996.184155290773</v>
      </c>
      <c r="AJ818" s="10" t="n">
        <v>0</v>
      </c>
      <c r="AK818" s="8" t="n">
        <f aca="false">IF(AND(B818&lt;=U818,NOT(Q818)),B818,U818)*(1-Inputs!$B$12)</f>
        <v>0.861628852779674</v>
      </c>
    </row>
    <row r="819" customFormat="false" ht="15" hidden="false" customHeight="false" outlineLevel="0" collapsed="false">
      <c r="A819" s="6" t="n">
        <v>45603</v>
      </c>
      <c r="B819" s="7" t="n">
        <v>0.857356316941553</v>
      </c>
      <c r="C819" s="7" t="n">
        <v>0.858210973709164</v>
      </c>
      <c r="D819" s="7" t="n">
        <v>0.846288596497615</v>
      </c>
      <c r="E819" s="7" t="n">
        <v>0.851202520788394</v>
      </c>
      <c r="F819" s="8" t="n">
        <f aca="true">IF(ROW()-2&gt;=Inputs!$B$4,AVERAGE(OFFSET(E819,1-Inputs!$B$4,0,Inputs!$B$4,1)),"")</f>
        <v>0.873963249907253</v>
      </c>
      <c r="G819" s="8" t="n">
        <f aca="true">IF(ROW()-2&gt;=Inputs!$B$5,AVERAGE(OFFSET(E819,1-Inputs!$B$5,0,Inputs!$B$5,1)),"")</f>
        <v>0.883463178843791</v>
      </c>
      <c r="H819" s="8" t="n">
        <f aca="false">MAX(C819-D819,ABS(C819-E818),ABS(D819-E818))</f>
        <v>0.0119223772115495</v>
      </c>
      <c r="I819" s="8" t="n">
        <f aca="true">IF(ROW()-2&lt;14,"",IF(ROW()-2=14,AVERAGE(OFFSET(H819,-13,0,14,1)),(I818*13+H819)/14))</f>
        <v>0.0097133593672781</v>
      </c>
      <c r="J819" s="9" t="b">
        <f aca="false">IF(AND(ISNUMBER(F819),ISNUMBER(G819),ISNUMBER(F818),ISNUMBER(G818)),AND(F819&gt;G819,F818&lt;=G818),FALSE())</f>
        <v>0</v>
      </c>
      <c r="K819" s="9" t="b">
        <f aca="false">IF(AND(ISNUMBER(F819),ISNUMBER(G819),ISNUMBER(F818),ISNUMBER(G818)),AND(F819&lt;G819,F818&gt;=G818),FALSE())</f>
        <v>0</v>
      </c>
      <c r="L819" s="8" t="n">
        <f aca="false">IF(ISNUMBER(I819),E819-Inputs!$B$6*I819,"")</f>
        <v>0.831775802053838</v>
      </c>
      <c r="M819" s="9" t="b">
        <f aca="false">AND(Y818&gt;0,Z818)</f>
        <v>0</v>
      </c>
      <c r="N819" s="8" t="n">
        <f aca="false">B819*(1-Inputs!$B$12)</f>
        <v>0.857184845678165</v>
      </c>
      <c r="O819" s="10" t="n">
        <f aca="false">IF(M819,Y818*(N819-AB818)-Inputs!$B$9-Y818*AD818*Inputs!$B$13*(A819-AC818),0)</f>
        <v>0</v>
      </c>
      <c r="P819" s="10" t="n">
        <f aca="false">X818+O819</f>
        <v>996.184155290773</v>
      </c>
      <c r="Q819" s="9" t="b">
        <f aca="false">AND(IF(M819,0,Y818)=0,AA818,IF(ISNUMBER(AE818),B819&gt;AE818,FALSE()))</f>
        <v>0</v>
      </c>
      <c r="R819" s="8" t="n">
        <f aca="false">B819*(1+Inputs!$B$12)</f>
        <v>0.857527788204941</v>
      </c>
      <c r="S819" s="11" t="n">
        <f aca="false">IF(Q819,MIN(P819*Inputs!$B$3/(R819-AE818),P819*Inputs!$B$11/R819),0)</f>
        <v>0</v>
      </c>
      <c r="T819" s="11" t="n">
        <f aca="false">IF(Q819,S819,IF(M819,0,Y818))</f>
        <v>0</v>
      </c>
      <c r="U819" s="8" t="n">
        <f aca="false">IF(Q819,AE818,AF818)</f>
        <v>0.889248885929587</v>
      </c>
      <c r="V819" s="9" t="b">
        <f aca="false">AND(T819&gt;0,D819&lt;=U819)</f>
        <v>0</v>
      </c>
      <c r="W819" s="10" t="n">
        <f aca="false">IF(V819,T819*(AK819-AB819)-Inputs!$B$9-T819*AD819*Inputs!$B$13*(A819-AC819),0)</f>
        <v>0</v>
      </c>
      <c r="X819" s="10" t="n">
        <f aca="false">P819-IF(Q819,Inputs!$B$9,0)+W819</f>
        <v>996.184155290773</v>
      </c>
      <c r="Y819" s="11" t="n">
        <f aca="false">IF(V819,0,T819)</f>
        <v>0</v>
      </c>
      <c r="Z819" s="9" t="b">
        <f aca="false">AND(Y819&gt;0,K819)</f>
        <v>0</v>
      </c>
      <c r="AA819" s="9" t="b">
        <f aca="false">AND(Y819=0,J819,ISNUMBER(L819))</f>
        <v>0</v>
      </c>
      <c r="AB819" s="8" t="n">
        <f aca="false">IF(Q819,R819,AB818)</f>
        <v>0.908794639463661</v>
      </c>
      <c r="AC819" s="12" t="n">
        <f aca="false">IF(Q819,A819,AC818)</f>
        <v>45562</v>
      </c>
      <c r="AD819" s="8" t="n">
        <f aca="false">IF(Q819,B819,AD818)</f>
        <v>0.908612916880285</v>
      </c>
      <c r="AE819" s="8" t="str">
        <f aca="false">IF(AA819,L819,"")</f>
        <v/>
      </c>
      <c r="AF819" s="8" t="n">
        <f aca="false">U819</f>
        <v>0.889248885929587</v>
      </c>
      <c r="AG819" s="2" t="n">
        <f aca="false">AG818+IF(Q819,1,0)</f>
        <v>7</v>
      </c>
      <c r="AH819" s="2" t="n">
        <f aca="false">AG818</f>
        <v>7</v>
      </c>
      <c r="AI819" s="10" t="n">
        <f aca="false">X819+Y819*(E819-AB819)-Y819*AD819*Inputs!$B$13*(A819-AC819)</f>
        <v>996.184155290773</v>
      </c>
      <c r="AJ819" s="10" t="n">
        <v>0</v>
      </c>
      <c r="AK819" s="8" t="n">
        <f aca="false">IF(AND(B819&lt;=U819,NOT(Q819)),B819,U819)*(1-Inputs!$B$12)</f>
        <v>0.857184845678165</v>
      </c>
    </row>
    <row r="820" customFormat="false" ht="15" hidden="false" customHeight="false" outlineLevel="0" collapsed="false">
      <c r="A820" s="6" t="n">
        <v>45604</v>
      </c>
      <c r="B820" s="7" t="n">
        <v>0.851202520788394</v>
      </c>
      <c r="C820" s="7" t="n">
        <v>0.854032940724562</v>
      </c>
      <c r="D820" s="7" t="n">
        <v>0.849005633690228</v>
      </c>
      <c r="E820" s="7" t="n">
        <v>0.85259262966051</v>
      </c>
      <c r="F820" s="8" t="n">
        <f aca="true">IF(ROW()-2&gt;=Inputs!$B$4,AVERAGE(OFFSET(E820,1-Inputs!$B$4,0,Inputs!$B$4,1)),"")</f>
        <v>0.872064792341701</v>
      </c>
      <c r="G820" s="8" t="n">
        <f aca="true">IF(ROW()-2&gt;=Inputs!$B$5,AVERAGE(OFFSET(E820,1-Inputs!$B$5,0,Inputs!$B$5,1)),"")</f>
        <v>0.882547684179136</v>
      </c>
      <c r="H820" s="8" t="n">
        <f aca="false">MAX(C820-D820,ABS(C820-E819),ABS(D820-E819))</f>
        <v>0.00502730703433474</v>
      </c>
      <c r="I820" s="8" t="n">
        <f aca="true">IF(ROW()-2&lt;14,"",IF(ROW()-2=14,AVERAGE(OFFSET(H820,-13,0,14,1)),(I819*13+H820)/14))</f>
        <v>0.00937864134349643</v>
      </c>
      <c r="J820" s="9" t="b">
        <f aca="false">IF(AND(ISNUMBER(F820),ISNUMBER(G820),ISNUMBER(F819),ISNUMBER(G819)),AND(F820&gt;G820,F819&lt;=G819),FALSE())</f>
        <v>0</v>
      </c>
      <c r="K820" s="9" t="b">
        <f aca="false">IF(AND(ISNUMBER(F820),ISNUMBER(G820),ISNUMBER(F819),ISNUMBER(G819)),AND(F820&lt;G820,F819&gt;=G819),FALSE())</f>
        <v>0</v>
      </c>
      <c r="L820" s="8" t="n">
        <f aca="false">IF(ISNUMBER(I820),E820-Inputs!$B$6*I820,"")</f>
        <v>0.833835346973517</v>
      </c>
      <c r="M820" s="9" t="b">
        <f aca="false">AND(Y819&gt;0,Z819)</f>
        <v>0</v>
      </c>
      <c r="N820" s="8" t="n">
        <f aca="false">B820*(1-Inputs!$B$12)</f>
        <v>0.851032280284236</v>
      </c>
      <c r="O820" s="10" t="n">
        <f aca="false">IF(M820,Y819*(N820-AB819)-Inputs!$B$9-Y819*AD819*Inputs!$B$13*(A820-AC819),0)</f>
        <v>0</v>
      </c>
      <c r="P820" s="10" t="n">
        <f aca="false">X819+O820</f>
        <v>996.184155290773</v>
      </c>
      <c r="Q820" s="9" t="b">
        <f aca="false">AND(IF(M820,0,Y819)=0,AA819,IF(ISNUMBER(AE819),B820&gt;AE819,FALSE()))</f>
        <v>0</v>
      </c>
      <c r="R820" s="8" t="n">
        <f aca="false">B820*(1+Inputs!$B$12)</f>
        <v>0.851372761292552</v>
      </c>
      <c r="S820" s="11" t="n">
        <f aca="false">IF(Q820,MIN(P820*Inputs!$B$3/(R820-AE819),P820*Inputs!$B$11/R820),0)</f>
        <v>0</v>
      </c>
      <c r="T820" s="11" t="n">
        <f aca="false">IF(Q820,S820,IF(M820,0,Y819))</f>
        <v>0</v>
      </c>
      <c r="U820" s="8" t="n">
        <f aca="false">IF(Q820,AE819,AF819)</f>
        <v>0.889248885929587</v>
      </c>
      <c r="V820" s="9" t="b">
        <f aca="false">AND(T820&gt;0,D820&lt;=U820)</f>
        <v>0</v>
      </c>
      <c r="W820" s="10" t="n">
        <f aca="false">IF(V820,T820*(AK820-AB820)-Inputs!$B$9-T820*AD820*Inputs!$B$13*(A820-AC820),0)</f>
        <v>0</v>
      </c>
      <c r="X820" s="10" t="n">
        <f aca="false">P820-IF(Q820,Inputs!$B$9,0)+W820</f>
        <v>996.184155290773</v>
      </c>
      <c r="Y820" s="11" t="n">
        <f aca="false">IF(V820,0,T820)</f>
        <v>0</v>
      </c>
      <c r="Z820" s="9" t="b">
        <f aca="false">AND(Y820&gt;0,K820)</f>
        <v>0</v>
      </c>
      <c r="AA820" s="9" t="b">
        <f aca="false">AND(Y820=0,J820,ISNUMBER(L820))</f>
        <v>0</v>
      </c>
      <c r="AB820" s="8" t="n">
        <f aca="false">IF(Q820,R820,AB819)</f>
        <v>0.908794639463661</v>
      </c>
      <c r="AC820" s="12" t="n">
        <f aca="false">IF(Q820,A820,AC819)</f>
        <v>45562</v>
      </c>
      <c r="AD820" s="8" t="n">
        <f aca="false">IF(Q820,B820,AD819)</f>
        <v>0.908612916880285</v>
      </c>
      <c r="AE820" s="8" t="str">
        <f aca="false">IF(AA820,L820,"")</f>
        <v/>
      </c>
      <c r="AF820" s="8" t="n">
        <f aca="false">U820</f>
        <v>0.889248885929587</v>
      </c>
      <c r="AG820" s="2" t="n">
        <f aca="false">AG819+IF(Q820,1,0)</f>
        <v>7</v>
      </c>
      <c r="AH820" s="2" t="n">
        <f aca="false">AG819</f>
        <v>7</v>
      </c>
      <c r="AI820" s="10" t="n">
        <f aca="false">X820+Y820*(E820-AB820)-Y820*AD820*Inputs!$B$13*(A820-AC820)</f>
        <v>996.184155290773</v>
      </c>
      <c r="AJ820" s="10" t="n">
        <v>0</v>
      </c>
      <c r="AK820" s="8" t="n">
        <f aca="false">IF(AND(B820&lt;=U820,NOT(Q820)),B820,U820)*(1-Inputs!$B$12)</f>
        <v>0.851032280284236</v>
      </c>
    </row>
    <row r="821" customFormat="false" ht="15" hidden="false" customHeight="false" outlineLevel="0" collapsed="false">
      <c r="A821" s="6" t="n">
        <v>45605</v>
      </c>
      <c r="B821" s="7" t="n">
        <v>0.85259262966051</v>
      </c>
      <c r="C821" s="7" t="n">
        <v>0.855314201838947</v>
      </c>
      <c r="D821" s="7" t="n">
        <v>0.849760057252279</v>
      </c>
      <c r="E821" s="7" t="n">
        <v>0.855128356038018</v>
      </c>
      <c r="F821" s="8" t="n">
        <f aca="true">IF(ROW()-2&gt;=Inputs!$B$4,AVERAGE(OFFSET(E821,1-Inputs!$B$4,0,Inputs!$B$4,1)),"")</f>
        <v>0.870630119243404</v>
      </c>
      <c r="G821" s="8" t="n">
        <f aca="true">IF(ROW()-2&gt;=Inputs!$B$5,AVERAGE(OFFSET(E821,1-Inputs!$B$5,0,Inputs!$B$5,1)),"")</f>
        <v>0.881618613805241</v>
      </c>
      <c r="H821" s="8" t="n">
        <f aca="false">MAX(C821-D821,ABS(C821-E820),ABS(D821-E820))</f>
        <v>0.00555414458666825</v>
      </c>
      <c r="I821" s="8" t="n">
        <f aca="true">IF(ROW()-2&lt;14,"",IF(ROW()-2=14,AVERAGE(OFFSET(H821,-13,0,14,1)),(I820*13+H821)/14))</f>
        <v>0.00910546300372299</v>
      </c>
      <c r="J821" s="9" t="b">
        <f aca="false">IF(AND(ISNUMBER(F821),ISNUMBER(G821),ISNUMBER(F820),ISNUMBER(G820)),AND(F821&gt;G821,F820&lt;=G820),FALSE())</f>
        <v>0</v>
      </c>
      <c r="K821" s="9" t="b">
        <f aca="false">IF(AND(ISNUMBER(F821),ISNUMBER(G821),ISNUMBER(F820),ISNUMBER(G820)),AND(F821&lt;G821,F820&gt;=G820),FALSE())</f>
        <v>0</v>
      </c>
      <c r="L821" s="8" t="n">
        <f aca="false">IF(ISNUMBER(I821),E821-Inputs!$B$6*I821,"")</f>
        <v>0.836917430030572</v>
      </c>
      <c r="M821" s="9" t="b">
        <f aca="false">AND(Y820&gt;0,Z820)</f>
        <v>0</v>
      </c>
      <c r="N821" s="8" t="n">
        <f aca="false">B821*(1-Inputs!$B$12)</f>
        <v>0.852422111134578</v>
      </c>
      <c r="O821" s="10" t="n">
        <f aca="false">IF(M821,Y820*(N821-AB820)-Inputs!$B$9-Y820*AD820*Inputs!$B$13*(A821-AC820),0)</f>
        <v>0</v>
      </c>
      <c r="P821" s="10" t="n">
        <f aca="false">X820+O821</f>
        <v>996.184155290773</v>
      </c>
      <c r="Q821" s="9" t="b">
        <f aca="false">AND(IF(M821,0,Y820)=0,AA820,IF(ISNUMBER(AE820),B821&gt;AE820,FALSE()))</f>
        <v>0</v>
      </c>
      <c r="R821" s="8" t="n">
        <f aca="false">B821*(1+Inputs!$B$12)</f>
        <v>0.852763148186442</v>
      </c>
      <c r="S821" s="11" t="n">
        <f aca="false">IF(Q821,MIN(P821*Inputs!$B$3/(R821-AE820),P821*Inputs!$B$11/R821),0)</f>
        <v>0</v>
      </c>
      <c r="T821" s="11" t="n">
        <f aca="false">IF(Q821,S821,IF(M821,0,Y820))</f>
        <v>0</v>
      </c>
      <c r="U821" s="8" t="n">
        <f aca="false">IF(Q821,AE820,AF820)</f>
        <v>0.889248885929587</v>
      </c>
      <c r="V821" s="9" t="b">
        <f aca="false">AND(T821&gt;0,D821&lt;=U821)</f>
        <v>0</v>
      </c>
      <c r="W821" s="10" t="n">
        <f aca="false">IF(V821,T821*(AK821-AB821)-Inputs!$B$9-T821*AD821*Inputs!$B$13*(A821-AC821),0)</f>
        <v>0</v>
      </c>
      <c r="X821" s="10" t="n">
        <f aca="false">P821-IF(Q821,Inputs!$B$9,0)+W821</f>
        <v>996.184155290773</v>
      </c>
      <c r="Y821" s="11" t="n">
        <f aca="false">IF(V821,0,T821)</f>
        <v>0</v>
      </c>
      <c r="Z821" s="9" t="b">
        <f aca="false">AND(Y821&gt;0,K821)</f>
        <v>0</v>
      </c>
      <c r="AA821" s="9" t="b">
        <f aca="false">AND(Y821=0,J821,ISNUMBER(L821))</f>
        <v>0</v>
      </c>
      <c r="AB821" s="8" t="n">
        <f aca="false">IF(Q821,R821,AB820)</f>
        <v>0.908794639463661</v>
      </c>
      <c r="AC821" s="12" t="n">
        <f aca="false">IF(Q821,A821,AC820)</f>
        <v>45562</v>
      </c>
      <c r="AD821" s="8" t="n">
        <f aca="false">IF(Q821,B821,AD820)</f>
        <v>0.908612916880285</v>
      </c>
      <c r="AE821" s="8" t="str">
        <f aca="false">IF(AA821,L821,"")</f>
        <v/>
      </c>
      <c r="AF821" s="8" t="n">
        <f aca="false">U821</f>
        <v>0.889248885929587</v>
      </c>
      <c r="AG821" s="2" t="n">
        <f aca="false">AG820+IF(Q821,1,0)</f>
        <v>7</v>
      </c>
      <c r="AH821" s="2" t="n">
        <f aca="false">AG820</f>
        <v>7</v>
      </c>
      <c r="AI821" s="10" t="n">
        <f aca="false">X821+Y821*(E821-AB821)-Y821*AD821*Inputs!$B$13*(A821-AC821)</f>
        <v>996.184155290773</v>
      </c>
      <c r="AJ821" s="10" t="n">
        <v>0</v>
      </c>
      <c r="AK821" s="8" t="n">
        <f aca="false">IF(AND(B821&lt;=U821,NOT(Q821)),B821,U821)*(1-Inputs!$B$12)</f>
        <v>0.852422111134578</v>
      </c>
    </row>
    <row r="822" customFormat="false" ht="15" hidden="false" customHeight="false" outlineLevel="0" collapsed="false">
      <c r="A822" s="6" t="n">
        <v>45606</v>
      </c>
      <c r="B822" s="7" t="n">
        <v>0.855128356038018</v>
      </c>
      <c r="C822" s="7" t="n">
        <v>0.855316402590155</v>
      </c>
      <c r="D822" s="7" t="n">
        <v>0.851666981033871</v>
      </c>
      <c r="E822" s="7" t="n">
        <v>0.853492837387176</v>
      </c>
      <c r="F822" s="8" t="n">
        <f aca="true">IF(ROW()-2&gt;=Inputs!$B$4,AVERAGE(OFFSET(E822,1-Inputs!$B$4,0,Inputs!$B$4,1)),"")</f>
        <v>0.869167266803264</v>
      </c>
      <c r="G822" s="8" t="n">
        <f aca="true">IF(ROW()-2&gt;=Inputs!$B$5,AVERAGE(OFFSET(E822,1-Inputs!$B$5,0,Inputs!$B$5,1)),"")</f>
        <v>0.880585435744628</v>
      </c>
      <c r="H822" s="8" t="n">
        <f aca="false">MAX(C822-D822,ABS(C822-E821),ABS(D822-E821))</f>
        <v>0.00364942155628356</v>
      </c>
      <c r="I822" s="8" t="n">
        <f aca="true">IF(ROW()-2&lt;14,"",IF(ROW()-2=14,AVERAGE(OFFSET(H822,-13,0,14,1)),(I821*13+H822)/14))</f>
        <v>0.00871574575747732</v>
      </c>
      <c r="J822" s="9" t="b">
        <f aca="false">IF(AND(ISNUMBER(F822),ISNUMBER(G822),ISNUMBER(F821),ISNUMBER(G821)),AND(F822&gt;G822,F821&lt;=G821),FALSE())</f>
        <v>0</v>
      </c>
      <c r="K822" s="9" t="b">
        <f aca="false">IF(AND(ISNUMBER(F822),ISNUMBER(G822),ISNUMBER(F821),ISNUMBER(G821)),AND(F822&lt;G822,F821&gt;=G821),FALSE())</f>
        <v>0</v>
      </c>
      <c r="L822" s="8" t="n">
        <f aca="false">IF(ISNUMBER(I822),E822-Inputs!$B$6*I822,"")</f>
        <v>0.836061345872222</v>
      </c>
      <c r="M822" s="9" t="b">
        <f aca="false">AND(Y821&gt;0,Z821)</f>
        <v>0</v>
      </c>
      <c r="N822" s="8" t="n">
        <f aca="false">B822*(1-Inputs!$B$12)</f>
        <v>0.854957330366811</v>
      </c>
      <c r="O822" s="10" t="n">
        <f aca="false">IF(M822,Y821*(N822-AB821)-Inputs!$B$9-Y821*AD821*Inputs!$B$13*(A822-AC821),0)</f>
        <v>0</v>
      </c>
      <c r="P822" s="10" t="n">
        <f aca="false">X821+O822</f>
        <v>996.184155290773</v>
      </c>
      <c r="Q822" s="9" t="b">
        <f aca="false">AND(IF(M822,0,Y821)=0,AA821,IF(ISNUMBER(AE821),B822&gt;AE821,FALSE()))</f>
        <v>0</v>
      </c>
      <c r="R822" s="8" t="n">
        <f aca="false">B822*(1+Inputs!$B$12)</f>
        <v>0.855299381709226</v>
      </c>
      <c r="S822" s="11" t="n">
        <f aca="false">IF(Q822,MIN(P822*Inputs!$B$3/(R822-AE821),P822*Inputs!$B$11/R822),0)</f>
        <v>0</v>
      </c>
      <c r="T822" s="11" t="n">
        <f aca="false">IF(Q822,S822,IF(M822,0,Y821))</f>
        <v>0</v>
      </c>
      <c r="U822" s="8" t="n">
        <f aca="false">IF(Q822,AE821,AF821)</f>
        <v>0.889248885929587</v>
      </c>
      <c r="V822" s="9" t="b">
        <f aca="false">AND(T822&gt;0,D822&lt;=U822)</f>
        <v>0</v>
      </c>
      <c r="W822" s="10" t="n">
        <f aca="false">IF(V822,T822*(AK822-AB822)-Inputs!$B$9-T822*AD822*Inputs!$B$13*(A822-AC822),0)</f>
        <v>0</v>
      </c>
      <c r="X822" s="10" t="n">
        <f aca="false">P822-IF(Q822,Inputs!$B$9,0)+W822</f>
        <v>996.184155290773</v>
      </c>
      <c r="Y822" s="11" t="n">
        <f aca="false">IF(V822,0,T822)</f>
        <v>0</v>
      </c>
      <c r="Z822" s="9" t="b">
        <f aca="false">AND(Y822&gt;0,K822)</f>
        <v>0</v>
      </c>
      <c r="AA822" s="9" t="b">
        <f aca="false">AND(Y822=0,J822,ISNUMBER(L822))</f>
        <v>0</v>
      </c>
      <c r="AB822" s="8" t="n">
        <f aca="false">IF(Q822,R822,AB821)</f>
        <v>0.908794639463661</v>
      </c>
      <c r="AC822" s="12" t="n">
        <f aca="false">IF(Q822,A822,AC821)</f>
        <v>45562</v>
      </c>
      <c r="AD822" s="8" t="n">
        <f aca="false">IF(Q822,B822,AD821)</f>
        <v>0.908612916880285</v>
      </c>
      <c r="AE822" s="8" t="str">
        <f aca="false">IF(AA822,L822,"")</f>
        <v/>
      </c>
      <c r="AF822" s="8" t="n">
        <f aca="false">U822</f>
        <v>0.889248885929587</v>
      </c>
      <c r="AG822" s="2" t="n">
        <f aca="false">AG821+IF(Q822,1,0)</f>
        <v>7</v>
      </c>
      <c r="AH822" s="2" t="n">
        <f aca="false">AG821</f>
        <v>7</v>
      </c>
      <c r="AI822" s="10" t="n">
        <f aca="false">X822+Y822*(E822-AB822)-Y822*AD822*Inputs!$B$13*(A822-AC822)</f>
        <v>996.184155290773</v>
      </c>
      <c r="AJ822" s="10" t="n">
        <v>0</v>
      </c>
      <c r="AK822" s="8" t="n">
        <f aca="false">IF(AND(B822&lt;=U822,NOT(Q822)),B822,U822)*(1-Inputs!$B$12)</f>
        <v>0.854957330366811</v>
      </c>
    </row>
    <row r="823" customFormat="false" ht="15" hidden="false" customHeight="false" outlineLevel="0" collapsed="false">
      <c r="A823" s="6" t="n">
        <v>45607</v>
      </c>
      <c r="B823" s="7" t="n">
        <v>0.853492837387176</v>
      </c>
      <c r="C823" s="7" t="n">
        <v>0.855367428999097</v>
      </c>
      <c r="D823" s="7" t="n">
        <v>0.847137148279392</v>
      </c>
      <c r="E823" s="7" t="n">
        <v>0.850393782641113</v>
      </c>
      <c r="F823" s="8" t="n">
        <f aca="true">IF(ROW()-2&gt;=Inputs!$B$4,AVERAGE(OFFSET(E823,1-Inputs!$B$4,0,Inputs!$B$4,1)),"")</f>
        <v>0.868240968864425</v>
      </c>
      <c r="G823" s="8" t="n">
        <f aca="true">IF(ROW()-2&gt;=Inputs!$B$5,AVERAGE(OFFSET(E823,1-Inputs!$B$5,0,Inputs!$B$5,1)),"")</f>
        <v>0.879567973947413</v>
      </c>
      <c r="H823" s="8" t="n">
        <f aca="false">MAX(C823-D823,ABS(C823-E822),ABS(D823-E822))</f>
        <v>0.00823028071970544</v>
      </c>
      <c r="I823" s="8" t="n">
        <f aca="true">IF(ROW()-2&lt;14,"",IF(ROW()-2=14,AVERAGE(OFFSET(H823,-13,0,14,1)),(I822*13+H823)/14))</f>
        <v>0.00868106968335075</v>
      </c>
      <c r="J823" s="9" t="b">
        <f aca="false">IF(AND(ISNUMBER(F823),ISNUMBER(G823),ISNUMBER(F822),ISNUMBER(G822)),AND(F823&gt;G823,F822&lt;=G822),FALSE())</f>
        <v>0</v>
      </c>
      <c r="K823" s="9" t="b">
        <f aca="false">IF(AND(ISNUMBER(F823),ISNUMBER(G823),ISNUMBER(F822),ISNUMBER(G822)),AND(F823&lt;G823,F822&gt;=G822),FALSE())</f>
        <v>0</v>
      </c>
      <c r="L823" s="8" t="n">
        <f aca="false">IF(ISNUMBER(I823),E823-Inputs!$B$6*I823,"")</f>
        <v>0.833031643274412</v>
      </c>
      <c r="M823" s="9" t="b">
        <f aca="false">AND(Y822&gt;0,Z822)</f>
        <v>0</v>
      </c>
      <c r="N823" s="8" t="n">
        <f aca="false">B823*(1-Inputs!$B$12)</f>
        <v>0.853322138819699</v>
      </c>
      <c r="O823" s="10" t="n">
        <f aca="false">IF(M823,Y822*(N823-AB822)-Inputs!$B$9-Y822*AD822*Inputs!$B$13*(A823-AC822),0)</f>
        <v>0</v>
      </c>
      <c r="P823" s="10" t="n">
        <f aca="false">X822+O823</f>
        <v>996.184155290773</v>
      </c>
      <c r="Q823" s="9" t="b">
        <f aca="false">AND(IF(M823,0,Y822)=0,AA822,IF(ISNUMBER(AE822),B823&gt;AE822,FALSE()))</f>
        <v>0</v>
      </c>
      <c r="R823" s="8" t="n">
        <f aca="false">B823*(1+Inputs!$B$12)</f>
        <v>0.853663535954654</v>
      </c>
      <c r="S823" s="11" t="n">
        <f aca="false">IF(Q823,MIN(P823*Inputs!$B$3/(R823-AE822),P823*Inputs!$B$11/R823),0)</f>
        <v>0</v>
      </c>
      <c r="T823" s="11" t="n">
        <f aca="false">IF(Q823,S823,IF(M823,0,Y822))</f>
        <v>0</v>
      </c>
      <c r="U823" s="8" t="n">
        <f aca="false">IF(Q823,AE822,AF822)</f>
        <v>0.889248885929587</v>
      </c>
      <c r="V823" s="9" t="b">
        <f aca="false">AND(T823&gt;0,D823&lt;=U823)</f>
        <v>0</v>
      </c>
      <c r="W823" s="10" t="n">
        <f aca="false">IF(V823,T823*(AK823-AB823)-Inputs!$B$9-T823*AD823*Inputs!$B$13*(A823-AC823),0)</f>
        <v>0</v>
      </c>
      <c r="X823" s="10" t="n">
        <f aca="false">P823-IF(Q823,Inputs!$B$9,0)+W823</f>
        <v>996.184155290773</v>
      </c>
      <c r="Y823" s="11" t="n">
        <f aca="false">IF(V823,0,T823)</f>
        <v>0</v>
      </c>
      <c r="Z823" s="9" t="b">
        <f aca="false">AND(Y823&gt;0,K823)</f>
        <v>0</v>
      </c>
      <c r="AA823" s="9" t="b">
        <f aca="false">AND(Y823=0,J823,ISNUMBER(L823))</f>
        <v>0</v>
      </c>
      <c r="AB823" s="8" t="n">
        <f aca="false">IF(Q823,R823,AB822)</f>
        <v>0.908794639463661</v>
      </c>
      <c r="AC823" s="12" t="n">
        <f aca="false">IF(Q823,A823,AC822)</f>
        <v>45562</v>
      </c>
      <c r="AD823" s="8" t="n">
        <f aca="false">IF(Q823,B823,AD822)</f>
        <v>0.908612916880285</v>
      </c>
      <c r="AE823" s="8" t="str">
        <f aca="false">IF(AA823,L823,"")</f>
        <v/>
      </c>
      <c r="AF823" s="8" t="n">
        <f aca="false">U823</f>
        <v>0.889248885929587</v>
      </c>
      <c r="AG823" s="2" t="n">
        <f aca="false">AG822+IF(Q823,1,0)</f>
        <v>7</v>
      </c>
      <c r="AH823" s="2" t="n">
        <f aca="false">AG822</f>
        <v>7</v>
      </c>
      <c r="AI823" s="10" t="n">
        <f aca="false">X823+Y823*(E823-AB823)-Y823*AD823*Inputs!$B$13*(A823-AC823)</f>
        <v>996.184155290773</v>
      </c>
      <c r="AJ823" s="10" t="n">
        <v>0</v>
      </c>
      <c r="AK823" s="8" t="n">
        <f aca="false">IF(AND(B823&lt;=U823,NOT(Q823)),B823,U823)*(1-Inputs!$B$12)</f>
        <v>0.853322138819699</v>
      </c>
    </row>
    <row r="824" customFormat="false" ht="15" hidden="false" customHeight="false" outlineLevel="0" collapsed="false">
      <c r="A824" s="6" t="n">
        <v>45608</v>
      </c>
      <c r="B824" s="7" t="n">
        <v>0.850393782641113</v>
      </c>
      <c r="C824" s="7" t="n">
        <v>0.857257803582133</v>
      </c>
      <c r="D824" s="7" t="n">
        <v>0.848421176793219</v>
      </c>
      <c r="E824" s="7" t="n">
        <v>0.855237058081577</v>
      </c>
      <c r="F824" s="8" t="n">
        <f aca="true">IF(ROW()-2&gt;=Inputs!$B$4,AVERAGE(OFFSET(E824,1-Inputs!$B$4,0,Inputs!$B$4,1)),"")</f>
        <v>0.867163900032659</v>
      </c>
      <c r="G824" s="8" t="n">
        <f aca="true">IF(ROW()-2&gt;=Inputs!$B$5,AVERAGE(OFFSET(E824,1-Inputs!$B$5,0,Inputs!$B$5,1)),"")</f>
        <v>0.878559337414384</v>
      </c>
      <c r="H824" s="8" t="n">
        <f aca="false">MAX(C824-D824,ABS(C824-E823),ABS(D824-E823))</f>
        <v>0.00883662678891428</v>
      </c>
      <c r="I824" s="8" t="n">
        <f aca="true">IF(ROW()-2&lt;14,"",IF(ROW()-2=14,AVERAGE(OFFSET(H824,-13,0,14,1)),(I823*13+H824)/14))</f>
        <v>0.00869218090517672</v>
      </c>
      <c r="J824" s="9" t="b">
        <f aca="false">IF(AND(ISNUMBER(F824),ISNUMBER(G824),ISNUMBER(F823),ISNUMBER(G823)),AND(F824&gt;G824,F823&lt;=G823),FALSE())</f>
        <v>0</v>
      </c>
      <c r="K824" s="9" t="b">
        <f aca="false">IF(AND(ISNUMBER(F824),ISNUMBER(G824),ISNUMBER(F823),ISNUMBER(G823)),AND(F824&lt;G824,F823&gt;=G823),FALSE())</f>
        <v>0</v>
      </c>
      <c r="L824" s="8" t="n">
        <f aca="false">IF(ISNUMBER(I824),E824-Inputs!$B$6*I824,"")</f>
        <v>0.837852696271223</v>
      </c>
      <c r="M824" s="9" t="b">
        <f aca="false">AND(Y823&gt;0,Z823)</f>
        <v>0</v>
      </c>
      <c r="N824" s="8" t="n">
        <f aca="false">B824*(1-Inputs!$B$12)</f>
        <v>0.850223703884585</v>
      </c>
      <c r="O824" s="10" t="n">
        <f aca="false">IF(M824,Y823*(N824-AB823)-Inputs!$B$9-Y823*AD823*Inputs!$B$13*(A824-AC823),0)</f>
        <v>0</v>
      </c>
      <c r="P824" s="10" t="n">
        <f aca="false">X823+O824</f>
        <v>996.184155290773</v>
      </c>
      <c r="Q824" s="9" t="b">
        <f aca="false">AND(IF(M824,0,Y823)=0,AA823,IF(ISNUMBER(AE823),B824&gt;AE823,FALSE()))</f>
        <v>0</v>
      </c>
      <c r="R824" s="8" t="n">
        <f aca="false">B824*(1+Inputs!$B$12)</f>
        <v>0.850563861397641</v>
      </c>
      <c r="S824" s="11" t="n">
        <f aca="false">IF(Q824,MIN(P824*Inputs!$B$3/(R824-AE823),P824*Inputs!$B$11/R824),0)</f>
        <v>0</v>
      </c>
      <c r="T824" s="11" t="n">
        <f aca="false">IF(Q824,S824,IF(M824,0,Y823))</f>
        <v>0</v>
      </c>
      <c r="U824" s="8" t="n">
        <f aca="false">IF(Q824,AE823,AF823)</f>
        <v>0.889248885929587</v>
      </c>
      <c r="V824" s="9" t="b">
        <f aca="false">AND(T824&gt;0,D824&lt;=U824)</f>
        <v>0</v>
      </c>
      <c r="W824" s="10" t="n">
        <f aca="false">IF(V824,T824*(AK824-AB824)-Inputs!$B$9-T824*AD824*Inputs!$B$13*(A824-AC824),0)</f>
        <v>0</v>
      </c>
      <c r="X824" s="10" t="n">
        <f aca="false">P824-IF(Q824,Inputs!$B$9,0)+W824</f>
        <v>996.184155290773</v>
      </c>
      <c r="Y824" s="11" t="n">
        <f aca="false">IF(V824,0,T824)</f>
        <v>0</v>
      </c>
      <c r="Z824" s="9" t="b">
        <f aca="false">AND(Y824&gt;0,K824)</f>
        <v>0</v>
      </c>
      <c r="AA824" s="9" t="b">
        <f aca="false">AND(Y824=0,J824,ISNUMBER(L824))</f>
        <v>0</v>
      </c>
      <c r="AB824" s="8" t="n">
        <f aca="false">IF(Q824,R824,AB823)</f>
        <v>0.908794639463661</v>
      </c>
      <c r="AC824" s="12" t="n">
        <f aca="false">IF(Q824,A824,AC823)</f>
        <v>45562</v>
      </c>
      <c r="AD824" s="8" t="n">
        <f aca="false">IF(Q824,B824,AD823)</f>
        <v>0.908612916880285</v>
      </c>
      <c r="AE824" s="8" t="str">
        <f aca="false">IF(AA824,L824,"")</f>
        <v/>
      </c>
      <c r="AF824" s="8" t="n">
        <f aca="false">U824</f>
        <v>0.889248885929587</v>
      </c>
      <c r="AG824" s="2" t="n">
        <f aca="false">AG823+IF(Q824,1,0)</f>
        <v>7</v>
      </c>
      <c r="AH824" s="2" t="n">
        <f aca="false">AG823</f>
        <v>7</v>
      </c>
      <c r="AI824" s="10" t="n">
        <f aca="false">X824+Y824*(E824-AB824)-Y824*AD824*Inputs!$B$13*(A824-AC824)</f>
        <v>996.184155290773</v>
      </c>
      <c r="AJ824" s="10" t="n">
        <v>0</v>
      </c>
      <c r="AK824" s="8" t="n">
        <f aca="false">IF(AND(B824&lt;=U824,NOT(Q824)),B824,U824)*(1-Inputs!$B$12)</f>
        <v>0.850223703884585</v>
      </c>
    </row>
    <row r="825" customFormat="false" ht="15" hidden="false" customHeight="false" outlineLevel="0" collapsed="false">
      <c r="A825" s="6" t="n">
        <v>45609</v>
      </c>
      <c r="B825" s="7" t="n">
        <v>0.855237058081577</v>
      </c>
      <c r="C825" s="7" t="n">
        <v>0.863405226822902</v>
      </c>
      <c r="D825" s="7" t="n">
        <v>0.852478349655625</v>
      </c>
      <c r="E825" s="7" t="n">
        <v>0.86308668060831</v>
      </c>
      <c r="F825" s="8" t="n">
        <f aca="true">IF(ROW()-2&gt;=Inputs!$B$4,AVERAGE(OFFSET(E825,1-Inputs!$B$4,0,Inputs!$B$4,1)),"")</f>
        <v>0.866567662129056</v>
      </c>
      <c r="G825" s="8" t="n">
        <f aca="true">IF(ROW()-2&gt;=Inputs!$B$5,AVERAGE(OFFSET(E825,1-Inputs!$B$5,0,Inputs!$B$5,1)),"")</f>
        <v>0.877638958064972</v>
      </c>
      <c r="H825" s="8" t="n">
        <f aca="false">MAX(C825-D825,ABS(C825-E824),ABS(D825-E824))</f>
        <v>0.0109268771672774</v>
      </c>
      <c r="I825" s="8" t="n">
        <f aca="true">IF(ROW()-2&lt;14,"",IF(ROW()-2=14,AVERAGE(OFFSET(H825,-13,0,14,1)),(I824*13+H825)/14))</f>
        <v>0.00885180206675534</v>
      </c>
      <c r="J825" s="9" t="b">
        <f aca="false">IF(AND(ISNUMBER(F825),ISNUMBER(G825),ISNUMBER(F824),ISNUMBER(G824)),AND(F825&gt;G825,F824&lt;=G824),FALSE())</f>
        <v>0</v>
      </c>
      <c r="K825" s="9" t="b">
        <f aca="false">IF(AND(ISNUMBER(F825),ISNUMBER(G825),ISNUMBER(F824),ISNUMBER(G824)),AND(F825&lt;G825,F824&gt;=G824),FALSE())</f>
        <v>0</v>
      </c>
      <c r="L825" s="8" t="n">
        <f aca="false">IF(ISNUMBER(I825),E825-Inputs!$B$6*I825,"")</f>
        <v>0.8453830764748</v>
      </c>
      <c r="M825" s="9" t="b">
        <f aca="false">AND(Y824&gt;0,Z824)</f>
        <v>0</v>
      </c>
      <c r="N825" s="8" t="n">
        <f aca="false">B825*(1-Inputs!$B$12)</f>
        <v>0.85506601066996</v>
      </c>
      <c r="O825" s="10" t="n">
        <f aca="false">IF(M825,Y824*(N825-AB824)-Inputs!$B$9-Y824*AD824*Inputs!$B$13*(A825-AC824),0)</f>
        <v>0</v>
      </c>
      <c r="P825" s="10" t="n">
        <f aca="false">X824+O825</f>
        <v>996.184155290773</v>
      </c>
      <c r="Q825" s="9" t="b">
        <f aca="false">AND(IF(M825,0,Y824)=0,AA824,IF(ISNUMBER(AE824),B825&gt;AE824,FALSE()))</f>
        <v>0</v>
      </c>
      <c r="R825" s="8" t="n">
        <f aca="false">B825*(1+Inputs!$B$12)</f>
        <v>0.855408105493193</v>
      </c>
      <c r="S825" s="11" t="n">
        <f aca="false">IF(Q825,MIN(P825*Inputs!$B$3/(R825-AE824),P825*Inputs!$B$11/R825),0)</f>
        <v>0</v>
      </c>
      <c r="T825" s="11" t="n">
        <f aca="false">IF(Q825,S825,IF(M825,0,Y824))</f>
        <v>0</v>
      </c>
      <c r="U825" s="8" t="n">
        <f aca="false">IF(Q825,AE824,AF824)</f>
        <v>0.889248885929587</v>
      </c>
      <c r="V825" s="9" t="b">
        <f aca="false">AND(T825&gt;0,D825&lt;=U825)</f>
        <v>0</v>
      </c>
      <c r="W825" s="10" t="n">
        <f aca="false">IF(V825,T825*(AK825-AB825)-Inputs!$B$9-T825*AD825*Inputs!$B$13*(A825-AC825),0)</f>
        <v>0</v>
      </c>
      <c r="X825" s="10" t="n">
        <f aca="false">P825-IF(Q825,Inputs!$B$9,0)+W825</f>
        <v>996.184155290773</v>
      </c>
      <c r="Y825" s="11" t="n">
        <f aca="false">IF(V825,0,T825)</f>
        <v>0</v>
      </c>
      <c r="Z825" s="9" t="b">
        <f aca="false">AND(Y825&gt;0,K825)</f>
        <v>0</v>
      </c>
      <c r="AA825" s="9" t="b">
        <f aca="false">AND(Y825=0,J825,ISNUMBER(L825))</f>
        <v>0</v>
      </c>
      <c r="AB825" s="8" t="n">
        <f aca="false">IF(Q825,R825,AB824)</f>
        <v>0.908794639463661</v>
      </c>
      <c r="AC825" s="12" t="n">
        <f aca="false">IF(Q825,A825,AC824)</f>
        <v>45562</v>
      </c>
      <c r="AD825" s="8" t="n">
        <f aca="false">IF(Q825,B825,AD824)</f>
        <v>0.908612916880285</v>
      </c>
      <c r="AE825" s="8" t="str">
        <f aca="false">IF(AA825,L825,"")</f>
        <v/>
      </c>
      <c r="AF825" s="8" t="n">
        <f aca="false">U825</f>
        <v>0.889248885929587</v>
      </c>
      <c r="AG825" s="2" t="n">
        <f aca="false">AG824+IF(Q825,1,0)</f>
        <v>7</v>
      </c>
      <c r="AH825" s="2" t="n">
        <f aca="false">AG824</f>
        <v>7</v>
      </c>
      <c r="AI825" s="10" t="n">
        <f aca="false">X825+Y825*(E825-AB825)-Y825*AD825*Inputs!$B$13*(A825-AC825)</f>
        <v>996.184155290773</v>
      </c>
      <c r="AJ825" s="10" t="n">
        <v>0</v>
      </c>
      <c r="AK825" s="8" t="n">
        <f aca="false">IF(AND(B825&lt;=U825,NOT(Q825)),B825,U825)*(1-Inputs!$B$12)</f>
        <v>0.85506601066996</v>
      </c>
    </row>
    <row r="826" customFormat="false" ht="15" hidden="false" customHeight="false" outlineLevel="0" collapsed="false">
      <c r="A826" s="6" t="n">
        <v>45610</v>
      </c>
      <c r="B826" s="7" t="n">
        <v>0.86308668060831</v>
      </c>
      <c r="C826" s="7" t="n">
        <v>0.869515782290544</v>
      </c>
      <c r="D826" s="7" t="n">
        <v>0.859778244218007</v>
      </c>
      <c r="E826" s="7" t="n">
        <v>0.867149672024889</v>
      </c>
      <c r="F826" s="8" t="n">
        <f aca="true">IF(ROW()-2&gt;=Inputs!$B$4,AVERAGE(OFFSET(E826,1-Inputs!$B$4,0,Inputs!$B$4,1)),"")</f>
        <v>0.866034095072608</v>
      </c>
      <c r="G826" s="8" t="n">
        <f aca="true">IF(ROW()-2&gt;=Inputs!$B$5,AVERAGE(OFFSET(E826,1-Inputs!$B$5,0,Inputs!$B$5,1)),"")</f>
        <v>0.876671016420818</v>
      </c>
      <c r="H826" s="8" t="n">
        <f aca="false">MAX(C826-D826,ABS(C826-E825),ABS(D826-E825))</f>
        <v>0.00973753807253686</v>
      </c>
      <c r="I826" s="8" t="n">
        <f aca="true">IF(ROW()-2&lt;14,"",IF(ROW()-2=14,AVERAGE(OFFSET(H826,-13,0,14,1)),(I825*13+H826)/14))</f>
        <v>0.00891506892431116</v>
      </c>
      <c r="J826" s="9" t="b">
        <f aca="false">IF(AND(ISNUMBER(F826),ISNUMBER(G826),ISNUMBER(F825),ISNUMBER(G825)),AND(F826&gt;G826,F825&lt;=G825),FALSE())</f>
        <v>0</v>
      </c>
      <c r="K826" s="9" t="b">
        <f aca="false">IF(AND(ISNUMBER(F826),ISNUMBER(G826),ISNUMBER(F825),ISNUMBER(G825)),AND(F826&lt;G826,F825&gt;=G825),FALSE())</f>
        <v>0</v>
      </c>
      <c r="L826" s="8" t="n">
        <f aca="false">IF(ISNUMBER(I826),E826-Inputs!$B$6*I826,"")</f>
        <v>0.849319534176267</v>
      </c>
      <c r="M826" s="9" t="b">
        <f aca="false">AND(Y825&gt;0,Z825)</f>
        <v>0</v>
      </c>
      <c r="N826" s="8" t="n">
        <f aca="false">B826*(1-Inputs!$B$12)</f>
        <v>0.862914063272189</v>
      </c>
      <c r="O826" s="10" t="n">
        <f aca="false">IF(M826,Y825*(N826-AB825)-Inputs!$B$9-Y825*AD825*Inputs!$B$13*(A826-AC825),0)</f>
        <v>0</v>
      </c>
      <c r="P826" s="10" t="n">
        <f aca="false">X825+O826</f>
        <v>996.184155290773</v>
      </c>
      <c r="Q826" s="9" t="b">
        <f aca="false">AND(IF(M826,0,Y825)=0,AA825,IF(ISNUMBER(AE825),B826&gt;AE825,FALSE()))</f>
        <v>0</v>
      </c>
      <c r="R826" s="8" t="n">
        <f aca="false">B826*(1+Inputs!$B$12)</f>
        <v>0.863259297944432</v>
      </c>
      <c r="S826" s="11" t="n">
        <f aca="false">IF(Q826,MIN(P826*Inputs!$B$3/(R826-AE825),P826*Inputs!$B$11/R826),0)</f>
        <v>0</v>
      </c>
      <c r="T826" s="11" t="n">
        <f aca="false">IF(Q826,S826,IF(M826,0,Y825))</f>
        <v>0</v>
      </c>
      <c r="U826" s="8" t="n">
        <f aca="false">IF(Q826,AE825,AF825)</f>
        <v>0.889248885929587</v>
      </c>
      <c r="V826" s="9" t="b">
        <f aca="false">AND(T826&gt;0,D826&lt;=U826)</f>
        <v>0</v>
      </c>
      <c r="W826" s="10" t="n">
        <f aca="false">IF(V826,T826*(AK826-AB826)-Inputs!$B$9-T826*AD826*Inputs!$B$13*(A826-AC826),0)</f>
        <v>0</v>
      </c>
      <c r="X826" s="10" t="n">
        <f aca="false">P826-IF(Q826,Inputs!$B$9,0)+W826</f>
        <v>996.184155290773</v>
      </c>
      <c r="Y826" s="11" t="n">
        <f aca="false">IF(V826,0,T826)</f>
        <v>0</v>
      </c>
      <c r="Z826" s="9" t="b">
        <f aca="false">AND(Y826&gt;0,K826)</f>
        <v>0</v>
      </c>
      <c r="AA826" s="9" t="b">
        <f aca="false">AND(Y826=0,J826,ISNUMBER(L826))</f>
        <v>0</v>
      </c>
      <c r="AB826" s="8" t="n">
        <f aca="false">IF(Q826,R826,AB825)</f>
        <v>0.908794639463661</v>
      </c>
      <c r="AC826" s="12" t="n">
        <f aca="false">IF(Q826,A826,AC825)</f>
        <v>45562</v>
      </c>
      <c r="AD826" s="8" t="n">
        <f aca="false">IF(Q826,B826,AD825)</f>
        <v>0.908612916880285</v>
      </c>
      <c r="AE826" s="8" t="str">
        <f aca="false">IF(AA826,L826,"")</f>
        <v/>
      </c>
      <c r="AF826" s="8" t="n">
        <f aca="false">U826</f>
        <v>0.889248885929587</v>
      </c>
      <c r="AG826" s="2" t="n">
        <f aca="false">AG825+IF(Q826,1,0)</f>
        <v>7</v>
      </c>
      <c r="AH826" s="2" t="n">
        <f aca="false">AG825</f>
        <v>7</v>
      </c>
      <c r="AI826" s="10" t="n">
        <f aca="false">X826+Y826*(E826-AB826)-Y826*AD826*Inputs!$B$13*(A826-AC826)</f>
        <v>996.184155290773</v>
      </c>
      <c r="AJ826" s="10" t="n">
        <v>0</v>
      </c>
      <c r="AK826" s="8" t="n">
        <f aca="false">IF(AND(B826&lt;=U826,NOT(Q826)),B826,U826)*(1-Inputs!$B$12)</f>
        <v>0.862914063272189</v>
      </c>
    </row>
    <row r="827" customFormat="false" ht="15" hidden="false" customHeight="false" outlineLevel="0" collapsed="false">
      <c r="A827" s="6" t="n">
        <v>45611</v>
      </c>
      <c r="B827" s="7" t="n">
        <v>0.867149672024889</v>
      </c>
      <c r="C827" s="7" t="n">
        <v>0.870340985333619</v>
      </c>
      <c r="D827" s="7" t="n">
        <v>0.863635415151971</v>
      </c>
      <c r="E827" s="7" t="n">
        <v>0.865900268022468</v>
      </c>
      <c r="F827" s="8" t="n">
        <f aca="true">IF(ROW()-2&gt;=Inputs!$B$4,AVERAGE(OFFSET(E827,1-Inputs!$B$4,0,Inputs!$B$4,1)),"")</f>
        <v>0.86528220354028</v>
      </c>
      <c r="G827" s="8" t="n">
        <f aca="true">IF(ROW()-2&gt;=Inputs!$B$5,AVERAGE(OFFSET(E827,1-Inputs!$B$5,0,Inputs!$B$5,1)),"")</f>
        <v>0.875816763443661</v>
      </c>
      <c r="H827" s="8" t="n">
        <f aca="false">MAX(C827-D827,ABS(C827-E826),ABS(D827-E826))</f>
        <v>0.00670557018164786</v>
      </c>
      <c r="I827" s="8" t="n">
        <f aca="true">IF(ROW()-2&lt;14,"",IF(ROW()-2=14,AVERAGE(OFFSET(H827,-13,0,14,1)),(I826*13+H827)/14))</f>
        <v>0.0087572475855495</v>
      </c>
      <c r="J827" s="9" t="b">
        <f aca="false">IF(AND(ISNUMBER(F827),ISNUMBER(G827),ISNUMBER(F826),ISNUMBER(G826)),AND(F827&gt;G827,F826&lt;=G826),FALSE())</f>
        <v>0</v>
      </c>
      <c r="K827" s="9" t="b">
        <f aca="false">IF(AND(ISNUMBER(F827),ISNUMBER(G827),ISNUMBER(F826),ISNUMBER(G826)),AND(F827&lt;G827,F826&gt;=G826),FALSE())</f>
        <v>0</v>
      </c>
      <c r="L827" s="8" t="n">
        <f aca="false">IF(ISNUMBER(I827),E827-Inputs!$B$6*I827,"")</f>
        <v>0.848385772851369</v>
      </c>
      <c r="M827" s="9" t="b">
        <f aca="false">AND(Y826&gt;0,Z826)</f>
        <v>0</v>
      </c>
      <c r="N827" s="8" t="n">
        <f aca="false">B827*(1-Inputs!$B$12)</f>
        <v>0.866976242090484</v>
      </c>
      <c r="O827" s="10" t="n">
        <f aca="false">IF(M827,Y826*(N827-AB826)-Inputs!$B$9-Y826*AD826*Inputs!$B$13*(A827-AC826),0)</f>
        <v>0</v>
      </c>
      <c r="P827" s="10" t="n">
        <f aca="false">X826+O827</f>
        <v>996.184155290773</v>
      </c>
      <c r="Q827" s="9" t="b">
        <f aca="false">AND(IF(M827,0,Y826)=0,AA826,IF(ISNUMBER(AE826),B827&gt;AE826,FALSE()))</f>
        <v>0</v>
      </c>
      <c r="R827" s="8" t="n">
        <f aca="false">B827*(1+Inputs!$B$12)</f>
        <v>0.867323101959294</v>
      </c>
      <c r="S827" s="11" t="n">
        <f aca="false">IF(Q827,MIN(P827*Inputs!$B$3/(R827-AE826),P827*Inputs!$B$11/R827),0)</f>
        <v>0</v>
      </c>
      <c r="T827" s="11" t="n">
        <f aca="false">IF(Q827,S827,IF(M827,0,Y826))</f>
        <v>0</v>
      </c>
      <c r="U827" s="8" t="n">
        <f aca="false">IF(Q827,AE826,AF826)</f>
        <v>0.889248885929587</v>
      </c>
      <c r="V827" s="9" t="b">
        <f aca="false">AND(T827&gt;0,D827&lt;=U827)</f>
        <v>0</v>
      </c>
      <c r="W827" s="10" t="n">
        <f aca="false">IF(V827,T827*(AK827-AB827)-Inputs!$B$9-T827*AD827*Inputs!$B$13*(A827-AC827),0)</f>
        <v>0</v>
      </c>
      <c r="X827" s="10" t="n">
        <f aca="false">P827-IF(Q827,Inputs!$B$9,0)+W827</f>
        <v>996.184155290773</v>
      </c>
      <c r="Y827" s="11" t="n">
        <f aca="false">IF(V827,0,T827)</f>
        <v>0</v>
      </c>
      <c r="Z827" s="9" t="b">
        <f aca="false">AND(Y827&gt;0,K827)</f>
        <v>0</v>
      </c>
      <c r="AA827" s="9" t="b">
        <f aca="false">AND(Y827=0,J827,ISNUMBER(L827))</f>
        <v>0</v>
      </c>
      <c r="AB827" s="8" t="n">
        <f aca="false">IF(Q827,R827,AB826)</f>
        <v>0.908794639463661</v>
      </c>
      <c r="AC827" s="12" t="n">
        <f aca="false">IF(Q827,A827,AC826)</f>
        <v>45562</v>
      </c>
      <c r="AD827" s="8" t="n">
        <f aca="false">IF(Q827,B827,AD826)</f>
        <v>0.908612916880285</v>
      </c>
      <c r="AE827" s="8" t="str">
        <f aca="false">IF(AA827,L827,"")</f>
        <v/>
      </c>
      <c r="AF827" s="8" t="n">
        <f aca="false">U827</f>
        <v>0.889248885929587</v>
      </c>
      <c r="AG827" s="2" t="n">
        <f aca="false">AG826+IF(Q827,1,0)</f>
        <v>7</v>
      </c>
      <c r="AH827" s="2" t="n">
        <f aca="false">AG826</f>
        <v>7</v>
      </c>
      <c r="AI827" s="10" t="n">
        <f aca="false">X827+Y827*(E827-AB827)-Y827*AD827*Inputs!$B$13*(A827-AC827)</f>
        <v>996.184155290773</v>
      </c>
      <c r="AJ827" s="10" t="n">
        <v>0</v>
      </c>
      <c r="AK827" s="8" t="n">
        <f aca="false">IF(AND(B827&lt;=U827,NOT(Q827)),B827,U827)*(1-Inputs!$B$12)</f>
        <v>0.866976242090484</v>
      </c>
    </row>
    <row r="828" customFormat="false" ht="15" hidden="false" customHeight="false" outlineLevel="0" collapsed="false">
      <c r="A828" s="6" t="n">
        <v>45612</v>
      </c>
      <c r="B828" s="7" t="n">
        <v>0.865900268022468</v>
      </c>
      <c r="C828" s="7" t="n">
        <v>0.86760956073405</v>
      </c>
      <c r="D828" s="7" t="n">
        <v>0.864484226581641</v>
      </c>
      <c r="E828" s="7" t="n">
        <v>0.867170045250331</v>
      </c>
      <c r="F828" s="8" t="n">
        <f aca="true">IF(ROW()-2&gt;=Inputs!$B$4,AVERAGE(OFFSET(E828,1-Inputs!$B$4,0,Inputs!$B$4,1)),"")</f>
        <v>0.864795581551757</v>
      </c>
      <c r="G828" s="8" t="n">
        <f aca="true">IF(ROW()-2&gt;=Inputs!$B$5,AVERAGE(OFFSET(E828,1-Inputs!$B$5,0,Inputs!$B$5,1)),"")</f>
        <v>0.875141877441941</v>
      </c>
      <c r="H828" s="8" t="n">
        <f aca="false">MAX(C828-D828,ABS(C828-E827),ABS(D828-E827))</f>
        <v>0.00312533415240879</v>
      </c>
      <c r="I828" s="8" t="n">
        <f aca="true">IF(ROW()-2&lt;14,"",IF(ROW()-2=14,AVERAGE(OFFSET(H828,-13,0,14,1)),(I827*13+H828)/14))</f>
        <v>0.00835496805461087</v>
      </c>
      <c r="J828" s="9" t="b">
        <f aca="false">IF(AND(ISNUMBER(F828),ISNUMBER(G828),ISNUMBER(F827),ISNUMBER(G827)),AND(F828&gt;G828,F827&lt;=G827),FALSE())</f>
        <v>0</v>
      </c>
      <c r="K828" s="9" t="b">
        <f aca="false">IF(AND(ISNUMBER(F828),ISNUMBER(G828),ISNUMBER(F827),ISNUMBER(G827)),AND(F828&lt;G828,F827&gt;=G827),FALSE())</f>
        <v>0</v>
      </c>
      <c r="L828" s="8" t="n">
        <f aca="false">IF(ISNUMBER(I828),E828-Inputs!$B$6*I828,"")</f>
        <v>0.850460109141109</v>
      </c>
      <c r="M828" s="9" t="b">
        <f aca="false">AND(Y827&gt;0,Z827)</f>
        <v>0</v>
      </c>
      <c r="N828" s="8" t="n">
        <f aca="false">B828*(1-Inputs!$B$12)</f>
        <v>0.865727087968864</v>
      </c>
      <c r="O828" s="10" t="n">
        <f aca="false">IF(M828,Y827*(N828-AB827)-Inputs!$B$9-Y827*AD827*Inputs!$B$13*(A828-AC827),0)</f>
        <v>0</v>
      </c>
      <c r="P828" s="10" t="n">
        <f aca="false">X827+O828</f>
        <v>996.184155290773</v>
      </c>
      <c r="Q828" s="9" t="b">
        <f aca="false">AND(IF(M828,0,Y827)=0,AA827,IF(ISNUMBER(AE827),B828&gt;AE827,FALSE()))</f>
        <v>0</v>
      </c>
      <c r="R828" s="8" t="n">
        <f aca="false">B828*(1+Inputs!$B$12)</f>
        <v>0.866073448076073</v>
      </c>
      <c r="S828" s="11" t="n">
        <f aca="false">IF(Q828,MIN(P828*Inputs!$B$3/(R828-AE827),P828*Inputs!$B$11/R828),0)</f>
        <v>0</v>
      </c>
      <c r="T828" s="11" t="n">
        <f aca="false">IF(Q828,S828,IF(M828,0,Y827))</f>
        <v>0</v>
      </c>
      <c r="U828" s="8" t="n">
        <f aca="false">IF(Q828,AE827,AF827)</f>
        <v>0.889248885929587</v>
      </c>
      <c r="V828" s="9" t="b">
        <f aca="false">AND(T828&gt;0,D828&lt;=U828)</f>
        <v>0</v>
      </c>
      <c r="W828" s="10" t="n">
        <f aca="false">IF(V828,T828*(AK828-AB828)-Inputs!$B$9-T828*AD828*Inputs!$B$13*(A828-AC828),0)</f>
        <v>0</v>
      </c>
      <c r="X828" s="10" t="n">
        <f aca="false">P828-IF(Q828,Inputs!$B$9,0)+W828</f>
        <v>996.184155290773</v>
      </c>
      <c r="Y828" s="11" t="n">
        <f aca="false">IF(V828,0,T828)</f>
        <v>0</v>
      </c>
      <c r="Z828" s="9" t="b">
        <f aca="false">AND(Y828&gt;0,K828)</f>
        <v>0</v>
      </c>
      <c r="AA828" s="9" t="b">
        <f aca="false">AND(Y828=0,J828,ISNUMBER(L828))</f>
        <v>0</v>
      </c>
      <c r="AB828" s="8" t="n">
        <f aca="false">IF(Q828,R828,AB827)</f>
        <v>0.908794639463661</v>
      </c>
      <c r="AC828" s="12" t="n">
        <f aca="false">IF(Q828,A828,AC827)</f>
        <v>45562</v>
      </c>
      <c r="AD828" s="8" t="n">
        <f aca="false">IF(Q828,B828,AD827)</f>
        <v>0.908612916880285</v>
      </c>
      <c r="AE828" s="8" t="str">
        <f aca="false">IF(AA828,L828,"")</f>
        <v/>
      </c>
      <c r="AF828" s="8" t="n">
        <f aca="false">U828</f>
        <v>0.889248885929587</v>
      </c>
      <c r="AG828" s="2" t="n">
        <f aca="false">AG827+IF(Q828,1,0)</f>
        <v>7</v>
      </c>
      <c r="AH828" s="2" t="n">
        <f aca="false">AG827</f>
        <v>7</v>
      </c>
      <c r="AI828" s="10" t="n">
        <f aca="false">X828+Y828*(E828-AB828)-Y828*AD828*Inputs!$B$13*(A828-AC828)</f>
        <v>996.184155290773</v>
      </c>
      <c r="AJ828" s="10" t="n">
        <v>0</v>
      </c>
      <c r="AK828" s="8" t="n">
        <f aca="false">IF(AND(B828&lt;=U828,NOT(Q828)),B828,U828)*(1-Inputs!$B$12)</f>
        <v>0.865727087968864</v>
      </c>
    </row>
    <row r="829" customFormat="false" ht="15" hidden="false" customHeight="false" outlineLevel="0" collapsed="false">
      <c r="A829" s="6" t="n">
        <v>45613</v>
      </c>
      <c r="B829" s="7" t="n">
        <v>0.867170045250331</v>
      </c>
      <c r="C829" s="7" t="n">
        <v>0.876701235321385</v>
      </c>
      <c r="D829" s="7" t="n">
        <v>0.865805052766124</v>
      </c>
      <c r="E829" s="7" t="n">
        <v>0.873025060730399</v>
      </c>
      <c r="F829" s="8" t="n">
        <f aca="true">IF(ROW()-2&gt;=Inputs!$B$4,AVERAGE(OFFSET(E829,1-Inputs!$B$4,0,Inputs!$B$4,1)),"")</f>
        <v>0.86467966673213</v>
      </c>
      <c r="G829" s="8" t="n">
        <f aca="true">IF(ROW()-2&gt;=Inputs!$B$5,AVERAGE(OFFSET(E829,1-Inputs!$B$5,0,Inputs!$B$5,1)),"")</f>
        <v>0.874560144843697</v>
      </c>
      <c r="H829" s="8" t="n">
        <f aca="false">MAX(C829-D829,ABS(C829-E828),ABS(D829-E828))</f>
        <v>0.0108961825552613</v>
      </c>
      <c r="I829" s="8" t="n">
        <f aca="true">IF(ROW()-2&lt;14,"",IF(ROW()-2=14,AVERAGE(OFFSET(H829,-13,0,14,1)),(I828*13+H829)/14))</f>
        <v>0.0085364833760859</v>
      </c>
      <c r="J829" s="9" t="b">
        <f aca="false">IF(AND(ISNUMBER(F829),ISNUMBER(G829),ISNUMBER(F828),ISNUMBER(G828)),AND(F829&gt;G829,F828&lt;=G828),FALSE())</f>
        <v>0</v>
      </c>
      <c r="K829" s="9" t="b">
        <f aca="false">IF(AND(ISNUMBER(F829),ISNUMBER(G829),ISNUMBER(F828),ISNUMBER(G828)),AND(F829&lt;G829,F828&gt;=G828),FALSE())</f>
        <v>0</v>
      </c>
      <c r="L829" s="8" t="n">
        <f aca="false">IF(ISNUMBER(I829),E829-Inputs!$B$6*I829,"")</f>
        <v>0.855952093978228</v>
      </c>
      <c r="M829" s="9" t="b">
        <f aca="false">AND(Y828&gt;0,Z828)</f>
        <v>0</v>
      </c>
      <c r="N829" s="8" t="n">
        <f aca="false">B829*(1-Inputs!$B$12)</f>
        <v>0.866996611241281</v>
      </c>
      <c r="O829" s="10" t="n">
        <f aca="false">IF(M829,Y828*(N829-AB828)-Inputs!$B$9-Y828*AD828*Inputs!$B$13*(A829-AC828),0)</f>
        <v>0</v>
      </c>
      <c r="P829" s="10" t="n">
        <f aca="false">X828+O829</f>
        <v>996.184155290773</v>
      </c>
      <c r="Q829" s="9" t="b">
        <f aca="false">AND(IF(M829,0,Y828)=0,AA828,IF(ISNUMBER(AE828),B829&gt;AE828,FALSE()))</f>
        <v>0</v>
      </c>
      <c r="R829" s="8" t="n">
        <f aca="false">B829*(1+Inputs!$B$12)</f>
        <v>0.867343479259381</v>
      </c>
      <c r="S829" s="11" t="n">
        <f aca="false">IF(Q829,MIN(P829*Inputs!$B$3/(R829-AE828),P829*Inputs!$B$11/R829),0)</f>
        <v>0</v>
      </c>
      <c r="T829" s="11" t="n">
        <f aca="false">IF(Q829,S829,IF(M829,0,Y828))</f>
        <v>0</v>
      </c>
      <c r="U829" s="8" t="n">
        <f aca="false">IF(Q829,AE828,AF828)</f>
        <v>0.889248885929587</v>
      </c>
      <c r="V829" s="9" t="b">
        <f aca="false">AND(T829&gt;0,D829&lt;=U829)</f>
        <v>0</v>
      </c>
      <c r="W829" s="10" t="n">
        <f aca="false">IF(V829,T829*(AK829-AB829)-Inputs!$B$9-T829*AD829*Inputs!$B$13*(A829-AC829),0)</f>
        <v>0</v>
      </c>
      <c r="X829" s="10" t="n">
        <f aca="false">P829-IF(Q829,Inputs!$B$9,0)+W829</f>
        <v>996.184155290773</v>
      </c>
      <c r="Y829" s="11" t="n">
        <f aca="false">IF(V829,0,T829)</f>
        <v>0</v>
      </c>
      <c r="Z829" s="9" t="b">
        <f aca="false">AND(Y829&gt;0,K829)</f>
        <v>0</v>
      </c>
      <c r="AA829" s="9" t="b">
        <f aca="false">AND(Y829=0,J829,ISNUMBER(L829))</f>
        <v>0</v>
      </c>
      <c r="AB829" s="8" t="n">
        <f aca="false">IF(Q829,R829,AB828)</f>
        <v>0.908794639463661</v>
      </c>
      <c r="AC829" s="12" t="n">
        <f aca="false">IF(Q829,A829,AC828)</f>
        <v>45562</v>
      </c>
      <c r="AD829" s="8" t="n">
        <f aca="false">IF(Q829,B829,AD828)</f>
        <v>0.908612916880285</v>
      </c>
      <c r="AE829" s="8" t="str">
        <f aca="false">IF(AA829,L829,"")</f>
        <v/>
      </c>
      <c r="AF829" s="8" t="n">
        <f aca="false">U829</f>
        <v>0.889248885929587</v>
      </c>
      <c r="AG829" s="2" t="n">
        <f aca="false">AG828+IF(Q829,1,0)</f>
        <v>7</v>
      </c>
      <c r="AH829" s="2" t="n">
        <f aca="false">AG828</f>
        <v>7</v>
      </c>
      <c r="AI829" s="10" t="n">
        <f aca="false">X829+Y829*(E829-AB829)-Y829*AD829*Inputs!$B$13*(A829-AC829)</f>
        <v>996.184155290773</v>
      </c>
      <c r="AJ829" s="10" t="n">
        <v>0</v>
      </c>
      <c r="AK829" s="8" t="n">
        <f aca="false">IF(AND(B829&lt;=U829,NOT(Q829)),B829,U829)*(1-Inputs!$B$12)</f>
        <v>0.866996611241281</v>
      </c>
    </row>
    <row r="830" customFormat="false" ht="15" hidden="false" customHeight="false" outlineLevel="0" collapsed="false">
      <c r="A830" s="6" t="n">
        <v>45614</v>
      </c>
      <c r="B830" s="7" t="n">
        <v>0.873025060730399</v>
      </c>
      <c r="C830" s="7" t="n">
        <v>0.879830585404562</v>
      </c>
      <c r="D830" s="7" t="n">
        <v>0.868638283942244</v>
      </c>
      <c r="E830" s="7" t="n">
        <v>0.877849625832967</v>
      </c>
      <c r="F830" s="8" t="n">
        <f aca="true">IF(ROW()-2&gt;=Inputs!$B$4,AVERAGE(OFFSET(E830,1-Inputs!$B$4,0,Inputs!$B$4,1)),"")</f>
        <v>0.864442320789722</v>
      </c>
      <c r="G830" s="8" t="n">
        <f aca="true">IF(ROW()-2&gt;=Inputs!$B$5,AVERAGE(OFFSET(E830,1-Inputs!$B$5,0,Inputs!$B$5,1)),"")</f>
        <v>0.874013819022207</v>
      </c>
      <c r="H830" s="8" t="n">
        <f aca="false">MAX(C830-D830,ABS(C830-E829),ABS(D830-E829))</f>
        <v>0.011192301462318</v>
      </c>
      <c r="I830" s="8" t="n">
        <f aca="true">IF(ROW()-2&lt;14,"",IF(ROW()-2=14,AVERAGE(OFFSET(H830,-13,0,14,1)),(I829*13+H830)/14))</f>
        <v>0.00872618466795962</v>
      </c>
      <c r="J830" s="9" t="b">
        <f aca="false">IF(AND(ISNUMBER(F830),ISNUMBER(G830),ISNUMBER(F829),ISNUMBER(G829)),AND(F830&gt;G830,F829&lt;=G829),FALSE())</f>
        <v>0</v>
      </c>
      <c r="K830" s="9" t="b">
        <f aca="false">IF(AND(ISNUMBER(F830),ISNUMBER(G830),ISNUMBER(F829),ISNUMBER(G829)),AND(F830&lt;G830,F829&gt;=G829),FALSE())</f>
        <v>0</v>
      </c>
      <c r="L830" s="8" t="n">
        <f aca="false">IF(ISNUMBER(I830),E830-Inputs!$B$6*I830,"")</f>
        <v>0.860397256497048</v>
      </c>
      <c r="M830" s="9" t="b">
        <f aca="false">AND(Y829&gt;0,Z829)</f>
        <v>0</v>
      </c>
      <c r="N830" s="8" t="n">
        <f aca="false">B830*(1-Inputs!$B$12)</f>
        <v>0.872850455718253</v>
      </c>
      <c r="O830" s="10" t="n">
        <f aca="false">IF(M830,Y829*(N830-AB829)-Inputs!$B$9-Y829*AD829*Inputs!$B$13*(A830-AC829),0)</f>
        <v>0</v>
      </c>
      <c r="P830" s="10" t="n">
        <f aca="false">X829+O830</f>
        <v>996.184155290773</v>
      </c>
      <c r="Q830" s="9" t="b">
        <f aca="false">AND(IF(M830,0,Y829)=0,AA829,IF(ISNUMBER(AE829),B830&gt;AE829,FALSE()))</f>
        <v>0</v>
      </c>
      <c r="R830" s="8" t="n">
        <f aca="false">B830*(1+Inputs!$B$12)</f>
        <v>0.873199665742545</v>
      </c>
      <c r="S830" s="11" t="n">
        <f aca="false">IF(Q830,MIN(P830*Inputs!$B$3/(R830-AE829),P830*Inputs!$B$11/R830),0)</f>
        <v>0</v>
      </c>
      <c r="T830" s="11" t="n">
        <f aca="false">IF(Q830,S830,IF(M830,0,Y829))</f>
        <v>0</v>
      </c>
      <c r="U830" s="8" t="n">
        <f aca="false">IF(Q830,AE829,AF829)</f>
        <v>0.889248885929587</v>
      </c>
      <c r="V830" s="9" t="b">
        <f aca="false">AND(T830&gt;0,D830&lt;=U830)</f>
        <v>0</v>
      </c>
      <c r="W830" s="10" t="n">
        <f aca="false">IF(V830,T830*(AK830-AB830)-Inputs!$B$9-T830*AD830*Inputs!$B$13*(A830-AC830),0)</f>
        <v>0</v>
      </c>
      <c r="X830" s="10" t="n">
        <f aca="false">P830-IF(Q830,Inputs!$B$9,0)+W830</f>
        <v>996.184155290773</v>
      </c>
      <c r="Y830" s="11" t="n">
        <f aca="false">IF(V830,0,T830)</f>
        <v>0</v>
      </c>
      <c r="Z830" s="9" t="b">
        <f aca="false">AND(Y830&gt;0,K830)</f>
        <v>0</v>
      </c>
      <c r="AA830" s="9" t="b">
        <f aca="false">AND(Y830=0,J830,ISNUMBER(L830))</f>
        <v>0</v>
      </c>
      <c r="AB830" s="8" t="n">
        <f aca="false">IF(Q830,R830,AB829)</f>
        <v>0.908794639463661</v>
      </c>
      <c r="AC830" s="12" t="n">
        <f aca="false">IF(Q830,A830,AC829)</f>
        <v>45562</v>
      </c>
      <c r="AD830" s="8" t="n">
        <f aca="false">IF(Q830,B830,AD829)</f>
        <v>0.908612916880285</v>
      </c>
      <c r="AE830" s="8" t="str">
        <f aca="false">IF(AA830,L830,"")</f>
        <v/>
      </c>
      <c r="AF830" s="8" t="n">
        <f aca="false">U830</f>
        <v>0.889248885929587</v>
      </c>
      <c r="AG830" s="2" t="n">
        <f aca="false">AG829+IF(Q830,1,0)</f>
        <v>7</v>
      </c>
      <c r="AH830" s="2" t="n">
        <f aca="false">AG829</f>
        <v>7</v>
      </c>
      <c r="AI830" s="10" t="n">
        <f aca="false">X830+Y830*(E830-AB830)-Y830*AD830*Inputs!$B$13*(A830-AC830)</f>
        <v>996.184155290773</v>
      </c>
      <c r="AJ830" s="10" t="n">
        <v>0</v>
      </c>
      <c r="AK830" s="8" t="n">
        <f aca="false">IF(AND(B830&lt;=U830,NOT(Q830)),B830,U830)*(1-Inputs!$B$12)</f>
        <v>0.872850455718253</v>
      </c>
    </row>
    <row r="831" customFormat="false" ht="15" hidden="false" customHeight="false" outlineLevel="0" collapsed="false">
      <c r="A831" s="6" t="n">
        <v>45615</v>
      </c>
      <c r="B831" s="7" t="n">
        <v>0.877849625832967</v>
      </c>
      <c r="C831" s="7" t="n">
        <v>0.88292420464618</v>
      </c>
      <c r="D831" s="7" t="n">
        <v>0.873142412164937</v>
      </c>
      <c r="E831" s="7" t="n">
        <v>0.880191509014374</v>
      </c>
      <c r="F831" s="8" t="n">
        <f aca="true">IF(ROW()-2&gt;=Inputs!$B$4,AVERAGE(OFFSET(E831,1-Inputs!$B$4,0,Inputs!$B$4,1)),"")</f>
        <v>0.864266102270097</v>
      </c>
      <c r="G831" s="8" t="n">
        <f aca="true">IF(ROW()-2&gt;=Inputs!$B$5,AVERAGE(OFFSET(E831,1-Inputs!$B$5,0,Inputs!$B$5,1)),"")</f>
        <v>0.873519143669076</v>
      </c>
      <c r="H831" s="8" t="n">
        <f aca="false">MAX(C831-D831,ABS(C831-E830),ABS(D831-E830))</f>
        <v>0.00978179248124367</v>
      </c>
      <c r="I831" s="8" t="n">
        <f aca="true">IF(ROW()-2&lt;14,"",IF(ROW()-2=14,AVERAGE(OFFSET(H831,-13,0,14,1)),(I830*13+H831)/14))</f>
        <v>0.00880158522605134</v>
      </c>
      <c r="J831" s="9" t="b">
        <f aca="false">IF(AND(ISNUMBER(F831),ISNUMBER(G831),ISNUMBER(F830),ISNUMBER(G830)),AND(F831&gt;G831,F830&lt;=G830),FALSE())</f>
        <v>0</v>
      </c>
      <c r="K831" s="9" t="b">
        <f aca="false">IF(AND(ISNUMBER(F831),ISNUMBER(G831),ISNUMBER(F830),ISNUMBER(G830)),AND(F831&lt;G831,F830&gt;=G830),FALSE())</f>
        <v>0</v>
      </c>
      <c r="L831" s="8" t="n">
        <f aca="false">IF(ISNUMBER(I831),E831-Inputs!$B$6*I831,"")</f>
        <v>0.862588338562272</v>
      </c>
      <c r="M831" s="9" t="b">
        <f aca="false">AND(Y830&gt;0,Z830)</f>
        <v>0</v>
      </c>
      <c r="N831" s="8" t="n">
        <f aca="false">B831*(1-Inputs!$B$12)</f>
        <v>0.877674055907801</v>
      </c>
      <c r="O831" s="10" t="n">
        <f aca="false">IF(M831,Y830*(N831-AB830)-Inputs!$B$9-Y830*AD830*Inputs!$B$13*(A831-AC830),0)</f>
        <v>0</v>
      </c>
      <c r="P831" s="10" t="n">
        <f aca="false">X830+O831</f>
        <v>996.184155290773</v>
      </c>
      <c r="Q831" s="9" t="b">
        <f aca="false">AND(IF(M831,0,Y830)=0,AA830,IF(ISNUMBER(AE830),B831&gt;AE830,FALSE()))</f>
        <v>0</v>
      </c>
      <c r="R831" s="8" t="n">
        <f aca="false">B831*(1+Inputs!$B$12)</f>
        <v>0.878025195758134</v>
      </c>
      <c r="S831" s="11" t="n">
        <f aca="false">IF(Q831,MIN(P831*Inputs!$B$3/(R831-AE830),P831*Inputs!$B$11/R831),0)</f>
        <v>0</v>
      </c>
      <c r="T831" s="11" t="n">
        <f aca="false">IF(Q831,S831,IF(M831,0,Y830))</f>
        <v>0</v>
      </c>
      <c r="U831" s="8" t="n">
        <f aca="false">IF(Q831,AE830,AF830)</f>
        <v>0.889248885929587</v>
      </c>
      <c r="V831" s="9" t="b">
        <f aca="false">AND(T831&gt;0,D831&lt;=U831)</f>
        <v>0</v>
      </c>
      <c r="W831" s="10" t="n">
        <f aca="false">IF(V831,T831*(AK831-AB831)-Inputs!$B$9-T831*AD831*Inputs!$B$13*(A831-AC831),0)</f>
        <v>0</v>
      </c>
      <c r="X831" s="10" t="n">
        <f aca="false">P831-IF(Q831,Inputs!$B$9,0)+W831</f>
        <v>996.184155290773</v>
      </c>
      <c r="Y831" s="11" t="n">
        <f aca="false">IF(V831,0,T831)</f>
        <v>0</v>
      </c>
      <c r="Z831" s="9" t="b">
        <f aca="false">AND(Y831&gt;0,K831)</f>
        <v>0</v>
      </c>
      <c r="AA831" s="9" t="b">
        <f aca="false">AND(Y831=0,J831,ISNUMBER(L831))</f>
        <v>0</v>
      </c>
      <c r="AB831" s="8" t="n">
        <f aca="false">IF(Q831,R831,AB830)</f>
        <v>0.908794639463661</v>
      </c>
      <c r="AC831" s="12" t="n">
        <f aca="false">IF(Q831,A831,AC830)</f>
        <v>45562</v>
      </c>
      <c r="AD831" s="8" t="n">
        <f aca="false">IF(Q831,B831,AD830)</f>
        <v>0.908612916880285</v>
      </c>
      <c r="AE831" s="8" t="str">
        <f aca="false">IF(AA831,L831,"")</f>
        <v/>
      </c>
      <c r="AF831" s="8" t="n">
        <f aca="false">U831</f>
        <v>0.889248885929587</v>
      </c>
      <c r="AG831" s="2" t="n">
        <f aca="false">AG830+IF(Q831,1,0)</f>
        <v>7</v>
      </c>
      <c r="AH831" s="2" t="n">
        <f aca="false">AG830</f>
        <v>7</v>
      </c>
      <c r="AI831" s="10" t="n">
        <f aca="false">X831+Y831*(E831-AB831)-Y831*AD831*Inputs!$B$13*(A831-AC831)</f>
        <v>996.184155290773</v>
      </c>
      <c r="AJ831" s="10" t="n">
        <v>0</v>
      </c>
      <c r="AK831" s="8" t="n">
        <f aca="false">IF(AND(B831&lt;=U831,NOT(Q831)),B831,U831)*(1-Inputs!$B$12)</f>
        <v>0.877674055907801</v>
      </c>
    </row>
    <row r="832" customFormat="false" ht="15" hidden="false" customHeight="false" outlineLevel="0" collapsed="false">
      <c r="A832" s="6" t="n">
        <v>45616</v>
      </c>
      <c r="B832" s="7" t="n">
        <v>0.880191509014374</v>
      </c>
      <c r="C832" s="7" t="n">
        <v>0.883998596239029</v>
      </c>
      <c r="D832" s="7" t="n">
        <v>0.880133590798026</v>
      </c>
      <c r="E832" s="7" t="n">
        <v>0.883256296546827</v>
      </c>
      <c r="F832" s="8" t="n">
        <f aca="true">IF(ROW()-2&gt;=Inputs!$B$4,AVERAGE(OFFSET(E832,1-Inputs!$B$4,0,Inputs!$B$4,1)),"")</f>
        <v>0.864333379903008</v>
      </c>
      <c r="G832" s="8" t="n">
        <f aca="true">IF(ROW()-2&gt;=Inputs!$B$5,AVERAGE(OFFSET(E832,1-Inputs!$B$5,0,Inputs!$B$5,1)),"")</f>
        <v>0.873203919351376</v>
      </c>
      <c r="H832" s="8" t="n">
        <f aca="false">MAX(C832-D832,ABS(C832-E831),ABS(D832-E831))</f>
        <v>0.00386500544100299</v>
      </c>
      <c r="I832" s="8" t="n">
        <f aca="true">IF(ROW()-2&lt;14,"",IF(ROW()-2=14,AVERAGE(OFFSET(H832,-13,0,14,1)),(I831*13+H832)/14))</f>
        <v>0.00844897238426217</v>
      </c>
      <c r="J832" s="9" t="b">
        <f aca="false">IF(AND(ISNUMBER(F832),ISNUMBER(G832),ISNUMBER(F831),ISNUMBER(G831)),AND(F832&gt;G832,F831&lt;=G831),FALSE())</f>
        <v>0</v>
      </c>
      <c r="K832" s="9" t="b">
        <f aca="false">IF(AND(ISNUMBER(F832),ISNUMBER(G832),ISNUMBER(F831),ISNUMBER(G831)),AND(F832&lt;G832,F831&gt;=G831),FALSE())</f>
        <v>0</v>
      </c>
      <c r="L832" s="8" t="n">
        <f aca="false">IF(ISNUMBER(I832),E832-Inputs!$B$6*I832,"")</f>
        <v>0.866358351778303</v>
      </c>
      <c r="M832" s="9" t="b">
        <f aca="false">AND(Y831&gt;0,Z831)</f>
        <v>0</v>
      </c>
      <c r="N832" s="8" t="n">
        <f aca="false">B832*(1-Inputs!$B$12)</f>
        <v>0.880015470712571</v>
      </c>
      <c r="O832" s="10" t="n">
        <f aca="false">IF(M832,Y831*(N832-AB831)-Inputs!$B$9-Y831*AD831*Inputs!$B$13*(A832-AC831),0)</f>
        <v>0</v>
      </c>
      <c r="P832" s="10" t="n">
        <f aca="false">X831+O832</f>
        <v>996.184155290773</v>
      </c>
      <c r="Q832" s="9" t="b">
        <f aca="false">AND(IF(M832,0,Y831)=0,AA831,IF(ISNUMBER(AE831),B832&gt;AE831,FALSE()))</f>
        <v>0</v>
      </c>
      <c r="R832" s="8" t="n">
        <f aca="false">B832*(1+Inputs!$B$12)</f>
        <v>0.880367547316177</v>
      </c>
      <c r="S832" s="11" t="n">
        <f aca="false">IF(Q832,MIN(P832*Inputs!$B$3/(R832-AE831),P832*Inputs!$B$11/R832),0)</f>
        <v>0</v>
      </c>
      <c r="T832" s="11" t="n">
        <f aca="false">IF(Q832,S832,IF(M832,0,Y831))</f>
        <v>0</v>
      </c>
      <c r="U832" s="8" t="n">
        <f aca="false">IF(Q832,AE831,AF831)</f>
        <v>0.889248885929587</v>
      </c>
      <c r="V832" s="9" t="b">
        <f aca="false">AND(T832&gt;0,D832&lt;=U832)</f>
        <v>0</v>
      </c>
      <c r="W832" s="10" t="n">
        <f aca="false">IF(V832,T832*(AK832-AB832)-Inputs!$B$9-T832*AD832*Inputs!$B$13*(A832-AC832),0)</f>
        <v>0</v>
      </c>
      <c r="X832" s="10" t="n">
        <f aca="false">P832-IF(Q832,Inputs!$B$9,0)+W832</f>
        <v>996.184155290773</v>
      </c>
      <c r="Y832" s="11" t="n">
        <f aca="false">IF(V832,0,T832)</f>
        <v>0</v>
      </c>
      <c r="Z832" s="9" t="b">
        <f aca="false">AND(Y832&gt;0,K832)</f>
        <v>0</v>
      </c>
      <c r="AA832" s="9" t="b">
        <f aca="false">AND(Y832=0,J832,ISNUMBER(L832))</f>
        <v>0</v>
      </c>
      <c r="AB832" s="8" t="n">
        <f aca="false">IF(Q832,R832,AB831)</f>
        <v>0.908794639463661</v>
      </c>
      <c r="AC832" s="12" t="n">
        <f aca="false">IF(Q832,A832,AC831)</f>
        <v>45562</v>
      </c>
      <c r="AD832" s="8" t="n">
        <f aca="false">IF(Q832,B832,AD831)</f>
        <v>0.908612916880285</v>
      </c>
      <c r="AE832" s="8" t="str">
        <f aca="false">IF(AA832,L832,"")</f>
        <v/>
      </c>
      <c r="AF832" s="8" t="n">
        <f aca="false">U832</f>
        <v>0.889248885929587</v>
      </c>
      <c r="AG832" s="2" t="n">
        <f aca="false">AG831+IF(Q832,1,0)</f>
        <v>7</v>
      </c>
      <c r="AH832" s="2" t="n">
        <f aca="false">AG831</f>
        <v>7</v>
      </c>
      <c r="AI832" s="10" t="n">
        <f aca="false">X832+Y832*(E832-AB832)-Y832*AD832*Inputs!$B$13*(A832-AC832)</f>
        <v>996.184155290773</v>
      </c>
      <c r="AJ832" s="10" t="n">
        <v>0</v>
      </c>
      <c r="AK832" s="8" t="n">
        <f aca="false">IF(AND(B832&lt;=U832,NOT(Q832)),B832,U832)*(1-Inputs!$B$12)</f>
        <v>0.880015470712571</v>
      </c>
    </row>
    <row r="833" customFormat="false" ht="15" hidden="false" customHeight="false" outlineLevel="0" collapsed="false">
      <c r="A833" s="6" t="n">
        <v>45617</v>
      </c>
      <c r="B833" s="7" t="n">
        <v>0.883256296546827</v>
      </c>
      <c r="C833" s="7" t="n">
        <v>0.883898460155601</v>
      </c>
      <c r="D833" s="7" t="n">
        <v>0.873755952845286</v>
      </c>
      <c r="E833" s="7" t="n">
        <v>0.87623937860249</v>
      </c>
      <c r="F833" s="8" t="n">
        <f aca="true">IF(ROW()-2&gt;=Inputs!$B$4,AVERAGE(OFFSET(E833,1-Inputs!$B$4,0,Inputs!$B$4,1)),"")</f>
        <v>0.864606052401625</v>
      </c>
      <c r="G833" s="8" t="n">
        <f aca="true">IF(ROW()-2&gt;=Inputs!$B$5,AVERAGE(OFFSET(E833,1-Inputs!$B$5,0,Inputs!$B$5,1)),"")</f>
        <v>0.872830846385164</v>
      </c>
      <c r="H833" s="8" t="n">
        <f aca="false">MAX(C833-D833,ABS(C833-E832),ABS(D833-E832))</f>
        <v>0.0101425073103142</v>
      </c>
      <c r="I833" s="8" t="n">
        <f aca="true">IF(ROW()-2&lt;14,"",IF(ROW()-2=14,AVERAGE(OFFSET(H833,-13,0,14,1)),(I832*13+H833)/14))</f>
        <v>0.00856993916469446</v>
      </c>
      <c r="J833" s="9" t="b">
        <f aca="false">IF(AND(ISNUMBER(F833),ISNUMBER(G833),ISNUMBER(F832),ISNUMBER(G832)),AND(F833&gt;G833,F832&lt;=G832),FALSE())</f>
        <v>0</v>
      </c>
      <c r="K833" s="9" t="b">
        <f aca="false">IF(AND(ISNUMBER(F833),ISNUMBER(G833),ISNUMBER(F832),ISNUMBER(G832)),AND(F833&lt;G833,F832&gt;=G832),FALSE())</f>
        <v>0</v>
      </c>
      <c r="L833" s="8" t="n">
        <f aca="false">IF(ISNUMBER(I833),E833-Inputs!$B$6*I833,"")</f>
        <v>0.859099500273101</v>
      </c>
      <c r="M833" s="9" t="b">
        <f aca="false">AND(Y832&gt;0,Z832)</f>
        <v>0</v>
      </c>
      <c r="N833" s="8" t="n">
        <f aca="false">B833*(1-Inputs!$B$12)</f>
        <v>0.883079645287518</v>
      </c>
      <c r="O833" s="10" t="n">
        <f aca="false">IF(M833,Y832*(N833-AB832)-Inputs!$B$9-Y832*AD832*Inputs!$B$13*(A833-AC832),0)</f>
        <v>0</v>
      </c>
      <c r="P833" s="10" t="n">
        <f aca="false">X832+O833</f>
        <v>996.184155290773</v>
      </c>
      <c r="Q833" s="9" t="b">
        <f aca="false">AND(IF(M833,0,Y832)=0,AA832,IF(ISNUMBER(AE832),B833&gt;AE832,FALSE()))</f>
        <v>0</v>
      </c>
      <c r="R833" s="8" t="n">
        <f aca="false">B833*(1+Inputs!$B$12)</f>
        <v>0.883432947806136</v>
      </c>
      <c r="S833" s="11" t="n">
        <f aca="false">IF(Q833,MIN(P833*Inputs!$B$3/(R833-AE832),P833*Inputs!$B$11/R833),0)</f>
        <v>0</v>
      </c>
      <c r="T833" s="11" t="n">
        <f aca="false">IF(Q833,S833,IF(M833,0,Y832))</f>
        <v>0</v>
      </c>
      <c r="U833" s="8" t="n">
        <f aca="false">IF(Q833,AE832,AF832)</f>
        <v>0.889248885929587</v>
      </c>
      <c r="V833" s="9" t="b">
        <f aca="false">AND(T833&gt;0,D833&lt;=U833)</f>
        <v>0</v>
      </c>
      <c r="W833" s="10" t="n">
        <f aca="false">IF(V833,T833*(AK833-AB833)-Inputs!$B$9-T833*AD833*Inputs!$B$13*(A833-AC833),0)</f>
        <v>0</v>
      </c>
      <c r="X833" s="10" t="n">
        <f aca="false">P833-IF(Q833,Inputs!$B$9,0)+W833</f>
        <v>996.184155290773</v>
      </c>
      <c r="Y833" s="11" t="n">
        <f aca="false">IF(V833,0,T833)</f>
        <v>0</v>
      </c>
      <c r="Z833" s="9" t="b">
        <f aca="false">AND(Y833&gt;0,K833)</f>
        <v>0</v>
      </c>
      <c r="AA833" s="9" t="b">
        <f aca="false">AND(Y833=0,J833,ISNUMBER(L833))</f>
        <v>0</v>
      </c>
      <c r="AB833" s="8" t="n">
        <f aca="false">IF(Q833,R833,AB832)</f>
        <v>0.908794639463661</v>
      </c>
      <c r="AC833" s="12" t="n">
        <f aca="false">IF(Q833,A833,AC832)</f>
        <v>45562</v>
      </c>
      <c r="AD833" s="8" t="n">
        <f aca="false">IF(Q833,B833,AD832)</f>
        <v>0.908612916880285</v>
      </c>
      <c r="AE833" s="8" t="str">
        <f aca="false">IF(AA833,L833,"")</f>
        <v/>
      </c>
      <c r="AF833" s="8" t="n">
        <f aca="false">U833</f>
        <v>0.889248885929587</v>
      </c>
      <c r="AG833" s="2" t="n">
        <f aca="false">AG832+IF(Q833,1,0)</f>
        <v>7</v>
      </c>
      <c r="AH833" s="2" t="n">
        <f aca="false">AG832</f>
        <v>7</v>
      </c>
      <c r="AI833" s="10" t="n">
        <f aca="false">X833+Y833*(E833-AB833)-Y833*AD833*Inputs!$B$13*(A833-AC833)</f>
        <v>996.184155290773</v>
      </c>
      <c r="AJ833" s="10" t="n">
        <v>0</v>
      </c>
      <c r="AK833" s="8" t="n">
        <f aca="false">IF(AND(B833&lt;=U833,NOT(Q833)),B833,U833)*(1-Inputs!$B$12)</f>
        <v>0.883079645287518</v>
      </c>
    </row>
    <row r="834" customFormat="false" ht="15" hidden="false" customHeight="false" outlineLevel="0" collapsed="false">
      <c r="A834" s="6" t="n">
        <v>45618</v>
      </c>
      <c r="B834" s="7" t="n">
        <v>0.87623937860249</v>
      </c>
      <c r="C834" s="7" t="n">
        <v>0.88898948465829</v>
      </c>
      <c r="D834" s="7" t="n">
        <v>0.875097696071586</v>
      </c>
      <c r="E834" s="7" t="n">
        <v>0.88269390877839</v>
      </c>
      <c r="F834" s="8" t="n">
        <f aca="true">IF(ROW()-2&gt;=Inputs!$B$4,AVERAGE(OFFSET(E834,1-Inputs!$B$4,0,Inputs!$B$4,1)),"")</f>
        <v>0.865402314887533</v>
      </c>
      <c r="G834" s="8" t="n">
        <f aca="true">IF(ROW()-2&gt;=Inputs!$B$5,AVERAGE(OFFSET(E834,1-Inputs!$B$5,0,Inputs!$B$5,1)),"")</f>
        <v>0.872770660148966</v>
      </c>
      <c r="H834" s="8" t="n">
        <f aca="false">MAX(C834-D834,ABS(C834-E833),ABS(D834-E833))</f>
        <v>0.0138917885867038</v>
      </c>
      <c r="I834" s="8" t="n">
        <f aca="true">IF(ROW()-2&lt;14,"",IF(ROW()-2=14,AVERAGE(OFFSET(H834,-13,0,14,1)),(I833*13+H834)/14))</f>
        <v>0.00895007126626655</v>
      </c>
      <c r="J834" s="9" t="b">
        <f aca="false">IF(AND(ISNUMBER(F834),ISNUMBER(G834),ISNUMBER(F833),ISNUMBER(G833)),AND(F834&gt;G834,F833&lt;=G833),FALSE())</f>
        <v>0</v>
      </c>
      <c r="K834" s="9" t="b">
        <f aca="false">IF(AND(ISNUMBER(F834),ISNUMBER(G834),ISNUMBER(F833),ISNUMBER(G833)),AND(F834&lt;G834,F833&gt;=G833),FALSE())</f>
        <v>0</v>
      </c>
      <c r="L834" s="8" t="n">
        <f aca="false">IF(ISNUMBER(I834),E834-Inputs!$B$6*I834,"")</f>
        <v>0.864793766245857</v>
      </c>
      <c r="M834" s="9" t="b">
        <f aca="false">AND(Y833&gt;0,Z833)</f>
        <v>0</v>
      </c>
      <c r="N834" s="8" t="n">
        <f aca="false">B834*(1-Inputs!$B$12)</f>
        <v>0.876064130726769</v>
      </c>
      <c r="O834" s="10" t="n">
        <f aca="false">IF(M834,Y833*(N834-AB833)-Inputs!$B$9-Y833*AD833*Inputs!$B$13*(A834-AC833),0)</f>
        <v>0</v>
      </c>
      <c r="P834" s="10" t="n">
        <f aca="false">X833+O834</f>
        <v>996.184155290773</v>
      </c>
      <c r="Q834" s="9" t="b">
        <f aca="false">AND(IF(M834,0,Y833)=0,AA833,IF(ISNUMBER(AE833),B834&gt;AE833,FALSE()))</f>
        <v>0</v>
      </c>
      <c r="R834" s="8" t="n">
        <f aca="false">B834*(1+Inputs!$B$12)</f>
        <v>0.87641462647821</v>
      </c>
      <c r="S834" s="11" t="n">
        <f aca="false">IF(Q834,MIN(P834*Inputs!$B$3/(R834-AE833),P834*Inputs!$B$11/R834),0)</f>
        <v>0</v>
      </c>
      <c r="T834" s="11" t="n">
        <f aca="false">IF(Q834,S834,IF(M834,0,Y833))</f>
        <v>0</v>
      </c>
      <c r="U834" s="8" t="n">
        <f aca="false">IF(Q834,AE833,AF833)</f>
        <v>0.889248885929587</v>
      </c>
      <c r="V834" s="9" t="b">
        <f aca="false">AND(T834&gt;0,D834&lt;=U834)</f>
        <v>0</v>
      </c>
      <c r="W834" s="10" t="n">
        <f aca="false">IF(V834,T834*(AK834-AB834)-Inputs!$B$9-T834*AD834*Inputs!$B$13*(A834-AC834),0)</f>
        <v>0</v>
      </c>
      <c r="X834" s="10" t="n">
        <f aca="false">P834-IF(Q834,Inputs!$B$9,0)+W834</f>
        <v>996.184155290773</v>
      </c>
      <c r="Y834" s="11" t="n">
        <f aca="false">IF(V834,0,T834)</f>
        <v>0</v>
      </c>
      <c r="Z834" s="9" t="b">
        <f aca="false">AND(Y834&gt;0,K834)</f>
        <v>0</v>
      </c>
      <c r="AA834" s="9" t="b">
        <f aca="false">AND(Y834=0,J834,ISNUMBER(L834))</f>
        <v>0</v>
      </c>
      <c r="AB834" s="8" t="n">
        <f aca="false">IF(Q834,R834,AB833)</f>
        <v>0.908794639463661</v>
      </c>
      <c r="AC834" s="12" t="n">
        <f aca="false">IF(Q834,A834,AC833)</f>
        <v>45562</v>
      </c>
      <c r="AD834" s="8" t="n">
        <f aca="false">IF(Q834,B834,AD833)</f>
        <v>0.908612916880285</v>
      </c>
      <c r="AE834" s="8" t="str">
        <f aca="false">IF(AA834,L834,"")</f>
        <v/>
      </c>
      <c r="AF834" s="8" t="n">
        <f aca="false">U834</f>
        <v>0.889248885929587</v>
      </c>
      <c r="AG834" s="2" t="n">
        <f aca="false">AG833+IF(Q834,1,0)</f>
        <v>7</v>
      </c>
      <c r="AH834" s="2" t="n">
        <f aca="false">AG833</f>
        <v>7</v>
      </c>
      <c r="AI834" s="10" t="n">
        <f aca="false">X834+Y834*(E834-AB834)-Y834*AD834*Inputs!$B$13*(A834-AC834)</f>
        <v>996.184155290773</v>
      </c>
      <c r="AJ834" s="10" t="n">
        <v>0</v>
      </c>
      <c r="AK834" s="8" t="n">
        <f aca="false">IF(AND(B834&lt;=U834,NOT(Q834)),B834,U834)*(1-Inputs!$B$12)</f>
        <v>0.876064130726769</v>
      </c>
    </row>
    <row r="835" customFormat="false" ht="15" hidden="false" customHeight="false" outlineLevel="0" collapsed="false">
      <c r="A835" s="6" t="n">
        <v>45619</v>
      </c>
      <c r="B835" s="7" t="n">
        <v>0.88269390877839</v>
      </c>
      <c r="C835" s="7" t="n">
        <v>0.883910323887644</v>
      </c>
      <c r="D835" s="7" t="n">
        <v>0.878784014252321</v>
      </c>
      <c r="E835" s="7" t="n">
        <v>0.880961480815377</v>
      </c>
      <c r="F835" s="8" t="n">
        <f aca="true">IF(ROW()-2&gt;=Inputs!$B$4,AVERAGE(OFFSET(E835,1-Inputs!$B$4,0,Inputs!$B$4,1)),"")</f>
        <v>0.865999177615494</v>
      </c>
      <c r="G835" s="8" t="n">
        <f aca="true">IF(ROW()-2&gt;=Inputs!$B$5,AVERAGE(OFFSET(E835,1-Inputs!$B$5,0,Inputs!$B$5,1)),"")</f>
        <v>0.872695020304761</v>
      </c>
      <c r="H835" s="8" t="n">
        <f aca="false">MAX(C835-D835,ABS(C835-E834),ABS(D835-E834))</f>
        <v>0.00512630963532279</v>
      </c>
      <c r="I835" s="8" t="n">
        <f aca="true">IF(ROW()-2&lt;14,"",IF(ROW()-2=14,AVERAGE(OFFSET(H835,-13,0,14,1)),(I834*13+H835)/14))</f>
        <v>0.00867694543548486</v>
      </c>
      <c r="J835" s="9" t="b">
        <f aca="false">IF(AND(ISNUMBER(F835),ISNUMBER(G835),ISNUMBER(F834),ISNUMBER(G834)),AND(F835&gt;G835,F834&lt;=G834),FALSE())</f>
        <v>0</v>
      </c>
      <c r="K835" s="9" t="b">
        <f aca="false">IF(AND(ISNUMBER(F835),ISNUMBER(G835),ISNUMBER(F834),ISNUMBER(G834)),AND(F835&lt;G835,F834&gt;=G834),FALSE())</f>
        <v>0</v>
      </c>
      <c r="L835" s="8" t="n">
        <f aca="false">IF(ISNUMBER(I835),E835-Inputs!$B$6*I835,"")</f>
        <v>0.863607589944407</v>
      </c>
      <c r="M835" s="9" t="b">
        <f aca="false">AND(Y834&gt;0,Z834)</f>
        <v>0</v>
      </c>
      <c r="N835" s="8" t="n">
        <f aca="false">B835*(1-Inputs!$B$12)</f>
        <v>0.882517369996634</v>
      </c>
      <c r="O835" s="10" t="n">
        <f aca="false">IF(M835,Y834*(N835-AB834)-Inputs!$B$9-Y834*AD834*Inputs!$B$13*(A835-AC834),0)</f>
        <v>0</v>
      </c>
      <c r="P835" s="10" t="n">
        <f aca="false">X834+O835</f>
        <v>996.184155290773</v>
      </c>
      <c r="Q835" s="9" t="b">
        <f aca="false">AND(IF(M835,0,Y834)=0,AA834,IF(ISNUMBER(AE834),B835&gt;AE834,FALSE()))</f>
        <v>0</v>
      </c>
      <c r="R835" s="8" t="n">
        <f aca="false">B835*(1+Inputs!$B$12)</f>
        <v>0.882870447560146</v>
      </c>
      <c r="S835" s="11" t="n">
        <f aca="false">IF(Q835,MIN(P835*Inputs!$B$3/(R835-AE834),P835*Inputs!$B$11/R835),0)</f>
        <v>0</v>
      </c>
      <c r="T835" s="11" t="n">
        <f aca="false">IF(Q835,S835,IF(M835,0,Y834))</f>
        <v>0</v>
      </c>
      <c r="U835" s="8" t="n">
        <f aca="false">IF(Q835,AE834,AF834)</f>
        <v>0.889248885929587</v>
      </c>
      <c r="V835" s="9" t="b">
        <f aca="false">AND(T835&gt;0,D835&lt;=U835)</f>
        <v>0</v>
      </c>
      <c r="W835" s="10" t="n">
        <f aca="false">IF(V835,T835*(AK835-AB835)-Inputs!$B$9-T835*AD835*Inputs!$B$13*(A835-AC835),0)</f>
        <v>0</v>
      </c>
      <c r="X835" s="10" t="n">
        <f aca="false">P835-IF(Q835,Inputs!$B$9,0)+W835</f>
        <v>996.184155290773</v>
      </c>
      <c r="Y835" s="11" t="n">
        <f aca="false">IF(V835,0,T835)</f>
        <v>0</v>
      </c>
      <c r="Z835" s="9" t="b">
        <f aca="false">AND(Y835&gt;0,K835)</f>
        <v>0</v>
      </c>
      <c r="AA835" s="9" t="b">
        <f aca="false">AND(Y835=0,J835,ISNUMBER(L835))</f>
        <v>0</v>
      </c>
      <c r="AB835" s="8" t="n">
        <f aca="false">IF(Q835,R835,AB834)</f>
        <v>0.908794639463661</v>
      </c>
      <c r="AC835" s="12" t="n">
        <f aca="false">IF(Q835,A835,AC834)</f>
        <v>45562</v>
      </c>
      <c r="AD835" s="8" t="n">
        <f aca="false">IF(Q835,B835,AD834)</f>
        <v>0.908612916880285</v>
      </c>
      <c r="AE835" s="8" t="str">
        <f aca="false">IF(AA835,L835,"")</f>
        <v/>
      </c>
      <c r="AF835" s="8" t="n">
        <f aca="false">U835</f>
        <v>0.889248885929587</v>
      </c>
      <c r="AG835" s="2" t="n">
        <f aca="false">AG834+IF(Q835,1,0)</f>
        <v>7</v>
      </c>
      <c r="AH835" s="2" t="n">
        <f aca="false">AG834</f>
        <v>7</v>
      </c>
      <c r="AI835" s="10" t="n">
        <f aca="false">X835+Y835*(E835-AB835)-Y835*AD835*Inputs!$B$13*(A835-AC835)</f>
        <v>996.184155290773</v>
      </c>
      <c r="AJ835" s="10" t="n">
        <v>0</v>
      </c>
      <c r="AK835" s="8" t="n">
        <f aca="false">IF(AND(B835&lt;=U835,NOT(Q835)),B835,U835)*(1-Inputs!$B$12)</f>
        <v>0.882517369996634</v>
      </c>
    </row>
    <row r="836" customFormat="false" ht="15" hidden="false" customHeight="false" outlineLevel="0" collapsed="false">
      <c r="A836" s="6" t="n">
        <v>45620</v>
      </c>
      <c r="B836" s="7" t="n">
        <v>0.880961480815377</v>
      </c>
      <c r="C836" s="7" t="n">
        <v>0.884985654250542</v>
      </c>
      <c r="D836" s="7" t="n">
        <v>0.8757953686279</v>
      </c>
      <c r="E836" s="7" t="n">
        <v>0.881747689930316</v>
      </c>
      <c r="F836" s="8" t="n">
        <f aca="true">IF(ROW()-2&gt;=Inputs!$B$4,AVERAGE(OFFSET(E836,1-Inputs!$B$4,0,Inputs!$B$4,1)),"")</f>
        <v>0.866823816535888</v>
      </c>
      <c r="G836" s="8" t="n">
        <f aca="true">IF(ROW()-2&gt;=Inputs!$B$5,AVERAGE(OFFSET(E836,1-Inputs!$B$5,0,Inputs!$B$5,1)),"")</f>
        <v>0.872680673224932</v>
      </c>
      <c r="H836" s="8" t="n">
        <f aca="false">MAX(C836-D836,ABS(C836-E835),ABS(D836-E835))</f>
        <v>0.0091902856226419</v>
      </c>
      <c r="I836" s="8" t="n">
        <f aca="true">IF(ROW()-2&lt;14,"",IF(ROW()-2=14,AVERAGE(OFFSET(H836,-13,0,14,1)),(I835*13+H836)/14))</f>
        <v>0.00871361259171036</v>
      </c>
      <c r="J836" s="9" t="b">
        <f aca="false">IF(AND(ISNUMBER(F836),ISNUMBER(G836),ISNUMBER(F835),ISNUMBER(G835)),AND(F836&gt;G836,F835&lt;=G835),FALSE())</f>
        <v>0</v>
      </c>
      <c r="K836" s="9" t="b">
        <f aca="false">IF(AND(ISNUMBER(F836),ISNUMBER(G836),ISNUMBER(F835),ISNUMBER(G835)),AND(F836&lt;G836,F835&gt;=G835),FALSE())</f>
        <v>0</v>
      </c>
      <c r="L836" s="8" t="n">
        <f aca="false">IF(ISNUMBER(I836),E836-Inputs!$B$6*I836,"")</f>
        <v>0.864320464746895</v>
      </c>
      <c r="M836" s="9" t="b">
        <f aca="false">AND(Y835&gt;0,Z835)</f>
        <v>0</v>
      </c>
      <c r="N836" s="8" t="n">
        <f aca="false">B836*(1-Inputs!$B$12)</f>
        <v>0.880785288519214</v>
      </c>
      <c r="O836" s="10" t="n">
        <f aca="false">IF(M836,Y835*(N836-AB835)-Inputs!$B$9-Y835*AD835*Inputs!$B$13*(A836-AC835),0)</f>
        <v>0</v>
      </c>
      <c r="P836" s="10" t="n">
        <f aca="false">X835+O836</f>
        <v>996.184155290773</v>
      </c>
      <c r="Q836" s="9" t="b">
        <f aca="false">AND(IF(M836,0,Y835)=0,AA835,IF(ISNUMBER(AE835),B836&gt;AE835,FALSE()))</f>
        <v>0</v>
      </c>
      <c r="R836" s="8" t="n">
        <f aca="false">B836*(1+Inputs!$B$12)</f>
        <v>0.88113767311154</v>
      </c>
      <c r="S836" s="11" t="n">
        <f aca="false">IF(Q836,MIN(P836*Inputs!$B$3/(R836-AE835),P836*Inputs!$B$11/R836),0)</f>
        <v>0</v>
      </c>
      <c r="T836" s="11" t="n">
        <f aca="false">IF(Q836,S836,IF(M836,0,Y835))</f>
        <v>0</v>
      </c>
      <c r="U836" s="8" t="n">
        <f aca="false">IF(Q836,AE835,AF835)</f>
        <v>0.889248885929587</v>
      </c>
      <c r="V836" s="9" t="b">
        <f aca="false">AND(T836&gt;0,D836&lt;=U836)</f>
        <v>0</v>
      </c>
      <c r="W836" s="10" t="n">
        <f aca="false">IF(V836,T836*(AK836-AB836)-Inputs!$B$9-T836*AD836*Inputs!$B$13*(A836-AC836),0)</f>
        <v>0</v>
      </c>
      <c r="X836" s="10" t="n">
        <f aca="false">P836-IF(Q836,Inputs!$B$9,0)+W836</f>
        <v>996.184155290773</v>
      </c>
      <c r="Y836" s="11" t="n">
        <f aca="false">IF(V836,0,T836)</f>
        <v>0</v>
      </c>
      <c r="Z836" s="9" t="b">
        <f aca="false">AND(Y836&gt;0,K836)</f>
        <v>0</v>
      </c>
      <c r="AA836" s="9" t="b">
        <f aca="false">AND(Y836=0,J836,ISNUMBER(L836))</f>
        <v>0</v>
      </c>
      <c r="AB836" s="8" t="n">
        <f aca="false">IF(Q836,R836,AB835)</f>
        <v>0.908794639463661</v>
      </c>
      <c r="AC836" s="12" t="n">
        <f aca="false">IF(Q836,A836,AC835)</f>
        <v>45562</v>
      </c>
      <c r="AD836" s="8" t="n">
        <f aca="false">IF(Q836,B836,AD835)</f>
        <v>0.908612916880285</v>
      </c>
      <c r="AE836" s="8" t="str">
        <f aca="false">IF(AA836,L836,"")</f>
        <v/>
      </c>
      <c r="AF836" s="8" t="n">
        <f aca="false">U836</f>
        <v>0.889248885929587</v>
      </c>
      <c r="AG836" s="2" t="n">
        <f aca="false">AG835+IF(Q836,1,0)</f>
        <v>7</v>
      </c>
      <c r="AH836" s="2" t="n">
        <f aca="false">AG835</f>
        <v>7</v>
      </c>
      <c r="AI836" s="10" t="n">
        <f aca="false">X836+Y836*(E836-AB836)-Y836*AD836*Inputs!$B$13*(A836-AC836)</f>
        <v>996.184155290773</v>
      </c>
      <c r="AJ836" s="10" t="n">
        <v>0</v>
      </c>
      <c r="AK836" s="8" t="n">
        <f aca="false">IF(AND(B836&lt;=U836,NOT(Q836)),B836,U836)*(1-Inputs!$B$12)</f>
        <v>0.880785288519214</v>
      </c>
    </row>
    <row r="837" customFormat="false" ht="15" hidden="false" customHeight="false" outlineLevel="0" collapsed="false">
      <c r="A837" s="6" t="n">
        <v>45621</v>
      </c>
      <c r="B837" s="7" t="n">
        <v>0.881747689930316</v>
      </c>
      <c r="C837" s="7" t="n">
        <v>0.886941758718947</v>
      </c>
      <c r="D837" s="7" t="n">
        <v>0.877865216166688</v>
      </c>
      <c r="E837" s="7" t="n">
        <v>0.879269115057982</v>
      </c>
      <c r="F837" s="8" t="n">
        <f aca="true">IF(ROW()-2&gt;=Inputs!$B$4,AVERAGE(OFFSET(E837,1-Inputs!$B$4,0,Inputs!$B$4,1)),"")</f>
        <v>0.867697211637673</v>
      </c>
      <c r="G837" s="8" t="n">
        <f aca="true">IF(ROW()-2&gt;=Inputs!$B$5,AVERAGE(OFFSET(E837,1-Inputs!$B$5,0,Inputs!$B$5,1)),"")</f>
        <v>0.872672597401852</v>
      </c>
      <c r="H837" s="8" t="n">
        <f aca="false">MAX(C837-D837,ABS(C837-E836),ABS(D837-E836))</f>
        <v>0.00907654255225887</v>
      </c>
      <c r="I837" s="8" t="n">
        <f aca="true">IF(ROW()-2&lt;14,"",IF(ROW()-2=14,AVERAGE(OFFSET(H837,-13,0,14,1)),(I836*13+H837)/14))</f>
        <v>0.00873953616032097</v>
      </c>
      <c r="J837" s="9" t="b">
        <f aca="false">IF(AND(ISNUMBER(F837),ISNUMBER(G837),ISNUMBER(F836),ISNUMBER(G836)),AND(F837&gt;G837,F836&lt;=G836),FALSE())</f>
        <v>0</v>
      </c>
      <c r="K837" s="9" t="b">
        <f aca="false">IF(AND(ISNUMBER(F837),ISNUMBER(G837),ISNUMBER(F836),ISNUMBER(G836)),AND(F837&lt;G837,F836&gt;=G836),FALSE())</f>
        <v>0</v>
      </c>
      <c r="L837" s="8" t="n">
        <f aca="false">IF(ISNUMBER(I837),E837-Inputs!$B$6*I837,"")</f>
        <v>0.861790042737341</v>
      </c>
      <c r="M837" s="9" t="b">
        <f aca="false">AND(Y836&gt;0,Z836)</f>
        <v>0</v>
      </c>
      <c r="N837" s="8" t="n">
        <f aca="false">B837*(1-Inputs!$B$12)</f>
        <v>0.88157134039233</v>
      </c>
      <c r="O837" s="10" t="n">
        <f aca="false">IF(M837,Y836*(N837-AB836)-Inputs!$B$9-Y836*AD836*Inputs!$B$13*(A837-AC836),0)</f>
        <v>0</v>
      </c>
      <c r="P837" s="10" t="n">
        <f aca="false">X836+O837</f>
        <v>996.184155290773</v>
      </c>
      <c r="Q837" s="9" t="b">
        <f aca="false">AND(IF(M837,0,Y836)=0,AA836,IF(ISNUMBER(AE836),B837&gt;AE836,FALSE()))</f>
        <v>0</v>
      </c>
      <c r="R837" s="8" t="n">
        <f aca="false">B837*(1+Inputs!$B$12)</f>
        <v>0.881924039468302</v>
      </c>
      <c r="S837" s="11" t="n">
        <f aca="false">IF(Q837,MIN(P837*Inputs!$B$3/(R837-AE836),P837*Inputs!$B$11/R837),0)</f>
        <v>0</v>
      </c>
      <c r="T837" s="11" t="n">
        <f aca="false">IF(Q837,S837,IF(M837,0,Y836))</f>
        <v>0</v>
      </c>
      <c r="U837" s="8" t="n">
        <f aca="false">IF(Q837,AE836,AF836)</f>
        <v>0.889248885929587</v>
      </c>
      <c r="V837" s="9" t="b">
        <f aca="false">AND(T837&gt;0,D837&lt;=U837)</f>
        <v>0</v>
      </c>
      <c r="W837" s="10" t="n">
        <f aca="false">IF(V837,T837*(AK837-AB837)-Inputs!$B$9-T837*AD837*Inputs!$B$13*(A837-AC837),0)</f>
        <v>0</v>
      </c>
      <c r="X837" s="10" t="n">
        <f aca="false">P837-IF(Q837,Inputs!$B$9,0)+W837</f>
        <v>996.184155290773</v>
      </c>
      <c r="Y837" s="11" t="n">
        <f aca="false">IF(V837,0,T837)</f>
        <v>0</v>
      </c>
      <c r="Z837" s="9" t="b">
        <f aca="false">AND(Y837&gt;0,K837)</f>
        <v>0</v>
      </c>
      <c r="AA837" s="9" t="b">
        <f aca="false">AND(Y837=0,J837,ISNUMBER(L837))</f>
        <v>0</v>
      </c>
      <c r="AB837" s="8" t="n">
        <f aca="false">IF(Q837,R837,AB836)</f>
        <v>0.908794639463661</v>
      </c>
      <c r="AC837" s="12" t="n">
        <f aca="false">IF(Q837,A837,AC836)</f>
        <v>45562</v>
      </c>
      <c r="AD837" s="8" t="n">
        <f aca="false">IF(Q837,B837,AD836)</f>
        <v>0.908612916880285</v>
      </c>
      <c r="AE837" s="8" t="str">
        <f aca="false">IF(AA837,L837,"")</f>
        <v/>
      </c>
      <c r="AF837" s="8" t="n">
        <f aca="false">U837</f>
        <v>0.889248885929587</v>
      </c>
      <c r="AG837" s="2" t="n">
        <f aca="false">AG836+IF(Q837,1,0)</f>
        <v>7</v>
      </c>
      <c r="AH837" s="2" t="n">
        <f aca="false">AG836</f>
        <v>7</v>
      </c>
      <c r="AI837" s="10" t="n">
        <f aca="false">X837+Y837*(E837-AB837)-Y837*AD837*Inputs!$B$13*(A837-AC837)</f>
        <v>996.184155290773</v>
      </c>
      <c r="AJ837" s="10" t="n">
        <v>0</v>
      </c>
      <c r="AK837" s="8" t="n">
        <f aca="false">IF(AND(B837&lt;=U837,NOT(Q837)),B837,U837)*(1-Inputs!$B$12)</f>
        <v>0.88157134039233</v>
      </c>
    </row>
    <row r="838" customFormat="false" ht="15" hidden="false" customHeight="false" outlineLevel="0" collapsed="false">
      <c r="A838" s="6" t="n">
        <v>45622</v>
      </c>
      <c r="B838" s="7" t="n">
        <v>0.879269115057982</v>
      </c>
      <c r="C838" s="7" t="n">
        <v>0.879795957375321</v>
      </c>
      <c r="D838" s="7" t="n">
        <v>0.875835006709792</v>
      </c>
      <c r="E838" s="7" t="n">
        <v>0.876032136079854</v>
      </c>
      <c r="F838" s="8" t="n">
        <f aca="true">IF(ROW()-2&gt;=Inputs!$B$4,AVERAGE(OFFSET(E838,1-Inputs!$B$4,0,Inputs!$B$4,1)),"")</f>
        <v>0.868631002594588</v>
      </c>
      <c r="G838" s="8" t="n">
        <f aca="true">IF(ROW()-2&gt;=Inputs!$B$5,AVERAGE(OFFSET(E838,1-Inputs!$B$5,0,Inputs!$B$5,1)),"")</f>
        <v>0.872778340217267</v>
      </c>
      <c r="H838" s="8" t="n">
        <f aca="false">MAX(C838-D838,ABS(C838-E837),ABS(D838-E837))</f>
        <v>0.0039609506655286</v>
      </c>
      <c r="I838" s="8" t="n">
        <f aca="true">IF(ROW()-2&lt;14,"",IF(ROW()-2=14,AVERAGE(OFFSET(H838,-13,0,14,1)),(I837*13+H838)/14))</f>
        <v>0.00839820862497866</v>
      </c>
      <c r="J838" s="9" t="b">
        <f aca="false">IF(AND(ISNUMBER(F838),ISNUMBER(G838),ISNUMBER(F837),ISNUMBER(G837)),AND(F838&gt;G838,F837&lt;=G837),FALSE())</f>
        <v>0</v>
      </c>
      <c r="K838" s="9" t="b">
        <f aca="false">IF(AND(ISNUMBER(F838),ISNUMBER(G838),ISNUMBER(F837),ISNUMBER(G837)),AND(F838&lt;G838,F837&gt;=G837),FALSE())</f>
        <v>0</v>
      </c>
      <c r="L838" s="8" t="n">
        <f aca="false">IF(ISNUMBER(I838),E838-Inputs!$B$6*I838,"")</f>
        <v>0.859235718829896</v>
      </c>
      <c r="M838" s="9" t="b">
        <f aca="false">AND(Y837&gt;0,Z837)</f>
        <v>0</v>
      </c>
      <c r="N838" s="8" t="n">
        <f aca="false">B838*(1-Inputs!$B$12)</f>
        <v>0.879093261234971</v>
      </c>
      <c r="O838" s="10" t="n">
        <f aca="false">IF(M838,Y837*(N838-AB837)-Inputs!$B$9-Y837*AD837*Inputs!$B$13*(A838-AC837),0)</f>
        <v>0</v>
      </c>
      <c r="P838" s="10" t="n">
        <f aca="false">X837+O838</f>
        <v>996.184155290773</v>
      </c>
      <c r="Q838" s="9" t="b">
        <f aca="false">AND(IF(M838,0,Y837)=0,AA837,IF(ISNUMBER(AE837),B838&gt;AE837,FALSE()))</f>
        <v>0</v>
      </c>
      <c r="R838" s="8" t="n">
        <f aca="false">B838*(1+Inputs!$B$12)</f>
        <v>0.879444968880994</v>
      </c>
      <c r="S838" s="11" t="n">
        <f aca="false">IF(Q838,MIN(P838*Inputs!$B$3/(R838-AE837),P838*Inputs!$B$11/R838),0)</f>
        <v>0</v>
      </c>
      <c r="T838" s="11" t="n">
        <f aca="false">IF(Q838,S838,IF(M838,0,Y837))</f>
        <v>0</v>
      </c>
      <c r="U838" s="8" t="n">
        <f aca="false">IF(Q838,AE837,AF837)</f>
        <v>0.889248885929587</v>
      </c>
      <c r="V838" s="9" t="b">
        <f aca="false">AND(T838&gt;0,D838&lt;=U838)</f>
        <v>0</v>
      </c>
      <c r="W838" s="10" t="n">
        <f aca="false">IF(V838,T838*(AK838-AB838)-Inputs!$B$9-T838*AD838*Inputs!$B$13*(A838-AC838),0)</f>
        <v>0</v>
      </c>
      <c r="X838" s="10" t="n">
        <f aca="false">P838-IF(Q838,Inputs!$B$9,0)+W838</f>
        <v>996.184155290773</v>
      </c>
      <c r="Y838" s="11" t="n">
        <f aca="false">IF(V838,0,T838)</f>
        <v>0</v>
      </c>
      <c r="Z838" s="9" t="b">
        <f aca="false">AND(Y838&gt;0,K838)</f>
        <v>0</v>
      </c>
      <c r="AA838" s="9" t="b">
        <f aca="false">AND(Y838=0,J838,ISNUMBER(L838))</f>
        <v>0</v>
      </c>
      <c r="AB838" s="8" t="n">
        <f aca="false">IF(Q838,R838,AB837)</f>
        <v>0.908794639463661</v>
      </c>
      <c r="AC838" s="12" t="n">
        <f aca="false">IF(Q838,A838,AC837)</f>
        <v>45562</v>
      </c>
      <c r="AD838" s="8" t="n">
        <f aca="false">IF(Q838,B838,AD837)</f>
        <v>0.908612916880285</v>
      </c>
      <c r="AE838" s="8" t="str">
        <f aca="false">IF(AA838,L838,"")</f>
        <v/>
      </c>
      <c r="AF838" s="8" t="n">
        <f aca="false">U838</f>
        <v>0.889248885929587</v>
      </c>
      <c r="AG838" s="2" t="n">
        <f aca="false">AG837+IF(Q838,1,0)</f>
        <v>7</v>
      </c>
      <c r="AH838" s="2" t="n">
        <f aca="false">AG837</f>
        <v>7</v>
      </c>
      <c r="AI838" s="10" t="n">
        <f aca="false">X838+Y838*(E838-AB838)-Y838*AD838*Inputs!$B$13*(A838-AC838)</f>
        <v>996.184155290773</v>
      </c>
      <c r="AJ838" s="10" t="n">
        <v>0</v>
      </c>
      <c r="AK838" s="8" t="n">
        <f aca="false">IF(AND(B838&lt;=U838,NOT(Q838)),B838,U838)*(1-Inputs!$B$12)</f>
        <v>0.879093261234971</v>
      </c>
    </row>
    <row r="839" customFormat="false" ht="15" hidden="false" customHeight="false" outlineLevel="0" collapsed="false">
      <c r="A839" s="6" t="n">
        <v>45623</v>
      </c>
      <c r="B839" s="7" t="n">
        <v>0.876032136079854</v>
      </c>
      <c r="C839" s="7" t="n">
        <v>0.883459194475225</v>
      </c>
      <c r="D839" s="7" t="n">
        <v>0.874287118909361</v>
      </c>
      <c r="E839" s="7" t="n">
        <v>0.877183546268586</v>
      </c>
      <c r="F839" s="8" t="n">
        <f aca="true">IF(ROW()-2&gt;=Inputs!$B$4,AVERAGE(OFFSET(E839,1-Inputs!$B$4,0,Inputs!$B$4,1)),"")</f>
        <v>0.869930053868598</v>
      </c>
      <c r="G839" s="8" t="n">
        <f aca="true">IF(ROW()-2&gt;=Inputs!$B$5,AVERAGE(OFFSET(E839,1-Inputs!$B$5,0,Inputs!$B$5,1)),"")</f>
        <v>0.872965823380268</v>
      </c>
      <c r="H839" s="8" t="n">
        <f aca="false">MAX(C839-D839,ABS(C839-E838),ABS(D839-E838))</f>
        <v>0.00917207556586419</v>
      </c>
      <c r="I839" s="8" t="n">
        <f aca="true">IF(ROW()-2&lt;14,"",IF(ROW()-2=14,AVERAGE(OFFSET(H839,-13,0,14,1)),(I838*13+H839)/14))</f>
        <v>0.00845348483504191</v>
      </c>
      <c r="J839" s="9" t="b">
        <f aca="false">IF(AND(ISNUMBER(F839),ISNUMBER(G839),ISNUMBER(F838),ISNUMBER(G838)),AND(F839&gt;G839,F838&lt;=G838),FALSE())</f>
        <v>0</v>
      </c>
      <c r="K839" s="9" t="b">
        <f aca="false">IF(AND(ISNUMBER(F839),ISNUMBER(G839),ISNUMBER(F838),ISNUMBER(G838)),AND(F839&lt;G839,F838&gt;=G838),FALSE())</f>
        <v>0</v>
      </c>
      <c r="L839" s="8" t="n">
        <f aca="false">IF(ISNUMBER(I839),E839-Inputs!$B$6*I839,"")</f>
        <v>0.860276576598502</v>
      </c>
      <c r="M839" s="9" t="b">
        <f aca="false">AND(Y838&gt;0,Z838)</f>
        <v>0</v>
      </c>
      <c r="N839" s="8" t="n">
        <f aca="false">B839*(1-Inputs!$B$12)</f>
        <v>0.875856929652638</v>
      </c>
      <c r="O839" s="10" t="n">
        <f aca="false">IF(M839,Y838*(N839-AB838)-Inputs!$B$9-Y838*AD838*Inputs!$B$13*(A839-AC838),0)</f>
        <v>0</v>
      </c>
      <c r="P839" s="10" t="n">
        <f aca="false">X838+O839</f>
        <v>996.184155290773</v>
      </c>
      <c r="Q839" s="9" t="b">
        <f aca="false">AND(IF(M839,0,Y838)=0,AA838,IF(ISNUMBER(AE838),B839&gt;AE838,FALSE()))</f>
        <v>0</v>
      </c>
      <c r="R839" s="8" t="n">
        <f aca="false">B839*(1+Inputs!$B$12)</f>
        <v>0.87620734250707</v>
      </c>
      <c r="S839" s="11" t="n">
        <f aca="false">IF(Q839,MIN(P839*Inputs!$B$3/(R839-AE838),P839*Inputs!$B$11/R839),0)</f>
        <v>0</v>
      </c>
      <c r="T839" s="11" t="n">
        <f aca="false">IF(Q839,S839,IF(M839,0,Y838))</f>
        <v>0</v>
      </c>
      <c r="U839" s="8" t="n">
        <f aca="false">IF(Q839,AE838,AF838)</f>
        <v>0.889248885929587</v>
      </c>
      <c r="V839" s="9" t="b">
        <f aca="false">AND(T839&gt;0,D839&lt;=U839)</f>
        <v>0</v>
      </c>
      <c r="W839" s="10" t="n">
        <f aca="false">IF(V839,T839*(AK839-AB839)-Inputs!$B$9-T839*AD839*Inputs!$B$13*(A839-AC839),0)</f>
        <v>0</v>
      </c>
      <c r="X839" s="10" t="n">
        <f aca="false">P839-IF(Q839,Inputs!$B$9,0)+W839</f>
        <v>996.184155290773</v>
      </c>
      <c r="Y839" s="11" t="n">
        <f aca="false">IF(V839,0,T839)</f>
        <v>0</v>
      </c>
      <c r="Z839" s="9" t="b">
        <f aca="false">AND(Y839&gt;0,K839)</f>
        <v>0</v>
      </c>
      <c r="AA839" s="9" t="b">
        <f aca="false">AND(Y839=0,J839,ISNUMBER(L839))</f>
        <v>0</v>
      </c>
      <c r="AB839" s="8" t="n">
        <f aca="false">IF(Q839,R839,AB838)</f>
        <v>0.908794639463661</v>
      </c>
      <c r="AC839" s="12" t="n">
        <f aca="false">IF(Q839,A839,AC838)</f>
        <v>45562</v>
      </c>
      <c r="AD839" s="8" t="n">
        <f aca="false">IF(Q839,B839,AD838)</f>
        <v>0.908612916880285</v>
      </c>
      <c r="AE839" s="8" t="str">
        <f aca="false">IF(AA839,L839,"")</f>
        <v/>
      </c>
      <c r="AF839" s="8" t="n">
        <f aca="false">U839</f>
        <v>0.889248885929587</v>
      </c>
      <c r="AG839" s="2" t="n">
        <f aca="false">AG838+IF(Q839,1,0)</f>
        <v>7</v>
      </c>
      <c r="AH839" s="2" t="n">
        <f aca="false">AG838</f>
        <v>7</v>
      </c>
      <c r="AI839" s="10" t="n">
        <f aca="false">X839+Y839*(E839-AB839)-Y839*AD839*Inputs!$B$13*(A839-AC839)</f>
        <v>996.184155290773</v>
      </c>
      <c r="AJ839" s="10" t="n">
        <v>0</v>
      </c>
      <c r="AK839" s="8" t="n">
        <f aca="false">IF(AND(B839&lt;=U839,NOT(Q839)),B839,U839)*(1-Inputs!$B$12)</f>
        <v>0.875856929652638</v>
      </c>
    </row>
    <row r="840" customFormat="false" ht="15" hidden="false" customHeight="false" outlineLevel="0" collapsed="false">
      <c r="A840" s="6" t="n">
        <v>45624</v>
      </c>
      <c r="B840" s="7" t="n">
        <v>0.877183546268586</v>
      </c>
      <c r="C840" s="7" t="n">
        <v>0.877960229591952</v>
      </c>
      <c r="D840" s="7" t="n">
        <v>0.871710486296074</v>
      </c>
      <c r="E840" s="7" t="n">
        <v>0.876743838933184</v>
      </c>
      <c r="F840" s="8" t="n">
        <f aca="true">IF(ROW()-2&gt;=Inputs!$B$4,AVERAGE(OFFSET(E840,1-Inputs!$B$4,0,Inputs!$B$4,1)),"")</f>
        <v>0.871137614332231</v>
      </c>
      <c r="G840" s="8" t="n">
        <f aca="true">IF(ROW()-2&gt;=Inputs!$B$5,AVERAGE(OFFSET(E840,1-Inputs!$B$5,0,Inputs!$B$5,1)),"")</f>
        <v>0.873132250540495</v>
      </c>
      <c r="H840" s="8" t="n">
        <f aca="false">MAX(C840-D840,ABS(C840-E839),ABS(D840-E839))</f>
        <v>0.00624974329587846</v>
      </c>
      <c r="I840" s="8" t="n">
        <f aca="true">IF(ROW()-2&lt;14,"",IF(ROW()-2=14,AVERAGE(OFFSET(H840,-13,0,14,1)),(I839*13+H840)/14))</f>
        <v>0.00829607472510166</v>
      </c>
      <c r="J840" s="9" t="b">
        <f aca="false">IF(AND(ISNUMBER(F840),ISNUMBER(G840),ISNUMBER(F839),ISNUMBER(G839)),AND(F840&gt;G840,F839&lt;=G839),FALSE())</f>
        <v>0</v>
      </c>
      <c r="K840" s="9" t="b">
        <f aca="false">IF(AND(ISNUMBER(F840),ISNUMBER(G840),ISNUMBER(F839),ISNUMBER(G839)),AND(F840&lt;G840,F839&gt;=G839),FALSE())</f>
        <v>0</v>
      </c>
      <c r="L840" s="8" t="n">
        <f aca="false">IF(ISNUMBER(I840),E840-Inputs!$B$6*I840,"")</f>
        <v>0.86015168948298</v>
      </c>
      <c r="M840" s="9" t="b">
        <f aca="false">AND(Y839&gt;0,Z839)</f>
        <v>0</v>
      </c>
      <c r="N840" s="8" t="n">
        <f aca="false">B840*(1-Inputs!$B$12)</f>
        <v>0.877008109559332</v>
      </c>
      <c r="O840" s="10" t="n">
        <f aca="false">IF(M840,Y839*(N840-AB839)-Inputs!$B$9-Y839*AD839*Inputs!$B$13*(A840-AC839),0)</f>
        <v>0</v>
      </c>
      <c r="P840" s="10" t="n">
        <f aca="false">X839+O840</f>
        <v>996.184155290773</v>
      </c>
      <c r="Q840" s="9" t="b">
        <f aca="false">AND(IF(M840,0,Y839)=0,AA839,IF(ISNUMBER(AE839),B840&gt;AE839,FALSE()))</f>
        <v>0</v>
      </c>
      <c r="R840" s="8" t="n">
        <f aca="false">B840*(1+Inputs!$B$12)</f>
        <v>0.87735898297784</v>
      </c>
      <c r="S840" s="11" t="n">
        <f aca="false">IF(Q840,MIN(P840*Inputs!$B$3/(R840-AE839),P840*Inputs!$B$11/R840),0)</f>
        <v>0</v>
      </c>
      <c r="T840" s="11" t="n">
        <f aca="false">IF(Q840,S840,IF(M840,0,Y839))</f>
        <v>0</v>
      </c>
      <c r="U840" s="8" t="n">
        <f aca="false">IF(Q840,AE839,AF839)</f>
        <v>0.889248885929587</v>
      </c>
      <c r="V840" s="9" t="b">
        <f aca="false">AND(T840&gt;0,D840&lt;=U840)</f>
        <v>0</v>
      </c>
      <c r="W840" s="10" t="n">
        <f aca="false">IF(V840,T840*(AK840-AB840)-Inputs!$B$9-T840*AD840*Inputs!$B$13*(A840-AC840),0)</f>
        <v>0</v>
      </c>
      <c r="X840" s="10" t="n">
        <f aca="false">P840-IF(Q840,Inputs!$B$9,0)+W840</f>
        <v>996.184155290773</v>
      </c>
      <c r="Y840" s="11" t="n">
        <f aca="false">IF(V840,0,T840)</f>
        <v>0</v>
      </c>
      <c r="Z840" s="9" t="b">
        <f aca="false">AND(Y840&gt;0,K840)</f>
        <v>0</v>
      </c>
      <c r="AA840" s="9" t="b">
        <f aca="false">AND(Y840=0,J840,ISNUMBER(L840))</f>
        <v>0</v>
      </c>
      <c r="AB840" s="8" t="n">
        <f aca="false">IF(Q840,R840,AB839)</f>
        <v>0.908794639463661</v>
      </c>
      <c r="AC840" s="12" t="n">
        <f aca="false">IF(Q840,A840,AC839)</f>
        <v>45562</v>
      </c>
      <c r="AD840" s="8" t="n">
        <f aca="false">IF(Q840,B840,AD839)</f>
        <v>0.908612916880285</v>
      </c>
      <c r="AE840" s="8" t="str">
        <f aca="false">IF(AA840,L840,"")</f>
        <v/>
      </c>
      <c r="AF840" s="8" t="n">
        <f aca="false">U840</f>
        <v>0.889248885929587</v>
      </c>
      <c r="AG840" s="2" t="n">
        <f aca="false">AG839+IF(Q840,1,0)</f>
        <v>7</v>
      </c>
      <c r="AH840" s="2" t="n">
        <f aca="false">AG839</f>
        <v>7</v>
      </c>
      <c r="AI840" s="10" t="n">
        <f aca="false">X840+Y840*(E840-AB840)-Y840*AD840*Inputs!$B$13*(A840-AC840)</f>
        <v>996.184155290773</v>
      </c>
      <c r="AJ840" s="10" t="n">
        <v>0</v>
      </c>
      <c r="AK840" s="8" t="n">
        <f aca="false">IF(AND(B840&lt;=U840,NOT(Q840)),B840,U840)*(1-Inputs!$B$12)</f>
        <v>0.877008109559332</v>
      </c>
    </row>
    <row r="841" customFormat="false" ht="15" hidden="false" customHeight="false" outlineLevel="0" collapsed="false">
      <c r="A841" s="6" t="n">
        <v>45625</v>
      </c>
      <c r="B841" s="7" t="n">
        <v>0.876743838933184</v>
      </c>
      <c r="C841" s="7" t="n">
        <v>0.876956598235493</v>
      </c>
      <c r="D841" s="7" t="n">
        <v>0.872134171107079</v>
      </c>
      <c r="E841" s="7" t="n">
        <v>0.872473208491797</v>
      </c>
      <c r="F841" s="8" t="n">
        <f aca="true">IF(ROW()-2&gt;=Inputs!$B$4,AVERAGE(OFFSET(E841,1-Inputs!$B$4,0,Inputs!$B$4,1)),"")</f>
        <v>0.87200485695492</v>
      </c>
      <c r="G841" s="8" t="n">
        <f aca="true">IF(ROW()-2&gt;=Inputs!$B$5,AVERAGE(OFFSET(E841,1-Inputs!$B$5,0,Inputs!$B$5,1)),"")</f>
        <v>0.873247785073457</v>
      </c>
      <c r="H841" s="8" t="n">
        <f aca="false">MAX(C841-D841,ABS(C841-E840),ABS(D841-E840))</f>
        <v>0.00482242712841341</v>
      </c>
      <c r="I841" s="8" t="n">
        <f aca="true">IF(ROW()-2&lt;14,"",IF(ROW()-2=14,AVERAGE(OFFSET(H841,-13,0,14,1)),(I840*13+H841)/14))</f>
        <v>0.00804795703962393</v>
      </c>
      <c r="J841" s="9" t="b">
        <f aca="false">IF(AND(ISNUMBER(F841),ISNUMBER(G841),ISNUMBER(F840),ISNUMBER(G840)),AND(F841&gt;G841,F840&lt;=G840),FALSE())</f>
        <v>0</v>
      </c>
      <c r="K841" s="9" t="b">
        <f aca="false">IF(AND(ISNUMBER(F841),ISNUMBER(G841),ISNUMBER(F840),ISNUMBER(G840)),AND(F841&lt;G841,F840&gt;=G840),FALSE())</f>
        <v>0</v>
      </c>
      <c r="L841" s="8" t="n">
        <f aca="false">IF(ISNUMBER(I841),E841-Inputs!$B$6*I841,"")</f>
        <v>0.856377294412549</v>
      </c>
      <c r="M841" s="9" t="b">
        <f aca="false">AND(Y840&gt;0,Z840)</f>
        <v>0</v>
      </c>
      <c r="N841" s="8" t="n">
        <f aca="false">B841*(1-Inputs!$B$12)</f>
        <v>0.876568490165397</v>
      </c>
      <c r="O841" s="10" t="n">
        <f aca="false">IF(M841,Y840*(N841-AB840)-Inputs!$B$9-Y840*AD840*Inputs!$B$13*(A841-AC840),0)</f>
        <v>0</v>
      </c>
      <c r="P841" s="10" t="n">
        <f aca="false">X840+O841</f>
        <v>996.184155290773</v>
      </c>
      <c r="Q841" s="9" t="b">
        <f aca="false">AND(IF(M841,0,Y840)=0,AA840,IF(ISNUMBER(AE840),B841&gt;AE840,FALSE()))</f>
        <v>0</v>
      </c>
      <c r="R841" s="8" t="n">
        <f aca="false">B841*(1+Inputs!$B$12)</f>
        <v>0.87691918770097</v>
      </c>
      <c r="S841" s="11" t="n">
        <f aca="false">IF(Q841,MIN(P841*Inputs!$B$3/(R841-AE840),P841*Inputs!$B$11/R841),0)</f>
        <v>0</v>
      </c>
      <c r="T841" s="11" t="n">
        <f aca="false">IF(Q841,S841,IF(M841,0,Y840))</f>
        <v>0</v>
      </c>
      <c r="U841" s="8" t="n">
        <f aca="false">IF(Q841,AE840,AF840)</f>
        <v>0.889248885929587</v>
      </c>
      <c r="V841" s="9" t="b">
        <f aca="false">AND(T841&gt;0,D841&lt;=U841)</f>
        <v>0</v>
      </c>
      <c r="W841" s="10" t="n">
        <f aca="false">IF(V841,T841*(AK841-AB841)-Inputs!$B$9-T841*AD841*Inputs!$B$13*(A841-AC841),0)</f>
        <v>0</v>
      </c>
      <c r="X841" s="10" t="n">
        <f aca="false">P841-IF(Q841,Inputs!$B$9,0)+W841</f>
        <v>996.184155290773</v>
      </c>
      <c r="Y841" s="11" t="n">
        <f aca="false">IF(V841,0,T841)</f>
        <v>0</v>
      </c>
      <c r="Z841" s="9" t="b">
        <f aca="false">AND(Y841&gt;0,K841)</f>
        <v>0</v>
      </c>
      <c r="AA841" s="9" t="b">
        <f aca="false">AND(Y841=0,J841,ISNUMBER(L841))</f>
        <v>0</v>
      </c>
      <c r="AB841" s="8" t="n">
        <f aca="false">IF(Q841,R841,AB840)</f>
        <v>0.908794639463661</v>
      </c>
      <c r="AC841" s="12" t="n">
        <f aca="false">IF(Q841,A841,AC840)</f>
        <v>45562</v>
      </c>
      <c r="AD841" s="8" t="n">
        <f aca="false">IF(Q841,B841,AD840)</f>
        <v>0.908612916880285</v>
      </c>
      <c r="AE841" s="8" t="str">
        <f aca="false">IF(AA841,L841,"")</f>
        <v/>
      </c>
      <c r="AF841" s="8" t="n">
        <f aca="false">U841</f>
        <v>0.889248885929587</v>
      </c>
      <c r="AG841" s="2" t="n">
        <f aca="false">AG840+IF(Q841,1,0)</f>
        <v>7</v>
      </c>
      <c r="AH841" s="2" t="n">
        <f aca="false">AG840</f>
        <v>7</v>
      </c>
      <c r="AI841" s="10" t="n">
        <f aca="false">X841+Y841*(E841-AB841)-Y841*AD841*Inputs!$B$13*(A841-AC841)</f>
        <v>996.184155290773</v>
      </c>
      <c r="AJ841" s="10" t="n">
        <v>0</v>
      </c>
      <c r="AK841" s="8" t="n">
        <f aca="false">IF(AND(B841&lt;=U841,NOT(Q841)),B841,U841)*(1-Inputs!$B$12)</f>
        <v>0.876568490165397</v>
      </c>
    </row>
    <row r="842" customFormat="false" ht="15" hidden="false" customHeight="false" outlineLevel="0" collapsed="false">
      <c r="A842" s="6" t="n">
        <v>45626</v>
      </c>
      <c r="B842" s="7" t="n">
        <v>0.872473208491797</v>
      </c>
      <c r="C842" s="7" t="n">
        <v>0.878987823177683</v>
      </c>
      <c r="D842" s="7" t="n">
        <v>0.862137520852832</v>
      </c>
      <c r="E842" s="7" t="n">
        <v>0.866157241249913</v>
      </c>
      <c r="F842" s="8" t="n">
        <f aca="true">IF(ROW()-2&gt;=Inputs!$B$4,AVERAGE(OFFSET(E842,1-Inputs!$B$4,0,Inputs!$B$4,1)),"")</f>
        <v>0.872638077148057</v>
      </c>
      <c r="G842" s="8" t="n">
        <f aca="true">IF(ROW()-2&gt;=Inputs!$B$5,AVERAGE(OFFSET(E842,1-Inputs!$B$5,0,Inputs!$B$5,1)),"")</f>
        <v>0.873141699026496</v>
      </c>
      <c r="H842" s="8" t="n">
        <f aca="false">MAX(C842-D842,ABS(C842-E841),ABS(D842-E841))</f>
        <v>0.0168503023248513</v>
      </c>
      <c r="I842" s="8" t="n">
        <f aca="true">IF(ROW()-2&lt;14,"",IF(ROW()-2=14,AVERAGE(OFFSET(H842,-13,0,14,1)),(I841*13+H842)/14))</f>
        <v>0.00867669598856874</v>
      </c>
      <c r="J842" s="9" t="b">
        <f aca="false">IF(AND(ISNUMBER(F842),ISNUMBER(G842),ISNUMBER(F841),ISNUMBER(G841)),AND(F842&gt;G842,F841&lt;=G841),FALSE())</f>
        <v>0</v>
      </c>
      <c r="K842" s="9" t="b">
        <f aca="false">IF(AND(ISNUMBER(F842),ISNUMBER(G842),ISNUMBER(F841),ISNUMBER(G841)),AND(F842&lt;G842,F841&gt;=G841),FALSE())</f>
        <v>0</v>
      </c>
      <c r="L842" s="8" t="n">
        <f aca="false">IF(ISNUMBER(I842),E842-Inputs!$B$6*I842,"")</f>
        <v>0.848803849272775</v>
      </c>
      <c r="M842" s="9" t="b">
        <f aca="false">AND(Y841&gt;0,Z841)</f>
        <v>0</v>
      </c>
      <c r="N842" s="8" t="n">
        <f aca="false">B842*(1-Inputs!$B$12)</f>
        <v>0.872298713850098</v>
      </c>
      <c r="O842" s="10" t="n">
        <f aca="false">IF(M842,Y841*(N842-AB841)-Inputs!$B$9-Y841*AD841*Inputs!$B$13*(A842-AC841),0)</f>
        <v>0</v>
      </c>
      <c r="P842" s="10" t="n">
        <f aca="false">X841+O842</f>
        <v>996.184155290773</v>
      </c>
      <c r="Q842" s="9" t="b">
        <f aca="false">AND(IF(M842,0,Y841)=0,AA841,IF(ISNUMBER(AE841),B842&gt;AE841,FALSE()))</f>
        <v>0</v>
      </c>
      <c r="R842" s="8" t="n">
        <f aca="false">B842*(1+Inputs!$B$12)</f>
        <v>0.872647703133495</v>
      </c>
      <c r="S842" s="11" t="n">
        <f aca="false">IF(Q842,MIN(P842*Inputs!$B$3/(R842-AE841),P842*Inputs!$B$11/R842),0)</f>
        <v>0</v>
      </c>
      <c r="T842" s="11" t="n">
        <f aca="false">IF(Q842,S842,IF(M842,0,Y841))</f>
        <v>0</v>
      </c>
      <c r="U842" s="8" t="n">
        <f aca="false">IF(Q842,AE841,AF841)</f>
        <v>0.889248885929587</v>
      </c>
      <c r="V842" s="9" t="b">
        <f aca="false">AND(T842&gt;0,D842&lt;=U842)</f>
        <v>0</v>
      </c>
      <c r="W842" s="10" t="n">
        <f aca="false">IF(V842,T842*(AK842-AB842)-Inputs!$B$9-T842*AD842*Inputs!$B$13*(A842-AC842),0)</f>
        <v>0</v>
      </c>
      <c r="X842" s="10" t="n">
        <f aca="false">P842-IF(Q842,Inputs!$B$9,0)+W842</f>
        <v>996.184155290773</v>
      </c>
      <c r="Y842" s="11" t="n">
        <f aca="false">IF(V842,0,T842)</f>
        <v>0</v>
      </c>
      <c r="Z842" s="9" t="b">
        <f aca="false">AND(Y842&gt;0,K842)</f>
        <v>0</v>
      </c>
      <c r="AA842" s="9" t="b">
        <f aca="false">AND(Y842=0,J842,ISNUMBER(L842))</f>
        <v>0</v>
      </c>
      <c r="AB842" s="8" t="n">
        <f aca="false">IF(Q842,R842,AB841)</f>
        <v>0.908794639463661</v>
      </c>
      <c r="AC842" s="12" t="n">
        <f aca="false">IF(Q842,A842,AC841)</f>
        <v>45562</v>
      </c>
      <c r="AD842" s="8" t="n">
        <f aca="false">IF(Q842,B842,AD841)</f>
        <v>0.908612916880285</v>
      </c>
      <c r="AE842" s="8" t="str">
        <f aca="false">IF(AA842,L842,"")</f>
        <v/>
      </c>
      <c r="AF842" s="8" t="n">
        <f aca="false">U842</f>
        <v>0.889248885929587</v>
      </c>
      <c r="AG842" s="2" t="n">
        <f aca="false">AG841+IF(Q842,1,0)</f>
        <v>7</v>
      </c>
      <c r="AH842" s="2" t="n">
        <f aca="false">AG841</f>
        <v>7</v>
      </c>
      <c r="AI842" s="10" t="n">
        <f aca="false">X842+Y842*(E842-AB842)-Y842*AD842*Inputs!$B$13*(A842-AC842)</f>
        <v>996.184155290773</v>
      </c>
      <c r="AJ842" s="10" t="n">
        <v>0</v>
      </c>
      <c r="AK842" s="8" t="n">
        <f aca="false">IF(AND(B842&lt;=U842,NOT(Q842)),B842,U842)*(1-Inputs!$B$12)</f>
        <v>0.872298713850098</v>
      </c>
    </row>
    <row r="843" customFormat="false" ht="15" hidden="false" customHeight="false" outlineLevel="0" collapsed="false">
      <c r="A843" s="6" t="n">
        <v>45627</v>
      </c>
      <c r="B843" s="7" t="n">
        <v>0.866157241249913</v>
      </c>
      <c r="C843" s="7" t="n">
        <v>0.869545619281809</v>
      </c>
      <c r="D843" s="7" t="n">
        <v>0.861233706203952</v>
      </c>
      <c r="E843" s="7" t="n">
        <v>0.86316706770172</v>
      </c>
      <c r="F843" s="8" t="n">
        <f aca="true">IF(ROW()-2&gt;=Inputs!$B$4,AVERAGE(OFFSET(E843,1-Inputs!$B$4,0,Inputs!$B$4,1)),"")</f>
        <v>0.873276741401088</v>
      </c>
      <c r="G843" s="8" t="n">
        <f aca="true">IF(ROW()-2&gt;=Inputs!$B$5,AVERAGE(OFFSET(E843,1-Inputs!$B$5,0,Inputs!$B$5,1)),"")</f>
        <v>0.872968983873926</v>
      </c>
      <c r="H843" s="8" t="n">
        <f aca="false">MAX(C843-D843,ABS(C843-E842),ABS(D843-E842))</f>
        <v>0.00831191307785706</v>
      </c>
      <c r="I843" s="8" t="n">
        <f aca="true">IF(ROW()-2&lt;14,"",IF(ROW()-2=14,AVERAGE(OFFSET(H843,-13,0,14,1)),(I842*13+H843)/14))</f>
        <v>0.00865064006637505</v>
      </c>
      <c r="J843" s="9" t="b">
        <f aca="false">IF(AND(ISNUMBER(F843),ISNUMBER(G843),ISNUMBER(F842),ISNUMBER(G842)),AND(F843&gt;G843,F842&lt;=G842),FALSE())</f>
        <v>1</v>
      </c>
      <c r="K843" s="9" t="b">
        <f aca="false">IF(AND(ISNUMBER(F843),ISNUMBER(G843),ISNUMBER(F842),ISNUMBER(G842)),AND(F843&lt;G843,F842&gt;=G842),FALSE())</f>
        <v>0</v>
      </c>
      <c r="L843" s="8" t="n">
        <f aca="false">IF(ISNUMBER(I843),E843-Inputs!$B$6*I843,"")</f>
        <v>0.84586578756897</v>
      </c>
      <c r="M843" s="9" t="b">
        <f aca="false">AND(Y842&gt;0,Z842)</f>
        <v>0</v>
      </c>
      <c r="N843" s="8" t="n">
        <f aca="false">B843*(1-Inputs!$B$12)</f>
        <v>0.865984009801663</v>
      </c>
      <c r="O843" s="10" t="n">
        <f aca="false">IF(M843,Y842*(N843-AB842)-Inputs!$B$9-Y842*AD842*Inputs!$B$13*(A843-AC842),0)</f>
        <v>0</v>
      </c>
      <c r="P843" s="10" t="n">
        <f aca="false">X842+O843</f>
        <v>996.184155290773</v>
      </c>
      <c r="Q843" s="9" t="b">
        <f aca="false">AND(IF(M843,0,Y842)=0,AA842,IF(ISNUMBER(AE842),B843&gt;AE842,FALSE()))</f>
        <v>0</v>
      </c>
      <c r="R843" s="8" t="n">
        <f aca="false">B843*(1+Inputs!$B$12)</f>
        <v>0.866330472698163</v>
      </c>
      <c r="S843" s="11" t="n">
        <f aca="false">IF(Q843,MIN(P843*Inputs!$B$3/(R843-AE842),P843*Inputs!$B$11/R843),0)</f>
        <v>0</v>
      </c>
      <c r="T843" s="11" t="n">
        <f aca="false">IF(Q843,S843,IF(M843,0,Y842))</f>
        <v>0</v>
      </c>
      <c r="U843" s="8" t="n">
        <f aca="false">IF(Q843,AE842,AF842)</f>
        <v>0.889248885929587</v>
      </c>
      <c r="V843" s="9" t="b">
        <f aca="false">AND(T843&gt;0,D843&lt;=U843)</f>
        <v>0</v>
      </c>
      <c r="W843" s="10" t="n">
        <f aca="false">IF(V843,T843*(AK843-AB843)-Inputs!$B$9-T843*AD843*Inputs!$B$13*(A843-AC843),0)</f>
        <v>0</v>
      </c>
      <c r="X843" s="10" t="n">
        <f aca="false">P843-IF(Q843,Inputs!$B$9,0)+W843</f>
        <v>996.184155290773</v>
      </c>
      <c r="Y843" s="11" t="n">
        <f aca="false">IF(V843,0,T843)</f>
        <v>0</v>
      </c>
      <c r="Z843" s="9" t="b">
        <f aca="false">AND(Y843&gt;0,K843)</f>
        <v>0</v>
      </c>
      <c r="AA843" s="9" t="b">
        <f aca="false">AND(Y843=0,J843,ISNUMBER(L843))</f>
        <v>1</v>
      </c>
      <c r="AB843" s="8" t="n">
        <f aca="false">IF(Q843,R843,AB842)</f>
        <v>0.908794639463661</v>
      </c>
      <c r="AC843" s="12" t="n">
        <f aca="false">IF(Q843,A843,AC842)</f>
        <v>45562</v>
      </c>
      <c r="AD843" s="8" t="n">
        <f aca="false">IF(Q843,B843,AD842)</f>
        <v>0.908612916880285</v>
      </c>
      <c r="AE843" s="8" t="n">
        <f aca="false">IF(AA843,L843,"")</f>
        <v>0.84586578756897</v>
      </c>
      <c r="AF843" s="8" t="n">
        <f aca="false">U843</f>
        <v>0.889248885929587</v>
      </c>
      <c r="AG843" s="2" t="n">
        <f aca="false">AG842+IF(Q843,1,0)</f>
        <v>7</v>
      </c>
      <c r="AH843" s="2" t="n">
        <f aca="false">AG842</f>
        <v>7</v>
      </c>
      <c r="AI843" s="10" t="n">
        <f aca="false">X843+Y843*(E843-AB843)-Y843*AD843*Inputs!$B$13*(A843-AC843)</f>
        <v>996.184155290773</v>
      </c>
      <c r="AJ843" s="10" t="n">
        <v>0</v>
      </c>
      <c r="AK843" s="8" t="n">
        <f aca="false">IF(AND(B843&lt;=U843,NOT(Q843)),B843,U843)*(1-Inputs!$B$12)</f>
        <v>0.865984009801663</v>
      </c>
    </row>
    <row r="844" customFormat="false" ht="15" hidden="false" customHeight="false" outlineLevel="0" collapsed="false">
      <c r="A844" s="6" t="n">
        <v>45628</v>
      </c>
      <c r="B844" s="7" t="n">
        <v>0.86316706770172</v>
      </c>
      <c r="C844" s="7" t="n">
        <v>0.865721434664584</v>
      </c>
      <c r="D844" s="7" t="n">
        <v>0.856095716916442</v>
      </c>
      <c r="E844" s="7" t="n">
        <v>0.856134979530576</v>
      </c>
      <c r="F844" s="8" t="n">
        <f aca="true">IF(ROW()-2&gt;=Inputs!$B$4,AVERAGE(OFFSET(E844,1-Inputs!$B$4,0,Inputs!$B$4,1)),"")</f>
        <v>0.873321637473537</v>
      </c>
      <c r="G844" s="8" t="n">
        <f aca="true">IF(ROW()-2&gt;=Inputs!$B$5,AVERAGE(OFFSET(E844,1-Inputs!$B$5,0,Inputs!$B$5,1)),"")</f>
        <v>0.872564962915679</v>
      </c>
      <c r="H844" s="8" t="n">
        <f aca="false">MAX(C844-D844,ABS(C844-E843),ABS(D844-E843))</f>
        <v>0.00962571774814236</v>
      </c>
      <c r="I844" s="8" t="n">
        <f aca="true">IF(ROW()-2&lt;14,"",IF(ROW()-2=14,AVERAGE(OFFSET(H844,-13,0,14,1)),(I843*13+H844)/14))</f>
        <v>0.00872028847221557</v>
      </c>
      <c r="J844" s="9" t="b">
        <f aca="false">IF(AND(ISNUMBER(F844),ISNUMBER(G844),ISNUMBER(F843),ISNUMBER(G843)),AND(F844&gt;G844,F843&lt;=G843),FALSE())</f>
        <v>0</v>
      </c>
      <c r="K844" s="9" t="b">
        <f aca="false">IF(AND(ISNUMBER(F844),ISNUMBER(G844),ISNUMBER(F843),ISNUMBER(G843)),AND(F844&lt;G844,F843&gt;=G843),FALSE())</f>
        <v>0</v>
      </c>
      <c r="L844" s="8" t="n">
        <f aca="false">IF(ISNUMBER(I844),E844-Inputs!$B$6*I844,"")</f>
        <v>0.838694402586145</v>
      </c>
      <c r="M844" s="9" t="b">
        <f aca="false">AND(Y843&gt;0,Z843)</f>
        <v>0</v>
      </c>
      <c r="N844" s="8" t="n">
        <f aca="false">B844*(1-Inputs!$B$12)</f>
        <v>0.86299443428818</v>
      </c>
      <c r="O844" s="10" t="n">
        <f aca="false">IF(M844,Y843*(N844-AB843)-Inputs!$B$9-Y843*AD843*Inputs!$B$13*(A844-AC843),0)</f>
        <v>0</v>
      </c>
      <c r="P844" s="10" t="n">
        <f aca="false">X843+O844</f>
        <v>996.184155290773</v>
      </c>
      <c r="Q844" s="9" t="b">
        <f aca="false">AND(IF(M844,0,Y843)=0,AA843,IF(ISNUMBER(AE843),B844&gt;AE843,FALSE()))</f>
        <v>1</v>
      </c>
      <c r="R844" s="8" t="n">
        <f aca="false">B844*(1+Inputs!$B$12)</f>
        <v>0.863339701115261</v>
      </c>
      <c r="S844" s="11" t="n">
        <f aca="false">IF(Q844,MIN(P844*Inputs!$B$3/(R844-AE843),P844*Inputs!$B$11/R844),0)</f>
        <v>570.097907747891</v>
      </c>
      <c r="T844" s="11" t="n">
        <f aca="false">IF(Q844,S844,IF(M844,0,Y843))</f>
        <v>570.097907747891</v>
      </c>
      <c r="U844" s="8" t="n">
        <f aca="false">IF(Q844,AE843,AF843)</f>
        <v>0.84586578756897</v>
      </c>
      <c r="V844" s="9" t="b">
        <f aca="false">AND(T844&gt;0,D844&lt;=U844)</f>
        <v>0</v>
      </c>
      <c r="W844" s="10" t="n">
        <f aca="false">IF(V844,T844*(AK844-AB844)-Inputs!$B$9-T844*AD844*Inputs!$B$13*(A844-AC844),0)</f>
        <v>0</v>
      </c>
      <c r="X844" s="10" t="n">
        <f aca="false">P844-IF(Q844,Inputs!$B$9,0)+W844</f>
        <v>995.184155290773</v>
      </c>
      <c r="Y844" s="11" t="n">
        <f aca="false">IF(V844,0,T844)</f>
        <v>570.097907747891</v>
      </c>
      <c r="Z844" s="9" t="b">
        <f aca="false">AND(Y844&gt;0,K844)</f>
        <v>0</v>
      </c>
      <c r="AA844" s="9" t="b">
        <f aca="false">AND(Y844=0,J844,ISNUMBER(L844))</f>
        <v>0</v>
      </c>
      <c r="AB844" s="8" t="n">
        <f aca="false">IF(Q844,R844,AB843)</f>
        <v>0.863339701115261</v>
      </c>
      <c r="AC844" s="12" t="n">
        <f aca="false">IF(Q844,A844,AC843)</f>
        <v>45628</v>
      </c>
      <c r="AD844" s="8" t="n">
        <f aca="false">IF(Q844,B844,AD843)</f>
        <v>0.86316706770172</v>
      </c>
      <c r="AE844" s="8" t="str">
        <f aca="false">IF(AA844,L844,"")</f>
        <v/>
      </c>
      <c r="AF844" s="8" t="n">
        <f aca="false">U844</f>
        <v>0.84586578756897</v>
      </c>
      <c r="AG844" s="2" t="n">
        <f aca="false">AG843+IF(Q844,1,0)</f>
        <v>8</v>
      </c>
      <c r="AH844" s="2" t="n">
        <f aca="false">AG843</f>
        <v>7</v>
      </c>
      <c r="AI844" s="10" t="n">
        <f aca="false">X844+Y844*(E844-AB844)-Y844*AD844*Inputs!$B$13*(A844-AC844)</f>
        <v>991.076758589438</v>
      </c>
      <c r="AJ844" s="10" t="n">
        <v>0</v>
      </c>
      <c r="AK844" s="8" t="n">
        <f aca="false">IF(AND(B844&lt;=U844,NOT(Q844)),B844,U844)*(1-Inputs!$B$12)</f>
        <v>0.845696614411456</v>
      </c>
    </row>
    <row r="845" customFormat="false" ht="15" hidden="false" customHeight="false" outlineLevel="0" collapsed="false">
      <c r="A845" s="6" t="n">
        <v>45629</v>
      </c>
      <c r="B845" s="7" t="n">
        <v>0.856134979530576</v>
      </c>
      <c r="C845" s="7" t="n">
        <v>0.857520365583697</v>
      </c>
      <c r="D845" s="7" t="n">
        <v>0.853927293318021</v>
      </c>
      <c r="E845" s="7" t="n">
        <v>0.854123662356964</v>
      </c>
      <c r="F845" s="8" t="n">
        <f aca="true">IF(ROW()-2&gt;=Inputs!$B$4,AVERAGE(OFFSET(E845,1-Inputs!$B$4,0,Inputs!$B$4,1)),"")</f>
        <v>0.87287348656097</v>
      </c>
      <c r="G845" s="8" t="n">
        <f aca="true">IF(ROW()-2&gt;=Inputs!$B$5,AVERAGE(OFFSET(E845,1-Inputs!$B$5,0,Inputs!$B$5,1)),"")</f>
        <v>0.872136176154283</v>
      </c>
      <c r="H845" s="8" t="n">
        <f aca="false">MAX(C845-D845,ABS(C845-E844),ABS(D845-E844))</f>
        <v>0.00359307226567651</v>
      </c>
      <c r="I845" s="8" t="n">
        <f aca="true">IF(ROW()-2&lt;14,"",IF(ROW()-2=14,AVERAGE(OFFSET(H845,-13,0,14,1)),(I844*13+H845)/14))</f>
        <v>0.00835405874317707</v>
      </c>
      <c r="J845" s="9" t="b">
        <f aca="false">IF(AND(ISNUMBER(F845),ISNUMBER(G845),ISNUMBER(F844),ISNUMBER(G844)),AND(F845&gt;G845,F844&lt;=G844),FALSE())</f>
        <v>0</v>
      </c>
      <c r="K845" s="9" t="b">
        <f aca="false">IF(AND(ISNUMBER(F845),ISNUMBER(G845),ISNUMBER(F844),ISNUMBER(G844)),AND(F845&lt;G845,F844&gt;=G844),FALSE())</f>
        <v>0</v>
      </c>
      <c r="L845" s="8" t="n">
        <f aca="false">IF(ISNUMBER(I845),E845-Inputs!$B$6*I845,"")</f>
        <v>0.837415544870609</v>
      </c>
      <c r="M845" s="9" t="b">
        <f aca="false">AND(Y844&gt;0,Z844)</f>
        <v>0</v>
      </c>
      <c r="N845" s="8" t="n">
        <f aca="false">B845*(1-Inputs!$B$12)</f>
        <v>0.85596375253467</v>
      </c>
      <c r="O845" s="10" t="n">
        <f aca="false">IF(M845,Y844*(N845-AB844)-Inputs!$B$9-Y844*AD844*Inputs!$B$13*(A845-AC844),0)</f>
        <v>0</v>
      </c>
      <c r="P845" s="10" t="n">
        <f aca="false">X844+O845</f>
        <v>995.184155290773</v>
      </c>
      <c r="Q845" s="9" t="b">
        <f aca="false">AND(IF(M845,0,Y844)=0,AA844,IF(ISNUMBER(AE844),B845&gt;AE844,FALSE()))</f>
        <v>0</v>
      </c>
      <c r="R845" s="8" t="n">
        <f aca="false">B845*(1+Inputs!$B$12)</f>
        <v>0.856306206526482</v>
      </c>
      <c r="S845" s="11" t="n">
        <f aca="false">IF(Q845,MIN(P845*Inputs!$B$3/(R845-AE844),P845*Inputs!$B$11/R845),0)</f>
        <v>0</v>
      </c>
      <c r="T845" s="11" t="n">
        <f aca="false">IF(Q845,S845,IF(M845,0,Y844))</f>
        <v>570.097907747891</v>
      </c>
      <c r="U845" s="8" t="n">
        <f aca="false">IF(Q845,AE844,AF844)</f>
        <v>0.84586578756897</v>
      </c>
      <c r="V845" s="9" t="b">
        <f aca="false">AND(T845&gt;0,D845&lt;=U845)</f>
        <v>0</v>
      </c>
      <c r="W845" s="10" t="n">
        <f aca="false">IF(V845,T845*(AK845-AB845)-Inputs!$B$9-T845*AD845*Inputs!$B$13*(A845-AC845),0)</f>
        <v>0</v>
      </c>
      <c r="X845" s="10" t="n">
        <f aca="false">P845-IF(Q845,Inputs!$B$9,0)+W845</f>
        <v>995.184155290773</v>
      </c>
      <c r="Y845" s="11" t="n">
        <f aca="false">IF(V845,0,T845)</f>
        <v>570.097907747891</v>
      </c>
      <c r="Z845" s="9" t="b">
        <f aca="false">AND(Y845&gt;0,K845)</f>
        <v>0</v>
      </c>
      <c r="AA845" s="9" t="b">
        <f aca="false">AND(Y845=0,J845,ISNUMBER(L845))</f>
        <v>0</v>
      </c>
      <c r="AB845" s="8" t="n">
        <f aca="false">IF(Q845,R845,AB844)</f>
        <v>0.863339701115261</v>
      </c>
      <c r="AC845" s="12" t="n">
        <f aca="false">IF(Q845,A845,AC844)</f>
        <v>45628</v>
      </c>
      <c r="AD845" s="8" t="n">
        <f aca="false">IF(Q845,B845,AD844)</f>
        <v>0.86316706770172</v>
      </c>
      <c r="AE845" s="8" t="str">
        <f aca="false">IF(AA845,L845,"")</f>
        <v/>
      </c>
      <c r="AF845" s="8" t="n">
        <f aca="false">U845</f>
        <v>0.84586578756897</v>
      </c>
      <c r="AG845" s="2" t="n">
        <f aca="false">AG844+IF(Q845,1,0)</f>
        <v>8</v>
      </c>
      <c r="AH845" s="2" t="n">
        <f aca="false">AG844</f>
        <v>8</v>
      </c>
      <c r="AI845" s="10" t="n">
        <f aca="false">X845+Y845*(E845-AB845)-Y845*AD845*Inputs!$B$13*(A845-AC845)</f>
        <v>989.842478457611</v>
      </c>
      <c r="AJ845" s="10" t="n">
        <v>0</v>
      </c>
      <c r="AK845" s="8" t="n">
        <f aca="false">IF(AND(B845&lt;=U845,NOT(Q845)),B845,U845)*(1-Inputs!$B$12)</f>
        <v>0.845696614411456</v>
      </c>
    </row>
    <row r="846" customFormat="false" ht="15" hidden="false" customHeight="false" outlineLevel="0" collapsed="false">
      <c r="A846" s="6" t="n">
        <v>45630</v>
      </c>
      <c r="B846" s="7" t="n">
        <v>0.854123662356964</v>
      </c>
      <c r="C846" s="7" t="n">
        <v>0.859019193177943</v>
      </c>
      <c r="D846" s="7" t="n">
        <v>0.846424167036595</v>
      </c>
      <c r="E846" s="7" t="n">
        <v>0.848759345654383</v>
      </c>
      <c r="F846" s="8" t="n">
        <f aca="true">IF(ROW()-2&gt;=Inputs!$B$4,AVERAGE(OFFSET(E846,1-Inputs!$B$4,0,Inputs!$B$4,1)),"")</f>
        <v>0.871953970242445</v>
      </c>
      <c r="G846" s="8" t="n">
        <f aca="true">IF(ROW()-2&gt;=Inputs!$B$5,AVERAGE(OFFSET(E846,1-Inputs!$B$5,0,Inputs!$B$5,1)),"")</f>
        <v>0.87140426791667</v>
      </c>
      <c r="H846" s="8" t="n">
        <f aca="false">MAX(C846-D846,ABS(C846-E845),ABS(D846-E845))</f>
        <v>0.0125950261413484</v>
      </c>
      <c r="I846" s="8" t="n">
        <f aca="true">IF(ROW()-2&lt;14,"",IF(ROW()-2=14,AVERAGE(OFFSET(H846,-13,0,14,1)),(I845*13+H846)/14))</f>
        <v>0.00865698498590359</v>
      </c>
      <c r="J846" s="9" t="b">
        <f aca="false">IF(AND(ISNUMBER(F846),ISNUMBER(G846),ISNUMBER(F845),ISNUMBER(G845)),AND(F846&gt;G846,F845&lt;=G845),FALSE())</f>
        <v>0</v>
      </c>
      <c r="K846" s="9" t="b">
        <f aca="false">IF(AND(ISNUMBER(F846),ISNUMBER(G846),ISNUMBER(F845),ISNUMBER(G845)),AND(F846&lt;G846,F845&gt;=G845),FALSE())</f>
        <v>0</v>
      </c>
      <c r="L846" s="8" t="n">
        <f aca="false">IF(ISNUMBER(I846),E846-Inputs!$B$6*I846,"")</f>
        <v>0.831445375682576</v>
      </c>
      <c r="M846" s="9" t="b">
        <f aca="false">AND(Y845&gt;0,Z845)</f>
        <v>0</v>
      </c>
      <c r="N846" s="8" t="n">
        <f aca="false">B846*(1-Inputs!$B$12)</f>
        <v>0.853952837624492</v>
      </c>
      <c r="O846" s="10" t="n">
        <f aca="false">IF(M846,Y845*(N846-AB845)-Inputs!$B$9-Y845*AD845*Inputs!$B$13*(A846-AC845),0)</f>
        <v>0</v>
      </c>
      <c r="P846" s="10" t="n">
        <f aca="false">X845+O846</f>
        <v>995.184155290773</v>
      </c>
      <c r="Q846" s="9" t="b">
        <f aca="false">AND(IF(M846,0,Y845)=0,AA845,IF(ISNUMBER(AE845),B846&gt;AE845,FALSE()))</f>
        <v>0</v>
      </c>
      <c r="R846" s="8" t="n">
        <f aca="false">B846*(1+Inputs!$B$12)</f>
        <v>0.854294487089435</v>
      </c>
      <c r="S846" s="11" t="n">
        <f aca="false">IF(Q846,MIN(P846*Inputs!$B$3/(R846-AE845),P846*Inputs!$B$11/R846),0)</f>
        <v>0</v>
      </c>
      <c r="T846" s="11" t="n">
        <f aca="false">IF(Q846,S846,IF(M846,0,Y845))</f>
        <v>570.097907747891</v>
      </c>
      <c r="U846" s="8" t="n">
        <f aca="false">IF(Q846,AE845,AF845)</f>
        <v>0.84586578756897</v>
      </c>
      <c r="V846" s="9" t="b">
        <f aca="false">AND(T846&gt;0,D846&lt;=U846)</f>
        <v>0</v>
      </c>
      <c r="W846" s="10" t="n">
        <f aca="false">IF(V846,T846*(AK846-AB846)-Inputs!$B$9-T846*AD846*Inputs!$B$13*(A846-AC846),0)</f>
        <v>0</v>
      </c>
      <c r="X846" s="10" t="n">
        <f aca="false">P846-IF(Q846,Inputs!$B$9,0)+W846</f>
        <v>995.184155290773</v>
      </c>
      <c r="Y846" s="11" t="n">
        <f aca="false">IF(V846,0,T846)</f>
        <v>570.097907747891</v>
      </c>
      <c r="Z846" s="9" t="b">
        <f aca="false">AND(Y846&gt;0,K846)</f>
        <v>0</v>
      </c>
      <c r="AA846" s="9" t="b">
        <f aca="false">AND(Y846=0,J846,ISNUMBER(L846))</f>
        <v>0</v>
      </c>
      <c r="AB846" s="8" t="n">
        <f aca="false">IF(Q846,R846,AB845)</f>
        <v>0.863339701115261</v>
      </c>
      <c r="AC846" s="12" t="n">
        <f aca="false">IF(Q846,A846,AC845)</f>
        <v>45628</v>
      </c>
      <c r="AD846" s="8" t="n">
        <f aca="false">IF(Q846,B846,AD845)</f>
        <v>0.86316706770172</v>
      </c>
      <c r="AE846" s="8" t="str">
        <f aca="false">IF(AA846,L846,"")</f>
        <v/>
      </c>
      <c r="AF846" s="8" t="n">
        <f aca="false">U846</f>
        <v>0.84586578756897</v>
      </c>
      <c r="AG846" s="2" t="n">
        <f aca="false">AG845+IF(Q846,1,0)</f>
        <v>8</v>
      </c>
      <c r="AH846" s="2" t="n">
        <f aca="false">AG845</f>
        <v>8</v>
      </c>
      <c r="AI846" s="10" t="n">
        <f aca="false">X846+Y846*(E846-AB846)-Y846*AD846*Inputs!$B$13*(A846-AC846)</f>
        <v>986.696660309639</v>
      </c>
      <c r="AJ846" s="10" t="n">
        <v>0</v>
      </c>
      <c r="AK846" s="8" t="n">
        <f aca="false">IF(AND(B846&lt;=U846,NOT(Q846)),B846,U846)*(1-Inputs!$B$12)</f>
        <v>0.845696614411456</v>
      </c>
    </row>
    <row r="847" customFormat="false" ht="15" hidden="false" customHeight="false" outlineLevel="0" collapsed="false">
      <c r="A847" s="6" t="n">
        <v>45631</v>
      </c>
      <c r="B847" s="7" t="n">
        <v>0.848759345654383</v>
      </c>
      <c r="C847" s="7" t="n">
        <v>0.860638339112394</v>
      </c>
      <c r="D847" s="7" t="n">
        <v>0.844170392172158</v>
      </c>
      <c r="E847" s="7" t="n">
        <v>0.853796193519001</v>
      </c>
      <c r="F847" s="8" t="n">
        <f aca="true">IF(ROW()-2&gt;=Inputs!$B$4,AVERAGE(OFFSET(E847,1-Inputs!$B$4,0,Inputs!$B$4,1)),"")</f>
        <v>0.871348766517271</v>
      </c>
      <c r="G847" s="8" t="n">
        <f aca="true">IF(ROW()-2&gt;=Inputs!$B$5,AVERAGE(OFFSET(E847,1-Inputs!$B$5,0,Inputs!$B$5,1)),"")</f>
        <v>0.870804347577934</v>
      </c>
      <c r="H847" s="8" t="n">
        <f aca="false">MAX(C847-D847,ABS(C847-E846),ABS(D847-E846))</f>
        <v>0.0164679469402359</v>
      </c>
      <c r="I847" s="8" t="n">
        <f aca="true">IF(ROW()-2&lt;14,"",IF(ROW()-2=14,AVERAGE(OFFSET(H847,-13,0,14,1)),(I846*13+H847)/14))</f>
        <v>0.00921491083978447</v>
      </c>
      <c r="J847" s="9" t="b">
        <f aca="false">IF(AND(ISNUMBER(F847),ISNUMBER(G847),ISNUMBER(F846),ISNUMBER(G846)),AND(F847&gt;G847,F846&lt;=G846),FALSE())</f>
        <v>0</v>
      </c>
      <c r="K847" s="9" t="b">
        <f aca="false">IF(AND(ISNUMBER(F847),ISNUMBER(G847),ISNUMBER(F846),ISNUMBER(G846)),AND(F847&lt;G847,F846&gt;=G846),FALSE())</f>
        <v>0</v>
      </c>
      <c r="L847" s="8" t="n">
        <f aca="false">IF(ISNUMBER(I847),E847-Inputs!$B$6*I847,"")</f>
        <v>0.835366371839432</v>
      </c>
      <c r="M847" s="9" t="b">
        <f aca="false">AND(Y846&gt;0,Z846)</f>
        <v>0</v>
      </c>
      <c r="N847" s="8" t="n">
        <f aca="false">B847*(1-Inputs!$B$12)</f>
        <v>0.848589593785252</v>
      </c>
      <c r="O847" s="10" t="n">
        <f aca="false">IF(M847,Y846*(N847-AB846)-Inputs!$B$9-Y846*AD846*Inputs!$B$13*(A847-AC846),0)</f>
        <v>0</v>
      </c>
      <c r="P847" s="10" t="n">
        <f aca="false">X846+O847</f>
        <v>995.184155290773</v>
      </c>
      <c r="Q847" s="9" t="b">
        <f aca="false">AND(IF(M847,0,Y846)=0,AA846,IF(ISNUMBER(AE846),B847&gt;AE846,FALSE()))</f>
        <v>0</v>
      </c>
      <c r="R847" s="8" t="n">
        <f aca="false">B847*(1+Inputs!$B$12)</f>
        <v>0.848929097523514</v>
      </c>
      <c r="S847" s="11" t="n">
        <f aca="false">IF(Q847,MIN(P847*Inputs!$B$3/(R847-AE846),P847*Inputs!$B$11/R847),0)</f>
        <v>0</v>
      </c>
      <c r="T847" s="11" t="n">
        <f aca="false">IF(Q847,S847,IF(M847,0,Y846))</f>
        <v>570.097907747891</v>
      </c>
      <c r="U847" s="8" t="n">
        <f aca="false">IF(Q847,AE846,AF846)</f>
        <v>0.84586578756897</v>
      </c>
      <c r="V847" s="9" t="b">
        <f aca="false">AND(T847&gt;0,D847&lt;=U847)</f>
        <v>1</v>
      </c>
      <c r="W847" s="10" t="n">
        <f aca="false">IF(V847,T847*(AK847-AB847)-Inputs!$B$9-T847*AD847*Inputs!$B$13*(A847-AC847),0)</f>
        <v>-11.3211840740536</v>
      </c>
      <c r="X847" s="10" t="n">
        <f aca="false">P847-IF(Q847,Inputs!$B$9,0)+W847</f>
        <v>983.862971216719</v>
      </c>
      <c r="Y847" s="11" t="n">
        <f aca="false">IF(V847,0,T847)</f>
        <v>0</v>
      </c>
      <c r="Z847" s="9" t="b">
        <f aca="false">AND(Y847&gt;0,K847)</f>
        <v>0</v>
      </c>
      <c r="AA847" s="9" t="b">
        <f aca="false">AND(Y847=0,J847,ISNUMBER(L847))</f>
        <v>0</v>
      </c>
      <c r="AB847" s="8" t="n">
        <f aca="false">IF(Q847,R847,AB846)</f>
        <v>0.863339701115261</v>
      </c>
      <c r="AC847" s="12" t="n">
        <f aca="false">IF(Q847,A847,AC846)</f>
        <v>45628</v>
      </c>
      <c r="AD847" s="8" t="n">
        <f aca="false">IF(Q847,B847,AD846)</f>
        <v>0.86316706770172</v>
      </c>
      <c r="AE847" s="8" t="str">
        <f aca="false">IF(AA847,L847,"")</f>
        <v/>
      </c>
      <c r="AF847" s="8" t="n">
        <f aca="false">U847</f>
        <v>0.84586578756897</v>
      </c>
      <c r="AG847" s="2" t="n">
        <f aca="false">AG846+IF(Q847,1,0)</f>
        <v>8</v>
      </c>
      <c r="AH847" s="2" t="n">
        <f aca="false">AG846</f>
        <v>8</v>
      </c>
      <c r="AI847" s="10" t="n">
        <f aca="false">X847+Y847*(E847-AB847)-Y847*AD847*Inputs!$B$13*(A847-AC847)</f>
        <v>983.862971216719</v>
      </c>
      <c r="AJ847" s="10" t="n">
        <v>0</v>
      </c>
      <c r="AK847" s="8" t="n">
        <f aca="false">IF(AND(B847&lt;=U847,NOT(Q847)),B847,U847)*(1-Inputs!$B$12)</f>
        <v>0.845696614411456</v>
      </c>
    </row>
    <row r="848" customFormat="false" ht="15" hidden="false" customHeight="false" outlineLevel="0" collapsed="false">
      <c r="A848" s="6" t="n">
        <v>45632</v>
      </c>
      <c r="B848" s="7" t="n">
        <v>0.853796193519001</v>
      </c>
      <c r="C848" s="7" t="n">
        <v>0.854912982283843</v>
      </c>
      <c r="D848" s="7" t="n">
        <v>0.849778767601375</v>
      </c>
      <c r="E848" s="7" t="n">
        <v>0.851722967270373</v>
      </c>
      <c r="F848" s="8" t="n">
        <f aca="true">IF(ROW()-2&gt;=Inputs!$B$4,AVERAGE(OFFSET(E848,1-Inputs!$B$4,0,Inputs!$B$4,1)),"")</f>
        <v>0.870576412618274</v>
      </c>
      <c r="G848" s="8" t="n">
        <f aca="true">IF(ROW()-2&gt;=Inputs!$B$5,AVERAGE(OFFSET(E848,1-Inputs!$B$5,0,Inputs!$B$5,1)),"")</f>
        <v>0.870202738021878</v>
      </c>
      <c r="H848" s="8" t="n">
        <f aca="false">MAX(C848-D848,ABS(C848-E847),ABS(D848-E847))</f>
        <v>0.00513421468246789</v>
      </c>
      <c r="I848" s="8" t="n">
        <f aca="true">IF(ROW()-2&lt;14,"",IF(ROW()-2=14,AVERAGE(OFFSET(H848,-13,0,14,1)),(I847*13+H848)/14))</f>
        <v>0.00892343254283329</v>
      </c>
      <c r="J848" s="9" t="b">
        <f aca="false">IF(AND(ISNUMBER(F848),ISNUMBER(G848),ISNUMBER(F847),ISNUMBER(G847)),AND(F848&gt;G848,F847&lt;=G847),FALSE())</f>
        <v>0</v>
      </c>
      <c r="K848" s="9" t="b">
        <f aca="false">IF(AND(ISNUMBER(F848),ISNUMBER(G848),ISNUMBER(F847),ISNUMBER(G847)),AND(F848&lt;G848,F847&gt;=G847),FALSE())</f>
        <v>0</v>
      </c>
      <c r="L848" s="8" t="n">
        <f aca="false">IF(ISNUMBER(I848),E848-Inputs!$B$6*I848,"")</f>
        <v>0.833876102184706</v>
      </c>
      <c r="M848" s="9" t="b">
        <f aca="false">AND(Y847&gt;0,Z847)</f>
        <v>0</v>
      </c>
      <c r="N848" s="8" t="n">
        <f aca="false">B848*(1-Inputs!$B$12)</f>
        <v>0.853625434280297</v>
      </c>
      <c r="O848" s="10" t="n">
        <f aca="false">IF(M848,Y847*(N848-AB847)-Inputs!$B$9-Y847*AD847*Inputs!$B$13*(A848-AC847),0)</f>
        <v>0</v>
      </c>
      <c r="P848" s="10" t="n">
        <f aca="false">X847+O848</f>
        <v>983.862971216719</v>
      </c>
      <c r="Q848" s="9" t="b">
        <f aca="false">AND(IF(M848,0,Y847)=0,AA847,IF(ISNUMBER(AE847),B848&gt;AE847,FALSE()))</f>
        <v>0</v>
      </c>
      <c r="R848" s="8" t="n">
        <f aca="false">B848*(1+Inputs!$B$12)</f>
        <v>0.853966952757705</v>
      </c>
      <c r="S848" s="11" t="n">
        <f aca="false">IF(Q848,MIN(P848*Inputs!$B$3/(R848-AE847),P848*Inputs!$B$11/R848),0)</f>
        <v>0</v>
      </c>
      <c r="T848" s="11" t="n">
        <f aca="false">IF(Q848,S848,IF(M848,0,Y847))</f>
        <v>0</v>
      </c>
      <c r="U848" s="8" t="n">
        <f aca="false">IF(Q848,AE847,AF847)</f>
        <v>0.84586578756897</v>
      </c>
      <c r="V848" s="9" t="b">
        <f aca="false">AND(T848&gt;0,D848&lt;=U848)</f>
        <v>0</v>
      </c>
      <c r="W848" s="10" t="n">
        <f aca="false">IF(V848,T848*(AK848-AB848)-Inputs!$B$9-T848*AD848*Inputs!$B$13*(A848-AC848),0)</f>
        <v>0</v>
      </c>
      <c r="X848" s="10" t="n">
        <f aca="false">P848-IF(Q848,Inputs!$B$9,0)+W848</f>
        <v>983.862971216719</v>
      </c>
      <c r="Y848" s="11" t="n">
        <f aca="false">IF(V848,0,T848)</f>
        <v>0</v>
      </c>
      <c r="Z848" s="9" t="b">
        <f aca="false">AND(Y848&gt;0,K848)</f>
        <v>0</v>
      </c>
      <c r="AA848" s="9" t="b">
        <f aca="false">AND(Y848=0,J848,ISNUMBER(L848))</f>
        <v>0</v>
      </c>
      <c r="AB848" s="8" t="n">
        <f aca="false">IF(Q848,R848,AB847)</f>
        <v>0.863339701115261</v>
      </c>
      <c r="AC848" s="12" t="n">
        <f aca="false">IF(Q848,A848,AC847)</f>
        <v>45628</v>
      </c>
      <c r="AD848" s="8" t="n">
        <f aca="false">IF(Q848,B848,AD847)</f>
        <v>0.86316706770172</v>
      </c>
      <c r="AE848" s="8" t="str">
        <f aca="false">IF(AA848,L848,"")</f>
        <v/>
      </c>
      <c r="AF848" s="8" t="n">
        <f aca="false">U848</f>
        <v>0.84586578756897</v>
      </c>
      <c r="AG848" s="2" t="n">
        <f aca="false">AG847+IF(Q848,1,0)</f>
        <v>8</v>
      </c>
      <c r="AH848" s="2" t="n">
        <f aca="false">AG847</f>
        <v>8</v>
      </c>
      <c r="AI848" s="10" t="n">
        <f aca="false">X848+Y848*(E848-AB848)-Y848*AD848*Inputs!$B$13*(A848-AC848)</f>
        <v>983.862971216719</v>
      </c>
      <c r="AJ848" s="10" t="n">
        <v>0</v>
      </c>
      <c r="AK848" s="8" t="n">
        <f aca="false">IF(AND(B848&lt;=U848,NOT(Q848)),B848,U848)*(1-Inputs!$B$12)</f>
        <v>0.845696614411456</v>
      </c>
    </row>
    <row r="849" customFormat="false" ht="15" hidden="false" customHeight="false" outlineLevel="0" collapsed="false">
      <c r="A849" s="6" t="n">
        <v>45633</v>
      </c>
      <c r="B849" s="7" t="n">
        <v>0.851722967270373</v>
      </c>
      <c r="C849" s="7" t="n">
        <v>0.853398160590618</v>
      </c>
      <c r="D849" s="7" t="n">
        <v>0.84719029183885</v>
      </c>
      <c r="E849" s="7" t="n">
        <v>0.853093513099645</v>
      </c>
      <c r="F849" s="8" t="n">
        <f aca="true">IF(ROW()-2&gt;=Inputs!$B$4,AVERAGE(OFFSET(E849,1-Inputs!$B$4,0,Inputs!$B$4,1)),"")</f>
        <v>0.869579835236736</v>
      </c>
      <c r="G849" s="8" t="n">
        <f aca="true">IF(ROW()-2&gt;=Inputs!$B$5,AVERAGE(OFFSET(E849,1-Inputs!$B$5,0,Inputs!$B$5,1)),"")</f>
        <v>0.869480761866491</v>
      </c>
      <c r="H849" s="8" t="n">
        <f aca="false">MAX(C849-D849,ABS(C849-E848),ABS(D849-E848))</f>
        <v>0.00620786875176771</v>
      </c>
      <c r="I849" s="8" t="n">
        <f aca="true">IF(ROW()-2&lt;14,"",IF(ROW()-2=14,AVERAGE(OFFSET(H849,-13,0,14,1)),(I848*13+H849)/14))</f>
        <v>0.00872946370061432</v>
      </c>
      <c r="J849" s="9" t="b">
        <f aca="false">IF(AND(ISNUMBER(F849),ISNUMBER(G849),ISNUMBER(F848),ISNUMBER(G848)),AND(F849&gt;G849,F848&lt;=G848),FALSE())</f>
        <v>0</v>
      </c>
      <c r="K849" s="9" t="b">
        <f aca="false">IF(AND(ISNUMBER(F849),ISNUMBER(G849),ISNUMBER(F848),ISNUMBER(G848)),AND(F849&lt;G849,F848&gt;=G848),FALSE())</f>
        <v>0</v>
      </c>
      <c r="L849" s="8" t="n">
        <f aca="false">IF(ISNUMBER(I849),E849-Inputs!$B$6*I849,"")</f>
        <v>0.835634585698416</v>
      </c>
      <c r="M849" s="9" t="b">
        <f aca="false">AND(Y848&gt;0,Z848)</f>
        <v>0</v>
      </c>
      <c r="N849" s="8" t="n">
        <f aca="false">B849*(1-Inputs!$B$12)</f>
        <v>0.851552622676919</v>
      </c>
      <c r="O849" s="10" t="n">
        <f aca="false">IF(M849,Y848*(N849-AB848)-Inputs!$B$9-Y848*AD848*Inputs!$B$13*(A849-AC848),0)</f>
        <v>0</v>
      </c>
      <c r="P849" s="10" t="n">
        <f aca="false">X848+O849</f>
        <v>983.862971216719</v>
      </c>
      <c r="Q849" s="9" t="b">
        <f aca="false">AND(IF(M849,0,Y848)=0,AA848,IF(ISNUMBER(AE848),B849&gt;AE848,FALSE()))</f>
        <v>0</v>
      </c>
      <c r="R849" s="8" t="n">
        <f aca="false">B849*(1+Inputs!$B$12)</f>
        <v>0.851893311863827</v>
      </c>
      <c r="S849" s="11" t="n">
        <f aca="false">IF(Q849,MIN(P849*Inputs!$B$3/(R849-AE848),P849*Inputs!$B$11/R849),0)</f>
        <v>0</v>
      </c>
      <c r="T849" s="11" t="n">
        <f aca="false">IF(Q849,S849,IF(M849,0,Y848))</f>
        <v>0</v>
      </c>
      <c r="U849" s="8" t="n">
        <f aca="false">IF(Q849,AE848,AF848)</f>
        <v>0.84586578756897</v>
      </c>
      <c r="V849" s="9" t="b">
        <f aca="false">AND(T849&gt;0,D849&lt;=U849)</f>
        <v>0</v>
      </c>
      <c r="W849" s="10" t="n">
        <f aca="false">IF(V849,T849*(AK849-AB849)-Inputs!$B$9-T849*AD849*Inputs!$B$13*(A849-AC849),0)</f>
        <v>0</v>
      </c>
      <c r="X849" s="10" t="n">
        <f aca="false">P849-IF(Q849,Inputs!$B$9,0)+W849</f>
        <v>983.862971216719</v>
      </c>
      <c r="Y849" s="11" t="n">
        <f aca="false">IF(V849,0,T849)</f>
        <v>0</v>
      </c>
      <c r="Z849" s="9" t="b">
        <f aca="false">AND(Y849&gt;0,K849)</f>
        <v>0</v>
      </c>
      <c r="AA849" s="9" t="b">
        <f aca="false">AND(Y849=0,J849,ISNUMBER(L849))</f>
        <v>0</v>
      </c>
      <c r="AB849" s="8" t="n">
        <f aca="false">IF(Q849,R849,AB848)</f>
        <v>0.863339701115261</v>
      </c>
      <c r="AC849" s="12" t="n">
        <f aca="false">IF(Q849,A849,AC848)</f>
        <v>45628</v>
      </c>
      <c r="AD849" s="8" t="n">
        <f aca="false">IF(Q849,B849,AD848)</f>
        <v>0.86316706770172</v>
      </c>
      <c r="AE849" s="8" t="str">
        <f aca="false">IF(AA849,L849,"")</f>
        <v/>
      </c>
      <c r="AF849" s="8" t="n">
        <f aca="false">U849</f>
        <v>0.84586578756897</v>
      </c>
      <c r="AG849" s="2" t="n">
        <f aca="false">AG848+IF(Q849,1,0)</f>
        <v>8</v>
      </c>
      <c r="AH849" s="2" t="n">
        <f aca="false">AG848</f>
        <v>8</v>
      </c>
      <c r="AI849" s="10" t="n">
        <f aca="false">X849+Y849*(E849-AB849)-Y849*AD849*Inputs!$B$13*(A849-AC849)</f>
        <v>983.862971216719</v>
      </c>
      <c r="AJ849" s="10" t="n">
        <v>0</v>
      </c>
      <c r="AK849" s="8" t="n">
        <f aca="false">IF(AND(B849&lt;=U849,NOT(Q849)),B849,U849)*(1-Inputs!$B$12)</f>
        <v>0.845696614411456</v>
      </c>
    </row>
    <row r="850" customFormat="false" ht="15" hidden="false" customHeight="false" outlineLevel="0" collapsed="false">
      <c r="A850" s="6" t="n">
        <v>45634</v>
      </c>
      <c r="B850" s="7" t="n">
        <v>0.853093513099645</v>
      </c>
      <c r="C850" s="7" t="n">
        <v>0.861993163397579</v>
      </c>
      <c r="D850" s="7" t="n">
        <v>0.852782463718202</v>
      </c>
      <c r="E850" s="7" t="n">
        <v>0.856268437485804</v>
      </c>
      <c r="F850" s="8" t="n">
        <f aca="true">IF(ROW()-2&gt;=Inputs!$B$4,AVERAGE(OFFSET(E850,1-Inputs!$B$4,0,Inputs!$B$4,1)),"")</f>
        <v>0.868500775819378</v>
      </c>
      <c r="G850" s="8" t="n">
        <f aca="true">IF(ROW()-2&gt;=Inputs!$B$5,AVERAGE(OFFSET(E850,1-Inputs!$B$5,0,Inputs!$B$5,1)),"")</f>
        <v>0.868794894996776</v>
      </c>
      <c r="H850" s="8" t="n">
        <f aca="false">MAX(C850-D850,ABS(C850-E849),ABS(D850-E849))</f>
        <v>0.00921069967937671</v>
      </c>
      <c r="I850" s="8" t="n">
        <f aca="true">IF(ROW()-2&lt;14,"",IF(ROW()-2=14,AVERAGE(OFFSET(H850,-13,0,14,1)),(I849*13+H850)/14))</f>
        <v>0.00876383769909735</v>
      </c>
      <c r="J850" s="9" t="b">
        <f aca="false">IF(AND(ISNUMBER(F850),ISNUMBER(G850),ISNUMBER(F849),ISNUMBER(G849)),AND(F850&gt;G850,F849&lt;=G849),FALSE())</f>
        <v>0</v>
      </c>
      <c r="K850" s="9" t="b">
        <f aca="false">IF(AND(ISNUMBER(F850),ISNUMBER(G850),ISNUMBER(F849),ISNUMBER(G849)),AND(F850&lt;G850,F849&gt;=G849),FALSE())</f>
        <v>1</v>
      </c>
      <c r="L850" s="8" t="n">
        <f aca="false">IF(ISNUMBER(I850),E850-Inputs!$B$6*I850,"")</f>
        <v>0.83874076208761</v>
      </c>
      <c r="M850" s="9" t="b">
        <f aca="false">AND(Y849&gt;0,Z849)</f>
        <v>0</v>
      </c>
      <c r="N850" s="8" t="n">
        <f aca="false">B850*(1-Inputs!$B$12)</f>
        <v>0.852922894397025</v>
      </c>
      <c r="O850" s="10" t="n">
        <f aca="false">IF(M850,Y849*(N850-AB849)-Inputs!$B$9-Y849*AD849*Inputs!$B$13*(A850-AC849),0)</f>
        <v>0</v>
      </c>
      <c r="P850" s="10" t="n">
        <f aca="false">X849+O850</f>
        <v>983.862971216719</v>
      </c>
      <c r="Q850" s="9" t="b">
        <f aca="false">AND(IF(M850,0,Y849)=0,AA849,IF(ISNUMBER(AE849),B850&gt;AE849,FALSE()))</f>
        <v>0</v>
      </c>
      <c r="R850" s="8" t="n">
        <f aca="false">B850*(1+Inputs!$B$12)</f>
        <v>0.853264131802265</v>
      </c>
      <c r="S850" s="11" t="n">
        <f aca="false">IF(Q850,MIN(P850*Inputs!$B$3/(R850-AE849),P850*Inputs!$B$11/R850),0)</f>
        <v>0</v>
      </c>
      <c r="T850" s="11" t="n">
        <f aca="false">IF(Q850,S850,IF(M850,0,Y849))</f>
        <v>0</v>
      </c>
      <c r="U850" s="8" t="n">
        <f aca="false">IF(Q850,AE849,AF849)</f>
        <v>0.84586578756897</v>
      </c>
      <c r="V850" s="9" t="b">
        <f aca="false">AND(T850&gt;0,D850&lt;=U850)</f>
        <v>0</v>
      </c>
      <c r="W850" s="10" t="n">
        <f aca="false">IF(V850,T850*(AK850-AB850)-Inputs!$B$9-T850*AD850*Inputs!$B$13*(A850-AC850),0)</f>
        <v>0</v>
      </c>
      <c r="X850" s="10" t="n">
        <f aca="false">P850-IF(Q850,Inputs!$B$9,0)+W850</f>
        <v>983.862971216719</v>
      </c>
      <c r="Y850" s="11" t="n">
        <f aca="false">IF(V850,0,T850)</f>
        <v>0</v>
      </c>
      <c r="Z850" s="9" t="b">
        <f aca="false">AND(Y850&gt;0,K850)</f>
        <v>0</v>
      </c>
      <c r="AA850" s="9" t="b">
        <f aca="false">AND(Y850=0,J850,ISNUMBER(L850))</f>
        <v>0</v>
      </c>
      <c r="AB850" s="8" t="n">
        <f aca="false">IF(Q850,R850,AB849)</f>
        <v>0.863339701115261</v>
      </c>
      <c r="AC850" s="12" t="n">
        <f aca="false">IF(Q850,A850,AC849)</f>
        <v>45628</v>
      </c>
      <c r="AD850" s="8" t="n">
        <f aca="false">IF(Q850,B850,AD849)</f>
        <v>0.86316706770172</v>
      </c>
      <c r="AE850" s="8" t="str">
        <f aca="false">IF(AA850,L850,"")</f>
        <v/>
      </c>
      <c r="AF850" s="8" t="n">
        <f aca="false">U850</f>
        <v>0.84586578756897</v>
      </c>
      <c r="AG850" s="2" t="n">
        <f aca="false">AG849+IF(Q850,1,0)</f>
        <v>8</v>
      </c>
      <c r="AH850" s="2" t="n">
        <f aca="false">AG849</f>
        <v>8</v>
      </c>
      <c r="AI850" s="10" t="n">
        <f aca="false">X850+Y850*(E850-AB850)-Y850*AD850*Inputs!$B$13*(A850-AC850)</f>
        <v>983.862971216719</v>
      </c>
      <c r="AJ850" s="10" t="n">
        <v>0</v>
      </c>
      <c r="AK850" s="8" t="n">
        <f aca="false">IF(AND(B850&lt;=U850,NOT(Q850)),B850,U850)*(1-Inputs!$B$12)</f>
        <v>0.845696614411456</v>
      </c>
    </row>
    <row r="851" customFormat="false" ht="15" hidden="false" customHeight="false" outlineLevel="0" collapsed="false">
      <c r="A851" s="6" t="n">
        <v>45635</v>
      </c>
      <c r="B851" s="7" t="n">
        <v>0.856268437485804</v>
      </c>
      <c r="C851" s="7" t="n">
        <v>0.856848310416405</v>
      </c>
      <c r="D851" s="7" t="n">
        <v>0.855444883662295</v>
      </c>
      <c r="E851" s="7" t="n">
        <v>0.8556577154965</v>
      </c>
      <c r="F851" s="8" t="n">
        <f aca="true">IF(ROW()-2&gt;=Inputs!$B$4,AVERAGE(OFFSET(E851,1-Inputs!$B$4,0,Inputs!$B$4,1)),"")</f>
        <v>0.867274086143484</v>
      </c>
      <c r="G851" s="8" t="n">
        <f aca="true">IF(ROW()-2&gt;=Inputs!$B$5,AVERAGE(OFFSET(E851,1-Inputs!$B$5,0,Inputs!$B$5,1)),"")</f>
        <v>0.868231612946627</v>
      </c>
      <c r="H851" s="8" t="n">
        <f aca="false">MAX(C851-D851,ABS(C851-E850),ABS(D851-E850))</f>
        <v>0.00140342675410965</v>
      </c>
      <c r="I851" s="8" t="n">
        <f aca="true">IF(ROW()-2&lt;14,"",IF(ROW()-2=14,AVERAGE(OFFSET(H851,-13,0,14,1)),(I850*13+H851)/14))</f>
        <v>0.00823809406016966</v>
      </c>
      <c r="J851" s="9" t="b">
        <f aca="false">IF(AND(ISNUMBER(F851),ISNUMBER(G851),ISNUMBER(F850),ISNUMBER(G850)),AND(F851&gt;G851,F850&lt;=G850),FALSE())</f>
        <v>0</v>
      </c>
      <c r="K851" s="9" t="b">
        <f aca="false">IF(AND(ISNUMBER(F851),ISNUMBER(G851),ISNUMBER(F850),ISNUMBER(G850)),AND(F851&lt;G851,F850&gt;=G850),FALSE())</f>
        <v>0</v>
      </c>
      <c r="L851" s="8" t="n">
        <f aca="false">IF(ISNUMBER(I851),E851-Inputs!$B$6*I851,"")</f>
        <v>0.839181527376161</v>
      </c>
      <c r="M851" s="9" t="b">
        <f aca="false">AND(Y850&gt;0,Z850)</f>
        <v>0</v>
      </c>
      <c r="N851" s="8" t="n">
        <f aca="false">B851*(1-Inputs!$B$12)</f>
        <v>0.856097183798307</v>
      </c>
      <c r="O851" s="10" t="n">
        <f aca="false">IF(M851,Y850*(N851-AB850)-Inputs!$B$9-Y850*AD850*Inputs!$B$13*(A851-AC850),0)</f>
        <v>0</v>
      </c>
      <c r="P851" s="10" t="n">
        <f aca="false">X850+O851</f>
        <v>983.862971216719</v>
      </c>
      <c r="Q851" s="9" t="b">
        <f aca="false">AND(IF(M851,0,Y850)=0,AA850,IF(ISNUMBER(AE850),B851&gt;AE850,FALSE()))</f>
        <v>0</v>
      </c>
      <c r="R851" s="8" t="n">
        <f aca="false">B851*(1+Inputs!$B$12)</f>
        <v>0.856439691173302</v>
      </c>
      <c r="S851" s="11" t="n">
        <f aca="false">IF(Q851,MIN(P851*Inputs!$B$3/(R851-AE850),P851*Inputs!$B$11/R851),0)</f>
        <v>0</v>
      </c>
      <c r="T851" s="11" t="n">
        <f aca="false">IF(Q851,S851,IF(M851,0,Y850))</f>
        <v>0</v>
      </c>
      <c r="U851" s="8" t="n">
        <f aca="false">IF(Q851,AE850,AF850)</f>
        <v>0.84586578756897</v>
      </c>
      <c r="V851" s="9" t="b">
        <f aca="false">AND(T851&gt;0,D851&lt;=U851)</f>
        <v>0</v>
      </c>
      <c r="W851" s="10" t="n">
        <f aca="false">IF(V851,T851*(AK851-AB851)-Inputs!$B$9-T851*AD851*Inputs!$B$13*(A851-AC851),0)</f>
        <v>0</v>
      </c>
      <c r="X851" s="10" t="n">
        <f aca="false">P851-IF(Q851,Inputs!$B$9,0)+W851</f>
        <v>983.862971216719</v>
      </c>
      <c r="Y851" s="11" t="n">
        <f aca="false">IF(V851,0,T851)</f>
        <v>0</v>
      </c>
      <c r="Z851" s="9" t="b">
        <f aca="false">AND(Y851&gt;0,K851)</f>
        <v>0</v>
      </c>
      <c r="AA851" s="9" t="b">
        <f aca="false">AND(Y851=0,J851,ISNUMBER(L851))</f>
        <v>0</v>
      </c>
      <c r="AB851" s="8" t="n">
        <f aca="false">IF(Q851,R851,AB850)</f>
        <v>0.863339701115261</v>
      </c>
      <c r="AC851" s="12" t="n">
        <f aca="false">IF(Q851,A851,AC850)</f>
        <v>45628</v>
      </c>
      <c r="AD851" s="8" t="n">
        <f aca="false">IF(Q851,B851,AD850)</f>
        <v>0.86316706770172</v>
      </c>
      <c r="AE851" s="8" t="str">
        <f aca="false">IF(AA851,L851,"")</f>
        <v/>
      </c>
      <c r="AF851" s="8" t="n">
        <f aca="false">U851</f>
        <v>0.84586578756897</v>
      </c>
      <c r="AG851" s="2" t="n">
        <f aca="false">AG850+IF(Q851,1,0)</f>
        <v>8</v>
      </c>
      <c r="AH851" s="2" t="n">
        <f aca="false">AG850</f>
        <v>8</v>
      </c>
      <c r="AI851" s="10" t="n">
        <f aca="false">X851+Y851*(E851-AB851)-Y851*AD851*Inputs!$B$13*(A851-AC851)</f>
        <v>983.862971216719</v>
      </c>
      <c r="AJ851" s="10" t="n">
        <v>0</v>
      </c>
      <c r="AK851" s="8" t="n">
        <f aca="false">IF(AND(B851&lt;=U851,NOT(Q851)),B851,U851)*(1-Inputs!$B$12)</f>
        <v>0.845696614411456</v>
      </c>
    </row>
    <row r="852" customFormat="false" ht="15" hidden="false" customHeight="false" outlineLevel="0" collapsed="false">
      <c r="A852" s="6" t="n">
        <v>45636</v>
      </c>
      <c r="B852" s="7" t="n">
        <v>0.8556577154965</v>
      </c>
      <c r="C852" s="7" t="n">
        <v>0.859430333653127</v>
      </c>
      <c r="D852" s="7" t="n">
        <v>0.854622909932852</v>
      </c>
      <c r="E852" s="7" t="n">
        <v>0.854653346655316</v>
      </c>
      <c r="F852" s="8" t="n">
        <f aca="true">IF(ROW()-2&gt;=Inputs!$B$4,AVERAGE(OFFSET(E852,1-Inputs!$B$4,0,Inputs!$B$4,1)),"")</f>
        <v>0.865843938648909</v>
      </c>
      <c r="G852" s="8" t="n">
        <f aca="true">IF(ROW()-2&gt;=Inputs!$B$5,AVERAGE(OFFSET(E852,1-Inputs!$B$5,0,Inputs!$B$5,1)),"")</f>
        <v>0.867669682155934</v>
      </c>
      <c r="H852" s="8" t="n">
        <f aca="false">MAX(C852-D852,ABS(C852-E851),ABS(D852-E851))</f>
        <v>0.00480742372027454</v>
      </c>
      <c r="I852" s="8" t="n">
        <f aca="true">IF(ROW()-2&lt;14,"",IF(ROW()-2=14,AVERAGE(OFFSET(H852,-13,0,14,1)),(I851*13+H852)/14))</f>
        <v>0.00799304617874858</v>
      </c>
      <c r="J852" s="9" t="b">
        <f aca="false">IF(AND(ISNUMBER(F852),ISNUMBER(G852),ISNUMBER(F851),ISNUMBER(G851)),AND(F852&gt;G852,F851&lt;=G851),FALSE())</f>
        <v>0</v>
      </c>
      <c r="K852" s="9" t="b">
        <f aca="false">IF(AND(ISNUMBER(F852),ISNUMBER(G852),ISNUMBER(F851),ISNUMBER(G851)),AND(F852&lt;G852,F851&gt;=G851),FALSE())</f>
        <v>0</v>
      </c>
      <c r="L852" s="8" t="n">
        <f aca="false">IF(ISNUMBER(I852),E852-Inputs!$B$6*I852,"")</f>
        <v>0.838667254297819</v>
      </c>
      <c r="M852" s="9" t="b">
        <f aca="false">AND(Y851&gt;0,Z851)</f>
        <v>0</v>
      </c>
      <c r="N852" s="8" t="n">
        <f aca="false">B852*(1-Inputs!$B$12)</f>
        <v>0.855486583953401</v>
      </c>
      <c r="O852" s="10" t="n">
        <f aca="false">IF(M852,Y851*(N852-AB851)-Inputs!$B$9-Y851*AD851*Inputs!$B$13*(A852-AC851),0)</f>
        <v>0</v>
      </c>
      <c r="P852" s="10" t="n">
        <f aca="false">X851+O852</f>
        <v>983.862971216719</v>
      </c>
      <c r="Q852" s="9" t="b">
        <f aca="false">AND(IF(M852,0,Y851)=0,AA851,IF(ISNUMBER(AE851),B852&gt;AE851,FALSE()))</f>
        <v>0</v>
      </c>
      <c r="R852" s="8" t="n">
        <f aca="false">B852*(1+Inputs!$B$12)</f>
        <v>0.8558288470396</v>
      </c>
      <c r="S852" s="11" t="n">
        <f aca="false">IF(Q852,MIN(P852*Inputs!$B$3/(R852-AE851),P852*Inputs!$B$11/R852),0)</f>
        <v>0</v>
      </c>
      <c r="T852" s="11" t="n">
        <f aca="false">IF(Q852,S852,IF(M852,0,Y851))</f>
        <v>0</v>
      </c>
      <c r="U852" s="8" t="n">
        <f aca="false">IF(Q852,AE851,AF851)</f>
        <v>0.84586578756897</v>
      </c>
      <c r="V852" s="9" t="b">
        <f aca="false">AND(T852&gt;0,D852&lt;=U852)</f>
        <v>0</v>
      </c>
      <c r="W852" s="10" t="n">
        <f aca="false">IF(V852,T852*(AK852-AB852)-Inputs!$B$9-T852*AD852*Inputs!$B$13*(A852-AC852),0)</f>
        <v>0</v>
      </c>
      <c r="X852" s="10" t="n">
        <f aca="false">P852-IF(Q852,Inputs!$B$9,0)+W852</f>
        <v>983.862971216719</v>
      </c>
      <c r="Y852" s="11" t="n">
        <f aca="false">IF(V852,0,T852)</f>
        <v>0</v>
      </c>
      <c r="Z852" s="9" t="b">
        <f aca="false">AND(Y852&gt;0,K852)</f>
        <v>0</v>
      </c>
      <c r="AA852" s="9" t="b">
        <f aca="false">AND(Y852=0,J852,ISNUMBER(L852))</f>
        <v>0</v>
      </c>
      <c r="AB852" s="8" t="n">
        <f aca="false">IF(Q852,R852,AB851)</f>
        <v>0.863339701115261</v>
      </c>
      <c r="AC852" s="12" t="n">
        <f aca="false">IF(Q852,A852,AC851)</f>
        <v>45628</v>
      </c>
      <c r="AD852" s="8" t="n">
        <f aca="false">IF(Q852,B852,AD851)</f>
        <v>0.86316706770172</v>
      </c>
      <c r="AE852" s="8" t="str">
        <f aca="false">IF(AA852,L852,"")</f>
        <v/>
      </c>
      <c r="AF852" s="8" t="n">
        <f aca="false">U852</f>
        <v>0.84586578756897</v>
      </c>
      <c r="AG852" s="2" t="n">
        <f aca="false">AG851+IF(Q852,1,0)</f>
        <v>8</v>
      </c>
      <c r="AH852" s="2" t="n">
        <f aca="false">AG851</f>
        <v>8</v>
      </c>
      <c r="AI852" s="10" t="n">
        <f aca="false">X852+Y852*(E852-AB852)-Y852*AD852*Inputs!$B$13*(A852-AC852)</f>
        <v>983.862971216719</v>
      </c>
      <c r="AJ852" s="10" t="n">
        <v>0</v>
      </c>
      <c r="AK852" s="8" t="n">
        <f aca="false">IF(AND(B852&lt;=U852,NOT(Q852)),B852,U852)*(1-Inputs!$B$12)</f>
        <v>0.845696614411456</v>
      </c>
    </row>
    <row r="853" customFormat="false" ht="15" hidden="false" customHeight="false" outlineLevel="0" collapsed="false">
      <c r="A853" s="6" t="n">
        <v>45637</v>
      </c>
      <c r="B853" s="7" t="n">
        <v>0.854653346655316</v>
      </c>
      <c r="C853" s="7" t="n">
        <v>0.855936621196909</v>
      </c>
      <c r="D853" s="7" t="n">
        <v>0.849959191466162</v>
      </c>
      <c r="E853" s="7" t="n">
        <v>0.851562838415649</v>
      </c>
      <c r="F853" s="8" t="n">
        <f aca="true">IF(ROW()-2&gt;=Inputs!$B$4,AVERAGE(OFFSET(E853,1-Inputs!$B$4,0,Inputs!$B$4,1)),"")</f>
        <v>0.864610111639567</v>
      </c>
      <c r="G853" s="8" t="n">
        <f aca="true">IF(ROW()-2&gt;=Inputs!$B$5,AVERAGE(OFFSET(E853,1-Inputs!$B$5,0,Inputs!$B$5,1)),"")</f>
        <v>0.867322544095889</v>
      </c>
      <c r="H853" s="8" t="n">
        <f aca="false">MAX(C853-D853,ABS(C853-E852),ABS(D853-E852))</f>
        <v>0.00597742973074777</v>
      </c>
      <c r="I853" s="8" t="n">
        <f aca="true">IF(ROW()-2&lt;14,"",IF(ROW()-2=14,AVERAGE(OFFSET(H853,-13,0,14,1)),(I852*13+H853)/14))</f>
        <v>0.00784907357531995</v>
      </c>
      <c r="J853" s="9" t="b">
        <f aca="false">IF(AND(ISNUMBER(F853),ISNUMBER(G853),ISNUMBER(F852),ISNUMBER(G852)),AND(F853&gt;G853,F852&lt;=G852),FALSE())</f>
        <v>0</v>
      </c>
      <c r="K853" s="9" t="b">
        <f aca="false">IF(AND(ISNUMBER(F853),ISNUMBER(G853),ISNUMBER(F852),ISNUMBER(G852)),AND(F853&lt;G853,F852&gt;=G852),FALSE())</f>
        <v>0</v>
      </c>
      <c r="L853" s="8" t="n">
        <f aca="false">IF(ISNUMBER(I853),E853-Inputs!$B$6*I853,"")</f>
        <v>0.835864691265009</v>
      </c>
      <c r="M853" s="9" t="b">
        <f aca="false">AND(Y852&gt;0,Z852)</f>
        <v>0</v>
      </c>
      <c r="N853" s="8" t="n">
        <f aca="false">B853*(1-Inputs!$B$12)</f>
        <v>0.854482415985985</v>
      </c>
      <c r="O853" s="10" t="n">
        <f aca="false">IF(M853,Y852*(N853-AB852)-Inputs!$B$9-Y852*AD852*Inputs!$B$13*(A853-AC852),0)</f>
        <v>0</v>
      </c>
      <c r="P853" s="10" t="n">
        <f aca="false">X852+O853</f>
        <v>983.862971216719</v>
      </c>
      <c r="Q853" s="9" t="b">
        <f aca="false">AND(IF(M853,0,Y852)=0,AA852,IF(ISNUMBER(AE852),B853&gt;AE852,FALSE()))</f>
        <v>0</v>
      </c>
      <c r="R853" s="8" t="n">
        <f aca="false">B853*(1+Inputs!$B$12)</f>
        <v>0.854824277324647</v>
      </c>
      <c r="S853" s="11" t="n">
        <f aca="false">IF(Q853,MIN(P853*Inputs!$B$3/(R853-AE852),P853*Inputs!$B$11/R853),0)</f>
        <v>0</v>
      </c>
      <c r="T853" s="11" t="n">
        <f aca="false">IF(Q853,S853,IF(M853,0,Y852))</f>
        <v>0</v>
      </c>
      <c r="U853" s="8" t="n">
        <f aca="false">IF(Q853,AE852,AF852)</f>
        <v>0.84586578756897</v>
      </c>
      <c r="V853" s="9" t="b">
        <f aca="false">AND(T853&gt;0,D853&lt;=U853)</f>
        <v>0</v>
      </c>
      <c r="W853" s="10" t="n">
        <f aca="false">IF(V853,T853*(AK853-AB853)-Inputs!$B$9-T853*AD853*Inputs!$B$13*(A853-AC853),0)</f>
        <v>0</v>
      </c>
      <c r="X853" s="10" t="n">
        <f aca="false">P853-IF(Q853,Inputs!$B$9,0)+W853</f>
        <v>983.862971216719</v>
      </c>
      <c r="Y853" s="11" t="n">
        <f aca="false">IF(V853,0,T853)</f>
        <v>0</v>
      </c>
      <c r="Z853" s="9" t="b">
        <f aca="false">AND(Y853&gt;0,K853)</f>
        <v>0</v>
      </c>
      <c r="AA853" s="9" t="b">
        <f aca="false">AND(Y853=0,J853,ISNUMBER(L853))</f>
        <v>0</v>
      </c>
      <c r="AB853" s="8" t="n">
        <f aca="false">IF(Q853,R853,AB852)</f>
        <v>0.863339701115261</v>
      </c>
      <c r="AC853" s="12" t="n">
        <f aca="false">IF(Q853,A853,AC852)</f>
        <v>45628</v>
      </c>
      <c r="AD853" s="8" t="n">
        <f aca="false">IF(Q853,B853,AD852)</f>
        <v>0.86316706770172</v>
      </c>
      <c r="AE853" s="8" t="str">
        <f aca="false">IF(AA853,L853,"")</f>
        <v/>
      </c>
      <c r="AF853" s="8" t="n">
        <f aca="false">U853</f>
        <v>0.84586578756897</v>
      </c>
      <c r="AG853" s="2" t="n">
        <f aca="false">AG852+IF(Q853,1,0)</f>
        <v>8</v>
      </c>
      <c r="AH853" s="2" t="n">
        <f aca="false">AG852</f>
        <v>8</v>
      </c>
      <c r="AI853" s="10" t="n">
        <f aca="false">X853+Y853*(E853-AB853)-Y853*AD853*Inputs!$B$13*(A853-AC853)</f>
        <v>983.862971216719</v>
      </c>
      <c r="AJ853" s="10" t="n">
        <v>0</v>
      </c>
      <c r="AK853" s="8" t="n">
        <f aca="false">IF(AND(B853&lt;=U853,NOT(Q853)),B853,U853)*(1-Inputs!$B$12)</f>
        <v>0.845696614411456</v>
      </c>
    </row>
    <row r="854" customFormat="false" ht="15" hidden="false" customHeight="false" outlineLevel="0" collapsed="false">
      <c r="A854" s="6" t="n">
        <v>45638</v>
      </c>
      <c r="B854" s="7" t="n">
        <v>0.851562838415649</v>
      </c>
      <c r="C854" s="7" t="n">
        <v>0.856287909722782</v>
      </c>
      <c r="D854" s="7" t="n">
        <v>0.843364710948749</v>
      </c>
      <c r="E854" s="7" t="n">
        <v>0.844593003185442</v>
      </c>
      <c r="F854" s="8" t="n">
        <f aca="true">IF(ROW()-2&gt;=Inputs!$B$4,AVERAGE(OFFSET(E854,1-Inputs!$B$4,0,Inputs!$B$4,1)),"")</f>
        <v>0.862705066359919</v>
      </c>
      <c r="G854" s="8" t="n">
        <f aca="true">IF(ROW()-2&gt;=Inputs!$B$5,AVERAGE(OFFSET(E854,1-Inputs!$B$5,0,Inputs!$B$5,1)),"")</f>
        <v>0.86667883546526</v>
      </c>
      <c r="H854" s="8" t="n">
        <f aca="false">MAX(C854-D854,ABS(C854-E853),ABS(D854-E853))</f>
        <v>0.0129231987740329</v>
      </c>
      <c r="I854" s="8" t="n">
        <f aca="true">IF(ROW()-2&lt;14,"",IF(ROW()-2=14,AVERAGE(OFFSET(H854,-13,0,14,1)),(I853*13+H854)/14))</f>
        <v>0.00821151108951373</v>
      </c>
      <c r="J854" s="9" t="b">
        <f aca="false">IF(AND(ISNUMBER(F854),ISNUMBER(G854),ISNUMBER(F853),ISNUMBER(G853)),AND(F854&gt;G854,F853&lt;=G853),FALSE())</f>
        <v>0</v>
      </c>
      <c r="K854" s="9" t="b">
        <f aca="false">IF(AND(ISNUMBER(F854),ISNUMBER(G854),ISNUMBER(F853),ISNUMBER(G853)),AND(F854&lt;G854,F853&gt;=G853),FALSE())</f>
        <v>0</v>
      </c>
      <c r="L854" s="8" t="n">
        <f aca="false">IF(ISNUMBER(I854),E854-Inputs!$B$6*I854,"")</f>
        <v>0.828169981006414</v>
      </c>
      <c r="M854" s="9" t="b">
        <f aca="false">AND(Y853&gt;0,Z853)</f>
        <v>0</v>
      </c>
      <c r="N854" s="8" t="n">
        <f aca="false">B854*(1-Inputs!$B$12)</f>
        <v>0.851392525847966</v>
      </c>
      <c r="O854" s="10" t="n">
        <f aca="false">IF(M854,Y853*(N854-AB853)-Inputs!$B$9-Y853*AD853*Inputs!$B$13*(A854-AC853),0)</f>
        <v>0</v>
      </c>
      <c r="P854" s="10" t="n">
        <f aca="false">X853+O854</f>
        <v>983.862971216719</v>
      </c>
      <c r="Q854" s="9" t="b">
        <f aca="false">AND(IF(M854,0,Y853)=0,AA853,IF(ISNUMBER(AE853),B854&gt;AE853,FALSE()))</f>
        <v>0</v>
      </c>
      <c r="R854" s="8" t="n">
        <f aca="false">B854*(1+Inputs!$B$12)</f>
        <v>0.851733150983332</v>
      </c>
      <c r="S854" s="11" t="n">
        <f aca="false">IF(Q854,MIN(P854*Inputs!$B$3/(R854-AE853),P854*Inputs!$B$11/R854),0)</f>
        <v>0</v>
      </c>
      <c r="T854" s="11" t="n">
        <f aca="false">IF(Q854,S854,IF(M854,0,Y853))</f>
        <v>0</v>
      </c>
      <c r="U854" s="8" t="n">
        <f aca="false">IF(Q854,AE853,AF853)</f>
        <v>0.84586578756897</v>
      </c>
      <c r="V854" s="9" t="b">
        <f aca="false">AND(T854&gt;0,D854&lt;=U854)</f>
        <v>0</v>
      </c>
      <c r="W854" s="10" t="n">
        <f aca="false">IF(V854,T854*(AK854-AB854)-Inputs!$B$9-T854*AD854*Inputs!$B$13*(A854-AC854),0)</f>
        <v>0</v>
      </c>
      <c r="X854" s="10" t="n">
        <f aca="false">P854-IF(Q854,Inputs!$B$9,0)+W854</f>
        <v>983.862971216719</v>
      </c>
      <c r="Y854" s="11" t="n">
        <f aca="false">IF(V854,0,T854)</f>
        <v>0</v>
      </c>
      <c r="Z854" s="9" t="b">
        <f aca="false">AND(Y854&gt;0,K854)</f>
        <v>0</v>
      </c>
      <c r="AA854" s="9" t="b">
        <f aca="false">AND(Y854=0,J854,ISNUMBER(L854))</f>
        <v>0</v>
      </c>
      <c r="AB854" s="8" t="n">
        <f aca="false">IF(Q854,R854,AB853)</f>
        <v>0.863339701115261</v>
      </c>
      <c r="AC854" s="12" t="n">
        <f aca="false">IF(Q854,A854,AC853)</f>
        <v>45628</v>
      </c>
      <c r="AD854" s="8" t="n">
        <f aca="false">IF(Q854,B854,AD853)</f>
        <v>0.86316706770172</v>
      </c>
      <c r="AE854" s="8" t="str">
        <f aca="false">IF(AA854,L854,"")</f>
        <v/>
      </c>
      <c r="AF854" s="8" t="n">
        <f aca="false">U854</f>
        <v>0.84586578756897</v>
      </c>
      <c r="AG854" s="2" t="n">
        <f aca="false">AG853+IF(Q854,1,0)</f>
        <v>8</v>
      </c>
      <c r="AH854" s="2" t="n">
        <f aca="false">AG853</f>
        <v>8</v>
      </c>
      <c r="AI854" s="10" t="n">
        <f aca="false">X854+Y854*(E854-AB854)-Y854*AD854*Inputs!$B$13*(A854-AC854)</f>
        <v>983.862971216719</v>
      </c>
      <c r="AJ854" s="10" t="n">
        <v>0</v>
      </c>
      <c r="AK854" s="8" t="n">
        <f aca="false">IF(AND(B854&lt;=U854,NOT(Q854)),B854,U854)*(1-Inputs!$B$12)</f>
        <v>0.845696614411456</v>
      </c>
    </row>
    <row r="855" customFormat="false" ht="15" hidden="false" customHeight="false" outlineLevel="0" collapsed="false">
      <c r="A855" s="6" t="n">
        <v>45639</v>
      </c>
      <c r="B855" s="7" t="n">
        <v>0.844593003185442</v>
      </c>
      <c r="C855" s="7" t="n">
        <v>0.860614393045349</v>
      </c>
      <c r="D855" s="7" t="n">
        <v>0.839644443734396</v>
      </c>
      <c r="E855" s="7" t="n">
        <v>0.854889718493644</v>
      </c>
      <c r="F855" s="8" t="n">
        <f aca="true">IF(ROW()-2&gt;=Inputs!$B$4,AVERAGE(OFFSET(E855,1-Inputs!$B$4,0,Inputs!$B$4,1)),"")</f>
        <v>0.861401478243833</v>
      </c>
      <c r="G855" s="8" t="n">
        <f aca="true">IF(ROW()-2&gt;=Inputs!$B$5,AVERAGE(OFFSET(E855,1-Inputs!$B$5,0,Inputs!$B$5,1)),"")</f>
        <v>0.866276401061526</v>
      </c>
      <c r="H855" s="8" t="n">
        <f aca="false">MAX(C855-D855,ABS(C855-E854),ABS(D855-E854))</f>
        <v>0.0209699493109536</v>
      </c>
      <c r="I855" s="8" t="n">
        <f aca="true">IF(ROW()-2&lt;14,"",IF(ROW()-2=14,AVERAGE(OFFSET(H855,-13,0,14,1)),(I854*13+H855)/14))</f>
        <v>0.00912282810533087</v>
      </c>
      <c r="J855" s="9" t="b">
        <f aca="false">IF(AND(ISNUMBER(F855),ISNUMBER(G855),ISNUMBER(F854),ISNUMBER(G854)),AND(F855&gt;G855,F854&lt;=G854),FALSE())</f>
        <v>0</v>
      </c>
      <c r="K855" s="9" t="b">
        <f aca="false">IF(AND(ISNUMBER(F855),ISNUMBER(G855),ISNUMBER(F854),ISNUMBER(G854)),AND(F855&lt;G855,F854&gt;=G854),FALSE())</f>
        <v>0</v>
      </c>
      <c r="L855" s="8" t="n">
        <f aca="false">IF(ISNUMBER(I855),E855-Inputs!$B$6*I855,"")</f>
        <v>0.836644062282983</v>
      </c>
      <c r="M855" s="9" t="b">
        <f aca="false">AND(Y854&gt;0,Z854)</f>
        <v>0</v>
      </c>
      <c r="N855" s="8" t="n">
        <f aca="false">B855*(1-Inputs!$B$12)</f>
        <v>0.844424084584805</v>
      </c>
      <c r="O855" s="10" t="n">
        <f aca="false">IF(M855,Y854*(N855-AB854)-Inputs!$B$9-Y854*AD854*Inputs!$B$13*(A855-AC854),0)</f>
        <v>0</v>
      </c>
      <c r="P855" s="10" t="n">
        <f aca="false">X854+O855</f>
        <v>983.862971216719</v>
      </c>
      <c r="Q855" s="9" t="b">
        <f aca="false">AND(IF(M855,0,Y854)=0,AA854,IF(ISNUMBER(AE854),B855&gt;AE854,FALSE()))</f>
        <v>0</v>
      </c>
      <c r="R855" s="8" t="n">
        <f aca="false">B855*(1+Inputs!$B$12)</f>
        <v>0.844761921786079</v>
      </c>
      <c r="S855" s="11" t="n">
        <f aca="false">IF(Q855,MIN(P855*Inputs!$B$3/(R855-AE854),P855*Inputs!$B$11/R855),0)</f>
        <v>0</v>
      </c>
      <c r="T855" s="11" t="n">
        <f aca="false">IF(Q855,S855,IF(M855,0,Y854))</f>
        <v>0</v>
      </c>
      <c r="U855" s="8" t="n">
        <f aca="false">IF(Q855,AE854,AF854)</f>
        <v>0.84586578756897</v>
      </c>
      <c r="V855" s="9" t="b">
        <f aca="false">AND(T855&gt;0,D855&lt;=U855)</f>
        <v>0</v>
      </c>
      <c r="W855" s="10" t="n">
        <f aca="false">IF(V855,T855*(AK855-AB855)-Inputs!$B$9-T855*AD855*Inputs!$B$13*(A855-AC855),0)</f>
        <v>0</v>
      </c>
      <c r="X855" s="10" t="n">
        <f aca="false">P855-IF(Q855,Inputs!$B$9,0)+W855</f>
        <v>983.862971216719</v>
      </c>
      <c r="Y855" s="11" t="n">
        <f aca="false">IF(V855,0,T855)</f>
        <v>0</v>
      </c>
      <c r="Z855" s="9" t="b">
        <f aca="false">AND(Y855&gt;0,K855)</f>
        <v>0</v>
      </c>
      <c r="AA855" s="9" t="b">
        <f aca="false">AND(Y855=0,J855,ISNUMBER(L855))</f>
        <v>0</v>
      </c>
      <c r="AB855" s="8" t="n">
        <f aca="false">IF(Q855,R855,AB854)</f>
        <v>0.863339701115261</v>
      </c>
      <c r="AC855" s="12" t="n">
        <f aca="false">IF(Q855,A855,AC854)</f>
        <v>45628</v>
      </c>
      <c r="AD855" s="8" t="n">
        <f aca="false">IF(Q855,B855,AD854)</f>
        <v>0.86316706770172</v>
      </c>
      <c r="AE855" s="8" t="str">
        <f aca="false">IF(AA855,L855,"")</f>
        <v/>
      </c>
      <c r="AF855" s="8" t="n">
        <f aca="false">U855</f>
        <v>0.84586578756897</v>
      </c>
      <c r="AG855" s="2" t="n">
        <f aca="false">AG854+IF(Q855,1,0)</f>
        <v>8</v>
      </c>
      <c r="AH855" s="2" t="n">
        <f aca="false">AG854</f>
        <v>8</v>
      </c>
      <c r="AI855" s="10" t="n">
        <f aca="false">X855+Y855*(E855-AB855)-Y855*AD855*Inputs!$B$13*(A855-AC855)</f>
        <v>983.862971216719</v>
      </c>
      <c r="AJ855" s="10" t="n">
        <v>0</v>
      </c>
      <c r="AK855" s="8" t="n">
        <f aca="false">IF(AND(B855&lt;=U855,NOT(Q855)),B855,U855)*(1-Inputs!$B$12)</f>
        <v>0.844424084584805</v>
      </c>
    </row>
    <row r="856" customFormat="false" ht="15" hidden="false" customHeight="false" outlineLevel="0" collapsed="false">
      <c r="A856" s="6" t="n">
        <v>45640</v>
      </c>
      <c r="B856" s="7" t="n">
        <v>0.854889718493644</v>
      </c>
      <c r="C856" s="7" t="n">
        <v>0.857802423752329</v>
      </c>
      <c r="D856" s="7" t="n">
        <v>0.849368614808171</v>
      </c>
      <c r="E856" s="7" t="n">
        <v>0.857435850706762</v>
      </c>
      <c r="F856" s="8" t="n">
        <f aca="true">IF(ROW()-2&gt;=Inputs!$B$4,AVERAGE(OFFSET(E856,1-Inputs!$B$4,0,Inputs!$B$4,1)),"")</f>
        <v>0.860185886282655</v>
      </c>
      <c r="G856" s="8" t="n">
        <f aca="true">IF(ROW()-2&gt;=Inputs!$B$5,AVERAGE(OFFSET(E856,1-Inputs!$B$5,0,Inputs!$B$5,1)),"")</f>
        <v>0.865868697812584</v>
      </c>
      <c r="H856" s="8" t="n">
        <f aca="false">MAX(C856-D856,ABS(C856-E855),ABS(D856-E855))</f>
        <v>0.00843380894415824</v>
      </c>
      <c r="I856" s="8" t="n">
        <f aca="true">IF(ROW()-2&lt;14,"",IF(ROW()-2=14,AVERAGE(OFFSET(H856,-13,0,14,1)),(I855*13+H856)/14))</f>
        <v>0.00907361245096139</v>
      </c>
      <c r="J856" s="9" t="b">
        <f aca="false">IF(AND(ISNUMBER(F856),ISNUMBER(G856),ISNUMBER(F855),ISNUMBER(G855)),AND(F856&gt;G856,F855&lt;=G855),FALSE())</f>
        <v>0</v>
      </c>
      <c r="K856" s="9" t="b">
        <f aca="false">IF(AND(ISNUMBER(F856),ISNUMBER(G856),ISNUMBER(F855),ISNUMBER(G855)),AND(F856&lt;G856,F855&gt;=G855),FALSE())</f>
        <v>0</v>
      </c>
      <c r="L856" s="8" t="n">
        <f aca="false">IF(ISNUMBER(I856),E856-Inputs!$B$6*I856,"")</f>
        <v>0.839288625804839</v>
      </c>
      <c r="M856" s="9" t="b">
        <f aca="false">AND(Y855&gt;0,Z855)</f>
        <v>0</v>
      </c>
      <c r="N856" s="8" t="n">
        <f aca="false">B856*(1-Inputs!$B$12)</f>
        <v>0.854718740549946</v>
      </c>
      <c r="O856" s="10" t="n">
        <f aca="false">IF(M856,Y855*(N856-AB855)-Inputs!$B$9-Y855*AD855*Inputs!$B$13*(A856-AC855),0)</f>
        <v>0</v>
      </c>
      <c r="P856" s="10" t="n">
        <f aca="false">X855+O856</f>
        <v>983.862971216719</v>
      </c>
      <c r="Q856" s="9" t="b">
        <f aca="false">AND(IF(M856,0,Y855)=0,AA855,IF(ISNUMBER(AE855),B856&gt;AE855,FALSE()))</f>
        <v>0</v>
      </c>
      <c r="R856" s="8" t="n">
        <f aca="false">B856*(1+Inputs!$B$12)</f>
        <v>0.855060696437343</v>
      </c>
      <c r="S856" s="11" t="n">
        <f aca="false">IF(Q856,MIN(P856*Inputs!$B$3/(R856-AE855),P856*Inputs!$B$11/R856),0)</f>
        <v>0</v>
      </c>
      <c r="T856" s="11" t="n">
        <f aca="false">IF(Q856,S856,IF(M856,0,Y855))</f>
        <v>0</v>
      </c>
      <c r="U856" s="8" t="n">
        <f aca="false">IF(Q856,AE855,AF855)</f>
        <v>0.84586578756897</v>
      </c>
      <c r="V856" s="9" t="b">
        <f aca="false">AND(T856&gt;0,D856&lt;=U856)</f>
        <v>0</v>
      </c>
      <c r="W856" s="10" t="n">
        <f aca="false">IF(V856,T856*(AK856-AB856)-Inputs!$B$9-T856*AD856*Inputs!$B$13*(A856-AC856),0)</f>
        <v>0</v>
      </c>
      <c r="X856" s="10" t="n">
        <f aca="false">P856-IF(Q856,Inputs!$B$9,0)+W856</f>
        <v>983.862971216719</v>
      </c>
      <c r="Y856" s="11" t="n">
        <f aca="false">IF(V856,0,T856)</f>
        <v>0</v>
      </c>
      <c r="Z856" s="9" t="b">
        <f aca="false">AND(Y856&gt;0,K856)</f>
        <v>0</v>
      </c>
      <c r="AA856" s="9" t="b">
        <f aca="false">AND(Y856=0,J856,ISNUMBER(L856))</f>
        <v>0</v>
      </c>
      <c r="AB856" s="8" t="n">
        <f aca="false">IF(Q856,R856,AB855)</f>
        <v>0.863339701115261</v>
      </c>
      <c r="AC856" s="12" t="n">
        <f aca="false">IF(Q856,A856,AC855)</f>
        <v>45628</v>
      </c>
      <c r="AD856" s="8" t="n">
        <f aca="false">IF(Q856,B856,AD855)</f>
        <v>0.86316706770172</v>
      </c>
      <c r="AE856" s="8" t="str">
        <f aca="false">IF(AA856,L856,"")</f>
        <v/>
      </c>
      <c r="AF856" s="8" t="n">
        <f aca="false">U856</f>
        <v>0.84586578756897</v>
      </c>
      <c r="AG856" s="2" t="n">
        <f aca="false">AG855+IF(Q856,1,0)</f>
        <v>8</v>
      </c>
      <c r="AH856" s="2" t="n">
        <f aca="false">AG855</f>
        <v>8</v>
      </c>
      <c r="AI856" s="10" t="n">
        <f aca="false">X856+Y856*(E856-AB856)-Y856*AD856*Inputs!$B$13*(A856-AC856)</f>
        <v>983.862971216719</v>
      </c>
      <c r="AJ856" s="10" t="n">
        <v>0</v>
      </c>
      <c r="AK856" s="8" t="n">
        <f aca="false">IF(AND(B856&lt;=U856,NOT(Q856)),B856,U856)*(1-Inputs!$B$12)</f>
        <v>0.845696614411456</v>
      </c>
    </row>
    <row r="857" customFormat="false" ht="15" hidden="false" customHeight="false" outlineLevel="0" collapsed="false">
      <c r="A857" s="6" t="n">
        <v>45641</v>
      </c>
      <c r="B857" s="7" t="n">
        <v>0.857435850706762</v>
      </c>
      <c r="C857" s="7" t="n">
        <v>0.860782457402687</v>
      </c>
      <c r="D857" s="7" t="n">
        <v>0.853964605052242</v>
      </c>
      <c r="E857" s="7" t="n">
        <v>0.854919872118637</v>
      </c>
      <c r="F857" s="8" t="n">
        <f aca="true">IF(ROW()-2&gt;=Inputs!$B$4,AVERAGE(OFFSET(E857,1-Inputs!$B$4,0,Inputs!$B$4,1)),"")</f>
        <v>0.858968424135687</v>
      </c>
      <c r="G857" s="8" t="n">
        <f aca="true">IF(ROW()-2&gt;=Inputs!$B$5,AVERAGE(OFFSET(E857,1-Inputs!$B$5,0,Inputs!$B$5,1)),"")</f>
        <v>0.865348333281576</v>
      </c>
      <c r="H857" s="8" t="n">
        <f aca="false">MAX(C857-D857,ABS(C857-E856),ABS(D857-E856))</f>
        <v>0.00681785235044441</v>
      </c>
      <c r="I857" s="8" t="n">
        <f aca="true">IF(ROW()-2&lt;14,"",IF(ROW()-2=14,AVERAGE(OFFSET(H857,-13,0,14,1)),(I856*13+H857)/14))</f>
        <v>0.00891248672949589</v>
      </c>
      <c r="J857" s="9" t="b">
        <f aca="false">IF(AND(ISNUMBER(F857),ISNUMBER(G857),ISNUMBER(F856),ISNUMBER(G856)),AND(F857&gt;G857,F856&lt;=G856),FALSE())</f>
        <v>0</v>
      </c>
      <c r="K857" s="9" t="b">
        <f aca="false">IF(AND(ISNUMBER(F857),ISNUMBER(G857),ISNUMBER(F856),ISNUMBER(G856)),AND(F857&lt;G857,F856&gt;=G856),FALSE())</f>
        <v>0</v>
      </c>
      <c r="L857" s="8" t="n">
        <f aca="false">IF(ISNUMBER(I857),E857-Inputs!$B$6*I857,"")</f>
        <v>0.837094898659645</v>
      </c>
      <c r="M857" s="9" t="b">
        <f aca="false">AND(Y856&gt;0,Z856)</f>
        <v>0</v>
      </c>
      <c r="N857" s="8" t="n">
        <f aca="false">B857*(1-Inputs!$B$12)</f>
        <v>0.85726436353662</v>
      </c>
      <c r="O857" s="10" t="n">
        <f aca="false">IF(M857,Y856*(N857-AB856)-Inputs!$B$9-Y856*AD856*Inputs!$B$13*(A857-AC856),0)</f>
        <v>0</v>
      </c>
      <c r="P857" s="10" t="n">
        <f aca="false">X856+O857</f>
        <v>983.862971216719</v>
      </c>
      <c r="Q857" s="9" t="b">
        <f aca="false">AND(IF(M857,0,Y856)=0,AA856,IF(ISNUMBER(AE856),B857&gt;AE856,FALSE()))</f>
        <v>0</v>
      </c>
      <c r="R857" s="8" t="n">
        <f aca="false">B857*(1+Inputs!$B$12)</f>
        <v>0.857607337876903</v>
      </c>
      <c r="S857" s="11" t="n">
        <f aca="false">IF(Q857,MIN(P857*Inputs!$B$3/(R857-AE856),P857*Inputs!$B$11/R857),0)</f>
        <v>0</v>
      </c>
      <c r="T857" s="11" t="n">
        <f aca="false">IF(Q857,S857,IF(M857,0,Y856))</f>
        <v>0</v>
      </c>
      <c r="U857" s="8" t="n">
        <f aca="false">IF(Q857,AE856,AF856)</f>
        <v>0.84586578756897</v>
      </c>
      <c r="V857" s="9" t="b">
        <f aca="false">AND(T857&gt;0,D857&lt;=U857)</f>
        <v>0</v>
      </c>
      <c r="W857" s="10" t="n">
        <f aca="false">IF(V857,T857*(AK857-AB857)-Inputs!$B$9-T857*AD857*Inputs!$B$13*(A857-AC857),0)</f>
        <v>0</v>
      </c>
      <c r="X857" s="10" t="n">
        <f aca="false">P857-IF(Q857,Inputs!$B$9,0)+W857</f>
        <v>983.862971216719</v>
      </c>
      <c r="Y857" s="11" t="n">
        <f aca="false">IF(V857,0,T857)</f>
        <v>0</v>
      </c>
      <c r="Z857" s="9" t="b">
        <f aca="false">AND(Y857&gt;0,K857)</f>
        <v>0</v>
      </c>
      <c r="AA857" s="9" t="b">
        <f aca="false">AND(Y857=0,J857,ISNUMBER(L857))</f>
        <v>0</v>
      </c>
      <c r="AB857" s="8" t="n">
        <f aca="false">IF(Q857,R857,AB856)</f>
        <v>0.863339701115261</v>
      </c>
      <c r="AC857" s="12" t="n">
        <f aca="false">IF(Q857,A857,AC856)</f>
        <v>45628</v>
      </c>
      <c r="AD857" s="8" t="n">
        <f aca="false">IF(Q857,B857,AD856)</f>
        <v>0.86316706770172</v>
      </c>
      <c r="AE857" s="8" t="str">
        <f aca="false">IF(AA857,L857,"")</f>
        <v/>
      </c>
      <c r="AF857" s="8" t="n">
        <f aca="false">U857</f>
        <v>0.84586578756897</v>
      </c>
      <c r="AG857" s="2" t="n">
        <f aca="false">AG856+IF(Q857,1,0)</f>
        <v>8</v>
      </c>
      <c r="AH857" s="2" t="n">
        <f aca="false">AG856</f>
        <v>8</v>
      </c>
      <c r="AI857" s="10" t="n">
        <f aca="false">X857+Y857*(E857-AB857)-Y857*AD857*Inputs!$B$13*(A857-AC857)</f>
        <v>983.862971216719</v>
      </c>
      <c r="AJ857" s="10" t="n">
        <v>0</v>
      </c>
      <c r="AK857" s="8" t="n">
        <f aca="false">IF(AND(B857&lt;=U857,NOT(Q857)),B857,U857)*(1-Inputs!$B$12)</f>
        <v>0.845696614411456</v>
      </c>
    </row>
    <row r="858" customFormat="false" ht="15" hidden="false" customHeight="false" outlineLevel="0" collapsed="false">
      <c r="A858" s="6" t="n">
        <v>45642</v>
      </c>
      <c r="B858" s="7" t="n">
        <v>0.854919872118637</v>
      </c>
      <c r="C858" s="7" t="n">
        <v>0.855936082207151</v>
      </c>
      <c r="D858" s="7" t="n">
        <v>0.850224740215021</v>
      </c>
      <c r="E858" s="7" t="n">
        <v>0.851928190436034</v>
      </c>
      <c r="F858" s="8" t="n">
        <f aca="true">IF(ROW()-2&gt;=Inputs!$B$4,AVERAGE(OFFSET(E858,1-Inputs!$B$4,0,Inputs!$B$4,1)),"")</f>
        <v>0.857763226853497</v>
      </c>
      <c r="G858" s="8" t="n">
        <f aca="true">IF(ROW()-2&gt;=Inputs!$B$5,AVERAGE(OFFSET(E858,1-Inputs!$B$5,0,Inputs!$B$5,1)),"")</f>
        <v>0.864848847389881</v>
      </c>
      <c r="H858" s="8" t="n">
        <f aca="false">MAX(C858-D858,ABS(C858-E857),ABS(D858-E857))</f>
        <v>0.00571134199212953</v>
      </c>
      <c r="I858" s="8" t="n">
        <f aca="true">IF(ROW()-2&lt;14,"",IF(ROW()-2=14,AVERAGE(OFFSET(H858,-13,0,14,1)),(I857*13+H858)/14))</f>
        <v>0.00868383353396973</v>
      </c>
      <c r="J858" s="9" t="b">
        <f aca="false">IF(AND(ISNUMBER(F858),ISNUMBER(G858),ISNUMBER(F857),ISNUMBER(G857)),AND(F858&gt;G858,F857&lt;=G857),FALSE())</f>
        <v>0</v>
      </c>
      <c r="K858" s="9" t="b">
        <f aca="false">IF(AND(ISNUMBER(F858),ISNUMBER(G858),ISNUMBER(F857),ISNUMBER(G857)),AND(F858&lt;G858,F857&gt;=G857),FALSE())</f>
        <v>0</v>
      </c>
      <c r="L858" s="8" t="n">
        <f aca="false">IF(ISNUMBER(I858),E858-Inputs!$B$6*I858,"")</f>
        <v>0.834560523368094</v>
      </c>
      <c r="M858" s="9" t="b">
        <f aca="false">AND(Y857&gt;0,Z857)</f>
        <v>0</v>
      </c>
      <c r="N858" s="8" t="n">
        <f aca="false">B858*(1-Inputs!$B$12)</f>
        <v>0.854748888144213</v>
      </c>
      <c r="O858" s="10" t="n">
        <f aca="false">IF(M858,Y857*(N858-AB857)-Inputs!$B$9-Y857*AD857*Inputs!$B$13*(A858-AC857),0)</f>
        <v>0</v>
      </c>
      <c r="P858" s="10" t="n">
        <f aca="false">X857+O858</f>
        <v>983.862971216719</v>
      </c>
      <c r="Q858" s="9" t="b">
        <f aca="false">AND(IF(M858,0,Y857)=0,AA857,IF(ISNUMBER(AE857),B858&gt;AE857,FALSE()))</f>
        <v>0</v>
      </c>
      <c r="R858" s="8" t="n">
        <f aca="false">B858*(1+Inputs!$B$12)</f>
        <v>0.855090856093061</v>
      </c>
      <c r="S858" s="11" t="n">
        <f aca="false">IF(Q858,MIN(P858*Inputs!$B$3/(R858-AE857),P858*Inputs!$B$11/R858),0)</f>
        <v>0</v>
      </c>
      <c r="T858" s="11" t="n">
        <f aca="false">IF(Q858,S858,IF(M858,0,Y857))</f>
        <v>0</v>
      </c>
      <c r="U858" s="8" t="n">
        <f aca="false">IF(Q858,AE857,AF857)</f>
        <v>0.84586578756897</v>
      </c>
      <c r="V858" s="9" t="b">
        <f aca="false">AND(T858&gt;0,D858&lt;=U858)</f>
        <v>0</v>
      </c>
      <c r="W858" s="10" t="n">
        <f aca="false">IF(V858,T858*(AK858-AB858)-Inputs!$B$9-T858*AD858*Inputs!$B$13*(A858-AC858),0)</f>
        <v>0</v>
      </c>
      <c r="X858" s="10" t="n">
        <f aca="false">P858-IF(Q858,Inputs!$B$9,0)+W858</f>
        <v>983.862971216719</v>
      </c>
      <c r="Y858" s="11" t="n">
        <f aca="false">IF(V858,0,T858)</f>
        <v>0</v>
      </c>
      <c r="Z858" s="9" t="b">
        <f aca="false">AND(Y858&gt;0,K858)</f>
        <v>0</v>
      </c>
      <c r="AA858" s="9" t="b">
        <f aca="false">AND(Y858=0,J858,ISNUMBER(L858))</f>
        <v>0</v>
      </c>
      <c r="AB858" s="8" t="n">
        <f aca="false">IF(Q858,R858,AB857)</f>
        <v>0.863339701115261</v>
      </c>
      <c r="AC858" s="12" t="n">
        <f aca="false">IF(Q858,A858,AC857)</f>
        <v>45628</v>
      </c>
      <c r="AD858" s="8" t="n">
        <f aca="false">IF(Q858,B858,AD857)</f>
        <v>0.86316706770172</v>
      </c>
      <c r="AE858" s="8" t="str">
        <f aca="false">IF(AA858,L858,"")</f>
        <v/>
      </c>
      <c r="AF858" s="8" t="n">
        <f aca="false">U858</f>
        <v>0.84586578756897</v>
      </c>
      <c r="AG858" s="2" t="n">
        <f aca="false">AG857+IF(Q858,1,0)</f>
        <v>8</v>
      </c>
      <c r="AH858" s="2" t="n">
        <f aca="false">AG857</f>
        <v>8</v>
      </c>
      <c r="AI858" s="10" t="n">
        <f aca="false">X858+Y858*(E858-AB858)-Y858*AD858*Inputs!$B$13*(A858-AC858)</f>
        <v>983.862971216719</v>
      </c>
      <c r="AJ858" s="10" t="n">
        <v>0</v>
      </c>
      <c r="AK858" s="8" t="n">
        <f aca="false">IF(AND(B858&lt;=U858,NOT(Q858)),B858,U858)*(1-Inputs!$B$12)</f>
        <v>0.845696614411456</v>
      </c>
    </row>
    <row r="859" customFormat="false" ht="15" hidden="false" customHeight="false" outlineLevel="0" collapsed="false">
      <c r="A859" s="6" t="n">
        <v>45643</v>
      </c>
      <c r="B859" s="7" t="n">
        <v>0.851928190436034</v>
      </c>
      <c r="C859" s="7" t="n">
        <v>0.852678381167081</v>
      </c>
      <c r="D859" s="7" t="n">
        <v>0.841998030171465</v>
      </c>
      <c r="E859" s="7" t="n">
        <v>0.847630530835694</v>
      </c>
      <c r="F859" s="8" t="n">
        <f aca="true">IF(ROW()-2&gt;=Inputs!$B$4,AVERAGE(OFFSET(E859,1-Inputs!$B$4,0,Inputs!$B$4,1)),"")</f>
        <v>0.856285576081852</v>
      </c>
      <c r="G859" s="8" t="n">
        <f aca="true">IF(ROW()-2&gt;=Inputs!$B$5,AVERAGE(OFFSET(E859,1-Inputs!$B$5,0,Inputs!$B$5,1)),"")</f>
        <v>0.864294590864136</v>
      </c>
      <c r="H859" s="8" t="n">
        <f aca="false">MAX(C859-D859,ABS(C859-E858),ABS(D859-E858))</f>
        <v>0.0106803509956162</v>
      </c>
      <c r="I859" s="8" t="n">
        <f aca="true">IF(ROW()-2&lt;14,"",IF(ROW()-2=14,AVERAGE(OFFSET(H859,-13,0,14,1)),(I858*13+H859)/14))</f>
        <v>0.00882644192408733</v>
      </c>
      <c r="J859" s="9" t="b">
        <f aca="false">IF(AND(ISNUMBER(F859),ISNUMBER(G859),ISNUMBER(F858),ISNUMBER(G858)),AND(F859&gt;G859,F858&lt;=G858),FALSE())</f>
        <v>0</v>
      </c>
      <c r="K859" s="9" t="b">
        <f aca="false">IF(AND(ISNUMBER(F859),ISNUMBER(G859),ISNUMBER(F858),ISNUMBER(G858)),AND(F859&lt;G859,F858&gt;=G858),FALSE())</f>
        <v>0</v>
      </c>
      <c r="L859" s="8" t="n">
        <f aca="false">IF(ISNUMBER(I859),E859-Inputs!$B$6*I859,"")</f>
        <v>0.82997764698752</v>
      </c>
      <c r="M859" s="9" t="b">
        <f aca="false">AND(Y858&gt;0,Z858)</f>
        <v>0</v>
      </c>
      <c r="N859" s="8" t="n">
        <f aca="false">B859*(1-Inputs!$B$12)</f>
        <v>0.851757804797946</v>
      </c>
      <c r="O859" s="10" t="n">
        <f aca="false">IF(M859,Y858*(N859-AB858)-Inputs!$B$9-Y858*AD858*Inputs!$B$13*(A859-AC858),0)</f>
        <v>0</v>
      </c>
      <c r="P859" s="10" t="n">
        <f aca="false">X858+O859</f>
        <v>983.862971216719</v>
      </c>
      <c r="Q859" s="9" t="b">
        <f aca="false">AND(IF(M859,0,Y858)=0,AA858,IF(ISNUMBER(AE858),B859&gt;AE858,FALSE()))</f>
        <v>0</v>
      </c>
      <c r="R859" s="8" t="n">
        <f aca="false">B859*(1+Inputs!$B$12)</f>
        <v>0.852098576074121</v>
      </c>
      <c r="S859" s="11" t="n">
        <f aca="false">IF(Q859,MIN(P859*Inputs!$B$3/(R859-AE858),P859*Inputs!$B$11/R859),0)</f>
        <v>0</v>
      </c>
      <c r="T859" s="11" t="n">
        <f aca="false">IF(Q859,S859,IF(M859,0,Y858))</f>
        <v>0</v>
      </c>
      <c r="U859" s="8" t="n">
        <f aca="false">IF(Q859,AE858,AF858)</f>
        <v>0.84586578756897</v>
      </c>
      <c r="V859" s="9" t="b">
        <f aca="false">AND(T859&gt;0,D859&lt;=U859)</f>
        <v>0</v>
      </c>
      <c r="W859" s="10" t="n">
        <f aca="false">IF(V859,T859*(AK859-AB859)-Inputs!$B$9-T859*AD859*Inputs!$B$13*(A859-AC859),0)</f>
        <v>0</v>
      </c>
      <c r="X859" s="10" t="n">
        <f aca="false">P859-IF(Q859,Inputs!$B$9,0)+W859</f>
        <v>983.862971216719</v>
      </c>
      <c r="Y859" s="11" t="n">
        <f aca="false">IF(V859,0,T859)</f>
        <v>0</v>
      </c>
      <c r="Z859" s="9" t="b">
        <f aca="false">AND(Y859&gt;0,K859)</f>
        <v>0</v>
      </c>
      <c r="AA859" s="9" t="b">
        <f aca="false">AND(Y859=0,J859,ISNUMBER(L859))</f>
        <v>0</v>
      </c>
      <c r="AB859" s="8" t="n">
        <f aca="false">IF(Q859,R859,AB858)</f>
        <v>0.863339701115261</v>
      </c>
      <c r="AC859" s="12" t="n">
        <f aca="false">IF(Q859,A859,AC858)</f>
        <v>45628</v>
      </c>
      <c r="AD859" s="8" t="n">
        <f aca="false">IF(Q859,B859,AD858)</f>
        <v>0.86316706770172</v>
      </c>
      <c r="AE859" s="8" t="str">
        <f aca="false">IF(AA859,L859,"")</f>
        <v/>
      </c>
      <c r="AF859" s="8" t="n">
        <f aca="false">U859</f>
        <v>0.84586578756897</v>
      </c>
      <c r="AG859" s="2" t="n">
        <f aca="false">AG858+IF(Q859,1,0)</f>
        <v>8</v>
      </c>
      <c r="AH859" s="2" t="n">
        <f aca="false">AG858</f>
        <v>8</v>
      </c>
      <c r="AI859" s="10" t="n">
        <f aca="false">X859+Y859*(E859-AB859)-Y859*AD859*Inputs!$B$13*(A859-AC859)</f>
        <v>983.862971216719</v>
      </c>
      <c r="AJ859" s="10" t="n">
        <v>0</v>
      </c>
      <c r="AK859" s="8" t="n">
        <f aca="false">IF(AND(B859&lt;=U859,NOT(Q859)),B859,U859)*(1-Inputs!$B$12)</f>
        <v>0.845696614411456</v>
      </c>
    </row>
    <row r="860" customFormat="false" ht="15" hidden="false" customHeight="false" outlineLevel="0" collapsed="false">
      <c r="A860" s="6" t="n">
        <v>45644</v>
      </c>
      <c r="B860" s="7" t="n">
        <v>0.847630530835694</v>
      </c>
      <c r="C860" s="7" t="n">
        <v>0.852082687647899</v>
      </c>
      <c r="D860" s="7" t="n">
        <v>0.840022900485162</v>
      </c>
      <c r="E860" s="7" t="n">
        <v>0.850196551429989</v>
      </c>
      <c r="F860" s="8" t="n">
        <f aca="true">IF(ROW()-2&gt;=Inputs!$B$4,AVERAGE(OFFSET(E860,1-Inputs!$B$4,0,Inputs!$B$4,1)),"")</f>
        <v>0.854958211706692</v>
      </c>
      <c r="G860" s="8" t="n">
        <f aca="true">IF(ROW()-2&gt;=Inputs!$B$5,AVERAGE(OFFSET(E860,1-Inputs!$B$5,0,Inputs!$B$5,1)),"")</f>
        <v>0.863646590999113</v>
      </c>
      <c r="H860" s="8" t="n">
        <f aca="false">MAX(C860-D860,ABS(C860-E859),ABS(D860-E859))</f>
        <v>0.0120597871627373</v>
      </c>
      <c r="I860" s="8" t="n">
        <f aca="true">IF(ROW()-2&lt;14,"",IF(ROW()-2=14,AVERAGE(OFFSET(H860,-13,0,14,1)),(I859*13+H860)/14))</f>
        <v>0.00905739515541947</v>
      </c>
      <c r="J860" s="9" t="b">
        <f aca="false">IF(AND(ISNUMBER(F860),ISNUMBER(G860),ISNUMBER(F859),ISNUMBER(G859)),AND(F860&gt;G860,F859&lt;=G859),FALSE())</f>
        <v>0</v>
      </c>
      <c r="K860" s="9" t="b">
        <f aca="false">IF(AND(ISNUMBER(F860),ISNUMBER(G860),ISNUMBER(F859),ISNUMBER(G859)),AND(F860&lt;G860,F859&gt;=G859),FALSE())</f>
        <v>0</v>
      </c>
      <c r="L860" s="8" t="n">
        <f aca="false">IF(ISNUMBER(I860),E860-Inputs!$B$6*I860,"")</f>
        <v>0.83208176111915</v>
      </c>
      <c r="M860" s="9" t="b">
        <f aca="false">AND(Y859&gt;0,Z859)</f>
        <v>0</v>
      </c>
      <c r="N860" s="8" t="n">
        <f aca="false">B860*(1-Inputs!$B$12)</f>
        <v>0.847461004729527</v>
      </c>
      <c r="O860" s="10" t="n">
        <f aca="false">IF(M860,Y859*(N860-AB859)-Inputs!$B$9-Y859*AD859*Inputs!$B$13*(A860-AC859),0)</f>
        <v>0</v>
      </c>
      <c r="P860" s="10" t="n">
        <f aca="false">X859+O860</f>
        <v>983.862971216719</v>
      </c>
      <c r="Q860" s="9" t="b">
        <f aca="false">AND(IF(M860,0,Y859)=0,AA859,IF(ISNUMBER(AE859),B860&gt;AE859,FALSE()))</f>
        <v>0</v>
      </c>
      <c r="R860" s="8" t="n">
        <f aca="false">B860*(1+Inputs!$B$12)</f>
        <v>0.847800056941861</v>
      </c>
      <c r="S860" s="11" t="n">
        <f aca="false">IF(Q860,MIN(P860*Inputs!$B$3/(R860-AE859),P860*Inputs!$B$11/R860),0)</f>
        <v>0</v>
      </c>
      <c r="T860" s="11" t="n">
        <f aca="false">IF(Q860,S860,IF(M860,0,Y859))</f>
        <v>0</v>
      </c>
      <c r="U860" s="8" t="n">
        <f aca="false">IF(Q860,AE859,AF859)</f>
        <v>0.84586578756897</v>
      </c>
      <c r="V860" s="9" t="b">
        <f aca="false">AND(T860&gt;0,D860&lt;=U860)</f>
        <v>0</v>
      </c>
      <c r="W860" s="10" t="n">
        <f aca="false">IF(V860,T860*(AK860-AB860)-Inputs!$B$9-T860*AD860*Inputs!$B$13*(A860-AC860),0)</f>
        <v>0</v>
      </c>
      <c r="X860" s="10" t="n">
        <f aca="false">P860-IF(Q860,Inputs!$B$9,0)+W860</f>
        <v>983.862971216719</v>
      </c>
      <c r="Y860" s="11" t="n">
        <f aca="false">IF(V860,0,T860)</f>
        <v>0</v>
      </c>
      <c r="Z860" s="9" t="b">
        <f aca="false">AND(Y860&gt;0,K860)</f>
        <v>0</v>
      </c>
      <c r="AA860" s="9" t="b">
        <f aca="false">AND(Y860=0,J860,ISNUMBER(L860))</f>
        <v>0</v>
      </c>
      <c r="AB860" s="8" t="n">
        <f aca="false">IF(Q860,R860,AB859)</f>
        <v>0.863339701115261</v>
      </c>
      <c r="AC860" s="12" t="n">
        <f aca="false">IF(Q860,A860,AC859)</f>
        <v>45628</v>
      </c>
      <c r="AD860" s="8" t="n">
        <f aca="false">IF(Q860,B860,AD859)</f>
        <v>0.86316706770172</v>
      </c>
      <c r="AE860" s="8" t="str">
        <f aca="false">IF(AA860,L860,"")</f>
        <v/>
      </c>
      <c r="AF860" s="8" t="n">
        <f aca="false">U860</f>
        <v>0.84586578756897</v>
      </c>
      <c r="AG860" s="2" t="n">
        <f aca="false">AG859+IF(Q860,1,0)</f>
        <v>8</v>
      </c>
      <c r="AH860" s="2" t="n">
        <f aca="false">AG859</f>
        <v>8</v>
      </c>
      <c r="AI860" s="10" t="n">
        <f aca="false">X860+Y860*(E860-AB860)-Y860*AD860*Inputs!$B$13*(A860-AC860)</f>
        <v>983.862971216719</v>
      </c>
      <c r="AJ860" s="10" t="n">
        <v>0</v>
      </c>
      <c r="AK860" s="8" t="n">
        <f aca="false">IF(AND(B860&lt;=U860,NOT(Q860)),B860,U860)*(1-Inputs!$B$12)</f>
        <v>0.845696614411456</v>
      </c>
    </row>
    <row r="861" customFormat="false" ht="15" hidden="false" customHeight="false" outlineLevel="0" collapsed="false">
      <c r="A861" s="6" t="n">
        <v>45645</v>
      </c>
      <c r="B861" s="7" t="n">
        <v>0.850196551429989</v>
      </c>
      <c r="C861" s="7" t="n">
        <v>0.859357001211256</v>
      </c>
      <c r="D861" s="7" t="n">
        <v>0.848862115401413</v>
      </c>
      <c r="E861" s="7" t="n">
        <v>0.853556086228571</v>
      </c>
      <c r="F861" s="8" t="n">
        <f aca="true">IF(ROW()-2&gt;=Inputs!$B$4,AVERAGE(OFFSET(E861,1-Inputs!$B$4,0,Inputs!$B$4,1)),"")</f>
        <v>0.854012355593531</v>
      </c>
      <c r="G861" s="8" t="n">
        <f aca="true">IF(ROW()-2&gt;=Inputs!$B$5,AVERAGE(OFFSET(E861,1-Inputs!$B$5,0,Inputs!$B$5,1)),"")</f>
        <v>0.863043395135547</v>
      </c>
      <c r="H861" s="8" t="n">
        <f aca="false">MAX(C861-D861,ABS(C861-E860),ABS(D861-E860))</f>
        <v>0.0104948858098428</v>
      </c>
      <c r="I861" s="8" t="n">
        <f aca="true">IF(ROW()-2&lt;14,"",IF(ROW()-2=14,AVERAGE(OFFSET(H861,-13,0,14,1)),(I860*13+H861)/14))</f>
        <v>0.00916007305930685</v>
      </c>
      <c r="J861" s="9" t="b">
        <f aca="false">IF(AND(ISNUMBER(F861),ISNUMBER(G861),ISNUMBER(F860),ISNUMBER(G860)),AND(F861&gt;G861,F860&lt;=G860),FALSE())</f>
        <v>0</v>
      </c>
      <c r="K861" s="9" t="b">
        <f aca="false">IF(AND(ISNUMBER(F861),ISNUMBER(G861),ISNUMBER(F860),ISNUMBER(G860)),AND(F861&lt;G861,F860&gt;=G860),FALSE())</f>
        <v>0</v>
      </c>
      <c r="L861" s="8" t="n">
        <f aca="false">IF(ISNUMBER(I861),E861-Inputs!$B$6*I861,"")</f>
        <v>0.835235940109958</v>
      </c>
      <c r="M861" s="9" t="b">
        <f aca="false">AND(Y860&gt;0,Z860)</f>
        <v>0</v>
      </c>
      <c r="N861" s="8" t="n">
        <f aca="false">B861*(1-Inputs!$B$12)</f>
        <v>0.850026512119703</v>
      </c>
      <c r="O861" s="10" t="n">
        <f aca="false">IF(M861,Y860*(N861-AB860)-Inputs!$B$9-Y860*AD860*Inputs!$B$13*(A861-AC860),0)</f>
        <v>0</v>
      </c>
      <c r="P861" s="10" t="n">
        <f aca="false">X860+O861</f>
        <v>983.862971216719</v>
      </c>
      <c r="Q861" s="9" t="b">
        <f aca="false">AND(IF(M861,0,Y860)=0,AA860,IF(ISNUMBER(AE860),B861&gt;AE860,FALSE()))</f>
        <v>0</v>
      </c>
      <c r="R861" s="8" t="n">
        <f aca="false">B861*(1+Inputs!$B$12)</f>
        <v>0.850366590740275</v>
      </c>
      <c r="S861" s="11" t="n">
        <f aca="false">IF(Q861,MIN(P861*Inputs!$B$3/(R861-AE860),P861*Inputs!$B$11/R861),0)</f>
        <v>0</v>
      </c>
      <c r="T861" s="11" t="n">
        <f aca="false">IF(Q861,S861,IF(M861,0,Y860))</f>
        <v>0</v>
      </c>
      <c r="U861" s="8" t="n">
        <f aca="false">IF(Q861,AE860,AF860)</f>
        <v>0.84586578756897</v>
      </c>
      <c r="V861" s="9" t="b">
        <f aca="false">AND(T861&gt;0,D861&lt;=U861)</f>
        <v>0</v>
      </c>
      <c r="W861" s="10" t="n">
        <f aca="false">IF(V861,T861*(AK861-AB861)-Inputs!$B$9-T861*AD861*Inputs!$B$13*(A861-AC861),0)</f>
        <v>0</v>
      </c>
      <c r="X861" s="10" t="n">
        <f aca="false">P861-IF(Q861,Inputs!$B$9,0)+W861</f>
        <v>983.862971216719</v>
      </c>
      <c r="Y861" s="11" t="n">
        <f aca="false">IF(V861,0,T861)</f>
        <v>0</v>
      </c>
      <c r="Z861" s="9" t="b">
        <f aca="false">AND(Y861&gt;0,K861)</f>
        <v>0</v>
      </c>
      <c r="AA861" s="9" t="b">
        <f aca="false">AND(Y861=0,J861,ISNUMBER(L861))</f>
        <v>0</v>
      </c>
      <c r="AB861" s="8" t="n">
        <f aca="false">IF(Q861,R861,AB860)</f>
        <v>0.863339701115261</v>
      </c>
      <c r="AC861" s="12" t="n">
        <f aca="false">IF(Q861,A861,AC860)</f>
        <v>45628</v>
      </c>
      <c r="AD861" s="8" t="n">
        <f aca="false">IF(Q861,B861,AD860)</f>
        <v>0.86316706770172</v>
      </c>
      <c r="AE861" s="8" t="str">
        <f aca="false">IF(AA861,L861,"")</f>
        <v/>
      </c>
      <c r="AF861" s="8" t="n">
        <f aca="false">U861</f>
        <v>0.84586578756897</v>
      </c>
      <c r="AG861" s="2" t="n">
        <f aca="false">AG860+IF(Q861,1,0)</f>
        <v>8</v>
      </c>
      <c r="AH861" s="2" t="n">
        <f aca="false">AG860</f>
        <v>8</v>
      </c>
      <c r="AI861" s="10" t="n">
        <f aca="false">X861+Y861*(E861-AB861)-Y861*AD861*Inputs!$B$13*(A861-AC861)</f>
        <v>983.862971216719</v>
      </c>
      <c r="AJ861" s="10" t="n">
        <v>0</v>
      </c>
      <c r="AK861" s="8" t="n">
        <f aca="false">IF(AND(B861&lt;=U861,NOT(Q861)),B861,U861)*(1-Inputs!$B$12)</f>
        <v>0.845696614411456</v>
      </c>
    </row>
    <row r="862" customFormat="false" ht="15" hidden="false" customHeight="false" outlineLevel="0" collapsed="false">
      <c r="A862" s="6" t="n">
        <v>45646</v>
      </c>
      <c r="B862" s="7" t="n">
        <v>0.853556086228571</v>
      </c>
      <c r="C862" s="7" t="n">
        <v>0.857424735914458</v>
      </c>
      <c r="D862" s="7" t="n">
        <v>0.852876243776539</v>
      </c>
      <c r="E862" s="7" t="n">
        <v>0.857242487104105</v>
      </c>
      <c r="F862" s="8" t="n">
        <f aca="true">IF(ROW()-2&gt;=Inputs!$B$4,AVERAGE(OFFSET(E862,1-Inputs!$B$4,0,Inputs!$B$4,1)),"")</f>
        <v>0.85356661788624</v>
      </c>
      <c r="G862" s="8" t="n">
        <f aca="true">IF(ROW()-2&gt;=Inputs!$B$5,AVERAGE(OFFSET(E862,1-Inputs!$B$5,0,Inputs!$B$5,1)),"")</f>
        <v>0.862550029999857</v>
      </c>
      <c r="H862" s="8" t="n">
        <f aca="false">MAX(C862-D862,ABS(C862-E861),ABS(D862-E861))</f>
        <v>0.00454849213791886</v>
      </c>
      <c r="I862" s="8" t="n">
        <f aca="true">IF(ROW()-2&lt;14,"",IF(ROW()-2=14,AVERAGE(OFFSET(H862,-13,0,14,1)),(I861*13+H862)/14))</f>
        <v>0.00883067442206485</v>
      </c>
      <c r="J862" s="9" t="b">
        <f aca="false">IF(AND(ISNUMBER(F862),ISNUMBER(G862),ISNUMBER(F861),ISNUMBER(G861)),AND(F862&gt;G862,F861&lt;=G861),FALSE())</f>
        <v>0</v>
      </c>
      <c r="K862" s="9" t="b">
        <f aca="false">IF(AND(ISNUMBER(F862),ISNUMBER(G862),ISNUMBER(F861),ISNUMBER(G861)),AND(F862&lt;G862,F861&gt;=G861),FALSE())</f>
        <v>0</v>
      </c>
      <c r="L862" s="8" t="n">
        <f aca="false">IF(ISNUMBER(I862),E862-Inputs!$B$6*I862,"")</f>
        <v>0.839581138259975</v>
      </c>
      <c r="M862" s="9" t="b">
        <f aca="false">AND(Y861&gt;0,Z861)</f>
        <v>0</v>
      </c>
      <c r="N862" s="8" t="n">
        <f aca="false">B862*(1-Inputs!$B$12)</f>
        <v>0.853385375011326</v>
      </c>
      <c r="O862" s="10" t="n">
        <f aca="false">IF(M862,Y861*(N862-AB861)-Inputs!$B$9-Y861*AD861*Inputs!$B$13*(A862-AC861),0)</f>
        <v>0</v>
      </c>
      <c r="P862" s="10" t="n">
        <f aca="false">X861+O862</f>
        <v>983.862971216719</v>
      </c>
      <c r="Q862" s="9" t="b">
        <f aca="false">AND(IF(M862,0,Y861)=0,AA861,IF(ISNUMBER(AE861),B862&gt;AE861,FALSE()))</f>
        <v>0</v>
      </c>
      <c r="R862" s="8" t="n">
        <f aca="false">B862*(1+Inputs!$B$12)</f>
        <v>0.853726797445817</v>
      </c>
      <c r="S862" s="11" t="n">
        <f aca="false">IF(Q862,MIN(P862*Inputs!$B$3/(R862-AE861),P862*Inputs!$B$11/R862),0)</f>
        <v>0</v>
      </c>
      <c r="T862" s="11" t="n">
        <f aca="false">IF(Q862,S862,IF(M862,0,Y861))</f>
        <v>0</v>
      </c>
      <c r="U862" s="8" t="n">
        <f aca="false">IF(Q862,AE861,AF861)</f>
        <v>0.84586578756897</v>
      </c>
      <c r="V862" s="9" t="b">
        <f aca="false">AND(T862&gt;0,D862&lt;=U862)</f>
        <v>0</v>
      </c>
      <c r="W862" s="10" t="n">
        <f aca="false">IF(V862,T862*(AK862-AB862)-Inputs!$B$9-T862*AD862*Inputs!$B$13*(A862-AC862),0)</f>
        <v>0</v>
      </c>
      <c r="X862" s="10" t="n">
        <f aca="false">P862-IF(Q862,Inputs!$B$9,0)+W862</f>
        <v>983.862971216719</v>
      </c>
      <c r="Y862" s="11" t="n">
        <f aca="false">IF(V862,0,T862)</f>
        <v>0</v>
      </c>
      <c r="Z862" s="9" t="b">
        <f aca="false">AND(Y862&gt;0,K862)</f>
        <v>0</v>
      </c>
      <c r="AA862" s="9" t="b">
        <f aca="false">AND(Y862=0,J862,ISNUMBER(L862))</f>
        <v>0</v>
      </c>
      <c r="AB862" s="8" t="n">
        <f aca="false">IF(Q862,R862,AB861)</f>
        <v>0.863339701115261</v>
      </c>
      <c r="AC862" s="12" t="n">
        <f aca="false">IF(Q862,A862,AC861)</f>
        <v>45628</v>
      </c>
      <c r="AD862" s="8" t="n">
        <f aca="false">IF(Q862,B862,AD861)</f>
        <v>0.86316706770172</v>
      </c>
      <c r="AE862" s="8" t="str">
        <f aca="false">IF(AA862,L862,"")</f>
        <v/>
      </c>
      <c r="AF862" s="8" t="n">
        <f aca="false">U862</f>
        <v>0.84586578756897</v>
      </c>
      <c r="AG862" s="2" t="n">
        <f aca="false">AG861+IF(Q862,1,0)</f>
        <v>8</v>
      </c>
      <c r="AH862" s="2" t="n">
        <f aca="false">AG861</f>
        <v>8</v>
      </c>
      <c r="AI862" s="10" t="n">
        <f aca="false">X862+Y862*(E862-AB862)-Y862*AD862*Inputs!$B$13*(A862-AC862)</f>
        <v>983.862971216719</v>
      </c>
      <c r="AJ862" s="10" t="n">
        <v>0</v>
      </c>
      <c r="AK862" s="8" t="n">
        <f aca="false">IF(AND(B862&lt;=U862,NOT(Q862)),B862,U862)*(1-Inputs!$B$12)</f>
        <v>0.845696614411456</v>
      </c>
    </row>
    <row r="863" customFormat="false" ht="15" hidden="false" customHeight="false" outlineLevel="0" collapsed="false">
      <c r="A863" s="6" t="n">
        <v>45647</v>
      </c>
      <c r="B863" s="7" t="n">
        <v>0.857242487104105</v>
      </c>
      <c r="C863" s="7" t="n">
        <v>0.860896116500437</v>
      </c>
      <c r="D863" s="7" t="n">
        <v>0.85421653261817</v>
      </c>
      <c r="E863" s="7" t="n">
        <v>0.856886410791758</v>
      </c>
      <c r="F863" s="8" t="n">
        <f aca="true">IF(ROW()-2&gt;=Inputs!$B$4,AVERAGE(OFFSET(E863,1-Inputs!$B$4,0,Inputs!$B$4,1)),"")</f>
        <v>0.853252585040742</v>
      </c>
      <c r="G863" s="8" t="n">
        <f aca="true">IF(ROW()-2&gt;=Inputs!$B$5,AVERAGE(OFFSET(E863,1-Inputs!$B$5,0,Inputs!$B$5,1)),"")</f>
        <v>0.862272039643089</v>
      </c>
      <c r="H863" s="8" t="n">
        <f aca="false">MAX(C863-D863,ABS(C863-E862),ABS(D863-E862))</f>
        <v>0.00667958388226742</v>
      </c>
      <c r="I863" s="8" t="n">
        <f aca="true">IF(ROW()-2&lt;14,"",IF(ROW()-2=14,AVERAGE(OFFSET(H863,-13,0,14,1)),(I862*13+H863)/14))</f>
        <v>0.0086770250977936</v>
      </c>
      <c r="J863" s="9" t="b">
        <f aca="false">IF(AND(ISNUMBER(F863),ISNUMBER(G863),ISNUMBER(F862),ISNUMBER(G862)),AND(F863&gt;G863,F862&lt;=G862),FALSE())</f>
        <v>0</v>
      </c>
      <c r="K863" s="9" t="b">
        <f aca="false">IF(AND(ISNUMBER(F863),ISNUMBER(G863),ISNUMBER(F862),ISNUMBER(G862)),AND(F863&lt;G863,F862&gt;=G862),FALSE())</f>
        <v>0</v>
      </c>
      <c r="L863" s="8" t="n">
        <f aca="false">IF(ISNUMBER(I863),E863-Inputs!$B$6*I863,"")</f>
        <v>0.839532360596171</v>
      </c>
      <c r="M863" s="9" t="b">
        <f aca="false">AND(Y862&gt;0,Z862)</f>
        <v>0</v>
      </c>
      <c r="N863" s="8" t="n">
        <f aca="false">B863*(1-Inputs!$B$12)</f>
        <v>0.857071038606684</v>
      </c>
      <c r="O863" s="10" t="n">
        <f aca="false">IF(M863,Y862*(N863-AB862)-Inputs!$B$9-Y862*AD862*Inputs!$B$13*(A863-AC862),0)</f>
        <v>0</v>
      </c>
      <c r="P863" s="10" t="n">
        <f aca="false">X862+O863</f>
        <v>983.862971216719</v>
      </c>
      <c r="Q863" s="9" t="b">
        <f aca="false">AND(IF(M863,0,Y862)=0,AA862,IF(ISNUMBER(AE862),B863&gt;AE862,FALSE()))</f>
        <v>0</v>
      </c>
      <c r="R863" s="8" t="n">
        <f aca="false">B863*(1+Inputs!$B$12)</f>
        <v>0.857413935601526</v>
      </c>
      <c r="S863" s="11" t="n">
        <f aca="false">IF(Q863,MIN(P863*Inputs!$B$3/(R863-AE862),P863*Inputs!$B$11/R863),0)</f>
        <v>0</v>
      </c>
      <c r="T863" s="11" t="n">
        <f aca="false">IF(Q863,S863,IF(M863,0,Y862))</f>
        <v>0</v>
      </c>
      <c r="U863" s="8" t="n">
        <f aca="false">IF(Q863,AE862,AF862)</f>
        <v>0.84586578756897</v>
      </c>
      <c r="V863" s="9" t="b">
        <f aca="false">AND(T863&gt;0,D863&lt;=U863)</f>
        <v>0</v>
      </c>
      <c r="W863" s="10" t="n">
        <f aca="false">IF(V863,T863*(AK863-AB863)-Inputs!$B$9-T863*AD863*Inputs!$B$13*(A863-AC863),0)</f>
        <v>0</v>
      </c>
      <c r="X863" s="10" t="n">
        <f aca="false">P863-IF(Q863,Inputs!$B$9,0)+W863</f>
        <v>983.862971216719</v>
      </c>
      <c r="Y863" s="11" t="n">
        <f aca="false">IF(V863,0,T863)</f>
        <v>0</v>
      </c>
      <c r="Z863" s="9" t="b">
        <f aca="false">AND(Y863&gt;0,K863)</f>
        <v>0</v>
      </c>
      <c r="AA863" s="9" t="b">
        <f aca="false">AND(Y863=0,J863,ISNUMBER(L863))</f>
        <v>0</v>
      </c>
      <c r="AB863" s="8" t="n">
        <f aca="false">IF(Q863,R863,AB862)</f>
        <v>0.863339701115261</v>
      </c>
      <c r="AC863" s="12" t="n">
        <f aca="false">IF(Q863,A863,AC862)</f>
        <v>45628</v>
      </c>
      <c r="AD863" s="8" t="n">
        <f aca="false">IF(Q863,B863,AD862)</f>
        <v>0.86316706770172</v>
      </c>
      <c r="AE863" s="8" t="str">
        <f aca="false">IF(AA863,L863,"")</f>
        <v/>
      </c>
      <c r="AF863" s="8" t="n">
        <f aca="false">U863</f>
        <v>0.84586578756897</v>
      </c>
      <c r="AG863" s="2" t="n">
        <f aca="false">AG862+IF(Q863,1,0)</f>
        <v>8</v>
      </c>
      <c r="AH863" s="2" t="n">
        <f aca="false">AG862</f>
        <v>8</v>
      </c>
      <c r="AI863" s="10" t="n">
        <f aca="false">X863+Y863*(E863-AB863)-Y863*AD863*Inputs!$B$13*(A863-AC863)</f>
        <v>983.862971216719</v>
      </c>
      <c r="AJ863" s="10" t="n">
        <v>0</v>
      </c>
      <c r="AK863" s="8" t="n">
        <f aca="false">IF(AND(B863&lt;=U863,NOT(Q863)),B863,U863)*(1-Inputs!$B$12)</f>
        <v>0.845696614411456</v>
      </c>
    </row>
    <row r="864" customFormat="false" ht="15" hidden="false" customHeight="false" outlineLevel="0" collapsed="false">
      <c r="A864" s="6" t="n">
        <v>45648</v>
      </c>
      <c r="B864" s="7" t="n">
        <v>0.856886410791758</v>
      </c>
      <c r="C864" s="7" t="n">
        <v>0.858154256882987</v>
      </c>
      <c r="D864" s="7" t="n">
        <v>0.850199173440691</v>
      </c>
      <c r="E864" s="7" t="n">
        <v>0.853835189215574</v>
      </c>
      <c r="F864" s="8" t="n">
        <f aca="true">IF(ROW()-2&gt;=Inputs!$B$4,AVERAGE(OFFSET(E864,1-Inputs!$B$4,0,Inputs!$B$4,1)),"")</f>
        <v>0.853137595524992</v>
      </c>
      <c r="G864" s="8" t="n">
        <f aca="true">IF(ROW()-2&gt;=Inputs!$B$5,AVERAGE(OFFSET(E864,1-Inputs!$B$5,0,Inputs!$B$5,1)),"")</f>
        <v>0.862013370246196</v>
      </c>
      <c r="H864" s="8" t="n">
        <f aca="false">MAX(C864-D864,ABS(C864-E863),ABS(D864-E863))</f>
        <v>0.00795508344229579</v>
      </c>
      <c r="I864" s="8" t="n">
        <f aca="true">IF(ROW()-2&lt;14,"",IF(ROW()-2=14,AVERAGE(OFFSET(H864,-13,0,14,1)),(I863*13+H864)/14))</f>
        <v>0.00862545783668662</v>
      </c>
      <c r="J864" s="9" t="b">
        <f aca="false">IF(AND(ISNUMBER(F864),ISNUMBER(G864),ISNUMBER(F863),ISNUMBER(G863)),AND(F864&gt;G864,F863&lt;=G863),FALSE())</f>
        <v>0</v>
      </c>
      <c r="K864" s="9" t="b">
        <f aca="false">IF(AND(ISNUMBER(F864),ISNUMBER(G864),ISNUMBER(F863),ISNUMBER(G863)),AND(F864&lt;G864,F863&gt;=G863),FALSE())</f>
        <v>0</v>
      </c>
      <c r="L864" s="8" t="n">
        <f aca="false">IF(ISNUMBER(I864),E864-Inputs!$B$6*I864,"")</f>
        <v>0.836584273542201</v>
      </c>
      <c r="M864" s="9" t="b">
        <f aca="false">AND(Y863&gt;0,Z863)</f>
        <v>0</v>
      </c>
      <c r="N864" s="8" t="n">
        <f aca="false">B864*(1-Inputs!$B$12)</f>
        <v>0.856715033509599</v>
      </c>
      <c r="O864" s="10" t="n">
        <f aca="false">IF(M864,Y863*(N864-AB863)-Inputs!$B$9-Y863*AD863*Inputs!$B$13*(A864-AC863),0)</f>
        <v>0</v>
      </c>
      <c r="P864" s="10" t="n">
        <f aca="false">X863+O864</f>
        <v>983.862971216719</v>
      </c>
      <c r="Q864" s="9" t="b">
        <f aca="false">AND(IF(M864,0,Y863)=0,AA863,IF(ISNUMBER(AE863),B864&gt;AE863,FALSE()))</f>
        <v>0</v>
      </c>
      <c r="R864" s="8" t="n">
        <f aca="false">B864*(1+Inputs!$B$12)</f>
        <v>0.857057788073916</v>
      </c>
      <c r="S864" s="11" t="n">
        <f aca="false">IF(Q864,MIN(P864*Inputs!$B$3/(R864-AE863),P864*Inputs!$B$11/R864),0)</f>
        <v>0</v>
      </c>
      <c r="T864" s="11" t="n">
        <f aca="false">IF(Q864,S864,IF(M864,0,Y863))</f>
        <v>0</v>
      </c>
      <c r="U864" s="8" t="n">
        <f aca="false">IF(Q864,AE863,AF863)</f>
        <v>0.84586578756897</v>
      </c>
      <c r="V864" s="9" t="b">
        <f aca="false">AND(T864&gt;0,D864&lt;=U864)</f>
        <v>0</v>
      </c>
      <c r="W864" s="10" t="n">
        <f aca="false">IF(V864,T864*(AK864-AB864)-Inputs!$B$9-T864*AD864*Inputs!$B$13*(A864-AC864),0)</f>
        <v>0</v>
      </c>
      <c r="X864" s="10" t="n">
        <f aca="false">P864-IF(Q864,Inputs!$B$9,0)+W864</f>
        <v>983.862971216719</v>
      </c>
      <c r="Y864" s="11" t="n">
        <f aca="false">IF(V864,0,T864)</f>
        <v>0</v>
      </c>
      <c r="Z864" s="9" t="b">
        <f aca="false">AND(Y864&gt;0,K864)</f>
        <v>0</v>
      </c>
      <c r="AA864" s="9" t="b">
        <f aca="false">AND(Y864=0,J864,ISNUMBER(L864))</f>
        <v>0</v>
      </c>
      <c r="AB864" s="8" t="n">
        <f aca="false">IF(Q864,R864,AB863)</f>
        <v>0.863339701115261</v>
      </c>
      <c r="AC864" s="12" t="n">
        <f aca="false">IF(Q864,A864,AC863)</f>
        <v>45628</v>
      </c>
      <c r="AD864" s="8" t="n">
        <f aca="false">IF(Q864,B864,AD863)</f>
        <v>0.86316706770172</v>
      </c>
      <c r="AE864" s="8" t="str">
        <f aca="false">IF(AA864,L864,"")</f>
        <v/>
      </c>
      <c r="AF864" s="8" t="n">
        <f aca="false">U864</f>
        <v>0.84586578756897</v>
      </c>
      <c r="AG864" s="2" t="n">
        <f aca="false">AG863+IF(Q864,1,0)</f>
        <v>8</v>
      </c>
      <c r="AH864" s="2" t="n">
        <f aca="false">AG863</f>
        <v>8</v>
      </c>
      <c r="AI864" s="10" t="n">
        <f aca="false">X864+Y864*(E864-AB864)-Y864*AD864*Inputs!$B$13*(A864-AC864)</f>
        <v>983.862971216719</v>
      </c>
      <c r="AJ864" s="10" t="n">
        <v>0</v>
      </c>
      <c r="AK864" s="8" t="n">
        <f aca="false">IF(AND(B864&lt;=U864,NOT(Q864)),B864,U864)*(1-Inputs!$B$12)</f>
        <v>0.845696614411456</v>
      </c>
    </row>
    <row r="865" customFormat="false" ht="15" hidden="false" customHeight="false" outlineLevel="0" collapsed="false">
      <c r="A865" s="6" t="n">
        <v>45649</v>
      </c>
      <c r="B865" s="7" t="n">
        <v>0.853835189215574</v>
      </c>
      <c r="C865" s="7" t="n">
        <v>0.858961383116153</v>
      </c>
      <c r="D865" s="7" t="n">
        <v>0.84850397777124</v>
      </c>
      <c r="E865" s="7" t="n">
        <v>0.854393325606821</v>
      </c>
      <c r="F865" s="8" t="n">
        <f aca="true">IF(ROW()-2&gt;=Inputs!$B$4,AVERAGE(OFFSET(E865,1-Inputs!$B$4,0,Inputs!$B$4,1)),"")</f>
        <v>0.853151078687485</v>
      </c>
      <c r="G865" s="8" t="n">
        <f aca="true">IF(ROW()-2&gt;=Inputs!$B$5,AVERAGE(OFFSET(E865,1-Inputs!$B$5,0,Inputs!$B$5,1)),"")</f>
        <v>0.861720752233209</v>
      </c>
      <c r="H865" s="8" t="n">
        <f aca="false">MAX(C865-D865,ABS(C865-E864),ABS(D865-E864))</f>
        <v>0.0104574053449124</v>
      </c>
      <c r="I865" s="8" t="n">
        <f aca="true">IF(ROW()-2&lt;14,"",IF(ROW()-2=14,AVERAGE(OFFSET(H865,-13,0,14,1)),(I864*13+H865)/14))</f>
        <v>0.00875631123013131</v>
      </c>
      <c r="J865" s="9" t="b">
        <f aca="false">IF(AND(ISNUMBER(F865),ISNUMBER(G865),ISNUMBER(F864),ISNUMBER(G864)),AND(F865&gt;G865,F864&lt;=G864),FALSE())</f>
        <v>0</v>
      </c>
      <c r="K865" s="9" t="b">
        <f aca="false">IF(AND(ISNUMBER(F865),ISNUMBER(G865),ISNUMBER(F864),ISNUMBER(G864)),AND(F865&lt;G865,F864&gt;=G864),FALSE())</f>
        <v>0</v>
      </c>
      <c r="L865" s="8" t="n">
        <f aca="false">IF(ISNUMBER(I865),E865-Inputs!$B$6*I865,"")</f>
        <v>0.836880703146558</v>
      </c>
      <c r="M865" s="9" t="b">
        <f aca="false">AND(Y864&gt;0,Z864)</f>
        <v>0</v>
      </c>
      <c r="N865" s="8" t="n">
        <f aca="false">B865*(1-Inputs!$B$12)</f>
        <v>0.853664422177731</v>
      </c>
      <c r="O865" s="10" t="n">
        <f aca="false">IF(M865,Y864*(N865-AB864)-Inputs!$B$9-Y864*AD864*Inputs!$B$13*(A865-AC864),0)</f>
        <v>0</v>
      </c>
      <c r="P865" s="10" t="n">
        <f aca="false">X864+O865</f>
        <v>983.862971216719</v>
      </c>
      <c r="Q865" s="9" t="b">
        <f aca="false">AND(IF(M865,0,Y864)=0,AA864,IF(ISNUMBER(AE864),B865&gt;AE864,FALSE()))</f>
        <v>0</v>
      </c>
      <c r="R865" s="8" t="n">
        <f aca="false">B865*(1+Inputs!$B$12)</f>
        <v>0.854005956253417</v>
      </c>
      <c r="S865" s="11" t="n">
        <f aca="false">IF(Q865,MIN(P865*Inputs!$B$3/(R865-AE864),P865*Inputs!$B$11/R865),0)</f>
        <v>0</v>
      </c>
      <c r="T865" s="11" t="n">
        <f aca="false">IF(Q865,S865,IF(M865,0,Y864))</f>
        <v>0</v>
      </c>
      <c r="U865" s="8" t="n">
        <f aca="false">IF(Q865,AE864,AF864)</f>
        <v>0.84586578756897</v>
      </c>
      <c r="V865" s="9" t="b">
        <f aca="false">AND(T865&gt;0,D865&lt;=U865)</f>
        <v>0</v>
      </c>
      <c r="W865" s="10" t="n">
        <f aca="false">IF(V865,T865*(AK865-AB865)-Inputs!$B$9-T865*AD865*Inputs!$B$13*(A865-AC865),0)</f>
        <v>0</v>
      </c>
      <c r="X865" s="10" t="n">
        <f aca="false">P865-IF(Q865,Inputs!$B$9,0)+W865</f>
        <v>983.862971216719</v>
      </c>
      <c r="Y865" s="11" t="n">
        <f aca="false">IF(V865,0,T865)</f>
        <v>0</v>
      </c>
      <c r="Z865" s="9" t="b">
        <f aca="false">AND(Y865&gt;0,K865)</f>
        <v>0</v>
      </c>
      <c r="AA865" s="9" t="b">
        <f aca="false">AND(Y865=0,J865,ISNUMBER(L865))</f>
        <v>0</v>
      </c>
      <c r="AB865" s="8" t="n">
        <f aca="false">IF(Q865,R865,AB864)</f>
        <v>0.863339701115261</v>
      </c>
      <c r="AC865" s="12" t="n">
        <f aca="false">IF(Q865,A865,AC864)</f>
        <v>45628</v>
      </c>
      <c r="AD865" s="8" t="n">
        <f aca="false">IF(Q865,B865,AD864)</f>
        <v>0.86316706770172</v>
      </c>
      <c r="AE865" s="8" t="str">
        <f aca="false">IF(AA865,L865,"")</f>
        <v/>
      </c>
      <c r="AF865" s="8" t="n">
        <f aca="false">U865</f>
        <v>0.84586578756897</v>
      </c>
      <c r="AG865" s="2" t="n">
        <f aca="false">AG864+IF(Q865,1,0)</f>
        <v>8</v>
      </c>
      <c r="AH865" s="2" t="n">
        <f aca="false">AG864</f>
        <v>8</v>
      </c>
      <c r="AI865" s="10" t="n">
        <f aca="false">X865+Y865*(E865-AB865)-Y865*AD865*Inputs!$B$13*(A865-AC865)</f>
        <v>983.862971216719</v>
      </c>
      <c r="AJ865" s="10" t="n">
        <v>0</v>
      </c>
      <c r="AK865" s="8" t="n">
        <f aca="false">IF(AND(B865&lt;=U865,NOT(Q865)),B865,U865)*(1-Inputs!$B$12)</f>
        <v>0.845696614411456</v>
      </c>
    </row>
    <row r="866" customFormat="false" ht="15" hidden="false" customHeight="false" outlineLevel="0" collapsed="false">
      <c r="A866" s="6" t="n">
        <v>45650</v>
      </c>
      <c r="B866" s="7" t="n">
        <v>0.854393325606821</v>
      </c>
      <c r="C866" s="7" t="n">
        <v>0.855679143773376</v>
      </c>
      <c r="D866" s="7" t="n">
        <v>0.849367442913925</v>
      </c>
      <c r="E866" s="7" t="n">
        <v>0.853096872467396</v>
      </c>
      <c r="F866" s="8" t="n">
        <f aca="true">IF(ROW()-2&gt;=Inputs!$B$4,AVERAGE(OFFSET(E866,1-Inputs!$B$4,0,Inputs!$B$4,1)),"")</f>
        <v>0.853367955028136</v>
      </c>
      <c r="G866" s="8" t="n">
        <f aca="true">IF(ROW()-2&gt;=Inputs!$B$5,AVERAGE(OFFSET(E866,1-Inputs!$B$5,0,Inputs!$B$5,1)),"")</f>
        <v>0.861477591452109</v>
      </c>
      <c r="H866" s="8" t="n">
        <f aca="false">MAX(C866-D866,ABS(C866-E865),ABS(D866-E865))</f>
        <v>0.0063117008594511</v>
      </c>
      <c r="I866" s="8" t="n">
        <f aca="true">IF(ROW()-2&lt;14,"",IF(ROW()-2=14,AVERAGE(OFFSET(H866,-13,0,14,1)),(I865*13+H866)/14))</f>
        <v>0.00858169620365415</v>
      </c>
      <c r="J866" s="9" t="b">
        <f aca="false">IF(AND(ISNUMBER(F866),ISNUMBER(G866),ISNUMBER(F865),ISNUMBER(G865)),AND(F866&gt;G866,F865&lt;=G865),FALSE())</f>
        <v>0</v>
      </c>
      <c r="K866" s="9" t="b">
        <f aca="false">IF(AND(ISNUMBER(F866),ISNUMBER(G866),ISNUMBER(F865),ISNUMBER(G865)),AND(F866&lt;G866,F865&gt;=G865),FALSE())</f>
        <v>0</v>
      </c>
      <c r="L866" s="8" t="n">
        <f aca="false">IF(ISNUMBER(I866),E866-Inputs!$B$6*I866,"")</f>
        <v>0.835933480060088</v>
      </c>
      <c r="M866" s="9" t="b">
        <f aca="false">AND(Y865&gt;0,Z865)</f>
        <v>0</v>
      </c>
      <c r="N866" s="8" t="n">
        <f aca="false">B866*(1-Inputs!$B$12)</f>
        <v>0.8542224469417</v>
      </c>
      <c r="O866" s="10" t="n">
        <f aca="false">IF(M866,Y865*(N866-AB865)-Inputs!$B$9-Y865*AD865*Inputs!$B$13*(A866-AC865),0)</f>
        <v>0</v>
      </c>
      <c r="P866" s="10" t="n">
        <f aca="false">X865+O866</f>
        <v>983.862971216719</v>
      </c>
      <c r="Q866" s="9" t="b">
        <f aca="false">AND(IF(M866,0,Y865)=0,AA865,IF(ISNUMBER(AE865),B866&gt;AE865,FALSE()))</f>
        <v>0</v>
      </c>
      <c r="R866" s="8" t="n">
        <f aca="false">B866*(1+Inputs!$B$12)</f>
        <v>0.854564204271942</v>
      </c>
      <c r="S866" s="11" t="n">
        <f aca="false">IF(Q866,MIN(P866*Inputs!$B$3/(R866-AE865),P866*Inputs!$B$11/R866),0)</f>
        <v>0</v>
      </c>
      <c r="T866" s="11" t="n">
        <f aca="false">IF(Q866,S866,IF(M866,0,Y865))</f>
        <v>0</v>
      </c>
      <c r="U866" s="8" t="n">
        <f aca="false">IF(Q866,AE865,AF865)</f>
        <v>0.84586578756897</v>
      </c>
      <c r="V866" s="9" t="b">
        <f aca="false">AND(T866&gt;0,D866&lt;=U866)</f>
        <v>0</v>
      </c>
      <c r="W866" s="10" t="n">
        <f aca="false">IF(V866,T866*(AK866-AB866)-Inputs!$B$9-T866*AD866*Inputs!$B$13*(A866-AC866),0)</f>
        <v>0</v>
      </c>
      <c r="X866" s="10" t="n">
        <f aca="false">P866-IF(Q866,Inputs!$B$9,0)+W866</f>
        <v>983.862971216719</v>
      </c>
      <c r="Y866" s="11" t="n">
        <f aca="false">IF(V866,0,T866)</f>
        <v>0</v>
      </c>
      <c r="Z866" s="9" t="b">
        <f aca="false">AND(Y866&gt;0,K866)</f>
        <v>0</v>
      </c>
      <c r="AA866" s="9" t="b">
        <f aca="false">AND(Y866=0,J866,ISNUMBER(L866))</f>
        <v>0</v>
      </c>
      <c r="AB866" s="8" t="n">
        <f aca="false">IF(Q866,R866,AB865)</f>
        <v>0.863339701115261</v>
      </c>
      <c r="AC866" s="12" t="n">
        <f aca="false">IF(Q866,A866,AC865)</f>
        <v>45628</v>
      </c>
      <c r="AD866" s="8" t="n">
        <f aca="false">IF(Q866,B866,AD865)</f>
        <v>0.86316706770172</v>
      </c>
      <c r="AE866" s="8" t="str">
        <f aca="false">IF(AA866,L866,"")</f>
        <v/>
      </c>
      <c r="AF866" s="8" t="n">
        <f aca="false">U866</f>
        <v>0.84586578756897</v>
      </c>
      <c r="AG866" s="2" t="n">
        <f aca="false">AG865+IF(Q866,1,0)</f>
        <v>8</v>
      </c>
      <c r="AH866" s="2" t="n">
        <f aca="false">AG865</f>
        <v>8</v>
      </c>
      <c r="AI866" s="10" t="n">
        <f aca="false">X866+Y866*(E866-AB866)-Y866*AD866*Inputs!$B$13*(A866-AC866)</f>
        <v>983.862971216719</v>
      </c>
      <c r="AJ866" s="10" t="n">
        <v>0</v>
      </c>
      <c r="AK866" s="8" t="n">
        <f aca="false">IF(AND(B866&lt;=U866,NOT(Q866)),B866,U866)*(1-Inputs!$B$12)</f>
        <v>0.845696614411456</v>
      </c>
    </row>
    <row r="867" customFormat="false" ht="15" hidden="false" customHeight="false" outlineLevel="0" collapsed="false">
      <c r="A867" s="6" t="n">
        <v>45651</v>
      </c>
      <c r="B867" s="7" t="n">
        <v>0.853096872467396</v>
      </c>
      <c r="C867" s="7" t="n">
        <v>0.855309447979697</v>
      </c>
      <c r="D867" s="7" t="n">
        <v>0.852354891955973</v>
      </c>
      <c r="E867" s="7" t="n">
        <v>0.852984309337647</v>
      </c>
      <c r="F867" s="8" t="n">
        <f aca="true">IF(ROW()-2&gt;=Inputs!$B$4,AVERAGE(OFFSET(E867,1-Inputs!$B$4,0,Inputs!$B$4,1)),"")</f>
        <v>0.853327360819068</v>
      </c>
      <c r="G867" s="8" t="n">
        <f aca="true">IF(ROW()-2&gt;=Inputs!$B$5,AVERAGE(OFFSET(E867,1-Inputs!$B$5,0,Inputs!$B$5,1)),"")</f>
        <v>0.861301253378416</v>
      </c>
      <c r="H867" s="8" t="n">
        <f aca="false">MAX(C867-D867,ABS(C867-E866),ABS(D867-E866))</f>
        <v>0.00295455602372463</v>
      </c>
      <c r="I867" s="8" t="n">
        <f aca="true">IF(ROW()-2&lt;14,"",IF(ROW()-2=14,AVERAGE(OFFSET(H867,-13,0,14,1)),(I866*13+H867)/14))</f>
        <v>0.00817975761937347</v>
      </c>
      <c r="J867" s="9" t="b">
        <f aca="false">IF(AND(ISNUMBER(F867),ISNUMBER(G867),ISNUMBER(F866),ISNUMBER(G866)),AND(F867&gt;G867,F866&lt;=G866),FALSE())</f>
        <v>0</v>
      </c>
      <c r="K867" s="9" t="b">
        <f aca="false">IF(AND(ISNUMBER(F867),ISNUMBER(G867),ISNUMBER(F866),ISNUMBER(G866)),AND(F867&lt;G867,F866&gt;=G866),FALSE())</f>
        <v>0</v>
      </c>
      <c r="L867" s="8" t="n">
        <f aca="false">IF(ISNUMBER(I867),E867-Inputs!$B$6*I867,"")</f>
        <v>0.8366247940989</v>
      </c>
      <c r="M867" s="9" t="b">
        <f aca="false">AND(Y866&gt;0,Z866)</f>
        <v>0</v>
      </c>
      <c r="N867" s="8" t="n">
        <f aca="false">B867*(1-Inputs!$B$12)</f>
        <v>0.852926253092903</v>
      </c>
      <c r="O867" s="10" t="n">
        <f aca="false">IF(M867,Y866*(N867-AB866)-Inputs!$B$9-Y866*AD866*Inputs!$B$13*(A867-AC866),0)</f>
        <v>0</v>
      </c>
      <c r="P867" s="10" t="n">
        <f aca="false">X866+O867</f>
        <v>983.862971216719</v>
      </c>
      <c r="Q867" s="9" t="b">
        <f aca="false">AND(IF(M867,0,Y866)=0,AA866,IF(ISNUMBER(AE866),B867&gt;AE866,FALSE()))</f>
        <v>0</v>
      </c>
      <c r="R867" s="8" t="n">
        <f aca="false">B867*(1+Inputs!$B$12)</f>
        <v>0.85326749184189</v>
      </c>
      <c r="S867" s="11" t="n">
        <f aca="false">IF(Q867,MIN(P867*Inputs!$B$3/(R867-AE866),P867*Inputs!$B$11/R867),0)</f>
        <v>0</v>
      </c>
      <c r="T867" s="11" t="n">
        <f aca="false">IF(Q867,S867,IF(M867,0,Y866))</f>
        <v>0</v>
      </c>
      <c r="U867" s="8" t="n">
        <f aca="false">IF(Q867,AE866,AF866)</f>
        <v>0.84586578756897</v>
      </c>
      <c r="V867" s="9" t="b">
        <f aca="false">AND(T867&gt;0,D867&lt;=U867)</f>
        <v>0</v>
      </c>
      <c r="W867" s="10" t="n">
        <f aca="false">IF(V867,T867*(AK867-AB867)-Inputs!$B$9-T867*AD867*Inputs!$B$13*(A867-AC867),0)</f>
        <v>0</v>
      </c>
      <c r="X867" s="10" t="n">
        <f aca="false">P867-IF(Q867,Inputs!$B$9,0)+W867</f>
        <v>983.862971216719</v>
      </c>
      <c r="Y867" s="11" t="n">
        <f aca="false">IF(V867,0,T867)</f>
        <v>0</v>
      </c>
      <c r="Z867" s="9" t="b">
        <f aca="false">AND(Y867&gt;0,K867)</f>
        <v>0</v>
      </c>
      <c r="AA867" s="9" t="b">
        <f aca="false">AND(Y867=0,J867,ISNUMBER(L867))</f>
        <v>0</v>
      </c>
      <c r="AB867" s="8" t="n">
        <f aca="false">IF(Q867,R867,AB866)</f>
        <v>0.863339701115261</v>
      </c>
      <c r="AC867" s="12" t="n">
        <f aca="false">IF(Q867,A867,AC866)</f>
        <v>45628</v>
      </c>
      <c r="AD867" s="8" t="n">
        <f aca="false">IF(Q867,B867,AD866)</f>
        <v>0.86316706770172</v>
      </c>
      <c r="AE867" s="8" t="str">
        <f aca="false">IF(AA867,L867,"")</f>
        <v/>
      </c>
      <c r="AF867" s="8" t="n">
        <f aca="false">U867</f>
        <v>0.84586578756897</v>
      </c>
      <c r="AG867" s="2" t="n">
        <f aca="false">AG866+IF(Q867,1,0)</f>
        <v>8</v>
      </c>
      <c r="AH867" s="2" t="n">
        <f aca="false">AG866</f>
        <v>8</v>
      </c>
      <c r="AI867" s="10" t="n">
        <f aca="false">X867+Y867*(E867-AB867)-Y867*AD867*Inputs!$B$13*(A867-AC867)</f>
        <v>983.862971216719</v>
      </c>
      <c r="AJ867" s="10" t="n">
        <v>0</v>
      </c>
      <c r="AK867" s="8" t="n">
        <f aca="false">IF(AND(B867&lt;=U867,NOT(Q867)),B867,U867)*(1-Inputs!$B$12)</f>
        <v>0.845696614411456</v>
      </c>
    </row>
    <row r="868" customFormat="false" ht="15" hidden="false" customHeight="false" outlineLevel="0" collapsed="false">
      <c r="A868" s="6" t="n">
        <v>45652</v>
      </c>
      <c r="B868" s="7" t="n">
        <v>0.852984309337647</v>
      </c>
      <c r="C868" s="7" t="n">
        <v>0.855398671218761</v>
      </c>
      <c r="D868" s="7" t="n">
        <v>0.83781509060411</v>
      </c>
      <c r="E868" s="7" t="n">
        <v>0.840444051314226</v>
      </c>
      <c r="F868" s="8" t="n">
        <f aca="true">IF(ROW()-2&gt;=Inputs!$B$4,AVERAGE(OFFSET(E868,1-Inputs!$B$4,0,Inputs!$B$4,1)),"")</f>
        <v>0.852763415021261</v>
      </c>
      <c r="G868" s="8" t="n">
        <f aca="true">IF(ROW()-2&gt;=Inputs!$B$5,AVERAGE(OFFSET(E868,1-Inputs!$B$5,0,Inputs!$B$5,1)),"")</f>
        <v>0.860963008065869</v>
      </c>
      <c r="H868" s="8" t="n">
        <f aca="false">MAX(C868-D868,ABS(C868-E867),ABS(D868-E867))</f>
        <v>0.0175835806146509</v>
      </c>
      <c r="I868" s="8" t="n">
        <f aca="true">IF(ROW()-2&lt;14,"",IF(ROW()-2=14,AVERAGE(OFFSET(H868,-13,0,14,1)),(I867*13+H868)/14))</f>
        <v>0.00885145926189329</v>
      </c>
      <c r="J868" s="9" t="b">
        <f aca="false">IF(AND(ISNUMBER(F868),ISNUMBER(G868),ISNUMBER(F867),ISNUMBER(G867)),AND(F868&gt;G868,F867&lt;=G867),FALSE())</f>
        <v>0</v>
      </c>
      <c r="K868" s="9" t="b">
        <f aca="false">IF(AND(ISNUMBER(F868),ISNUMBER(G868),ISNUMBER(F867),ISNUMBER(G867)),AND(F868&lt;G868,F867&gt;=G867),FALSE())</f>
        <v>0</v>
      </c>
      <c r="L868" s="8" t="n">
        <f aca="false">IF(ISNUMBER(I868),E868-Inputs!$B$6*I868,"")</f>
        <v>0.82274113279044</v>
      </c>
      <c r="M868" s="9" t="b">
        <f aca="false">AND(Y867&gt;0,Z867)</f>
        <v>0</v>
      </c>
      <c r="N868" s="8" t="n">
        <f aca="false">B868*(1-Inputs!$B$12)</f>
        <v>0.852813712475779</v>
      </c>
      <c r="O868" s="10" t="n">
        <f aca="false">IF(M868,Y867*(N868-AB867)-Inputs!$B$9-Y867*AD867*Inputs!$B$13*(A868-AC867),0)</f>
        <v>0</v>
      </c>
      <c r="P868" s="10" t="n">
        <f aca="false">X867+O868</f>
        <v>983.862971216719</v>
      </c>
      <c r="Q868" s="9" t="b">
        <f aca="false">AND(IF(M868,0,Y867)=0,AA867,IF(ISNUMBER(AE867),B868&gt;AE867,FALSE()))</f>
        <v>0</v>
      </c>
      <c r="R868" s="8" t="n">
        <f aca="false">B868*(1+Inputs!$B$12)</f>
        <v>0.853154906199514</v>
      </c>
      <c r="S868" s="11" t="n">
        <f aca="false">IF(Q868,MIN(P868*Inputs!$B$3/(R868-AE867),P868*Inputs!$B$11/R868),0)</f>
        <v>0</v>
      </c>
      <c r="T868" s="11" t="n">
        <f aca="false">IF(Q868,S868,IF(M868,0,Y867))</f>
        <v>0</v>
      </c>
      <c r="U868" s="8" t="n">
        <f aca="false">IF(Q868,AE867,AF867)</f>
        <v>0.84586578756897</v>
      </c>
      <c r="V868" s="9" t="b">
        <f aca="false">AND(T868&gt;0,D868&lt;=U868)</f>
        <v>0</v>
      </c>
      <c r="W868" s="10" t="n">
        <f aca="false">IF(V868,T868*(AK868-AB868)-Inputs!$B$9-T868*AD868*Inputs!$B$13*(A868-AC868),0)</f>
        <v>0</v>
      </c>
      <c r="X868" s="10" t="n">
        <f aca="false">P868-IF(Q868,Inputs!$B$9,0)+W868</f>
        <v>983.862971216719</v>
      </c>
      <c r="Y868" s="11" t="n">
        <f aca="false">IF(V868,0,T868)</f>
        <v>0</v>
      </c>
      <c r="Z868" s="9" t="b">
        <f aca="false">AND(Y868&gt;0,K868)</f>
        <v>0</v>
      </c>
      <c r="AA868" s="9" t="b">
        <f aca="false">AND(Y868=0,J868,ISNUMBER(L868))</f>
        <v>0</v>
      </c>
      <c r="AB868" s="8" t="n">
        <f aca="false">IF(Q868,R868,AB867)</f>
        <v>0.863339701115261</v>
      </c>
      <c r="AC868" s="12" t="n">
        <f aca="false">IF(Q868,A868,AC867)</f>
        <v>45628</v>
      </c>
      <c r="AD868" s="8" t="n">
        <f aca="false">IF(Q868,B868,AD867)</f>
        <v>0.86316706770172</v>
      </c>
      <c r="AE868" s="8" t="str">
        <f aca="false">IF(AA868,L868,"")</f>
        <v/>
      </c>
      <c r="AF868" s="8" t="n">
        <f aca="false">U868</f>
        <v>0.84586578756897</v>
      </c>
      <c r="AG868" s="2" t="n">
        <f aca="false">AG867+IF(Q868,1,0)</f>
        <v>8</v>
      </c>
      <c r="AH868" s="2" t="n">
        <f aca="false">AG867</f>
        <v>8</v>
      </c>
      <c r="AI868" s="10" t="n">
        <f aca="false">X868+Y868*(E868-AB868)-Y868*AD868*Inputs!$B$13*(A868-AC868)</f>
        <v>983.862971216719</v>
      </c>
      <c r="AJ868" s="10" t="n">
        <v>0</v>
      </c>
      <c r="AK868" s="8" t="n">
        <f aca="false">IF(AND(B868&lt;=U868,NOT(Q868)),B868,U868)*(1-Inputs!$B$12)</f>
        <v>0.845696614411456</v>
      </c>
    </row>
    <row r="869" customFormat="false" ht="15" hidden="false" customHeight="false" outlineLevel="0" collapsed="false">
      <c r="A869" s="6" t="n">
        <v>45653</v>
      </c>
      <c r="B869" s="7" t="n">
        <v>0.840444051314226</v>
      </c>
      <c r="C869" s="7" t="n">
        <v>0.854292114251545</v>
      </c>
      <c r="D869" s="7" t="n">
        <v>0.839802061847787</v>
      </c>
      <c r="E869" s="7" t="n">
        <v>0.84820877033305</v>
      </c>
      <c r="F869" s="8" t="n">
        <f aca="true">IF(ROW()-2&gt;=Inputs!$B$4,AVERAGE(OFFSET(E869,1-Inputs!$B$4,0,Inputs!$B$4,1)),"")</f>
        <v>0.852519177882931</v>
      </c>
      <c r="G869" s="8" t="n">
        <f aca="true">IF(ROW()-2&gt;=Inputs!$B$5,AVERAGE(OFFSET(E869,1-Inputs!$B$5,0,Inputs!$B$5,1)),"")</f>
        <v>0.860903133056763</v>
      </c>
      <c r="H869" s="8" t="n">
        <f aca="false">MAX(C869-D869,ABS(C869-E868),ABS(D869-E868))</f>
        <v>0.0144900524037587</v>
      </c>
      <c r="I869" s="8" t="n">
        <f aca="true">IF(ROW()-2&lt;14,"",IF(ROW()-2=14,AVERAGE(OFFSET(H869,-13,0,14,1)),(I868*13+H869)/14))</f>
        <v>0.00925421591488368</v>
      </c>
      <c r="J869" s="9" t="b">
        <f aca="false">IF(AND(ISNUMBER(F869),ISNUMBER(G869),ISNUMBER(F868),ISNUMBER(G868)),AND(F869&gt;G869,F868&lt;=G868),FALSE())</f>
        <v>0</v>
      </c>
      <c r="K869" s="9" t="b">
        <f aca="false">IF(AND(ISNUMBER(F869),ISNUMBER(G869),ISNUMBER(F868),ISNUMBER(G868)),AND(F869&lt;G869,F868&gt;=G868),FALSE())</f>
        <v>0</v>
      </c>
      <c r="L869" s="8" t="n">
        <f aca="false">IF(ISNUMBER(I869),E869-Inputs!$B$6*I869,"")</f>
        <v>0.829700338503282</v>
      </c>
      <c r="M869" s="9" t="b">
        <f aca="false">AND(Y868&gt;0,Z868)</f>
        <v>0</v>
      </c>
      <c r="N869" s="8" t="n">
        <f aca="false">B869*(1-Inputs!$B$12)</f>
        <v>0.840275962503963</v>
      </c>
      <c r="O869" s="10" t="n">
        <f aca="false">IF(M869,Y868*(N869-AB868)-Inputs!$B$9-Y868*AD868*Inputs!$B$13*(A869-AC868),0)</f>
        <v>0</v>
      </c>
      <c r="P869" s="10" t="n">
        <f aca="false">X868+O869</f>
        <v>983.862971216719</v>
      </c>
      <c r="Q869" s="9" t="b">
        <f aca="false">AND(IF(M869,0,Y868)=0,AA868,IF(ISNUMBER(AE868),B869&gt;AE868,FALSE()))</f>
        <v>0</v>
      </c>
      <c r="R869" s="8" t="n">
        <f aca="false">B869*(1+Inputs!$B$12)</f>
        <v>0.840612140124489</v>
      </c>
      <c r="S869" s="11" t="n">
        <f aca="false">IF(Q869,MIN(P869*Inputs!$B$3/(R869-AE868),P869*Inputs!$B$11/R869),0)</f>
        <v>0</v>
      </c>
      <c r="T869" s="11" t="n">
        <f aca="false">IF(Q869,S869,IF(M869,0,Y868))</f>
        <v>0</v>
      </c>
      <c r="U869" s="8" t="n">
        <f aca="false">IF(Q869,AE868,AF868)</f>
        <v>0.84586578756897</v>
      </c>
      <c r="V869" s="9" t="b">
        <f aca="false">AND(T869&gt;0,D869&lt;=U869)</f>
        <v>0</v>
      </c>
      <c r="W869" s="10" t="n">
        <f aca="false">IF(V869,T869*(AK869-AB869)-Inputs!$B$9-T869*AD869*Inputs!$B$13*(A869-AC869),0)</f>
        <v>0</v>
      </c>
      <c r="X869" s="10" t="n">
        <f aca="false">P869-IF(Q869,Inputs!$B$9,0)+W869</f>
        <v>983.862971216719</v>
      </c>
      <c r="Y869" s="11" t="n">
        <f aca="false">IF(V869,0,T869)</f>
        <v>0</v>
      </c>
      <c r="Z869" s="9" t="b">
        <f aca="false">AND(Y869&gt;0,K869)</f>
        <v>0</v>
      </c>
      <c r="AA869" s="9" t="b">
        <f aca="false">AND(Y869=0,J869,ISNUMBER(L869))</f>
        <v>0</v>
      </c>
      <c r="AB869" s="8" t="n">
        <f aca="false">IF(Q869,R869,AB868)</f>
        <v>0.863339701115261</v>
      </c>
      <c r="AC869" s="12" t="n">
        <f aca="false">IF(Q869,A869,AC868)</f>
        <v>45628</v>
      </c>
      <c r="AD869" s="8" t="n">
        <f aca="false">IF(Q869,B869,AD868)</f>
        <v>0.86316706770172</v>
      </c>
      <c r="AE869" s="8" t="str">
        <f aca="false">IF(AA869,L869,"")</f>
        <v/>
      </c>
      <c r="AF869" s="8" t="n">
        <f aca="false">U869</f>
        <v>0.84586578756897</v>
      </c>
      <c r="AG869" s="2" t="n">
        <f aca="false">AG868+IF(Q869,1,0)</f>
        <v>8</v>
      </c>
      <c r="AH869" s="2" t="n">
        <f aca="false">AG868</f>
        <v>8</v>
      </c>
      <c r="AI869" s="10" t="n">
        <f aca="false">X869+Y869*(E869-AB869)-Y869*AD869*Inputs!$B$13*(A869-AC869)</f>
        <v>983.862971216719</v>
      </c>
      <c r="AJ869" s="10" t="n">
        <v>0</v>
      </c>
      <c r="AK869" s="8" t="n">
        <f aca="false">IF(AND(B869&lt;=U869,NOT(Q869)),B869,U869)*(1-Inputs!$B$12)</f>
        <v>0.840275962503963</v>
      </c>
    </row>
    <row r="870" customFormat="false" ht="15" hidden="false" customHeight="false" outlineLevel="0" collapsed="false">
      <c r="A870" s="6" t="n">
        <v>45654</v>
      </c>
      <c r="B870" s="7" t="n">
        <v>0.84820877033305</v>
      </c>
      <c r="C870" s="7" t="n">
        <v>0.849005848155927</v>
      </c>
      <c r="D870" s="7" t="n">
        <v>0.844457026319193</v>
      </c>
      <c r="E870" s="7" t="n">
        <v>0.844832491035477</v>
      </c>
      <c r="F870" s="8" t="n">
        <f aca="true">IF(ROW()-2&gt;=Inputs!$B$4,AVERAGE(OFFSET(E870,1-Inputs!$B$4,0,Inputs!$B$4,1)),"")</f>
        <v>0.851947380560415</v>
      </c>
      <c r="G870" s="8" t="n">
        <f aca="true">IF(ROW()-2&gt;=Inputs!$B$5,AVERAGE(OFFSET(E870,1-Inputs!$B$5,0,Inputs!$B$5,1)),"")</f>
        <v>0.860747930284262</v>
      </c>
      <c r="H870" s="8" t="n">
        <f aca="false">MAX(C870-D870,ABS(C870-E869),ABS(D870-E869))</f>
        <v>0.00454882183673433</v>
      </c>
      <c r="I870" s="8" t="n">
        <f aca="true">IF(ROW()-2&lt;14,"",IF(ROW()-2=14,AVERAGE(OFFSET(H870,-13,0,14,1)),(I869*13+H870)/14))</f>
        <v>0.00891811633787301</v>
      </c>
      <c r="J870" s="9" t="b">
        <f aca="false">IF(AND(ISNUMBER(F870),ISNUMBER(G870),ISNUMBER(F869),ISNUMBER(G869)),AND(F870&gt;G870,F869&lt;=G869),FALSE())</f>
        <v>0</v>
      </c>
      <c r="K870" s="9" t="b">
        <f aca="false">IF(AND(ISNUMBER(F870),ISNUMBER(G870),ISNUMBER(F869),ISNUMBER(G869)),AND(F870&lt;G870,F869&gt;=G869),FALSE())</f>
        <v>0</v>
      </c>
      <c r="L870" s="8" t="n">
        <f aca="false">IF(ISNUMBER(I870),E870-Inputs!$B$6*I870,"")</f>
        <v>0.826996258359731</v>
      </c>
      <c r="M870" s="9" t="b">
        <f aca="false">AND(Y869&gt;0,Z869)</f>
        <v>0</v>
      </c>
      <c r="N870" s="8" t="n">
        <f aca="false">B870*(1-Inputs!$B$12)</f>
        <v>0.848039128578983</v>
      </c>
      <c r="O870" s="10" t="n">
        <f aca="false">IF(M870,Y869*(N870-AB869)-Inputs!$B$9-Y869*AD869*Inputs!$B$13*(A870-AC869),0)</f>
        <v>0</v>
      </c>
      <c r="P870" s="10" t="n">
        <f aca="false">X869+O870</f>
        <v>983.862971216719</v>
      </c>
      <c r="Q870" s="9" t="b">
        <f aca="false">AND(IF(M870,0,Y869)=0,AA869,IF(ISNUMBER(AE869),B870&gt;AE869,FALSE()))</f>
        <v>0</v>
      </c>
      <c r="R870" s="8" t="n">
        <f aca="false">B870*(1+Inputs!$B$12)</f>
        <v>0.848378412087116</v>
      </c>
      <c r="S870" s="11" t="n">
        <f aca="false">IF(Q870,MIN(P870*Inputs!$B$3/(R870-AE869),P870*Inputs!$B$11/R870),0)</f>
        <v>0</v>
      </c>
      <c r="T870" s="11" t="n">
        <f aca="false">IF(Q870,S870,IF(M870,0,Y869))</f>
        <v>0</v>
      </c>
      <c r="U870" s="8" t="n">
        <f aca="false">IF(Q870,AE869,AF869)</f>
        <v>0.84586578756897</v>
      </c>
      <c r="V870" s="9" t="b">
        <f aca="false">AND(T870&gt;0,D870&lt;=U870)</f>
        <v>0</v>
      </c>
      <c r="W870" s="10" t="n">
        <f aca="false">IF(V870,T870*(AK870-AB870)-Inputs!$B$9-T870*AD870*Inputs!$B$13*(A870-AC870),0)</f>
        <v>0</v>
      </c>
      <c r="X870" s="10" t="n">
        <f aca="false">P870-IF(Q870,Inputs!$B$9,0)+W870</f>
        <v>983.862971216719</v>
      </c>
      <c r="Y870" s="11" t="n">
        <f aca="false">IF(V870,0,T870)</f>
        <v>0</v>
      </c>
      <c r="Z870" s="9" t="b">
        <f aca="false">AND(Y870&gt;0,K870)</f>
        <v>0</v>
      </c>
      <c r="AA870" s="9" t="b">
        <f aca="false">AND(Y870=0,J870,ISNUMBER(L870))</f>
        <v>0</v>
      </c>
      <c r="AB870" s="8" t="n">
        <f aca="false">IF(Q870,R870,AB869)</f>
        <v>0.863339701115261</v>
      </c>
      <c r="AC870" s="12" t="n">
        <f aca="false">IF(Q870,A870,AC869)</f>
        <v>45628</v>
      </c>
      <c r="AD870" s="8" t="n">
        <f aca="false">IF(Q870,B870,AD869)</f>
        <v>0.86316706770172</v>
      </c>
      <c r="AE870" s="8" t="str">
        <f aca="false">IF(AA870,L870,"")</f>
        <v/>
      </c>
      <c r="AF870" s="8" t="n">
        <f aca="false">U870</f>
        <v>0.84586578756897</v>
      </c>
      <c r="AG870" s="2" t="n">
        <f aca="false">AG869+IF(Q870,1,0)</f>
        <v>8</v>
      </c>
      <c r="AH870" s="2" t="n">
        <f aca="false">AG869</f>
        <v>8</v>
      </c>
      <c r="AI870" s="10" t="n">
        <f aca="false">X870+Y870*(E870-AB870)-Y870*AD870*Inputs!$B$13*(A870-AC870)</f>
        <v>983.862971216719</v>
      </c>
      <c r="AJ870" s="10" t="n">
        <v>0</v>
      </c>
      <c r="AK870" s="8" t="n">
        <f aca="false">IF(AND(B870&lt;=U870,NOT(Q870)),B870,U870)*(1-Inputs!$B$12)</f>
        <v>0.845696614411456</v>
      </c>
    </row>
    <row r="871" customFormat="false" ht="15" hidden="false" customHeight="false" outlineLevel="0" collapsed="false">
      <c r="A871" s="6" t="n">
        <v>45655</v>
      </c>
      <c r="B871" s="7" t="n">
        <v>0.844832491035477</v>
      </c>
      <c r="C871" s="7" t="n">
        <v>0.847519015351497</v>
      </c>
      <c r="D871" s="7" t="n">
        <v>0.840631146858003</v>
      </c>
      <c r="E871" s="7" t="n">
        <v>0.844678712675441</v>
      </c>
      <c r="F871" s="8" t="n">
        <f aca="true">IF(ROW()-2&gt;=Inputs!$B$4,AVERAGE(OFFSET(E871,1-Inputs!$B$4,0,Inputs!$B$4,1)),"")</f>
        <v>0.851398430419362</v>
      </c>
      <c r="G871" s="8" t="n">
        <f aca="true">IF(ROW()-2&gt;=Inputs!$B$5,AVERAGE(OFFSET(E871,1-Inputs!$B$5,0,Inputs!$B$5,1)),"")</f>
        <v>0.86053893741701</v>
      </c>
      <c r="H871" s="8" t="n">
        <f aca="false">MAX(C871-D871,ABS(C871-E870),ABS(D871-E870))</f>
        <v>0.0068878684934941</v>
      </c>
      <c r="I871" s="8" t="n">
        <f aca="true">IF(ROW()-2&lt;14,"",IF(ROW()-2=14,AVERAGE(OFFSET(H871,-13,0,14,1)),(I870*13+H871)/14))</f>
        <v>0.00877309863470309</v>
      </c>
      <c r="J871" s="9" t="b">
        <f aca="false">IF(AND(ISNUMBER(F871),ISNUMBER(G871),ISNUMBER(F870),ISNUMBER(G870)),AND(F871&gt;G871,F870&lt;=G870),FALSE())</f>
        <v>0</v>
      </c>
      <c r="K871" s="9" t="b">
        <f aca="false">IF(AND(ISNUMBER(F871),ISNUMBER(G871),ISNUMBER(F870),ISNUMBER(G870)),AND(F871&lt;G871,F870&gt;=G870),FALSE())</f>
        <v>0</v>
      </c>
      <c r="L871" s="8" t="n">
        <f aca="false">IF(ISNUMBER(I871),E871-Inputs!$B$6*I871,"")</f>
        <v>0.827132515406035</v>
      </c>
      <c r="M871" s="9" t="b">
        <f aca="false">AND(Y870&gt;0,Z870)</f>
        <v>0</v>
      </c>
      <c r="N871" s="8" t="n">
        <f aca="false">B871*(1-Inputs!$B$12)</f>
        <v>0.84466352453727</v>
      </c>
      <c r="O871" s="10" t="n">
        <f aca="false">IF(M871,Y870*(N871-AB870)-Inputs!$B$9-Y870*AD870*Inputs!$B$13*(A871-AC870),0)</f>
        <v>0</v>
      </c>
      <c r="P871" s="10" t="n">
        <f aca="false">X870+O871</f>
        <v>983.862971216719</v>
      </c>
      <c r="Q871" s="9" t="b">
        <f aca="false">AND(IF(M871,0,Y870)=0,AA870,IF(ISNUMBER(AE870),B871&gt;AE870,FALSE()))</f>
        <v>0</v>
      </c>
      <c r="R871" s="8" t="n">
        <f aca="false">B871*(1+Inputs!$B$12)</f>
        <v>0.845001457533684</v>
      </c>
      <c r="S871" s="11" t="n">
        <f aca="false">IF(Q871,MIN(P871*Inputs!$B$3/(R871-AE870),P871*Inputs!$B$11/R871),0)</f>
        <v>0</v>
      </c>
      <c r="T871" s="11" t="n">
        <f aca="false">IF(Q871,S871,IF(M871,0,Y870))</f>
        <v>0</v>
      </c>
      <c r="U871" s="8" t="n">
        <f aca="false">IF(Q871,AE870,AF870)</f>
        <v>0.84586578756897</v>
      </c>
      <c r="V871" s="9" t="b">
        <f aca="false">AND(T871&gt;0,D871&lt;=U871)</f>
        <v>0</v>
      </c>
      <c r="W871" s="10" t="n">
        <f aca="false">IF(V871,T871*(AK871-AB871)-Inputs!$B$9-T871*AD871*Inputs!$B$13*(A871-AC871),0)</f>
        <v>0</v>
      </c>
      <c r="X871" s="10" t="n">
        <f aca="false">P871-IF(Q871,Inputs!$B$9,0)+W871</f>
        <v>983.862971216719</v>
      </c>
      <c r="Y871" s="11" t="n">
        <f aca="false">IF(V871,0,T871)</f>
        <v>0</v>
      </c>
      <c r="Z871" s="9" t="b">
        <f aca="false">AND(Y871&gt;0,K871)</f>
        <v>0</v>
      </c>
      <c r="AA871" s="9" t="b">
        <f aca="false">AND(Y871=0,J871,ISNUMBER(L871))</f>
        <v>0</v>
      </c>
      <c r="AB871" s="8" t="n">
        <f aca="false">IF(Q871,R871,AB870)</f>
        <v>0.863339701115261</v>
      </c>
      <c r="AC871" s="12" t="n">
        <f aca="false">IF(Q871,A871,AC870)</f>
        <v>45628</v>
      </c>
      <c r="AD871" s="8" t="n">
        <f aca="false">IF(Q871,B871,AD870)</f>
        <v>0.86316706770172</v>
      </c>
      <c r="AE871" s="8" t="str">
        <f aca="false">IF(AA871,L871,"")</f>
        <v/>
      </c>
      <c r="AF871" s="8" t="n">
        <f aca="false">U871</f>
        <v>0.84586578756897</v>
      </c>
      <c r="AG871" s="2" t="n">
        <f aca="false">AG870+IF(Q871,1,0)</f>
        <v>8</v>
      </c>
      <c r="AH871" s="2" t="n">
        <f aca="false">AG870</f>
        <v>8</v>
      </c>
      <c r="AI871" s="10" t="n">
        <f aca="false">X871+Y871*(E871-AB871)-Y871*AD871*Inputs!$B$13*(A871-AC871)</f>
        <v>983.862971216719</v>
      </c>
      <c r="AJ871" s="10" t="n">
        <v>0</v>
      </c>
      <c r="AK871" s="8" t="n">
        <f aca="false">IF(AND(B871&lt;=U871,NOT(Q871)),B871,U871)*(1-Inputs!$B$12)</f>
        <v>0.84466352453727</v>
      </c>
    </row>
    <row r="872" customFormat="false" ht="15" hidden="false" customHeight="false" outlineLevel="0" collapsed="false">
      <c r="A872" s="6" t="n">
        <v>45656</v>
      </c>
      <c r="B872" s="7" t="n">
        <v>0.844678712675441</v>
      </c>
      <c r="C872" s="7" t="n">
        <v>0.854034840654916</v>
      </c>
      <c r="D872" s="7" t="n">
        <v>0.841133696285842</v>
      </c>
      <c r="E872" s="7" t="n">
        <v>0.851827141278036</v>
      </c>
      <c r="F872" s="8" t="n">
        <f aca="true">IF(ROW()-2&gt;=Inputs!$B$4,AVERAGE(OFFSET(E872,1-Inputs!$B$4,0,Inputs!$B$4,1)),"")</f>
        <v>0.851257120150498</v>
      </c>
      <c r="G872" s="8" t="n">
        <f aca="true">IF(ROW()-2&gt;=Inputs!$B$5,AVERAGE(OFFSET(E872,1-Inputs!$B$5,0,Inputs!$B$5,1)),"")</f>
        <v>0.860505623494828</v>
      </c>
      <c r="H872" s="8" t="n">
        <f aca="false">MAX(C872-D872,ABS(C872-E871),ABS(D872-E871))</f>
        <v>0.0129011443690733</v>
      </c>
      <c r="I872" s="8" t="n">
        <f aca="true">IF(ROW()-2&lt;14,"",IF(ROW()-2=14,AVERAGE(OFFSET(H872,-13,0,14,1)),(I871*13+H872)/14))</f>
        <v>0.00906795904430096</v>
      </c>
      <c r="J872" s="9" t="b">
        <f aca="false">IF(AND(ISNUMBER(F872),ISNUMBER(G872),ISNUMBER(F871),ISNUMBER(G871)),AND(F872&gt;G872,F871&lt;=G871),FALSE())</f>
        <v>0</v>
      </c>
      <c r="K872" s="9" t="b">
        <f aca="false">IF(AND(ISNUMBER(F872),ISNUMBER(G872),ISNUMBER(F871),ISNUMBER(G871)),AND(F872&lt;G872,F871&gt;=G871),FALSE())</f>
        <v>0</v>
      </c>
      <c r="L872" s="8" t="n">
        <f aca="false">IF(ISNUMBER(I872),E872-Inputs!$B$6*I872,"")</f>
        <v>0.833691223189434</v>
      </c>
      <c r="M872" s="9" t="b">
        <f aca="false">AND(Y871&gt;0,Z871)</f>
        <v>0</v>
      </c>
      <c r="N872" s="8" t="n">
        <f aca="false">B872*(1-Inputs!$B$12)</f>
        <v>0.844509776932906</v>
      </c>
      <c r="O872" s="10" t="n">
        <f aca="false">IF(M872,Y871*(N872-AB871)-Inputs!$B$9-Y871*AD871*Inputs!$B$13*(A872-AC871),0)</f>
        <v>0</v>
      </c>
      <c r="P872" s="10" t="n">
        <f aca="false">X871+O872</f>
        <v>983.862971216719</v>
      </c>
      <c r="Q872" s="9" t="b">
        <f aca="false">AND(IF(M872,0,Y871)=0,AA871,IF(ISNUMBER(AE871),B872&gt;AE871,FALSE()))</f>
        <v>0</v>
      </c>
      <c r="R872" s="8" t="n">
        <f aca="false">B872*(1+Inputs!$B$12)</f>
        <v>0.844847648417976</v>
      </c>
      <c r="S872" s="11" t="n">
        <f aca="false">IF(Q872,MIN(P872*Inputs!$B$3/(R872-AE871),P872*Inputs!$B$11/R872),0)</f>
        <v>0</v>
      </c>
      <c r="T872" s="11" t="n">
        <f aca="false">IF(Q872,S872,IF(M872,0,Y871))</f>
        <v>0</v>
      </c>
      <c r="U872" s="8" t="n">
        <f aca="false">IF(Q872,AE871,AF871)</f>
        <v>0.84586578756897</v>
      </c>
      <c r="V872" s="9" t="b">
        <f aca="false">AND(T872&gt;0,D872&lt;=U872)</f>
        <v>0</v>
      </c>
      <c r="W872" s="10" t="n">
        <f aca="false">IF(V872,T872*(AK872-AB872)-Inputs!$B$9-T872*AD872*Inputs!$B$13*(A872-AC872),0)</f>
        <v>0</v>
      </c>
      <c r="X872" s="10" t="n">
        <f aca="false">P872-IF(Q872,Inputs!$B$9,0)+W872</f>
        <v>983.862971216719</v>
      </c>
      <c r="Y872" s="11" t="n">
        <f aca="false">IF(V872,0,T872)</f>
        <v>0</v>
      </c>
      <c r="Z872" s="9" t="b">
        <f aca="false">AND(Y872&gt;0,K872)</f>
        <v>0</v>
      </c>
      <c r="AA872" s="9" t="b">
        <f aca="false">AND(Y872=0,J872,ISNUMBER(L872))</f>
        <v>0</v>
      </c>
      <c r="AB872" s="8" t="n">
        <f aca="false">IF(Q872,R872,AB871)</f>
        <v>0.863339701115261</v>
      </c>
      <c r="AC872" s="12" t="n">
        <f aca="false">IF(Q872,A872,AC871)</f>
        <v>45628</v>
      </c>
      <c r="AD872" s="8" t="n">
        <f aca="false">IF(Q872,B872,AD871)</f>
        <v>0.86316706770172</v>
      </c>
      <c r="AE872" s="8" t="str">
        <f aca="false">IF(AA872,L872,"")</f>
        <v/>
      </c>
      <c r="AF872" s="8" t="n">
        <f aca="false">U872</f>
        <v>0.84586578756897</v>
      </c>
      <c r="AG872" s="2" t="n">
        <f aca="false">AG871+IF(Q872,1,0)</f>
        <v>8</v>
      </c>
      <c r="AH872" s="2" t="n">
        <f aca="false">AG871</f>
        <v>8</v>
      </c>
      <c r="AI872" s="10" t="n">
        <f aca="false">X872+Y872*(E872-AB872)-Y872*AD872*Inputs!$B$13*(A872-AC872)</f>
        <v>983.862971216719</v>
      </c>
      <c r="AJ872" s="10" t="n">
        <v>0</v>
      </c>
      <c r="AK872" s="8" t="n">
        <f aca="false">IF(AND(B872&lt;=U872,NOT(Q872)),B872,U872)*(1-Inputs!$B$12)</f>
        <v>0.844509776932906</v>
      </c>
    </row>
    <row r="873" customFormat="false" ht="15" hidden="false" customHeight="false" outlineLevel="0" collapsed="false">
      <c r="A873" s="6" t="n">
        <v>45657</v>
      </c>
      <c r="B873" s="7" t="n">
        <v>0.851827141278036</v>
      </c>
      <c r="C873" s="7" t="n">
        <v>0.855146414996999</v>
      </c>
      <c r="D873" s="7" t="n">
        <v>0.847763815441035</v>
      </c>
      <c r="E873" s="7" t="n">
        <v>0.849207248811911</v>
      </c>
      <c r="F873" s="8" t="n">
        <f aca="true">IF(ROW()-2&gt;=Inputs!$B$4,AVERAGE(OFFSET(E873,1-Inputs!$B$4,0,Inputs!$B$4,1)),"")</f>
        <v>0.851139340670311</v>
      </c>
      <c r="G873" s="8" t="n">
        <f aca="true">IF(ROW()-2&gt;=Inputs!$B$5,AVERAGE(OFFSET(E873,1-Inputs!$B$5,0,Inputs!$B$5,1)),"")</f>
        <v>0.860481892818244</v>
      </c>
      <c r="H873" s="8" t="n">
        <f aca="false">MAX(C873-D873,ABS(C873-E872),ABS(D873-E872))</f>
        <v>0.0073825995559641</v>
      </c>
      <c r="I873" s="8" t="n">
        <f aca="true">IF(ROW()-2&lt;14,"",IF(ROW()-2=14,AVERAGE(OFFSET(H873,-13,0,14,1)),(I872*13+H873)/14))</f>
        <v>0.00894757622370547</v>
      </c>
      <c r="J873" s="9" t="b">
        <f aca="false">IF(AND(ISNUMBER(F873),ISNUMBER(G873),ISNUMBER(F872),ISNUMBER(G872)),AND(F873&gt;G873,F872&lt;=G872),FALSE())</f>
        <v>0</v>
      </c>
      <c r="K873" s="9" t="b">
        <f aca="false">IF(AND(ISNUMBER(F873),ISNUMBER(G873),ISNUMBER(F872),ISNUMBER(G872)),AND(F873&lt;G873,F872&gt;=G872),FALSE())</f>
        <v>0</v>
      </c>
      <c r="L873" s="8" t="n">
        <f aca="false">IF(ISNUMBER(I873),E873-Inputs!$B$6*I873,"")</f>
        <v>0.8313120963645</v>
      </c>
      <c r="M873" s="9" t="b">
        <f aca="false">AND(Y872&gt;0,Z872)</f>
        <v>0</v>
      </c>
      <c r="N873" s="8" t="n">
        <f aca="false">B873*(1-Inputs!$B$12)</f>
        <v>0.851656775849781</v>
      </c>
      <c r="O873" s="10" t="n">
        <f aca="false">IF(M873,Y872*(N873-AB872)-Inputs!$B$9-Y872*AD872*Inputs!$B$13*(A873-AC872),0)</f>
        <v>0</v>
      </c>
      <c r="P873" s="10" t="n">
        <f aca="false">X872+O873</f>
        <v>983.862971216719</v>
      </c>
      <c r="Q873" s="9" t="b">
        <f aca="false">AND(IF(M873,0,Y872)=0,AA872,IF(ISNUMBER(AE872),B873&gt;AE872,FALSE()))</f>
        <v>0</v>
      </c>
      <c r="R873" s="8" t="n">
        <f aca="false">B873*(1+Inputs!$B$12)</f>
        <v>0.851997506706292</v>
      </c>
      <c r="S873" s="11" t="n">
        <f aca="false">IF(Q873,MIN(P873*Inputs!$B$3/(R873-AE872),P873*Inputs!$B$11/R873),0)</f>
        <v>0</v>
      </c>
      <c r="T873" s="11" t="n">
        <f aca="false">IF(Q873,S873,IF(M873,0,Y872))</f>
        <v>0</v>
      </c>
      <c r="U873" s="8" t="n">
        <f aca="false">IF(Q873,AE872,AF872)</f>
        <v>0.84586578756897</v>
      </c>
      <c r="V873" s="9" t="b">
        <f aca="false">AND(T873&gt;0,D873&lt;=U873)</f>
        <v>0</v>
      </c>
      <c r="W873" s="10" t="n">
        <f aca="false">IF(V873,T873*(AK873-AB873)-Inputs!$B$9-T873*AD873*Inputs!$B$13*(A873-AC873),0)</f>
        <v>0</v>
      </c>
      <c r="X873" s="10" t="n">
        <f aca="false">P873-IF(Q873,Inputs!$B$9,0)+W873</f>
        <v>983.862971216719</v>
      </c>
      <c r="Y873" s="11" t="n">
        <f aca="false">IF(V873,0,T873)</f>
        <v>0</v>
      </c>
      <c r="Z873" s="9" t="b">
        <f aca="false">AND(Y873&gt;0,K873)</f>
        <v>0</v>
      </c>
      <c r="AA873" s="9" t="b">
        <f aca="false">AND(Y873=0,J873,ISNUMBER(L873))</f>
        <v>0</v>
      </c>
      <c r="AB873" s="8" t="n">
        <f aca="false">IF(Q873,R873,AB872)</f>
        <v>0.863339701115261</v>
      </c>
      <c r="AC873" s="12" t="n">
        <f aca="false">IF(Q873,A873,AC872)</f>
        <v>45628</v>
      </c>
      <c r="AD873" s="8" t="n">
        <f aca="false">IF(Q873,B873,AD872)</f>
        <v>0.86316706770172</v>
      </c>
      <c r="AE873" s="8" t="str">
        <f aca="false">IF(AA873,L873,"")</f>
        <v/>
      </c>
      <c r="AF873" s="8" t="n">
        <f aca="false">U873</f>
        <v>0.84586578756897</v>
      </c>
      <c r="AG873" s="2" t="n">
        <f aca="false">AG872+IF(Q873,1,0)</f>
        <v>8</v>
      </c>
      <c r="AH873" s="2" t="n">
        <f aca="false">AG872</f>
        <v>8</v>
      </c>
      <c r="AI873" s="10" t="n">
        <f aca="false">X873+Y873*(E873-AB873)-Y873*AD873*Inputs!$B$13*(A873-AC873)</f>
        <v>983.862971216719</v>
      </c>
      <c r="AJ873" s="10" t="n">
        <v>0</v>
      </c>
      <c r="AK873" s="8" t="n">
        <f aca="false">IF(AND(B873&lt;=U873,NOT(Q873)),B873,U873)*(1-Inputs!$B$12)</f>
        <v>0.845696614411456</v>
      </c>
    </row>
    <row r="874" customFormat="false" ht="15" hidden="false" customHeight="false" outlineLevel="0" collapsed="false">
      <c r="A874" s="6" t="n">
        <v>45658</v>
      </c>
      <c r="B874" s="7" t="n">
        <v>0.849207248811911</v>
      </c>
      <c r="C874" s="7" t="n">
        <v>0.84952128474747</v>
      </c>
      <c r="D874" s="7" t="n">
        <v>0.840379472490514</v>
      </c>
      <c r="E874" s="7" t="n">
        <v>0.846746918972071</v>
      </c>
      <c r="F874" s="8" t="n">
        <f aca="true">IF(ROW()-2&gt;=Inputs!$B$4,AVERAGE(OFFSET(E874,1-Inputs!$B$4,0,Inputs!$B$4,1)),"")</f>
        <v>0.851247036459642</v>
      </c>
      <c r="G874" s="8" t="n">
        <f aca="true">IF(ROW()-2&gt;=Inputs!$B$5,AVERAGE(OFFSET(E874,1-Inputs!$B$5,0,Inputs!$B$5,1)),"")</f>
        <v>0.860312090036053</v>
      </c>
      <c r="H874" s="8" t="n">
        <f aca="false">MAX(C874-D874,ABS(C874-E873),ABS(D874-E873))</f>
        <v>0.00914181225695587</v>
      </c>
      <c r="I874" s="8" t="n">
        <f aca="true">IF(ROW()-2&lt;14,"",IF(ROW()-2=14,AVERAGE(OFFSET(H874,-13,0,14,1)),(I873*13+H874)/14))</f>
        <v>0.0089614502260805</v>
      </c>
      <c r="J874" s="9" t="b">
        <f aca="false">IF(AND(ISNUMBER(F874),ISNUMBER(G874),ISNUMBER(F873),ISNUMBER(G873)),AND(F874&gt;G874,F873&lt;=G873),FALSE())</f>
        <v>0</v>
      </c>
      <c r="K874" s="9" t="b">
        <f aca="false">IF(AND(ISNUMBER(F874),ISNUMBER(G874),ISNUMBER(F873),ISNUMBER(G873)),AND(F874&lt;G874,F873&gt;=G873),FALSE())</f>
        <v>0</v>
      </c>
      <c r="L874" s="8" t="n">
        <f aca="false">IF(ISNUMBER(I874),E874-Inputs!$B$6*I874,"")</f>
        <v>0.82882401851991</v>
      </c>
      <c r="M874" s="9" t="b">
        <f aca="false">AND(Y873&gt;0,Z873)</f>
        <v>0</v>
      </c>
      <c r="N874" s="8" t="n">
        <f aca="false">B874*(1-Inputs!$B$12)</f>
        <v>0.849037407362149</v>
      </c>
      <c r="O874" s="10" t="n">
        <f aca="false">IF(M874,Y873*(N874-AB873)-Inputs!$B$9-Y873*AD873*Inputs!$B$13*(A874-AC873),0)</f>
        <v>0</v>
      </c>
      <c r="P874" s="10" t="n">
        <f aca="false">X873+O874</f>
        <v>983.862971216719</v>
      </c>
      <c r="Q874" s="9" t="b">
        <f aca="false">AND(IF(M874,0,Y873)=0,AA873,IF(ISNUMBER(AE873),B874&gt;AE873,FALSE()))</f>
        <v>0</v>
      </c>
      <c r="R874" s="8" t="n">
        <f aca="false">B874*(1+Inputs!$B$12)</f>
        <v>0.849377090261674</v>
      </c>
      <c r="S874" s="11" t="n">
        <f aca="false">IF(Q874,MIN(P874*Inputs!$B$3/(R874-AE873),P874*Inputs!$B$11/R874),0)</f>
        <v>0</v>
      </c>
      <c r="T874" s="11" t="n">
        <f aca="false">IF(Q874,S874,IF(M874,0,Y873))</f>
        <v>0</v>
      </c>
      <c r="U874" s="8" t="n">
        <f aca="false">IF(Q874,AE873,AF873)</f>
        <v>0.84586578756897</v>
      </c>
      <c r="V874" s="9" t="b">
        <f aca="false">AND(T874&gt;0,D874&lt;=U874)</f>
        <v>0</v>
      </c>
      <c r="W874" s="10" t="n">
        <f aca="false">IF(V874,T874*(AK874-AB874)-Inputs!$B$9-T874*AD874*Inputs!$B$13*(A874-AC874),0)</f>
        <v>0</v>
      </c>
      <c r="X874" s="10" t="n">
        <f aca="false">P874-IF(Q874,Inputs!$B$9,0)+W874</f>
        <v>983.862971216719</v>
      </c>
      <c r="Y874" s="11" t="n">
        <f aca="false">IF(V874,0,T874)</f>
        <v>0</v>
      </c>
      <c r="Z874" s="9" t="b">
        <f aca="false">AND(Y874&gt;0,K874)</f>
        <v>0</v>
      </c>
      <c r="AA874" s="9" t="b">
        <f aca="false">AND(Y874=0,J874,ISNUMBER(L874))</f>
        <v>0</v>
      </c>
      <c r="AB874" s="8" t="n">
        <f aca="false">IF(Q874,R874,AB873)</f>
        <v>0.863339701115261</v>
      </c>
      <c r="AC874" s="12" t="n">
        <f aca="false">IF(Q874,A874,AC873)</f>
        <v>45628</v>
      </c>
      <c r="AD874" s="8" t="n">
        <f aca="false">IF(Q874,B874,AD873)</f>
        <v>0.86316706770172</v>
      </c>
      <c r="AE874" s="8" t="str">
        <f aca="false">IF(AA874,L874,"")</f>
        <v/>
      </c>
      <c r="AF874" s="8" t="n">
        <f aca="false">U874</f>
        <v>0.84586578756897</v>
      </c>
      <c r="AG874" s="2" t="n">
        <f aca="false">AG873+IF(Q874,1,0)</f>
        <v>8</v>
      </c>
      <c r="AH874" s="2" t="n">
        <f aca="false">AG873</f>
        <v>8</v>
      </c>
      <c r="AI874" s="10" t="n">
        <f aca="false">X874+Y874*(E874-AB874)-Y874*AD874*Inputs!$B$13*(A874-AC874)</f>
        <v>983.862971216719</v>
      </c>
      <c r="AJ874" s="10" t="n">
        <v>0</v>
      </c>
      <c r="AK874" s="8" t="n">
        <f aca="false">IF(AND(B874&lt;=U874,NOT(Q874)),B874,U874)*(1-Inputs!$B$12)</f>
        <v>0.845696614411456</v>
      </c>
    </row>
    <row r="875" customFormat="false" ht="15" hidden="false" customHeight="false" outlineLevel="0" collapsed="false">
      <c r="A875" s="6" t="n">
        <v>45659</v>
      </c>
      <c r="B875" s="7" t="n">
        <v>0.846746918972071</v>
      </c>
      <c r="C875" s="7" t="n">
        <v>0.847478179717803</v>
      </c>
      <c r="D875" s="7" t="n">
        <v>0.840702751141161</v>
      </c>
      <c r="E875" s="7" t="n">
        <v>0.844499845627543</v>
      </c>
      <c r="F875" s="8" t="n">
        <f aca="true">IF(ROW()-2&gt;=Inputs!$B$4,AVERAGE(OFFSET(E875,1-Inputs!$B$4,0,Inputs!$B$4,1)),"")</f>
        <v>0.850727542816337</v>
      </c>
      <c r="G875" s="8" t="n">
        <f aca="true">IF(ROW()-2&gt;=Inputs!$B$5,AVERAGE(OFFSET(E875,1-Inputs!$B$5,0,Inputs!$B$5,1)),"")</f>
        <v>0.859940353336438</v>
      </c>
      <c r="H875" s="8" t="n">
        <f aca="false">MAX(C875-D875,ABS(C875-E874),ABS(D875-E874))</f>
        <v>0.00677542857664149</v>
      </c>
      <c r="I875" s="8" t="n">
        <f aca="true">IF(ROW()-2&lt;14,"",IF(ROW()-2=14,AVERAGE(OFFSET(H875,-13,0,14,1)),(I874*13+H875)/14))</f>
        <v>0.00880530582254914</v>
      </c>
      <c r="J875" s="9" t="b">
        <f aca="false">IF(AND(ISNUMBER(F875),ISNUMBER(G875),ISNUMBER(F874),ISNUMBER(G874)),AND(F875&gt;G875,F874&lt;=G874),FALSE())</f>
        <v>0</v>
      </c>
      <c r="K875" s="9" t="b">
        <f aca="false">IF(AND(ISNUMBER(F875),ISNUMBER(G875),ISNUMBER(F874),ISNUMBER(G874)),AND(F875&lt;G875,F874&gt;=G874),FALSE())</f>
        <v>0</v>
      </c>
      <c r="L875" s="8" t="n">
        <f aca="false">IF(ISNUMBER(I875),E875-Inputs!$B$6*I875,"")</f>
        <v>0.826889233982444</v>
      </c>
      <c r="M875" s="9" t="b">
        <f aca="false">AND(Y874&gt;0,Z874)</f>
        <v>0</v>
      </c>
      <c r="N875" s="8" t="n">
        <f aca="false">B875*(1-Inputs!$B$12)</f>
        <v>0.846577569588277</v>
      </c>
      <c r="O875" s="10" t="n">
        <f aca="false">IF(M875,Y874*(N875-AB874)-Inputs!$B$9-Y874*AD874*Inputs!$B$13*(A875-AC874),0)</f>
        <v>0</v>
      </c>
      <c r="P875" s="10" t="n">
        <f aca="false">X874+O875</f>
        <v>983.862971216719</v>
      </c>
      <c r="Q875" s="9" t="b">
        <f aca="false">AND(IF(M875,0,Y874)=0,AA874,IF(ISNUMBER(AE874),B875&gt;AE874,FALSE()))</f>
        <v>0</v>
      </c>
      <c r="R875" s="8" t="n">
        <f aca="false">B875*(1+Inputs!$B$12)</f>
        <v>0.846916268355865</v>
      </c>
      <c r="S875" s="11" t="n">
        <f aca="false">IF(Q875,MIN(P875*Inputs!$B$3/(R875-AE874),P875*Inputs!$B$11/R875),0)</f>
        <v>0</v>
      </c>
      <c r="T875" s="11" t="n">
        <f aca="false">IF(Q875,S875,IF(M875,0,Y874))</f>
        <v>0</v>
      </c>
      <c r="U875" s="8" t="n">
        <f aca="false">IF(Q875,AE874,AF874)</f>
        <v>0.84586578756897</v>
      </c>
      <c r="V875" s="9" t="b">
        <f aca="false">AND(T875&gt;0,D875&lt;=U875)</f>
        <v>0</v>
      </c>
      <c r="W875" s="10" t="n">
        <f aca="false">IF(V875,T875*(AK875-AB875)-Inputs!$B$9-T875*AD875*Inputs!$B$13*(A875-AC875),0)</f>
        <v>0</v>
      </c>
      <c r="X875" s="10" t="n">
        <f aca="false">P875-IF(Q875,Inputs!$B$9,0)+W875</f>
        <v>983.862971216719</v>
      </c>
      <c r="Y875" s="11" t="n">
        <f aca="false">IF(V875,0,T875)</f>
        <v>0</v>
      </c>
      <c r="Z875" s="9" t="b">
        <f aca="false">AND(Y875&gt;0,K875)</f>
        <v>0</v>
      </c>
      <c r="AA875" s="9" t="b">
        <f aca="false">AND(Y875=0,J875,ISNUMBER(L875))</f>
        <v>0</v>
      </c>
      <c r="AB875" s="8" t="n">
        <f aca="false">IF(Q875,R875,AB874)</f>
        <v>0.863339701115261</v>
      </c>
      <c r="AC875" s="12" t="n">
        <f aca="false">IF(Q875,A875,AC874)</f>
        <v>45628</v>
      </c>
      <c r="AD875" s="8" t="n">
        <f aca="false">IF(Q875,B875,AD874)</f>
        <v>0.86316706770172</v>
      </c>
      <c r="AE875" s="8" t="str">
        <f aca="false">IF(AA875,L875,"")</f>
        <v/>
      </c>
      <c r="AF875" s="8" t="n">
        <f aca="false">U875</f>
        <v>0.84586578756897</v>
      </c>
      <c r="AG875" s="2" t="n">
        <f aca="false">AG874+IF(Q875,1,0)</f>
        <v>8</v>
      </c>
      <c r="AH875" s="2" t="n">
        <f aca="false">AG874</f>
        <v>8</v>
      </c>
      <c r="AI875" s="10" t="n">
        <f aca="false">X875+Y875*(E875-AB875)-Y875*AD875*Inputs!$B$13*(A875-AC875)</f>
        <v>983.862971216719</v>
      </c>
      <c r="AJ875" s="10" t="n">
        <v>0</v>
      </c>
      <c r="AK875" s="8" t="n">
        <f aca="false">IF(AND(B875&lt;=U875,NOT(Q875)),B875,U875)*(1-Inputs!$B$12)</f>
        <v>0.845696614411456</v>
      </c>
    </row>
    <row r="876" customFormat="false" ht="15" hidden="false" customHeight="false" outlineLevel="0" collapsed="false">
      <c r="A876" s="6" t="n">
        <v>45660</v>
      </c>
      <c r="B876" s="7" t="n">
        <v>0.844499845627543</v>
      </c>
      <c r="C876" s="7" t="n">
        <v>0.849786610662228</v>
      </c>
      <c r="D876" s="7" t="n">
        <v>0.84373738671252</v>
      </c>
      <c r="E876" s="7" t="n">
        <v>0.849302763245756</v>
      </c>
      <c r="F876" s="8" t="n">
        <f aca="true">IF(ROW()-2&gt;=Inputs!$B$4,AVERAGE(OFFSET(E876,1-Inputs!$B$4,0,Inputs!$B$4,1)),"")</f>
        <v>0.850320888443287</v>
      </c>
      <c r="G876" s="8" t="n">
        <f aca="true">IF(ROW()-2&gt;=Inputs!$B$5,AVERAGE(OFFSET(E876,1-Inputs!$B$5,0,Inputs!$B$5,1)),"")</f>
        <v>0.859583415160855</v>
      </c>
      <c r="H876" s="8" t="n">
        <f aca="false">MAX(C876-D876,ABS(C876-E875),ABS(D876-E875))</f>
        <v>0.0060492239497083</v>
      </c>
      <c r="I876" s="8" t="n">
        <f aca="true">IF(ROW()-2&lt;14,"",IF(ROW()-2=14,AVERAGE(OFFSET(H876,-13,0,14,1)),(I875*13+H876)/14))</f>
        <v>0.00860844283163194</v>
      </c>
      <c r="J876" s="9" t="b">
        <f aca="false">IF(AND(ISNUMBER(F876),ISNUMBER(G876),ISNUMBER(F875),ISNUMBER(G875)),AND(F876&gt;G876,F875&lt;=G875),FALSE())</f>
        <v>0</v>
      </c>
      <c r="K876" s="9" t="b">
        <f aca="false">IF(AND(ISNUMBER(F876),ISNUMBER(G876),ISNUMBER(F875),ISNUMBER(G875)),AND(F876&lt;G876,F875&gt;=G875),FALSE())</f>
        <v>0</v>
      </c>
      <c r="L876" s="8" t="n">
        <f aca="false">IF(ISNUMBER(I876),E876-Inputs!$B$6*I876,"")</f>
        <v>0.832085877582492</v>
      </c>
      <c r="M876" s="9" t="b">
        <f aca="false">AND(Y875&gt;0,Z875)</f>
        <v>0</v>
      </c>
      <c r="N876" s="8" t="n">
        <f aca="false">B876*(1-Inputs!$B$12)</f>
        <v>0.844330945658417</v>
      </c>
      <c r="O876" s="10" t="n">
        <f aca="false">IF(M876,Y875*(N876-AB875)-Inputs!$B$9-Y875*AD875*Inputs!$B$13*(A876-AC875),0)</f>
        <v>0</v>
      </c>
      <c r="P876" s="10" t="n">
        <f aca="false">X875+O876</f>
        <v>983.862971216719</v>
      </c>
      <c r="Q876" s="9" t="b">
        <f aca="false">AND(IF(M876,0,Y875)=0,AA875,IF(ISNUMBER(AE875),B876&gt;AE875,FALSE()))</f>
        <v>0</v>
      </c>
      <c r="R876" s="8" t="n">
        <f aca="false">B876*(1+Inputs!$B$12)</f>
        <v>0.844668745596668</v>
      </c>
      <c r="S876" s="11" t="n">
        <f aca="false">IF(Q876,MIN(P876*Inputs!$B$3/(R876-AE875),P876*Inputs!$B$11/R876),0)</f>
        <v>0</v>
      </c>
      <c r="T876" s="11" t="n">
        <f aca="false">IF(Q876,S876,IF(M876,0,Y875))</f>
        <v>0</v>
      </c>
      <c r="U876" s="8" t="n">
        <f aca="false">IF(Q876,AE875,AF875)</f>
        <v>0.84586578756897</v>
      </c>
      <c r="V876" s="9" t="b">
        <f aca="false">AND(T876&gt;0,D876&lt;=U876)</f>
        <v>0</v>
      </c>
      <c r="W876" s="10" t="n">
        <f aca="false">IF(V876,T876*(AK876-AB876)-Inputs!$B$9-T876*AD876*Inputs!$B$13*(A876-AC876),0)</f>
        <v>0</v>
      </c>
      <c r="X876" s="10" t="n">
        <f aca="false">P876-IF(Q876,Inputs!$B$9,0)+W876</f>
        <v>983.862971216719</v>
      </c>
      <c r="Y876" s="11" t="n">
        <f aca="false">IF(V876,0,T876)</f>
        <v>0</v>
      </c>
      <c r="Z876" s="9" t="b">
        <f aca="false">AND(Y876&gt;0,K876)</f>
        <v>0</v>
      </c>
      <c r="AA876" s="9" t="b">
        <f aca="false">AND(Y876=0,J876,ISNUMBER(L876))</f>
        <v>0</v>
      </c>
      <c r="AB876" s="8" t="n">
        <f aca="false">IF(Q876,R876,AB875)</f>
        <v>0.863339701115261</v>
      </c>
      <c r="AC876" s="12" t="n">
        <f aca="false">IF(Q876,A876,AC875)</f>
        <v>45628</v>
      </c>
      <c r="AD876" s="8" t="n">
        <f aca="false">IF(Q876,B876,AD875)</f>
        <v>0.86316706770172</v>
      </c>
      <c r="AE876" s="8" t="str">
        <f aca="false">IF(AA876,L876,"")</f>
        <v/>
      </c>
      <c r="AF876" s="8" t="n">
        <f aca="false">U876</f>
        <v>0.84586578756897</v>
      </c>
      <c r="AG876" s="2" t="n">
        <f aca="false">AG875+IF(Q876,1,0)</f>
        <v>8</v>
      </c>
      <c r="AH876" s="2" t="n">
        <f aca="false">AG875</f>
        <v>8</v>
      </c>
      <c r="AI876" s="10" t="n">
        <f aca="false">X876+Y876*(E876-AB876)-Y876*AD876*Inputs!$B$13*(A876-AC876)</f>
        <v>983.862971216719</v>
      </c>
      <c r="AJ876" s="10" t="n">
        <v>0</v>
      </c>
      <c r="AK876" s="8" t="n">
        <f aca="false">IF(AND(B876&lt;=U876,NOT(Q876)),B876,U876)*(1-Inputs!$B$12)</f>
        <v>0.844330945658417</v>
      </c>
    </row>
    <row r="877" customFormat="false" ht="15" hidden="false" customHeight="false" outlineLevel="0" collapsed="false">
      <c r="A877" s="6" t="n">
        <v>45661</v>
      </c>
      <c r="B877" s="7" t="n">
        <v>0.849302763245756</v>
      </c>
      <c r="C877" s="7" t="n">
        <v>0.85148317456609</v>
      </c>
      <c r="D877" s="7" t="n">
        <v>0.843251062712422</v>
      </c>
      <c r="E877" s="7" t="n">
        <v>0.844701274643983</v>
      </c>
      <c r="F877" s="8" t="n">
        <f aca="true">IF(ROW()-2&gt;=Inputs!$B$4,AVERAGE(OFFSET(E877,1-Inputs!$B$4,0,Inputs!$B$4,1)),"")</f>
        <v>0.849809958569554</v>
      </c>
      <c r="G877" s="8" t="n">
        <f aca="true">IF(ROW()-2&gt;=Inputs!$B$5,AVERAGE(OFFSET(E877,1-Inputs!$B$5,0,Inputs!$B$5,1)),"")</f>
        <v>0.859159435293286</v>
      </c>
      <c r="H877" s="8" t="n">
        <f aca="false">MAX(C877-D877,ABS(C877-E876),ABS(D877-E876))</f>
        <v>0.00823211185366801</v>
      </c>
      <c r="I877" s="8" t="n">
        <f aca="true">IF(ROW()-2&lt;14,"",IF(ROW()-2=14,AVERAGE(OFFSET(H877,-13,0,14,1)),(I876*13+H877)/14))</f>
        <v>0.00858156204749166</v>
      </c>
      <c r="J877" s="9" t="b">
        <f aca="false">IF(AND(ISNUMBER(F877),ISNUMBER(G877),ISNUMBER(F876),ISNUMBER(G876)),AND(F877&gt;G877,F876&lt;=G876),FALSE())</f>
        <v>0</v>
      </c>
      <c r="K877" s="9" t="b">
        <f aca="false">IF(AND(ISNUMBER(F877),ISNUMBER(G877),ISNUMBER(F876),ISNUMBER(G876)),AND(F877&lt;G877,F876&gt;=G876),FALSE())</f>
        <v>0</v>
      </c>
      <c r="L877" s="8" t="n">
        <f aca="false">IF(ISNUMBER(I877),E877-Inputs!$B$6*I877,"")</f>
        <v>0.827538150548999</v>
      </c>
      <c r="M877" s="9" t="b">
        <f aca="false">AND(Y876&gt;0,Z876)</f>
        <v>0</v>
      </c>
      <c r="N877" s="8" t="n">
        <f aca="false">B877*(1-Inputs!$B$12)</f>
        <v>0.849132902693107</v>
      </c>
      <c r="O877" s="10" t="n">
        <f aca="false">IF(M877,Y876*(N877-AB876)-Inputs!$B$9-Y876*AD876*Inputs!$B$13*(A877-AC876),0)</f>
        <v>0</v>
      </c>
      <c r="P877" s="10" t="n">
        <f aca="false">X876+O877</f>
        <v>983.862971216719</v>
      </c>
      <c r="Q877" s="9" t="b">
        <f aca="false">AND(IF(M877,0,Y876)=0,AA876,IF(ISNUMBER(AE876),B877&gt;AE876,FALSE()))</f>
        <v>0</v>
      </c>
      <c r="R877" s="8" t="n">
        <f aca="false">B877*(1+Inputs!$B$12)</f>
        <v>0.849472623798405</v>
      </c>
      <c r="S877" s="11" t="n">
        <f aca="false">IF(Q877,MIN(P877*Inputs!$B$3/(R877-AE876),P877*Inputs!$B$11/R877),0)</f>
        <v>0</v>
      </c>
      <c r="T877" s="11" t="n">
        <f aca="false">IF(Q877,S877,IF(M877,0,Y876))</f>
        <v>0</v>
      </c>
      <c r="U877" s="8" t="n">
        <f aca="false">IF(Q877,AE876,AF876)</f>
        <v>0.84586578756897</v>
      </c>
      <c r="V877" s="9" t="b">
        <f aca="false">AND(T877&gt;0,D877&lt;=U877)</f>
        <v>0</v>
      </c>
      <c r="W877" s="10" t="n">
        <f aca="false">IF(V877,T877*(AK877-AB877)-Inputs!$B$9-T877*AD877*Inputs!$B$13*(A877-AC877),0)</f>
        <v>0</v>
      </c>
      <c r="X877" s="10" t="n">
        <f aca="false">P877-IF(Q877,Inputs!$B$9,0)+W877</f>
        <v>983.862971216719</v>
      </c>
      <c r="Y877" s="11" t="n">
        <f aca="false">IF(V877,0,T877)</f>
        <v>0</v>
      </c>
      <c r="Z877" s="9" t="b">
        <f aca="false">AND(Y877&gt;0,K877)</f>
        <v>0</v>
      </c>
      <c r="AA877" s="9" t="b">
        <f aca="false">AND(Y877=0,J877,ISNUMBER(L877))</f>
        <v>0</v>
      </c>
      <c r="AB877" s="8" t="n">
        <f aca="false">IF(Q877,R877,AB876)</f>
        <v>0.863339701115261</v>
      </c>
      <c r="AC877" s="12" t="n">
        <f aca="false">IF(Q877,A877,AC876)</f>
        <v>45628</v>
      </c>
      <c r="AD877" s="8" t="n">
        <f aca="false">IF(Q877,B877,AD876)</f>
        <v>0.86316706770172</v>
      </c>
      <c r="AE877" s="8" t="str">
        <f aca="false">IF(AA877,L877,"")</f>
        <v/>
      </c>
      <c r="AF877" s="8" t="n">
        <f aca="false">U877</f>
        <v>0.84586578756897</v>
      </c>
      <c r="AG877" s="2" t="n">
        <f aca="false">AG876+IF(Q877,1,0)</f>
        <v>8</v>
      </c>
      <c r="AH877" s="2" t="n">
        <f aca="false">AG876</f>
        <v>8</v>
      </c>
      <c r="AI877" s="10" t="n">
        <f aca="false">X877+Y877*(E877-AB877)-Y877*AD877*Inputs!$B$13*(A877-AC877)</f>
        <v>983.862971216719</v>
      </c>
      <c r="AJ877" s="10" t="n">
        <v>0</v>
      </c>
      <c r="AK877" s="8" t="n">
        <f aca="false">IF(AND(B877&lt;=U877,NOT(Q877)),B877,U877)*(1-Inputs!$B$12)</f>
        <v>0.845696614411456</v>
      </c>
    </row>
    <row r="878" customFormat="false" ht="15" hidden="false" customHeight="false" outlineLevel="0" collapsed="false">
      <c r="A878" s="6" t="n">
        <v>45662</v>
      </c>
      <c r="B878" s="7" t="n">
        <v>0.844701274643983</v>
      </c>
      <c r="C878" s="7" t="n">
        <v>0.848701696869983</v>
      </c>
      <c r="D878" s="7" t="n">
        <v>0.838520077589652</v>
      </c>
      <c r="E878" s="7" t="n">
        <v>0.8473418371667</v>
      </c>
      <c r="F878" s="8" t="n">
        <f aca="true">IF(ROW()-2&gt;=Inputs!$B$4,AVERAGE(OFFSET(E878,1-Inputs!$B$4,0,Inputs!$B$4,1)),"")</f>
        <v>0.849580640906087</v>
      </c>
      <c r="G878" s="8" t="n">
        <f aca="true">IF(ROW()-2&gt;=Inputs!$B$5,AVERAGE(OFFSET(E878,1-Inputs!$B$5,0,Inputs!$B$5,1)),"")</f>
        <v>0.858762871131613</v>
      </c>
      <c r="H878" s="8" t="n">
        <f aca="false">MAX(C878-D878,ABS(C878-E877),ABS(D878-E877))</f>
        <v>0.0101816192803315</v>
      </c>
      <c r="I878" s="8" t="n">
        <f aca="true">IF(ROW()-2&lt;14,"",IF(ROW()-2=14,AVERAGE(OFFSET(H878,-13,0,14,1)),(I877*13+H878)/14))</f>
        <v>0.00869585184983736</v>
      </c>
      <c r="J878" s="9" t="b">
        <f aca="false">IF(AND(ISNUMBER(F878),ISNUMBER(G878),ISNUMBER(F877),ISNUMBER(G877)),AND(F878&gt;G878,F877&lt;=G877),FALSE())</f>
        <v>0</v>
      </c>
      <c r="K878" s="9" t="b">
        <f aca="false">IF(AND(ISNUMBER(F878),ISNUMBER(G878),ISNUMBER(F877),ISNUMBER(G877)),AND(F878&lt;G878,F877&gt;=G877),FALSE())</f>
        <v>0</v>
      </c>
      <c r="L878" s="8" t="n">
        <f aca="false">IF(ISNUMBER(I878),E878-Inputs!$B$6*I878,"")</f>
        <v>0.829950133467025</v>
      </c>
      <c r="M878" s="9" t="b">
        <f aca="false">AND(Y877&gt;0,Z877)</f>
        <v>0</v>
      </c>
      <c r="N878" s="8" t="n">
        <f aca="false">B878*(1-Inputs!$B$12)</f>
        <v>0.844532334389054</v>
      </c>
      <c r="O878" s="10" t="n">
        <f aca="false">IF(M878,Y877*(N878-AB877)-Inputs!$B$9-Y877*AD877*Inputs!$B$13*(A878-AC877),0)</f>
        <v>0</v>
      </c>
      <c r="P878" s="10" t="n">
        <f aca="false">X877+O878</f>
        <v>983.862971216719</v>
      </c>
      <c r="Q878" s="9" t="b">
        <f aca="false">AND(IF(M878,0,Y877)=0,AA877,IF(ISNUMBER(AE877),B878&gt;AE877,FALSE()))</f>
        <v>0</v>
      </c>
      <c r="R878" s="8" t="n">
        <f aca="false">B878*(1+Inputs!$B$12)</f>
        <v>0.844870214898911</v>
      </c>
      <c r="S878" s="11" t="n">
        <f aca="false">IF(Q878,MIN(P878*Inputs!$B$3/(R878-AE877),P878*Inputs!$B$11/R878),0)</f>
        <v>0</v>
      </c>
      <c r="T878" s="11" t="n">
        <f aca="false">IF(Q878,S878,IF(M878,0,Y877))</f>
        <v>0</v>
      </c>
      <c r="U878" s="8" t="n">
        <f aca="false">IF(Q878,AE877,AF877)</f>
        <v>0.84586578756897</v>
      </c>
      <c r="V878" s="9" t="b">
        <f aca="false">AND(T878&gt;0,D878&lt;=U878)</f>
        <v>0</v>
      </c>
      <c r="W878" s="10" t="n">
        <f aca="false">IF(V878,T878*(AK878-AB878)-Inputs!$B$9-T878*AD878*Inputs!$B$13*(A878-AC878),0)</f>
        <v>0</v>
      </c>
      <c r="X878" s="10" t="n">
        <f aca="false">P878-IF(Q878,Inputs!$B$9,0)+W878</f>
        <v>983.862971216719</v>
      </c>
      <c r="Y878" s="11" t="n">
        <f aca="false">IF(V878,0,T878)</f>
        <v>0</v>
      </c>
      <c r="Z878" s="9" t="b">
        <f aca="false">AND(Y878&gt;0,K878)</f>
        <v>0</v>
      </c>
      <c r="AA878" s="9" t="b">
        <f aca="false">AND(Y878=0,J878,ISNUMBER(L878))</f>
        <v>0</v>
      </c>
      <c r="AB878" s="8" t="n">
        <f aca="false">IF(Q878,R878,AB877)</f>
        <v>0.863339701115261</v>
      </c>
      <c r="AC878" s="12" t="n">
        <f aca="false">IF(Q878,A878,AC877)</f>
        <v>45628</v>
      </c>
      <c r="AD878" s="8" t="n">
        <f aca="false">IF(Q878,B878,AD877)</f>
        <v>0.86316706770172</v>
      </c>
      <c r="AE878" s="8" t="str">
        <f aca="false">IF(AA878,L878,"")</f>
        <v/>
      </c>
      <c r="AF878" s="8" t="n">
        <f aca="false">U878</f>
        <v>0.84586578756897</v>
      </c>
      <c r="AG878" s="2" t="n">
        <f aca="false">AG877+IF(Q878,1,0)</f>
        <v>8</v>
      </c>
      <c r="AH878" s="2" t="n">
        <f aca="false">AG877</f>
        <v>8</v>
      </c>
      <c r="AI878" s="10" t="n">
        <f aca="false">X878+Y878*(E878-AB878)-Y878*AD878*Inputs!$B$13*(A878-AC878)</f>
        <v>983.862971216719</v>
      </c>
      <c r="AJ878" s="10" t="n">
        <v>0</v>
      </c>
      <c r="AK878" s="8" t="n">
        <f aca="false">IF(AND(B878&lt;=U878,NOT(Q878)),B878,U878)*(1-Inputs!$B$12)</f>
        <v>0.844532334389054</v>
      </c>
    </row>
    <row r="879" customFormat="false" ht="15" hidden="false" customHeight="false" outlineLevel="0" collapsed="false">
      <c r="A879" s="6" t="n">
        <v>45663</v>
      </c>
      <c r="B879" s="7" t="n">
        <v>0.8473418371667</v>
      </c>
      <c r="C879" s="7" t="n">
        <v>0.854094282261717</v>
      </c>
      <c r="D879" s="7" t="n">
        <v>0.846562123574489</v>
      </c>
      <c r="E879" s="7" t="n">
        <v>0.8539337395056</v>
      </c>
      <c r="F879" s="8" t="n">
        <f aca="true">IF(ROW()-2&gt;=Inputs!$B$4,AVERAGE(OFFSET(E879,1-Inputs!$B$4,0,Inputs!$B$4,1)),"")</f>
        <v>0.849895801339583</v>
      </c>
      <c r="G879" s="8" t="n">
        <f aca="true">IF(ROW()-2&gt;=Inputs!$B$5,AVERAGE(OFFSET(E879,1-Inputs!$B$5,0,Inputs!$B$5,1)),"")</f>
        <v>0.858381044707117</v>
      </c>
      <c r="H879" s="8" t="n">
        <f aca="false">MAX(C879-D879,ABS(C879-E878),ABS(D879-E878))</f>
        <v>0.00753215868722768</v>
      </c>
      <c r="I879" s="8" t="n">
        <f aca="true">IF(ROW()-2&lt;14,"",IF(ROW()-2=14,AVERAGE(OFFSET(H879,-13,0,14,1)),(I878*13+H879)/14))</f>
        <v>0.00861273090965095</v>
      </c>
      <c r="J879" s="9" t="b">
        <f aca="false">IF(AND(ISNUMBER(F879),ISNUMBER(G879),ISNUMBER(F878),ISNUMBER(G878)),AND(F879&gt;G879,F878&lt;=G878),FALSE())</f>
        <v>0</v>
      </c>
      <c r="K879" s="9" t="b">
        <f aca="false">IF(AND(ISNUMBER(F879),ISNUMBER(G879),ISNUMBER(F878),ISNUMBER(G878)),AND(F879&lt;G879,F878&gt;=G878),FALSE())</f>
        <v>0</v>
      </c>
      <c r="L879" s="8" t="n">
        <f aca="false">IF(ISNUMBER(I879),E879-Inputs!$B$6*I879,"")</f>
        <v>0.836708277686298</v>
      </c>
      <c r="M879" s="9" t="b">
        <f aca="false">AND(Y878&gt;0,Z878)</f>
        <v>0</v>
      </c>
      <c r="N879" s="8" t="n">
        <f aca="false">B879*(1-Inputs!$B$12)</f>
        <v>0.847172368799266</v>
      </c>
      <c r="O879" s="10" t="n">
        <f aca="false">IF(M879,Y878*(N879-AB878)-Inputs!$B$9-Y878*AD878*Inputs!$B$13*(A879-AC878),0)</f>
        <v>0</v>
      </c>
      <c r="P879" s="10" t="n">
        <f aca="false">X878+O879</f>
        <v>983.862971216719</v>
      </c>
      <c r="Q879" s="9" t="b">
        <f aca="false">AND(IF(M879,0,Y878)=0,AA878,IF(ISNUMBER(AE878),B879&gt;AE878,FALSE()))</f>
        <v>0</v>
      </c>
      <c r="R879" s="8" t="n">
        <f aca="false">B879*(1+Inputs!$B$12)</f>
        <v>0.847511305534133</v>
      </c>
      <c r="S879" s="11" t="n">
        <f aca="false">IF(Q879,MIN(P879*Inputs!$B$3/(R879-AE878),P879*Inputs!$B$11/R879),0)</f>
        <v>0</v>
      </c>
      <c r="T879" s="11" t="n">
        <f aca="false">IF(Q879,S879,IF(M879,0,Y878))</f>
        <v>0</v>
      </c>
      <c r="U879" s="8" t="n">
        <f aca="false">IF(Q879,AE878,AF878)</f>
        <v>0.84586578756897</v>
      </c>
      <c r="V879" s="9" t="b">
        <f aca="false">AND(T879&gt;0,D879&lt;=U879)</f>
        <v>0</v>
      </c>
      <c r="W879" s="10" t="n">
        <f aca="false">IF(V879,T879*(AK879-AB879)-Inputs!$B$9-T879*AD879*Inputs!$B$13*(A879-AC879),0)</f>
        <v>0</v>
      </c>
      <c r="X879" s="10" t="n">
        <f aca="false">P879-IF(Q879,Inputs!$B$9,0)+W879</f>
        <v>983.862971216719</v>
      </c>
      <c r="Y879" s="11" t="n">
        <f aca="false">IF(V879,0,T879)</f>
        <v>0</v>
      </c>
      <c r="Z879" s="9" t="b">
        <f aca="false">AND(Y879&gt;0,K879)</f>
        <v>0</v>
      </c>
      <c r="AA879" s="9" t="b">
        <f aca="false">AND(Y879=0,J879,ISNUMBER(L879))</f>
        <v>0</v>
      </c>
      <c r="AB879" s="8" t="n">
        <f aca="false">IF(Q879,R879,AB878)</f>
        <v>0.863339701115261</v>
      </c>
      <c r="AC879" s="12" t="n">
        <f aca="false">IF(Q879,A879,AC878)</f>
        <v>45628</v>
      </c>
      <c r="AD879" s="8" t="n">
        <f aca="false">IF(Q879,B879,AD878)</f>
        <v>0.86316706770172</v>
      </c>
      <c r="AE879" s="8" t="str">
        <f aca="false">IF(AA879,L879,"")</f>
        <v/>
      </c>
      <c r="AF879" s="8" t="n">
        <f aca="false">U879</f>
        <v>0.84586578756897</v>
      </c>
      <c r="AG879" s="2" t="n">
        <f aca="false">AG878+IF(Q879,1,0)</f>
        <v>8</v>
      </c>
      <c r="AH879" s="2" t="n">
        <f aca="false">AG878</f>
        <v>8</v>
      </c>
      <c r="AI879" s="10" t="n">
        <f aca="false">X879+Y879*(E879-AB879)-Y879*AD879*Inputs!$B$13*(A879-AC879)</f>
        <v>983.862971216719</v>
      </c>
      <c r="AJ879" s="10" t="n">
        <v>0</v>
      </c>
      <c r="AK879" s="8" t="n">
        <f aca="false">IF(AND(B879&lt;=U879,NOT(Q879)),B879,U879)*(1-Inputs!$B$12)</f>
        <v>0.845696614411456</v>
      </c>
    </row>
    <row r="880" customFormat="false" ht="15" hidden="false" customHeight="false" outlineLevel="0" collapsed="false">
      <c r="A880" s="6" t="n">
        <v>45664</v>
      </c>
      <c r="B880" s="7" t="n">
        <v>0.8539337395056</v>
      </c>
      <c r="C880" s="7" t="n">
        <v>0.855062110366687</v>
      </c>
      <c r="D880" s="7" t="n">
        <v>0.849200065330877</v>
      </c>
      <c r="E880" s="7" t="n">
        <v>0.852515751255046</v>
      </c>
      <c r="F880" s="8" t="n">
        <f aca="true">IF(ROW()-2&gt;=Inputs!$B$4,AVERAGE(OFFSET(E880,1-Inputs!$B$4,0,Inputs!$B$4,1)),"")</f>
        <v>0.850011761330835</v>
      </c>
      <c r="G880" s="8" t="n">
        <f aca="true">IF(ROW()-2&gt;=Inputs!$B$5,AVERAGE(OFFSET(E880,1-Inputs!$B$5,0,Inputs!$B$5,1)),"")</f>
        <v>0.857874367215559</v>
      </c>
      <c r="H880" s="8" t="n">
        <f aca="false">MAX(C880-D880,ABS(C880-E879),ABS(D880-E879))</f>
        <v>0.00586204503580978</v>
      </c>
      <c r="I880" s="8" t="n">
        <f aca="true">IF(ROW()-2&lt;14,"",IF(ROW()-2=14,AVERAGE(OFFSET(H880,-13,0,14,1)),(I879*13+H880)/14))</f>
        <v>0.00841625334723372</v>
      </c>
      <c r="J880" s="9" t="b">
        <f aca="false">IF(AND(ISNUMBER(F880),ISNUMBER(G880),ISNUMBER(F879),ISNUMBER(G879)),AND(F880&gt;G880,F879&lt;=G879),FALSE())</f>
        <v>0</v>
      </c>
      <c r="K880" s="9" t="b">
        <f aca="false">IF(AND(ISNUMBER(F880),ISNUMBER(G880),ISNUMBER(F879),ISNUMBER(G879)),AND(F880&lt;G880,F879&gt;=G879),FALSE())</f>
        <v>0</v>
      </c>
      <c r="L880" s="8" t="n">
        <f aca="false">IF(ISNUMBER(I880),E880-Inputs!$B$6*I880,"")</f>
        <v>0.835683244560579</v>
      </c>
      <c r="M880" s="9" t="b">
        <f aca="false">AND(Y879&gt;0,Z879)</f>
        <v>0</v>
      </c>
      <c r="N880" s="8" t="n">
        <f aca="false">B880*(1-Inputs!$B$12)</f>
        <v>0.853762952757699</v>
      </c>
      <c r="O880" s="10" t="n">
        <f aca="false">IF(M880,Y879*(N880-AB879)-Inputs!$B$9-Y879*AD879*Inputs!$B$13*(A880-AC879),0)</f>
        <v>0</v>
      </c>
      <c r="P880" s="10" t="n">
        <f aca="false">X879+O880</f>
        <v>983.862971216719</v>
      </c>
      <c r="Q880" s="9" t="b">
        <f aca="false">AND(IF(M880,0,Y879)=0,AA879,IF(ISNUMBER(AE879),B880&gt;AE879,FALSE()))</f>
        <v>0</v>
      </c>
      <c r="R880" s="8" t="n">
        <f aca="false">B880*(1+Inputs!$B$12)</f>
        <v>0.854104526253501</v>
      </c>
      <c r="S880" s="11" t="n">
        <f aca="false">IF(Q880,MIN(P880*Inputs!$B$3/(R880-AE879),P880*Inputs!$B$11/R880),0)</f>
        <v>0</v>
      </c>
      <c r="T880" s="11" t="n">
        <f aca="false">IF(Q880,S880,IF(M880,0,Y879))</f>
        <v>0</v>
      </c>
      <c r="U880" s="8" t="n">
        <f aca="false">IF(Q880,AE879,AF879)</f>
        <v>0.84586578756897</v>
      </c>
      <c r="V880" s="9" t="b">
        <f aca="false">AND(T880&gt;0,D880&lt;=U880)</f>
        <v>0</v>
      </c>
      <c r="W880" s="10" t="n">
        <f aca="false">IF(V880,T880*(AK880-AB880)-Inputs!$B$9-T880*AD880*Inputs!$B$13*(A880-AC880),0)</f>
        <v>0</v>
      </c>
      <c r="X880" s="10" t="n">
        <f aca="false">P880-IF(Q880,Inputs!$B$9,0)+W880</f>
        <v>983.862971216719</v>
      </c>
      <c r="Y880" s="11" t="n">
        <f aca="false">IF(V880,0,T880)</f>
        <v>0</v>
      </c>
      <c r="Z880" s="9" t="b">
        <f aca="false">AND(Y880&gt;0,K880)</f>
        <v>0</v>
      </c>
      <c r="AA880" s="9" t="b">
        <f aca="false">AND(Y880=0,J880,ISNUMBER(L880))</f>
        <v>0</v>
      </c>
      <c r="AB880" s="8" t="n">
        <f aca="false">IF(Q880,R880,AB879)</f>
        <v>0.863339701115261</v>
      </c>
      <c r="AC880" s="12" t="n">
        <f aca="false">IF(Q880,A880,AC879)</f>
        <v>45628</v>
      </c>
      <c r="AD880" s="8" t="n">
        <f aca="false">IF(Q880,B880,AD879)</f>
        <v>0.86316706770172</v>
      </c>
      <c r="AE880" s="8" t="str">
        <f aca="false">IF(AA880,L880,"")</f>
        <v/>
      </c>
      <c r="AF880" s="8" t="n">
        <f aca="false">U880</f>
        <v>0.84586578756897</v>
      </c>
      <c r="AG880" s="2" t="n">
        <f aca="false">AG879+IF(Q880,1,0)</f>
        <v>8</v>
      </c>
      <c r="AH880" s="2" t="n">
        <f aca="false">AG879</f>
        <v>8</v>
      </c>
      <c r="AI880" s="10" t="n">
        <f aca="false">X880+Y880*(E880-AB880)-Y880*AD880*Inputs!$B$13*(A880-AC880)</f>
        <v>983.862971216719</v>
      </c>
      <c r="AJ880" s="10" t="n">
        <v>0</v>
      </c>
      <c r="AK880" s="8" t="n">
        <f aca="false">IF(AND(B880&lt;=U880,NOT(Q880)),B880,U880)*(1-Inputs!$B$12)</f>
        <v>0.845696614411456</v>
      </c>
    </row>
    <row r="881" customFormat="false" ht="15" hidden="false" customHeight="false" outlineLevel="0" collapsed="false">
      <c r="A881" s="6" t="n">
        <v>45665</v>
      </c>
      <c r="B881" s="7" t="n">
        <v>0.852515751255046</v>
      </c>
      <c r="C881" s="7" t="n">
        <v>0.852904496516292</v>
      </c>
      <c r="D881" s="7" t="n">
        <v>0.844916408691378</v>
      </c>
      <c r="E881" s="7" t="n">
        <v>0.845484626049761</v>
      </c>
      <c r="F881" s="8" t="n">
        <f aca="true">IF(ROW()-2&gt;=Inputs!$B$4,AVERAGE(OFFSET(E881,1-Inputs!$B$4,0,Inputs!$B$4,1)),"")</f>
        <v>0.849608188321895</v>
      </c>
      <c r="G881" s="8" t="n">
        <f aca="true">IF(ROW()-2&gt;=Inputs!$B$5,AVERAGE(OFFSET(E881,1-Inputs!$B$5,0,Inputs!$B$5,1)),"")</f>
        <v>0.857180229556266</v>
      </c>
      <c r="H881" s="8" t="n">
        <f aca="false">MAX(C881-D881,ABS(C881-E880),ABS(D881-E880))</f>
        <v>0.00798808782491345</v>
      </c>
      <c r="I881" s="8" t="n">
        <f aca="true">IF(ROW()-2&lt;14,"",IF(ROW()-2=14,AVERAGE(OFFSET(H881,-13,0,14,1)),(I880*13+H881)/14))</f>
        <v>0.00838567009563942</v>
      </c>
      <c r="J881" s="9" t="b">
        <f aca="false">IF(AND(ISNUMBER(F881),ISNUMBER(G881),ISNUMBER(F880),ISNUMBER(G880)),AND(F881&gt;G881,F880&lt;=G880),FALSE())</f>
        <v>0</v>
      </c>
      <c r="K881" s="9" t="b">
        <f aca="false">IF(AND(ISNUMBER(F881),ISNUMBER(G881),ISNUMBER(F880),ISNUMBER(G880)),AND(F881&lt;G881,F880&gt;=G880),FALSE())</f>
        <v>0</v>
      </c>
      <c r="L881" s="8" t="n">
        <f aca="false">IF(ISNUMBER(I881),E881-Inputs!$B$6*I881,"")</f>
        <v>0.828713285858482</v>
      </c>
      <c r="M881" s="9" t="b">
        <f aca="false">AND(Y880&gt;0,Z880)</f>
        <v>0</v>
      </c>
      <c r="N881" s="8" t="n">
        <f aca="false">B881*(1-Inputs!$B$12)</f>
        <v>0.852345248104795</v>
      </c>
      <c r="O881" s="10" t="n">
        <f aca="false">IF(M881,Y880*(N881-AB880)-Inputs!$B$9-Y880*AD880*Inputs!$B$13*(A881-AC880),0)</f>
        <v>0</v>
      </c>
      <c r="P881" s="10" t="n">
        <f aca="false">X880+O881</f>
        <v>983.862971216719</v>
      </c>
      <c r="Q881" s="9" t="b">
        <f aca="false">AND(IF(M881,0,Y880)=0,AA880,IF(ISNUMBER(AE880),B881&gt;AE880,FALSE()))</f>
        <v>0</v>
      </c>
      <c r="R881" s="8" t="n">
        <f aca="false">B881*(1+Inputs!$B$12)</f>
        <v>0.852686254405297</v>
      </c>
      <c r="S881" s="11" t="n">
        <f aca="false">IF(Q881,MIN(P881*Inputs!$B$3/(R881-AE880),P881*Inputs!$B$11/R881),0)</f>
        <v>0</v>
      </c>
      <c r="T881" s="11" t="n">
        <f aca="false">IF(Q881,S881,IF(M881,0,Y880))</f>
        <v>0</v>
      </c>
      <c r="U881" s="8" t="n">
        <f aca="false">IF(Q881,AE880,AF880)</f>
        <v>0.84586578756897</v>
      </c>
      <c r="V881" s="9" t="b">
        <f aca="false">AND(T881&gt;0,D881&lt;=U881)</f>
        <v>0</v>
      </c>
      <c r="W881" s="10" t="n">
        <f aca="false">IF(V881,T881*(AK881-AB881)-Inputs!$B$9-T881*AD881*Inputs!$B$13*(A881-AC881),0)</f>
        <v>0</v>
      </c>
      <c r="X881" s="10" t="n">
        <f aca="false">P881-IF(Q881,Inputs!$B$9,0)+W881</f>
        <v>983.862971216719</v>
      </c>
      <c r="Y881" s="11" t="n">
        <f aca="false">IF(V881,0,T881)</f>
        <v>0</v>
      </c>
      <c r="Z881" s="9" t="b">
        <f aca="false">AND(Y881&gt;0,K881)</f>
        <v>0</v>
      </c>
      <c r="AA881" s="9" t="b">
        <f aca="false">AND(Y881=0,J881,ISNUMBER(L881))</f>
        <v>0</v>
      </c>
      <c r="AB881" s="8" t="n">
        <f aca="false">IF(Q881,R881,AB880)</f>
        <v>0.863339701115261</v>
      </c>
      <c r="AC881" s="12" t="n">
        <f aca="false">IF(Q881,A881,AC880)</f>
        <v>45628</v>
      </c>
      <c r="AD881" s="8" t="n">
        <f aca="false">IF(Q881,B881,AD880)</f>
        <v>0.86316706770172</v>
      </c>
      <c r="AE881" s="8" t="str">
        <f aca="false">IF(AA881,L881,"")</f>
        <v/>
      </c>
      <c r="AF881" s="8" t="n">
        <f aca="false">U881</f>
        <v>0.84586578756897</v>
      </c>
      <c r="AG881" s="2" t="n">
        <f aca="false">AG880+IF(Q881,1,0)</f>
        <v>8</v>
      </c>
      <c r="AH881" s="2" t="n">
        <f aca="false">AG880</f>
        <v>8</v>
      </c>
      <c r="AI881" s="10" t="n">
        <f aca="false">X881+Y881*(E881-AB881)-Y881*AD881*Inputs!$B$13*(A881-AC881)</f>
        <v>983.862971216719</v>
      </c>
      <c r="AJ881" s="10" t="n">
        <v>0</v>
      </c>
      <c r="AK881" s="8" t="n">
        <f aca="false">IF(AND(B881&lt;=U881,NOT(Q881)),B881,U881)*(1-Inputs!$B$12)</f>
        <v>0.845696614411456</v>
      </c>
    </row>
    <row r="882" customFormat="false" ht="15" hidden="false" customHeight="false" outlineLevel="0" collapsed="false">
      <c r="A882" s="6" t="n">
        <v>45666</v>
      </c>
      <c r="B882" s="7" t="n">
        <v>0.845484626049761</v>
      </c>
      <c r="C882" s="7" t="n">
        <v>0.849156663043861</v>
      </c>
      <c r="D882" s="7" t="n">
        <v>0.842386480692621</v>
      </c>
      <c r="E882" s="7" t="n">
        <v>0.845813074871353</v>
      </c>
      <c r="F882" s="8" t="n">
        <f aca="true">IF(ROW()-2&gt;=Inputs!$B$4,AVERAGE(OFFSET(E882,1-Inputs!$B$4,0,Inputs!$B$4,1)),"")</f>
        <v>0.849036717710257</v>
      </c>
      <c r="G882" s="8" t="n">
        <f aca="true">IF(ROW()-2&gt;=Inputs!$B$5,AVERAGE(OFFSET(E882,1-Inputs!$B$5,0,Inputs!$B$5,1)),"")</f>
        <v>0.856431365122757</v>
      </c>
      <c r="H882" s="8" t="n">
        <f aca="false">MAX(C882-D882,ABS(C882-E881),ABS(D882-E881))</f>
        <v>0.0067701823512405</v>
      </c>
      <c r="I882" s="8" t="n">
        <f aca="true">IF(ROW()-2&lt;14,"",IF(ROW()-2=14,AVERAGE(OFFSET(H882,-13,0,14,1)),(I881*13+H882)/14))</f>
        <v>0.00827027811389664</v>
      </c>
      <c r="J882" s="9" t="b">
        <f aca="false">IF(AND(ISNUMBER(F882),ISNUMBER(G882),ISNUMBER(F881),ISNUMBER(G881)),AND(F882&gt;G882,F881&lt;=G881),FALSE())</f>
        <v>0</v>
      </c>
      <c r="K882" s="9" t="b">
        <f aca="false">IF(AND(ISNUMBER(F882),ISNUMBER(G882),ISNUMBER(F881),ISNUMBER(G881)),AND(F882&lt;G882,F881&gt;=G881),FALSE())</f>
        <v>0</v>
      </c>
      <c r="L882" s="8" t="n">
        <f aca="false">IF(ISNUMBER(I882),E882-Inputs!$B$6*I882,"")</f>
        <v>0.82927251864356</v>
      </c>
      <c r="M882" s="9" t="b">
        <f aca="false">AND(Y881&gt;0,Z881)</f>
        <v>0</v>
      </c>
      <c r="N882" s="8" t="n">
        <f aca="false">B882*(1-Inputs!$B$12)</f>
        <v>0.845315529124551</v>
      </c>
      <c r="O882" s="10" t="n">
        <f aca="false">IF(M882,Y881*(N882-AB881)-Inputs!$B$9-Y881*AD881*Inputs!$B$13*(A882-AC881),0)</f>
        <v>0</v>
      </c>
      <c r="P882" s="10" t="n">
        <f aca="false">X881+O882</f>
        <v>983.862971216719</v>
      </c>
      <c r="Q882" s="9" t="b">
        <f aca="false">AND(IF(M882,0,Y881)=0,AA881,IF(ISNUMBER(AE881),B882&gt;AE881,FALSE()))</f>
        <v>0</v>
      </c>
      <c r="R882" s="8" t="n">
        <f aca="false">B882*(1+Inputs!$B$12)</f>
        <v>0.845653722974971</v>
      </c>
      <c r="S882" s="11" t="n">
        <f aca="false">IF(Q882,MIN(P882*Inputs!$B$3/(R882-AE881),P882*Inputs!$B$11/R882),0)</f>
        <v>0</v>
      </c>
      <c r="T882" s="11" t="n">
        <f aca="false">IF(Q882,S882,IF(M882,0,Y881))</f>
        <v>0</v>
      </c>
      <c r="U882" s="8" t="n">
        <f aca="false">IF(Q882,AE881,AF881)</f>
        <v>0.84586578756897</v>
      </c>
      <c r="V882" s="9" t="b">
        <f aca="false">AND(T882&gt;0,D882&lt;=U882)</f>
        <v>0</v>
      </c>
      <c r="W882" s="10" t="n">
        <f aca="false">IF(V882,T882*(AK882-AB882)-Inputs!$B$9-T882*AD882*Inputs!$B$13*(A882-AC882),0)</f>
        <v>0</v>
      </c>
      <c r="X882" s="10" t="n">
        <f aca="false">P882-IF(Q882,Inputs!$B$9,0)+W882</f>
        <v>983.862971216719</v>
      </c>
      <c r="Y882" s="11" t="n">
        <f aca="false">IF(V882,0,T882)</f>
        <v>0</v>
      </c>
      <c r="Z882" s="9" t="b">
        <f aca="false">AND(Y882&gt;0,K882)</f>
        <v>0</v>
      </c>
      <c r="AA882" s="9" t="b">
        <f aca="false">AND(Y882=0,J882,ISNUMBER(L882))</f>
        <v>0</v>
      </c>
      <c r="AB882" s="8" t="n">
        <f aca="false">IF(Q882,R882,AB881)</f>
        <v>0.863339701115261</v>
      </c>
      <c r="AC882" s="12" t="n">
        <f aca="false">IF(Q882,A882,AC881)</f>
        <v>45628</v>
      </c>
      <c r="AD882" s="8" t="n">
        <f aca="false">IF(Q882,B882,AD881)</f>
        <v>0.86316706770172</v>
      </c>
      <c r="AE882" s="8" t="str">
        <f aca="false">IF(AA882,L882,"")</f>
        <v/>
      </c>
      <c r="AF882" s="8" t="n">
        <f aca="false">U882</f>
        <v>0.84586578756897</v>
      </c>
      <c r="AG882" s="2" t="n">
        <f aca="false">AG881+IF(Q882,1,0)</f>
        <v>8</v>
      </c>
      <c r="AH882" s="2" t="n">
        <f aca="false">AG881</f>
        <v>8</v>
      </c>
      <c r="AI882" s="10" t="n">
        <f aca="false">X882+Y882*(E882-AB882)-Y882*AD882*Inputs!$B$13*(A882-AC882)</f>
        <v>983.862971216719</v>
      </c>
      <c r="AJ882" s="10" t="n">
        <v>0</v>
      </c>
      <c r="AK882" s="8" t="n">
        <f aca="false">IF(AND(B882&lt;=U882,NOT(Q882)),B882,U882)*(1-Inputs!$B$12)</f>
        <v>0.845315529124551</v>
      </c>
    </row>
    <row r="883" customFormat="false" ht="15" hidden="false" customHeight="false" outlineLevel="0" collapsed="false">
      <c r="A883" s="6" t="n">
        <v>45667</v>
      </c>
      <c r="B883" s="7" t="n">
        <v>0.845813074871353</v>
      </c>
      <c r="C883" s="7" t="n">
        <v>0.849868127025942</v>
      </c>
      <c r="D883" s="7" t="n">
        <v>0.842241889799953</v>
      </c>
      <c r="E883" s="7" t="n">
        <v>0.842851831279303</v>
      </c>
      <c r="F883" s="8" t="n">
        <f aca="true">IF(ROW()-2&gt;=Inputs!$B$4,AVERAGE(OFFSET(E883,1-Inputs!$B$4,0,Inputs!$B$4,1)),"")</f>
        <v>0.848334988734635</v>
      </c>
      <c r="G883" s="8" t="n">
        <f aca="true">IF(ROW()-2&gt;=Inputs!$B$5,AVERAGE(OFFSET(E883,1-Inputs!$B$5,0,Inputs!$B$5,1)),"")</f>
        <v>0.855763614176293</v>
      </c>
      <c r="H883" s="8" t="n">
        <f aca="false">MAX(C883-D883,ABS(C883-E882),ABS(D883-E882))</f>
        <v>0.00762623722598899</v>
      </c>
      <c r="I883" s="8" t="n">
        <f aca="true">IF(ROW()-2&lt;14,"",IF(ROW()-2=14,AVERAGE(OFFSET(H883,-13,0,14,1)),(I882*13+H883)/14))</f>
        <v>0.00822427519333181</v>
      </c>
      <c r="J883" s="9" t="b">
        <f aca="false">IF(AND(ISNUMBER(F883),ISNUMBER(G883),ISNUMBER(F882),ISNUMBER(G882)),AND(F883&gt;G883,F882&lt;=G882),FALSE())</f>
        <v>0</v>
      </c>
      <c r="K883" s="9" t="b">
        <f aca="false">IF(AND(ISNUMBER(F883),ISNUMBER(G883),ISNUMBER(F882),ISNUMBER(G882)),AND(F883&lt;G883,F882&gt;=G882),FALSE())</f>
        <v>0</v>
      </c>
      <c r="L883" s="8" t="n">
        <f aca="false">IF(ISNUMBER(I883),E883-Inputs!$B$6*I883,"")</f>
        <v>0.82640328089264</v>
      </c>
      <c r="M883" s="9" t="b">
        <f aca="false">AND(Y882&gt;0,Z882)</f>
        <v>0</v>
      </c>
      <c r="N883" s="8" t="n">
        <f aca="false">B883*(1-Inputs!$B$12)</f>
        <v>0.845643912256379</v>
      </c>
      <c r="O883" s="10" t="n">
        <f aca="false">IF(M883,Y882*(N883-AB882)-Inputs!$B$9-Y882*AD882*Inputs!$B$13*(A883-AC882),0)</f>
        <v>0</v>
      </c>
      <c r="P883" s="10" t="n">
        <f aca="false">X882+O883</f>
        <v>983.862971216719</v>
      </c>
      <c r="Q883" s="9" t="b">
        <f aca="false">AND(IF(M883,0,Y882)=0,AA882,IF(ISNUMBER(AE882),B883&gt;AE882,FALSE()))</f>
        <v>0</v>
      </c>
      <c r="R883" s="8" t="n">
        <f aca="false">B883*(1+Inputs!$B$12)</f>
        <v>0.845982237486327</v>
      </c>
      <c r="S883" s="11" t="n">
        <f aca="false">IF(Q883,MIN(P883*Inputs!$B$3/(R883-AE882),P883*Inputs!$B$11/R883),0)</f>
        <v>0</v>
      </c>
      <c r="T883" s="11" t="n">
        <f aca="false">IF(Q883,S883,IF(M883,0,Y882))</f>
        <v>0</v>
      </c>
      <c r="U883" s="8" t="n">
        <f aca="false">IF(Q883,AE882,AF882)</f>
        <v>0.84586578756897</v>
      </c>
      <c r="V883" s="9" t="b">
        <f aca="false">AND(T883&gt;0,D883&lt;=U883)</f>
        <v>0</v>
      </c>
      <c r="W883" s="10" t="n">
        <f aca="false">IF(V883,T883*(AK883-AB883)-Inputs!$B$9-T883*AD883*Inputs!$B$13*(A883-AC883),0)</f>
        <v>0</v>
      </c>
      <c r="X883" s="10" t="n">
        <f aca="false">P883-IF(Q883,Inputs!$B$9,0)+W883</f>
        <v>983.862971216719</v>
      </c>
      <c r="Y883" s="11" t="n">
        <f aca="false">IF(V883,0,T883)</f>
        <v>0</v>
      </c>
      <c r="Z883" s="9" t="b">
        <f aca="false">AND(Y883&gt;0,K883)</f>
        <v>0</v>
      </c>
      <c r="AA883" s="9" t="b">
        <f aca="false">AND(Y883=0,J883,ISNUMBER(L883))</f>
        <v>0</v>
      </c>
      <c r="AB883" s="8" t="n">
        <f aca="false">IF(Q883,R883,AB882)</f>
        <v>0.863339701115261</v>
      </c>
      <c r="AC883" s="12" t="n">
        <f aca="false">IF(Q883,A883,AC882)</f>
        <v>45628</v>
      </c>
      <c r="AD883" s="8" t="n">
        <f aca="false">IF(Q883,B883,AD882)</f>
        <v>0.86316706770172</v>
      </c>
      <c r="AE883" s="8" t="str">
        <f aca="false">IF(AA883,L883,"")</f>
        <v/>
      </c>
      <c r="AF883" s="8" t="n">
        <f aca="false">U883</f>
        <v>0.84586578756897</v>
      </c>
      <c r="AG883" s="2" t="n">
        <f aca="false">AG882+IF(Q883,1,0)</f>
        <v>8</v>
      </c>
      <c r="AH883" s="2" t="n">
        <f aca="false">AG882</f>
        <v>8</v>
      </c>
      <c r="AI883" s="10" t="n">
        <f aca="false">X883+Y883*(E883-AB883)-Y883*AD883*Inputs!$B$13*(A883-AC883)</f>
        <v>983.862971216719</v>
      </c>
      <c r="AJ883" s="10" t="n">
        <v>0</v>
      </c>
      <c r="AK883" s="8" t="n">
        <f aca="false">IF(AND(B883&lt;=U883,NOT(Q883)),B883,U883)*(1-Inputs!$B$12)</f>
        <v>0.845643912256379</v>
      </c>
    </row>
    <row r="884" customFormat="false" ht="15" hidden="false" customHeight="false" outlineLevel="0" collapsed="false">
      <c r="A884" s="6" t="n">
        <v>45668</v>
      </c>
      <c r="B884" s="7" t="n">
        <v>0.842851831279303</v>
      </c>
      <c r="C884" s="7" t="n">
        <v>0.843802072870707</v>
      </c>
      <c r="D884" s="7" t="n">
        <v>0.839422618218515</v>
      </c>
      <c r="E884" s="7" t="n">
        <v>0.843337568719707</v>
      </c>
      <c r="F884" s="8" t="n">
        <f aca="true">IF(ROW()-2&gt;=Inputs!$B$4,AVERAGE(OFFSET(E884,1-Inputs!$B$4,0,Inputs!$B$4,1)),"")</f>
        <v>0.847810107709841</v>
      </c>
      <c r="G884" s="8" t="n">
        <f aca="true">IF(ROW()-2&gt;=Inputs!$B$5,AVERAGE(OFFSET(E884,1-Inputs!$B$5,0,Inputs!$B$5,1)),"")</f>
        <v>0.85497648737512</v>
      </c>
      <c r="H884" s="8" t="n">
        <f aca="false">MAX(C884-D884,ABS(C884-E883),ABS(D884-E883))</f>
        <v>0.00437945465219181</v>
      </c>
      <c r="I884" s="8" t="n">
        <f aca="true">IF(ROW()-2&lt;14,"",IF(ROW()-2=14,AVERAGE(OFFSET(H884,-13,0,14,1)),(I883*13+H884)/14))</f>
        <v>0.00794964515467895</v>
      </c>
      <c r="J884" s="9" t="b">
        <f aca="false">IF(AND(ISNUMBER(F884),ISNUMBER(G884),ISNUMBER(F883),ISNUMBER(G883)),AND(F884&gt;G884,F883&lt;=G883),FALSE())</f>
        <v>0</v>
      </c>
      <c r="K884" s="9" t="b">
        <f aca="false">IF(AND(ISNUMBER(F884),ISNUMBER(G884),ISNUMBER(F883),ISNUMBER(G883)),AND(F884&lt;G884,F883&gt;=G883),FALSE())</f>
        <v>0</v>
      </c>
      <c r="L884" s="8" t="n">
        <f aca="false">IF(ISNUMBER(I884),E884-Inputs!$B$6*I884,"")</f>
        <v>0.827438278410349</v>
      </c>
      <c r="M884" s="9" t="b">
        <f aca="false">AND(Y883&gt;0,Z883)</f>
        <v>0</v>
      </c>
      <c r="N884" s="8" t="n">
        <f aca="false">B884*(1-Inputs!$B$12)</f>
        <v>0.842683260913048</v>
      </c>
      <c r="O884" s="10" t="n">
        <f aca="false">IF(M884,Y883*(N884-AB883)-Inputs!$B$9-Y883*AD883*Inputs!$B$13*(A884-AC883),0)</f>
        <v>0</v>
      </c>
      <c r="P884" s="10" t="n">
        <f aca="false">X883+O884</f>
        <v>983.862971216719</v>
      </c>
      <c r="Q884" s="9" t="b">
        <f aca="false">AND(IF(M884,0,Y883)=0,AA883,IF(ISNUMBER(AE883),B884&gt;AE883,FALSE()))</f>
        <v>0</v>
      </c>
      <c r="R884" s="8" t="n">
        <f aca="false">B884*(1+Inputs!$B$12)</f>
        <v>0.843020401645559</v>
      </c>
      <c r="S884" s="11" t="n">
        <f aca="false">IF(Q884,MIN(P884*Inputs!$B$3/(R884-AE883),P884*Inputs!$B$11/R884),0)</f>
        <v>0</v>
      </c>
      <c r="T884" s="11" t="n">
        <f aca="false">IF(Q884,S884,IF(M884,0,Y883))</f>
        <v>0</v>
      </c>
      <c r="U884" s="8" t="n">
        <f aca="false">IF(Q884,AE883,AF883)</f>
        <v>0.84586578756897</v>
      </c>
      <c r="V884" s="9" t="b">
        <f aca="false">AND(T884&gt;0,D884&lt;=U884)</f>
        <v>0</v>
      </c>
      <c r="W884" s="10" t="n">
        <f aca="false">IF(V884,T884*(AK884-AB884)-Inputs!$B$9-T884*AD884*Inputs!$B$13*(A884-AC884),0)</f>
        <v>0</v>
      </c>
      <c r="X884" s="10" t="n">
        <f aca="false">P884-IF(Q884,Inputs!$B$9,0)+W884</f>
        <v>983.862971216719</v>
      </c>
      <c r="Y884" s="11" t="n">
        <f aca="false">IF(V884,0,T884)</f>
        <v>0</v>
      </c>
      <c r="Z884" s="9" t="b">
        <f aca="false">AND(Y884&gt;0,K884)</f>
        <v>0</v>
      </c>
      <c r="AA884" s="9" t="b">
        <f aca="false">AND(Y884=0,J884,ISNUMBER(L884))</f>
        <v>0</v>
      </c>
      <c r="AB884" s="8" t="n">
        <f aca="false">IF(Q884,R884,AB883)</f>
        <v>0.863339701115261</v>
      </c>
      <c r="AC884" s="12" t="n">
        <f aca="false">IF(Q884,A884,AC883)</f>
        <v>45628</v>
      </c>
      <c r="AD884" s="8" t="n">
        <f aca="false">IF(Q884,B884,AD883)</f>
        <v>0.86316706770172</v>
      </c>
      <c r="AE884" s="8" t="str">
        <f aca="false">IF(AA884,L884,"")</f>
        <v/>
      </c>
      <c r="AF884" s="8" t="n">
        <f aca="false">U884</f>
        <v>0.84586578756897</v>
      </c>
      <c r="AG884" s="2" t="n">
        <f aca="false">AG883+IF(Q884,1,0)</f>
        <v>8</v>
      </c>
      <c r="AH884" s="2" t="n">
        <f aca="false">AG883</f>
        <v>8</v>
      </c>
      <c r="AI884" s="10" t="n">
        <f aca="false">X884+Y884*(E884-AB884)-Y884*AD884*Inputs!$B$13*(A884-AC884)</f>
        <v>983.862971216719</v>
      </c>
      <c r="AJ884" s="10" t="n">
        <v>0</v>
      </c>
      <c r="AK884" s="8" t="n">
        <f aca="false">IF(AND(B884&lt;=U884,NOT(Q884)),B884,U884)*(1-Inputs!$B$12)</f>
        <v>0.842683260913048</v>
      </c>
    </row>
    <row r="885" customFormat="false" ht="15" hidden="false" customHeight="false" outlineLevel="0" collapsed="false">
      <c r="A885" s="6" t="n">
        <v>45669</v>
      </c>
      <c r="B885" s="7" t="n">
        <v>0.843337568719707</v>
      </c>
      <c r="C885" s="7" t="n">
        <v>0.850891240607702</v>
      </c>
      <c r="D885" s="7" t="n">
        <v>0.842926119235755</v>
      </c>
      <c r="E885" s="7" t="n">
        <v>0.847381490383662</v>
      </c>
      <c r="F885" s="8" t="n">
        <f aca="true">IF(ROW()-2&gt;=Inputs!$B$4,AVERAGE(OFFSET(E885,1-Inputs!$B$4,0,Inputs!$B$4,1)),"")</f>
        <v>0.847459515948683</v>
      </c>
      <c r="G885" s="8" t="n">
        <f aca="true">IF(ROW()-2&gt;=Inputs!$B$5,AVERAGE(OFFSET(E885,1-Inputs!$B$5,0,Inputs!$B$5,1)),"")</f>
        <v>0.854304887566485</v>
      </c>
      <c r="H885" s="8" t="n">
        <f aca="false">MAX(C885-D885,ABS(C885-E884),ABS(D885-E884))</f>
        <v>0.00796512137194738</v>
      </c>
      <c r="I885" s="8" t="n">
        <f aca="true">IF(ROW()-2&lt;14,"",IF(ROW()-2=14,AVERAGE(OFFSET(H885,-13,0,14,1)),(I884*13+H885)/14))</f>
        <v>0.00795075059876955</v>
      </c>
      <c r="J885" s="9" t="b">
        <f aca="false">IF(AND(ISNUMBER(F885),ISNUMBER(G885),ISNUMBER(F884),ISNUMBER(G884)),AND(F885&gt;G885,F884&lt;=G884),FALSE())</f>
        <v>0</v>
      </c>
      <c r="K885" s="9" t="b">
        <f aca="false">IF(AND(ISNUMBER(F885),ISNUMBER(G885),ISNUMBER(F884),ISNUMBER(G884)),AND(F885&lt;G885,F884&gt;=G884),FALSE())</f>
        <v>0</v>
      </c>
      <c r="L885" s="8" t="n">
        <f aca="false">IF(ISNUMBER(I885),E885-Inputs!$B$6*I885,"")</f>
        <v>0.831479989186123</v>
      </c>
      <c r="M885" s="9" t="b">
        <f aca="false">AND(Y884&gt;0,Z884)</f>
        <v>0</v>
      </c>
      <c r="N885" s="8" t="n">
        <f aca="false">B885*(1-Inputs!$B$12)</f>
        <v>0.843168901205963</v>
      </c>
      <c r="O885" s="10" t="n">
        <f aca="false">IF(M885,Y884*(N885-AB884)-Inputs!$B$9-Y884*AD884*Inputs!$B$13*(A885-AC884),0)</f>
        <v>0</v>
      </c>
      <c r="P885" s="10" t="n">
        <f aca="false">X884+O885</f>
        <v>983.862971216719</v>
      </c>
      <c r="Q885" s="9" t="b">
        <f aca="false">AND(IF(M885,0,Y884)=0,AA884,IF(ISNUMBER(AE884),B885&gt;AE884,FALSE()))</f>
        <v>0</v>
      </c>
      <c r="R885" s="8" t="n">
        <f aca="false">B885*(1+Inputs!$B$12)</f>
        <v>0.843506236233451</v>
      </c>
      <c r="S885" s="11" t="n">
        <f aca="false">IF(Q885,MIN(P885*Inputs!$B$3/(R885-AE884),P885*Inputs!$B$11/R885),0)</f>
        <v>0</v>
      </c>
      <c r="T885" s="11" t="n">
        <f aca="false">IF(Q885,S885,IF(M885,0,Y884))</f>
        <v>0</v>
      </c>
      <c r="U885" s="8" t="n">
        <f aca="false">IF(Q885,AE884,AF884)</f>
        <v>0.84586578756897</v>
      </c>
      <c r="V885" s="9" t="b">
        <f aca="false">AND(T885&gt;0,D885&lt;=U885)</f>
        <v>0</v>
      </c>
      <c r="W885" s="10" t="n">
        <f aca="false">IF(V885,T885*(AK885-AB885)-Inputs!$B$9-T885*AD885*Inputs!$B$13*(A885-AC885),0)</f>
        <v>0</v>
      </c>
      <c r="X885" s="10" t="n">
        <f aca="false">P885-IF(Q885,Inputs!$B$9,0)+W885</f>
        <v>983.862971216719</v>
      </c>
      <c r="Y885" s="11" t="n">
        <f aca="false">IF(V885,0,T885)</f>
        <v>0</v>
      </c>
      <c r="Z885" s="9" t="b">
        <f aca="false">AND(Y885&gt;0,K885)</f>
        <v>0</v>
      </c>
      <c r="AA885" s="9" t="b">
        <f aca="false">AND(Y885=0,J885,ISNUMBER(L885))</f>
        <v>0</v>
      </c>
      <c r="AB885" s="8" t="n">
        <f aca="false">IF(Q885,R885,AB884)</f>
        <v>0.863339701115261</v>
      </c>
      <c r="AC885" s="12" t="n">
        <f aca="false">IF(Q885,A885,AC884)</f>
        <v>45628</v>
      </c>
      <c r="AD885" s="8" t="n">
        <f aca="false">IF(Q885,B885,AD884)</f>
        <v>0.86316706770172</v>
      </c>
      <c r="AE885" s="8" t="str">
        <f aca="false">IF(AA885,L885,"")</f>
        <v/>
      </c>
      <c r="AF885" s="8" t="n">
        <f aca="false">U885</f>
        <v>0.84586578756897</v>
      </c>
      <c r="AG885" s="2" t="n">
        <f aca="false">AG884+IF(Q885,1,0)</f>
        <v>8</v>
      </c>
      <c r="AH885" s="2" t="n">
        <f aca="false">AG884</f>
        <v>8</v>
      </c>
      <c r="AI885" s="10" t="n">
        <f aca="false">X885+Y885*(E885-AB885)-Y885*AD885*Inputs!$B$13*(A885-AC885)</f>
        <v>983.862971216719</v>
      </c>
      <c r="AJ885" s="10" t="n">
        <v>0</v>
      </c>
      <c r="AK885" s="8" t="n">
        <f aca="false">IF(AND(B885&lt;=U885,NOT(Q885)),B885,U885)*(1-Inputs!$B$12)</f>
        <v>0.843168901205963</v>
      </c>
    </row>
    <row r="886" customFormat="false" ht="15" hidden="false" customHeight="false" outlineLevel="0" collapsed="false">
      <c r="A886" s="6" t="n">
        <v>45670</v>
      </c>
      <c r="B886" s="7" t="n">
        <v>0.847381490383662</v>
      </c>
      <c r="C886" s="7" t="n">
        <v>0.850013545569288</v>
      </c>
      <c r="D886" s="7" t="n">
        <v>0.846955109607618</v>
      </c>
      <c r="E886" s="7" t="n">
        <v>0.849299014544111</v>
      </c>
      <c r="F886" s="8" t="n">
        <f aca="true">IF(ROW()-2&gt;=Inputs!$B$4,AVERAGE(OFFSET(E886,1-Inputs!$B$4,0,Inputs!$B$4,1)),"")</f>
        <v>0.847269623052519</v>
      </c>
      <c r="G886" s="8" t="n">
        <f aca="true">IF(ROW()-2&gt;=Inputs!$B$5,AVERAGE(OFFSET(E886,1-Inputs!$B$5,0,Inputs!$B$5,1)),"")</f>
        <v>0.853655914058761</v>
      </c>
      <c r="H886" s="8" t="n">
        <f aca="false">MAX(C886-D886,ABS(C886-E885),ABS(D886-E885))</f>
        <v>0.0030584359616701</v>
      </c>
      <c r="I886" s="8" t="n">
        <f aca="true">IF(ROW()-2&lt;14,"",IF(ROW()-2=14,AVERAGE(OFFSET(H886,-13,0,14,1)),(I885*13+H886)/14))</f>
        <v>0.00760129955326245</v>
      </c>
      <c r="J886" s="9" t="b">
        <f aca="false">IF(AND(ISNUMBER(F886),ISNUMBER(G886),ISNUMBER(F885),ISNUMBER(G885)),AND(F886&gt;G886,F885&lt;=G885),FALSE())</f>
        <v>0</v>
      </c>
      <c r="K886" s="9" t="b">
        <f aca="false">IF(AND(ISNUMBER(F886),ISNUMBER(G886),ISNUMBER(F885),ISNUMBER(G885)),AND(F886&lt;G886,F885&gt;=G885),FALSE())</f>
        <v>0</v>
      </c>
      <c r="L886" s="8" t="n">
        <f aca="false">IF(ISNUMBER(I886),E886-Inputs!$B$6*I886,"")</f>
        <v>0.834096415437586</v>
      </c>
      <c r="M886" s="9" t="b">
        <f aca="false">AND(Y885&gt;0,Z885)</f>
        <v>0</v>
      </c>
      <c r="N886" s="8" t="n">
        <f aca="false">B886*(1-Inputs!$B$12)</f>
        <v>0.847212014085585</v>
      </c>
      <c r="O886" s="10" t="n">
        <f aca="false">IF(M886,Y885*(N886-AB885)-Inputs!$B$9-Y885*AD885*Inputs!$B$13*(A886-AC885),0)</f>
        <v>0</v>
      </c>
      <c r="P886" s="10" t="n">
        <f aca="false">X885+O886</f>
        <v>983.862971216719</v>
      </c>
      <c r="Q886" s="9" t="b">
        <f aca="false">AND(IF(M886,0,Y885)=0,AA885,IF(ISNUMBER(AE885),B886&gt;AE885,FALSE()))</f>
        <v>0</v>
      </c>
      <c r="R886" s="8" t="n">
        <f aca="false">B886*(1+Inputs!$B$12)</f>
        <v>0.847550966681738</v>
      </c>
      <c r="S886" s="11" t="n">
        <f aca="false">IF(Q886,MIN(P886*Inputs!$B$3/(R886-AE885),P886*Inputs!$B$11/R886),0)</f>
        <v>0</v>
      </c>
      <c r="T886" s="11" t="n">
        <f aca="false">IF(Q886,S886,IF(M886,0,Y885))</f>
        <v>0</v>
      </c>
      <c r="U886" s="8" t="n">
        <f aca="false">IF(Q886,AE885,AF885)</f>
        <v>0.84586578756897</v>
      </c>
      <c r="V886" s="9" t="b">
        <f aca="false">AND(T886&gt;0,D886&lt;=U886)</f>
        <v>0</v>
      </c>
      <c r="W886" s="10" t="n">
        <f aca="false">IF(V886,T886*(AK886-AB886)-Inputs!$B$9-T886*AD886*Inputs!$B$13*(A886-AC886),0)</f>
        <v>0</v>
      </c>
      <c r="X886" s="10" t="n">
        <f aca="false">P886-IF(Q886,Inputs!$B$9,0)+W886</f>
        <v>983.862971216719</v>
      </c>
      <c r="Y886" s="11" t="n">
        <f aca="false">IF(V886,0,T886)</f>
        <v>0</v>
      </c>
      <c r="Z886" s="9" t="b">
        <f aca="false">AND(Y886&gt;0,K886)</f>
        <v>0</v>
      </c>
      <c r="AA886" s="9" t="b">
        <f aca="false">AND(Y886=0,J886,ISNUMBER(L886))</f>
        <v>0</v>
      </c>
      <c r="AB886" s="8" t="n">
        <f aca="false">IF(Q886,R886,AB885)</f>
        <v>0.863339701115261</v>
      </c>
      <c r="AC886" s="12" t="n">
        <f aca="false">IF(Q886,A886,AC885)</f>
        <v>45628</v>
      </c>
      <c r="AD886" s="8" t="n">
        <f aca="false">IF(Q886,B886,AD885)</f>
        <v>0.86316706770172</v>
      </c>
      <c r="AE886" s="8" t="str">
        <f aca="false">IF(AA886,L886,"")</f>
        <v/>
      </c>
      <c r="AF886" s="8" t="n">
        <f aca="false">U886</f>
        <v>0.84586578756897</v>
      </c>
      <c r="AG886" s="2" t="n">
        <f aca="false">AG885+IF(Q886,1,0)</f>
        <v>8</v>
      </c>
      <c r="AH886" s="2" t="n">
        <f aca="false">AG885</f>
        <v>8</v>
      </c>
      <c r="AI886" s="10" t="n">
        <f aca="false">X886+Y886*(E886-AB886)-Y886*AD886*Inputs!$B$13*(A886-AC886)</f>
        <v>983.862971216719</v>
      </c>
      <c r="AJ886" s="10" t="n">
        <v>0</v>
      </c>
      <c r="AK886" s="8" t="n">
        <f aca="false">IF(AND(B886&lt;=U886,NOT(Q886)),B886,U886)*(1-Inputs!$B$12)</f>
        <v>0.845696614411456</v>
      </c>
    </row>
    <row r="887" customFormat="false" ht="15" hidden="false" customHeight="false" outlineLevel="0" collapsed="false">
      <c r="A887" s="6" t="n">
        <v>45671</v>
      </c>
      <c r="B887" s="7" t="n">
        <v>0.849299014544111</v>
      </c>
      <c r="C887" s="7" t="n">
        <v>0.849848867184224</v>
      </c>
      <c r="D887" s="7" t="n">
        <v>0.843875420496651</v>
      </c>
      <c r="E887" s="7" t="n">
        <v>0.845641708178328</v>
      </c>
      <c r="F887" s="8" t="n">
        <f aca="true">IF(ROW()-2&gt;=Inputs!$B$4,AVERAGE(OFFSET(E887,1-Inputs!$B$4,0,Inputs!$B$4,1)),"")</f>
        <v>0.846902492994553</v>
      </c>
      <c r="G887" s="8" t="n">
        <f aca="true">IF(ROW()-2&gt;=Inputs!$B$5,AVERAGE(OFFSET(E887,1-Inputs!$B$5,0,Inputs!$B$5,1)),"")</f>
        <v>0.852983365921168</v>
      </c>
      <c r="H887" s="8" t="n">
        <f aca="false">MAX(C887-D887,ABS(C887-E886),ABS(D887-E886))</f>
        <v>0.00597344668757227</v>
      </c>
      <c r="I887" s="8" t="n">
        <f aca="true">IF(ROW()-2&lt;14,"",IF(ROW()-2=14,AVERAGE(OFFSET(H887,-13,0,14,1)),(I886*13+H887)/14))</f>
        <v>0.00748502434857029</v>
      </c>
      <c r="J887" s="9" t="b">
        <f aca="false">IF(AND(ISNUMBER(F887),ISNUMBER(G887),ISNUMBER(F886),ISNUMBER(G886)),AND(F887&gt;G887,F886&lt;=G886),FALSE())</f>
        <v>0</v>
      </c>
      <c r="K887" s="9" t="b">
        <f aca="false">IF(AND(ISNUMBER(F887),ISNUMBER(G887),ISNUMBER(F886),ISNUMBER(G886)),AND(F887&lt;G887,F886&gt;=G886),FALSE())</f>
        <v>0</v>
      </c>
      <c r="L887" s="8" t="n">
        <f aca="false">IF(ISNUMBER(I887),E887-Inputs!$B$6*I887,"")</f>
        <v>0.830671659481188</v>
      </c>
      <c r="M887" s="9" t="b">
        <f aca="false">AND(Y886&gt;0,Z886)</f>
        <v>0</v>
      </c>
      <c r="N887" s="8" t="n">
        <f aca="false">B887*(1-Inputs!$B$12)</f>
        <v>0.849129154741202</v>
      </c>
      <c r="O887" s="10" t="n">
        <f aca="false">IF(M887,Y886*(N887-AB886)-Inputs!$B$9-Y886*AD886*Inputs!$B$13*(A887-AC886),0)</f>
        <v>0</v>
      </c>
      <c r="P887" s="10" t="n">
        <f aca="false">X886+O887</f>
        <v>983.862971216719</v>
      </c>
      <c r="Q887" s="9" t="b">
        <f aca="false">AND(IF(M887,0,Y886)=0,AA886,IF(ISNUMBER(AE886),B887&gt;AE886,FALSE()))</f>
        <v>0</v>
      </c>
      <c r="R887" s="8" t="n">
        <f aca="false">B887*(1+Inputs!$B$12)</f>
        <v>0.849468874347019</v>
      </c>
      <c r="S887" s="11" t="n">
        <f aca="false">IF(Q887,MIN(P887*Inputs!$B$3/(R887-AE886),P887*Inputs!$B$11/R887),0)</f>
        <v>0</v>
      </c>
      <c r="T887" s="11" t="n">
        <f aca="false">IF(Q887,S887,IF(M887,0,Y886))</f>
        <v>0</v>
      </c>
      <c r="U887" s="8" t="n">
        <f aca="false">IF(Q887,AE886,AF886)</f>
        <v>0.84586578756897</v>
      </c>
      <c r="V887" s="9" t="b">
        <f aca="false">AND(T887&gt;0,D887&lt;=U887)</f>
        <v>0</v>
      </c>
      <c r="W887" s="10" t="n">
        <f aca="false">IF(V887,T887*(AK887-AB887)-Inputs!$B$9-T887*AD887*Inputs!$B$13*(A887-AC887),0)</f>
        <v>0</v>
      </c>
      <c r="X887" s="10" t="n">
        <f aca="false">P887-IF(Q887,Inputs!$B$9,0)+W887</f>
        <v>983.862971216719</v>
      </c>
      <c r="Y887" s="11" t="n">
        <f aca="false">IF(V887,0,T887)</f>
        <v>0</v>
      </c>
      <c r="Z887" s="9" t="b">
        <f aca="false">AND(Y887&gt;0,K887)</f>
        <v>0</v>
      </c>
      <c r="AA887" s="9" t="b">
        <f aca="false">AND(Y887=0,J887,ISNUMBER(L887))</f>
        <v>0</v>
      </c>
      <c r="AB887" s="8" t="n">
        <f aca="false">IF(Q887,R887,AB886)</f>
        <v>0.863339701115261</v>
      </c>
      <c r="AC887" s="12" t="n">
        <f aca="false">IF(Q887,A887,AC886)</f>
        <v>45628</v>
      </c>
      <c r="AD887" s="8" t="n">
        <f aca="false">IF(Q887,B887,AD886)</f>
        <v>0.86316706770172</v>
      </c>
      <c r="AE887" s="8" t="str">
        <f aca="false">IF(AA887,L887,"")</f>
        <v/>
      </c>
      <c r="AF887" s="8" t="n">
        <f aca="false">U887</f>
        <v>0.84586578756897</v>
      </c>
      <c r="AG887" s="2" t="n">
        <f aca="false">AG886+IF(Q887,1,0)</f>
        <v>8</v>
      </c>
      <c r="AH887" s="2" t="n">
        <f aca="false">AG886</f>
        <v>8</v>
      </c>
      <c r="AI887" s="10" t="n">
        <f aca="false">X887+Y887*(E887-AB887)-Y887*AD887*Inputs!$B$13*(A887-AC887)</f>
        <v>983.862971216719</v>
      </c>
      <c r="AJ887" s="10" t="n">
        <v>0</v>
      </c>
      <c r="AK887" s="8" t="n">
        <f aca="false">IF(AND(B887&lt;=U887,NOT(Q887)),B887,U887)*(1-Inputs!$B$12)</f>
        <v>0.845696614411456</v>
      </c>
    </row>
    <row r="888" customFormat="false" ht="15" hidden="false" customHeight="false" outlineLevel="0" collapsed="false">
      <c r="A888" s="6" t="n">
        <v>45672</v>
      </c>
      <c r="B888" s="7" t="n">
        <v>0.845641708178328</v>
      </c>
      <c r="C888" s="7" t="n">
        <v>0.850243266661886</v>
      </c>
      <c r="D888" s="7" t="n">
        <v>0.844311346915788</v>
      </c>
      <c r="E888" s="7" t="n">
        <v>0.847532839273446</v>
      </c>
      <c r="F888" s="8" t="n">
        <f aca="true">IF(ROW()-2&gt;=Inputs!$B$4,AVERAGE(OFFSET(E888,1-Inputs!$B$4,0,Inputs!$B$4,1)),"")</f>
        <v>0.847256932392514</v>
      </c>
      <c r="G888" s="8" t="n">
        <f aca="true">IF(ROW()-2&gt;=Inputs!$B$5,AVERAGE(OFFSET(E888,1-Inputs!$B$5,0,Inputs!$B$5,1)),"")</f>
        <v>0.85241337998504</v>
      </c>
      <c r="H888" s="8" t="n">
        <f aca="false">MAX(C888-D888,ABS(C888-E887),ABS(D888-E887))</f>
        <v>0.00593191974609808</v>
      </c>
      <c r="I888" s="8" t="n">
        <f aca="true">IF(ROW()-2&lt;14,"",IF(ROW()-2=14,AVERAGE(OFFSET(H888,-13,0,14,1)),(I887*13+H888)/14))</f>
        <v>0.00737408830553656</v>
      </c>
      <c r="J888" s="9" t="b">
        <f aca="false">IF(AND(ISNUMBER(F888),ISNUMBER(G888),ISNUMBER(F887),ISNUMBER(G887)),AND(F888&gt;G888,F887&lt;=G887),FALSE())</f>
        <v>0</v>
      </c>
      <c r="K888" s="9" t="b">
        <f aca="false">IF(AND(ISNUMBER(F888),ISNUMBER(G888),ISNUMBER(F887),ISNUMBER(G887)),AND(F888&lt;G888,F887&gt;=G887),FALSE())</f>
        <v>0</v>
      </c>
      <c r="L888" s="8" t="n">
        <f aca="false">IF(ISNUMBER(I888),E888-Inputs!$B$6*I888,"")</f>
        <v>0.832784662662373</v>
      </c>
      <c r="M888" s="9" t="b">
        <f aca="false">AND(Y887&gt;0,Z887)</f>
        <v>0</v>
      </c>
      <c r="N888" s="8" t="n">
        <f aca="false">B888*(1-Inputs!$B$12)</f>
        <v>0.845472579836693</v>
      </c>
      <c r="O888" s="10" t="n">
        <f aca="false">IF(M888,Y887*(N888-AB887)-Inputs!$B$9-Y887*AD887*Inputs!$B$13*(A888-AC887),0)</f>
        <v>0</v>
      </c>
      <c r="P888" s="10" t="n">
        <f aca="false">X887+O888</f>
        <v>983.862971216719</v>
      </c>
      <c r="Q888" s="9" t="b">
        <f aca="false">AND(IF(M888,0,Y887)=0,AA887,IF(ISNUMBER(AE887),B888&gt;AE887,FALSE()))</f>
        <v>0</v>
      </c>
      <c r="R888" s="8" t="n">
        <f aca="false">B888*(1+Inputs!$B$12)</f>
        <v>0.845810836519964</v>
      </c>
      <c r="S888" s="11" t="n">
        <f aca="false">IF(Q888,MIN(P888*Inputs!$B$3/(R888-AE887),P888*Inputs!$B$11/R888),0)</f>
        <v>0</v>
      </c>
      <c r="T888" s="11" t="n">
        <f aca="false">IF(Q888,S888,IF(M888,0,Y887))</f>
        <v>0</v>
      </c>
      <c r="U888" s="8" t="n">
        <f aca="false">IF(Q888,AE887,AF887)</f>
        <v>0.84586578756897</v>
      </c>
      <c r="V888" s="9" t="b">
        <f aca="false">AND(T888&gt;0,D888&lt;=U888)</f>
        <v>0</v>
      </c>
      <c r="W888" s="10" t="n">
        <f aca="false">IF(V888,T888*(AK888-AB888)-Inputs!$B$9-T888*AD888*Inputs!$B$13*(A888-AC888),0)</f>
        <v>0</v>
      </c>
      <c r="X888" s="10" t="n">
        <f aca="false">P888-IF(Q888,Inputs!$B$9,0)+W888</f>
        <v>983.862971216719</v>
      </c>
      <c r="Y888" s="11" t="n">
        <f aca="false">IF(V888,0,T888)</f>
        <v>0</v>
      </c>
      <c r="Z888" s="9" t="b">
        <f aca="false">AND(Y888&gt;0,K888)</f>
        <v>0</v>
      </c>
      <c r="AA888" s="9" t="b">
        <f aca="false">AND(Y888=0,J888,ISNUMBER(L888))</f>
        <v>0</v>
      </c>
      <c r="AB888" s="8" t="n">
        <f aca="false">IF(Q888,R888,AB887)</f>
        <v>0.863339701115261</v>
      </c>
      <c r="AC888" s="12" t="n">
        <f aca="false">IF(Q888,A888,AC887)</f>
        <v>45628</v>
      </c>
      <c r="AD888" s="8" t="n">
        <f aca="false">IF(Q888,B888,AD887)</f>
        <v>0.86316706770172</v>
      </c>
      <c r="AE888" s="8" t="str">
        <f aca="false">IF(AA888,L888,"")</f>
        <v/>
      </c>
      <c r="AF888" s="8" t="n">
        <f aca="false">U888</f>
        <v>0.84586578756897</v>
      </c>
      <c r="AG888" s="2" t="n">
        <f aca="false">AG887+IF(Q888,1,0)</f>
        <v>8</v>
      </c>
      <c r="AH888" s="2" t="n">
        <f aca="false">AG887</f>
        <v>8</v>
      </c>
      <c r="AI888" s="10" t="n">
        <f aca="false">X888+Y888*(E888-AB888)-Y888*AD888*Inputs!$B$13*(A888-AC888)</f>
        <v>983.862971216719</v>
      </c>
      <c r="AJ888" s="10" t="n">
        <v>0</v>
      </c>
      <c r="AK888" s="8" t="n">
        <f aca="false">IF(AND(B888&lt;=U888,NOT(Q888)),B888,U888)*(1-Inputs!$B$12)</f>
        <v>0.845472579836693</v>
      </c>
    </row>
    <row r="889" customFormat="false" ht="15" hidden="false" customHeight="false" outlineLevel="0" collapsed="false">
      <c r="A889" s="6" t="n">
        <v>45673</v>
      </c>
      <c r="B889" s="7" t="n">
        <v>0.847532839273446</v>
      </c>
      <c r="C889" s="7" t="n">
        <v>0.854838509135919</v>
      </c>
      <c r="D889" s="7" t="n">
        <v>0.845831284166547</v>
      </c>
      <c r="E889" s="7" t="n">
        <v>0.854544364183151</v>
      </c>
      <c r="F889" s="8" t="n">
        <f aca="true">IF(ROW()-2&gt;=Inputs!$B$4,AVERAGE(OFFSET(E889,1-Inputs!$B$4,0,Inputs!$B$4,1)),"")</f>
        <v>0.847573712085019</v>
      </c>
      <c r="G889" s="8" t="n">
        <f aca="true">IF(ROW()-2&gt;=Inputs!$B$5,AVERAGE(OFFSET(E889,1-Inputs!$B$5,0,Inputs!$B$5,1)),"")</f>
        <v>0.851960596343331</v>
      </c>
      <c r="H889" s="8" t="n">
        <f aca="false">MAX(C889-D889,ABS(C889-E888),ABS(D889-E888))</f>
        <v>0.00900722496937223</v>
      </c>
      <c r="I889" s="8" t="n">
        <f aca="true">IF(ROW()-2&lt;14,"",IF(ROW()-2=14,AVERAGE(OFFSET(H889,-13,0,14,1)),(I888*13+H889)/14))</f>
        <v>0.00749074092438197</v>
      </c>
      <c r="J889" s="9" t="b">
        <f aca="false">IF(AND(ISNUMBER(F889),ISNUMBER(G889),ISNUMBER(F888),ISNUMBER(G888)),AND(F889&gt;G889,F888&lt;=G888),FALSE())</f>
        <v>0</v>
      </c>
      <c r="K889" s="9" t="b">
        <f aca="false">IF(AND(ISNUMBER(F889),ISNUMBER(G889),ISNUMBER(F888),ISNUMBER(G888)),AND(F889&lt;G889,F888&gt;=G888),FALSE())</f>
        <v>0</v>
      </c>
      <c r="L889" s="8" t="n">
        <f aca="false">IF(ISNUMBER(I889),E889-Inputs!$B$6*I889,"")</f>
        <v>0.839562882334387</v>
      </c>
      <c r="M889" s="9" t="b">
        <f aca="false">AND(Y888&gt;0,Z888)</f>
        <v>0</v>
      </c>
      <c r="N889" s="8" t="n">
        <f aca="false">B889*(1-Inputs!$B$12)</f>
        <v>0.847363332705591</v>
      </c>
      <c r="O889" s="10" t="n">
        <f aca="false">IF(M889,Y888*(N889-AB888)-Inputs!$B$9-Y888*AD888*Inputs!$B$13*(A889-AC888),0)</f>
        <v>0</v>
      </c>
      <c r="P889" s="10" t="n">
        <f aca="false">X888+O889</f>
        <v>983.862971216719</v>
      </c>
      <c r="Q889" s="9" t="b">
        <f aca="false">AND(IF(M889,0,Y888)=0,AA888,IF(ISNUMBER(AE888),B889&gt;AE888,FALSE()))</f>
        <v>0</v>
      </c>
      <c r="R889" s="8" t="n">
        <f aca="false">B889*(1+Inputs!$B$12)</f>
        <v>0.8477023458413</v>
      </c>
      <c r="S889" s="11" t="n">
        <f aca="false">IF(Q889,MIN(P889*Inputs!$B$3/(R889-AE888),P889*Inputs!$B$11/R889),0)</f>
        <v>0</v>
      </c>
      <c r="T889" s="11" t="n">
        <f aca="false">IF(Q889,S889,IF(M889,0,Y888))</f>
        <v>0</v>
      </c>
      <c r="U889" s="8" t="n">
        <f aca="false">IF(Q889,AE888,AF888)</f>
        <v>0.84586578756897</v>
      </c>
      <c r="V889" s="9" t="b">
        <f aca="false">AND(T889&gt;0,D889&lt;=U889)</f>
        <v>0</v>
      </c>
      <c r="W889" s="10" t="n">
        <f aca="false">IF(V889,T889*(AK889-AB889)-Inputs!$B$9-T889*AD889*Inputs!$B$13*(A889-AC889),0)</f>
        <v>0</v>
      </c>
      <c r="X889" s="10" t="n">
        <f aca="false">P889-IF(Q889,Inputs!$B$9,0)+W889</f>
        <v>983.862971216719</v>
      </c>
      <c r="Y889" s="11" t="n">
        <f aca="false">IF(V889,0,T889)</f>
        <v>0</v>
      </c>
      <c r="Z889" s="9" t="b">
        <f aca="false">AND(Y889&gt;0,K889)</f>
        <v>0</v>
      </c>
      <c r="AA889" s="9" t="b">
        <f aca="false">AND(Y889=0,J889,ISNUMBER(L889))</f>
        <v>0</v>
      </c>
      <c r="AB889" s="8" t="n">
        <f aca="false">IF(Q889,R889,AB888)</f>
        <v>0.863339701115261</v>
      </c>
      <c r="AC889" s="12" t="n">
        <f aca="false">IF(Q889,A889,AC888)</f>
        <v>45628</v>
      </c>
      <c r="AD889" s="8" t="n">
        <f aca="false">IF(Q889,B889,AD888)</f>
        <v>0.86316706770172</v>
      </c>
      <c r="AE889" s="8" t="str">
        <f aca="false">IF(AA889,L889,"")</f>
        <v/>
      </c>
      <c r="AF889" s="8" t="n">
        <f aca="false">U889</f>
        <v>0.84586578756897</v>
      </c>
      <c r="AG889" s="2" t="n">
        <f aca="false">AG888+IF(Q889,1,0)</f>
        <v>8</v>
      </c>
      <c r="AH889" s="2" t="n">
        <f aca="false">AG888</f>
        <v>8</v>
      </c>
      <c r="AI889" s="10" t="n">
        <f aca="false">X889+Y889*(E889-AB889)-Y889*AD889*Inputs!$B$13*(A889-AC889)</f>
        <v>983.862971216719</v>
      </c>
      <c r="AJ889" s="10" t="n">
        <v>0</v>
      </c>
      <c r="AK889" s="8" t="n">
        <f aca="false">IF(AND(B889&lt;=U889,NOT(Q889)),B889,U889)*(1-Inputs!$B$12)</f>
        <v>0.845696614411456</v>
      </c>
    </row>
    <row r="890" customFormat="false" ht="15" hidden="false" customHeight="false" outlineLevel="0" collapsed="false">
      <c r="A890" s="6" t="n">
        <v>45674</v>
      </c>
      <c r="B890" s="7" t="n">
        <v>0.854544364183151</v>
      </c>
      <c r="C890" s="7" t="n">
        <v>0.856229940761323</v>
      </c>
      <c r="D890" s="7" t="n">
        <v>0.852116390434846</v>
      </c>
      <c r="E890" s="7" t="n">
        <v>0.853562457747394</v>
      </c>
      <c r="F890" s="8" t="n">
        <f aca="true">IF(ROW()-2&gt;=Inputs!$B$4,AVERAGE(OFFSET(E890,1-Inputs!$B$4,0,Inputs!$B$4,1)),"")</f>
        <v>0.848010210420615</v>
      </c>
      <c r="G890" s="8" t="n">
        <f aca="true">IF(ROW()-2&gt;=Inputs!$B$5,AVERAGE(OFFSET(E890,1-Inputs!$B$5,0,Inputs!$B$5,1)),"")</f>
        <v>0.851496968719615</v>
      </c>
      <c r="H890" s="8" t="n">
        <f aca="false">MAX(C890-D890,ABS(C890-E889),ABS(D890-E889))</f>
        <v>0.00411355032647709</v>
      </c>
      <c r="I890" s="8" t="n">
        <f aca="true">IF(ROW()-2&lt;14,"",IF(ROW()-2=14,AVERAGE(OFFSET(H890,-13,0,14,1)),(I889*13+H890)/14))</f>
        <v>0.00724951302453162</v>
      </c>
      <c r="J890" s="9" t="b">
        <f aca="false">IF(AND(ISNUMBER(F890),ISNUMBER(G890),ISNUMBER(F889),ISNUMBER(G889)),AND(F890&gt;G890,F889&lt;=G889),FALSE())</f>
        <v>0</v>
      </c>
      <c r="K890" s="9" t="b">
        <f aca="false">IF(AND(ISNUMBER(F890),ISNUMBER(G890),ISNUMBER(F889),ISNUMBER(G889)),AND(F890&lt;G890,F889&gt;=G889),FALSE())</f>
        <v>0</v>
      </c>
      <c r="L890" s="8" t="n">
        <f aca="false">IF(ISNUMBER(I890),E890-Inputs!$B$6*I890,"")</f>
        <v>0.83906343169833</v>
      </c>
      <c r="M890" s="9" t="b">
        <f aca="false">AND(Y889&gt;0,Z889)</f>
        <v>0</v>
      </c>
      <c r="N890" s="8" t="n">
        <f aca="false">B890*(1-Inputs!$B$12)</f>
        <v>0.854373455310314</v>
      </c>
      <c r="O890" s="10" t="n">
        <f aca="false">IF(M890,Y889*(N890-AB889)-Inputs!$B$9-Y889*AD889*Inputs!$B$13*(A890-AC889),0)</f>
        <v>0</v>
      </c>
      <c r="P890" s="10" t="n">
        <f aca="false">X889+O890</f>
        <v>983.862971216719</v>
      </c>
      <c r="Q890" s="9" t="b">
        <f aca="false">AND(IF(M890,0,Y889)=0,AA889,IF(ISNUMBER(AE889),B890&gt;AE889,FALSE()))</f>
        <v>0</v>
      </c>
      <c r="R890" s="8" t="n">
        <f aca="false">B890*(1+Inputs!$B$12)</f>
        <v>0.854715273055987</v>
      </c>
      <c r="S890" s="11" t="n">
        <f aca="false">IF(Q890,MIN(P890*Inputs!$B$3/(R890-AE889),P890*Inputs!$B$11/R890),0)</f>
        <v>0</v>
      </c>
      <c r="T890" s="11" t="n">
        <f aca="false">IF(Q890,S890,IF(M890,0,Y889))</f>
        <v>0</v>
      </c>
      <c r="U890" s="8" t="n">
        <f aca="false">IF(Q890,AE889,AF889)</f>
        <v>0.84586578756897</v>
      </c>
      <c r="V890" s="9" t="b">
        <f aca="false">AND(T890&gt;0,D890&lt;=U890)</f>
        <v>0</v>
      </c>
      <c r="W890" s="10" t="n">
        <f aca="false">IF(V890,T890*(AK890-AB890)-Inputs!$B$9-T890*AD890*Inputs!$B$13*(A890-AC890),0)</f>
        <v>0</v>
      </c>
      <c r="X890" s="10" t="n">
        <f aca="false">P890-IF(Q890,Inputs!$B$9,0)+W890</f>
        <v>983.862971216719</v>
      </c>
      <c r="Y890" s="11" t="n">
        <f aca="false">IF(V890,0,T890)</f>
        <v>0</v>
      </c>
      <c r="Z890" s="9" t="b">
        <f aca="false">AND(Y890&gt;0,K890)</f>
        <v>0</v>
      </c>
      <c r="AA890" s="9" t="b">
        <f aca="false">AND(Y890=0,J890,ISNUMBER(L890))</f>
        <v>0</v>
      </c>
      <c r="AB890" s="8" t="n">
        <f aca="false">IF(Q890,R890,AB889)</f>
        <v>0.863339701115261</v>
      </c>
      <c r="AC890" s="12" t="n">
        <f aca="false">IF(Q890,A890,AC889)</f>
        <v>45628</v>
      </c>
      <c r="AD890" s="8" t="n">
        <f aca="false">IF(Q890,B890,AD889)</f>
        <v>0.86316706770172</v>
      </c>
      <c r="AE890" s="8" t="str">
        <f aca="false">IF(AA890,L890,"")</f>
        <v/>
      </c>
      <c r="AF890" s="8" t="n">
        <f aca="false">U890</f>
        <v>0.84586578756897</v>
      </c>
      <c r="AG890" s="2" t="n">
        <f aca="false">AG889+IF(Q890,1,0)</f>
        <v>8</v>
      </c>
      <c r="AH890" s="2" t="n">
        <f aca="false">AG889</f>
        <v>8</v>
      </c>
      <c r="AI890" s="10" t="n">
        <f aca="false">X890+Y890*(E890-AB890)-Y890*AD890*Inputs!$B$13*(A890-AC890)</f>
        <v>983.862971216719</v>
      </c>
      <c r="AJ890" s="10" t="n">
        <v>0</v>
      </c>
      <c r="AK890" s="8" t="n">
        <f aca="false">IF(AND(B890&lt;=U890,NOT(Q890)),B890,U890)*(1-Inputs!$B$12)</f>
        <v>0.845696614411456</v>
      </c>
    </row>
    <row r="891" customFormat="false" ht="15" hidden="false" customHeight="false" outlineLevel="0" collapsed="false">
      <c r="A891" s="6" t="n">
        <v>45675</v>
      </c>
      <c r="B891" s="7" t="n">
        <v>0.853562457747394</v>
      </c>
      <c r="C891" s="7" t="n">
        <v>0.860708466082328</v>
      </c>
      <c r="D891" s="7" t="n">
        <v>0.852367598007757</v>
      </c>
      <c r="E891" s="7" t="n">
        <v>0.860586486263724</v>
      </c>
      <c r="F891" s="8" t="n">
        <f aca="true">IF(ROW()-2&gt;=Inputs!$B$4,AVERAGE(OFFSET(E891,1-Inputs!$B$4,0,Inputs!$B$4,1)),"")</f>
        <v>0.848805599100029</v>
      </c>
      <c r="G891" s="8" t="n">
        <f aca="true">IF(ROW()-2&gt;=Inputs!$B$5,AVERAGE(OFFSET(E891,1-Inputs!$B$5,0,Inputs!$B$5,1)),"")</f>
        <v>0.851259234275054</v>
      </c>
      <c r="H891" s="8" t="n">
        <f aca="false">MAX(C891-D891,ABS(C891-E890),ABS(D891-E890))</f>
        <v>0.0083408680745708</v>
      </c>
      <c r="I891" s="8" t="n">
        <f aca="true">IF(ROW()-2&lt;14,"",IF(ROW()-2=14,AVERAGE(OFFSET(H891,-13,0,14,1)),(I890*13+H891)/14))</f>
        <v>0.00732746695667727</v>
      </c>
      <c r="J891" s="9" t="b">
        <f aca="false">IF(AND(ISNUMBER(F891),ISNUMBER(G891),ISNUMBER(F890),ISNUMBER(G890)),AND(F891&gt;G891,F890&lt;=G890),FALSE())</f>
        <v>0</v>
      </c>
      <c r="K891" s="9" t="b">
        <f aca="false">IF(AND(ISNUMBER(F891),ISNUMBER(G891),ISNUMBER(F890),ISNUMBER(G890)),AND(F891&lt;G891,F890&gt;=G890),FALSE())</f>
        <v>0</v>
      </c>
      <c r="L891" s="8" t="n">
        <f aca="false">IF(ISNUMBER(I891),E891-Inputs!$B$6*I891,"")</f>
        <v>0.84593155235037</v>
      </c>
      <c r="M891" s="9" t="b">
        <f aca="false">AND(Y890&gt;0,Z890)</f>
        <v>0</v>
      </c>
      <c r="N891" s="8" t="n">
        <f aca="false">B891*(1-Inputs!$B$12)</f>
        <v>0.853391745255844</v>
      </c>
      <c r="O891" s="10" t="n">
        <f aca="false">IF(M891,Y890*(N891-AB890)-Inputs!$B$9-Y890*AD890*Inputs!$B$13*(A891-AC890),0)</f>
        <v>0</v>
      </c>
      <c r="P891" s="10" t="n">
        <f aca="false">X890+O891</f>
        <v>983.862971216719</v>
      </c>
      <c r="Q891" s="9" t="b">
        <f aca="false">AND(IF(M891,0,Y890)=0,AA890,IF(ISNUMBER(AE890),B891&gt;AE890,FALSE()))</f>
        <v>0</v>
      </c>
      <c r="R891" s="8" t="n">
        <f aca="false">B891*(1+Inputs!$B$12)</f>
        <v>0.853733170238943</v>
      </c>
      <c r="S891" s="11" t="n">
        <f aca="false">IF(Q891,MIN(P891*Inputs!$B$3/(R891-AE890),P891*Inputs!$B$11/R891),0)</f>
        <v>0</v>
      </c>
      <c r="T891" s="11" t="n">
        <f aca="false">IF(Q891,S891,IF(M891,0,Y890))</f>
        <v>0</v>
      </c>
      <c r="U891" s="8" t="n">
        <f aca="false">IF(Q891,AE890,AF890)</f>
        <v>0.84586578756897</v>
      </c>
      <c r="V891" s="9" t="b">
        <f aca="false">AND(T891&gt;0,D891&lt;=U891)</f>
        <v>0</v>
      </c>
      <c r="W891" s="10" t="n">
        <f aca="false">IF(V891,T891*(AK891-AB891)-Inputs!$B$9-T891*AD891*Inputs!$B$13*(A891-AC891),0)</f>
        <v>0</v>
      </c>
      <c r="X891" s="10" t="n">
        <f aca="false">P891-IF(Q891,Inputs!$B$9,0)+W891</f>
        <v>983.862971216719</v>
      </c>
      <c r="Y891" s="11" t="n">
        <f aca="false">IF(V891,0,T891)</f>
        <v>0</v>
      </c>
      <c r="Z891" s="9" t="b">
        <f aca="false">AND(Y891&gt;0,K891)</f>
        <v>0</v>
      </c>
      <c r="AA891" s="9" t="b">
        <f aca="false">AND(Y891=0,J891,ISNUMBER(L891))</f>
        <v>0</v>
      </c>
      <c r="AB891" s="8" t="n">
        <f aca="false">IF(Q891,R891,AB890)</f>
        <v>0.863339701115261</v>
      </c>
      <c r="AC891" s="12" t="n">
        <f aca="false">IF(Q891,A891,AC890)</f>
        <v>45628</v>
      </c>
      <c r="AD891" s="8" t="n">
        <f aca="false">IF(Q891,B891,AD890)</f>
        <v>0.86316706770172</v>
      </c>
      <c r="AE891" s="8" t="str">
        <f aca="false">IF(AA891,L891,"")</f>
        <v/>
      </c>
      <c r="AF891" s="8" t="n">
        <f aca="false">U891</f>
        <v>0.84586578756897</v>
      </c>
      <c r="AG891" s="2" t="n">
        <f aca="false">AG890+IF(Q891,1,0)</f>
        <v>8</v>
      </c>
      <c r="AH891" s="2" t="n">
        <f aca="false">AG890</f>
        <v>8</v>
      </c>
      <c r="AI891" s="10" t="n">
        <f aca="false">X891+Y891*(E891-AB891)-Y891*AD891*Inputs!$B$13*(A891-AC891)</f>
        <v>983.862971216719</v>
      </c>
      <c r="AJ891" s="10" t="n">
        <v>0</v>
      </c>
      <c r="AK891" s="8" t="n">
        <f aca="false">IF(AND(B891&lt;=U891,NOT(Q891)),B891,U891)*(1-Inputs!$B$12)</f>
        <v>0.845696614411456</v>
      </c>
    </row>
    <row r="892" customFormat="false" ht="15" hidden="false" customHeight="false" outlineLevel="0" collapsed="false">
      <c r="A892" s="6" t="n">
        <v>45676</v>
      </c>
      <c r="B892" s="7" t="n">
        <v>0.860586486263724</v>
      </c>
      <c r="C892" s="7" t="n">
        <v>0.865706287873221</v>
      </c>
      <c r="D892" s="7" t="n">
        <v>0.852924316033505</v>
      </c>
      <c r="E892" s="7" t="n">
        <v>0.856453003098685</v>
      </c>
      <c r="F892" s="8" t="n">
        <f aca="true">IF(ROW()-2&gt;=Inputs!$B$4,AVERAGE(OFFSET(E892,1-Inputs!$B$4,0,Inputs!$B$4,1)),"")</f>
        <v>0.849036892191062</v>
      </c>
      <c r="G892" s="8" t="n">
        <f aca="true">IF(ROW()-2&gt;=Inputs!$B$5,AVERAGE(OFFSET(E892,1-Inputs!$B$5,0,Inputs!$B$5,1)),"")</f>
        <v>0.851065149512029</v>
      </c>
      <c r="H892" s="8" t="n">
        <f aca="false">MAX(C892-D892,ABS(C892-E891),ABS(D892-E891))</f>
        <v>0.0127819718397161</v>
      </c>
      <c r="I892" s="8" t="n">
        <f aca="true">IF(ROW()-2&lt;14,"",IF(ROW()-2=14,AVERAGE(OFFSET(H892,-13,0,14,1)),(I891*13+H892)/14))</f>
        <v>0.0077170744483229</v>
      </c>
      <c r="J892" s="9" t="b">
        <f aca="false">IF(AND(ISNUMBER(F892),ISNUMBER(G892),ISNUMBER(F891),ISNUMBER(G891)),AND(F892&gt;G892,F891&lt;=G891),FALSE())</f>
        <v>0</v>
      </c>
      <c r="K892" s="9" t="b">
        <f aca="false">IF(AND(ISNUMBER(F892),ISNUMBER(G892),ISNUMBER(F891),ISNUMBER(G891)),AND(F892&lt;G892,F891&gt;=G891),FALSE())</f>
        <v>0</v>
      </c>
      <c r="L892" s="8" t="n">
        <f aca="false">IF(ISNUMBER(I892),E892-Inputs!$B$6*I892,"")</f>
        <v>0.84101885420204</v>
      </c>
      <c r="M892" s="9" t="b">
        <f aca="false">AND(Y891&gt;0,Z891)</f>
        <v>0</v>
      </c>
      <c r="N892" s="8" t="n">
        <f aca="false">B892*(1-Inputs!$B$12)</f>
        <v>0.860414368966471</v>
      </c>
      <c r="O892" s="10" t="n">
        <f aca="false">IF(M892,Y891*(N892-AB891)-Inputs!$B$9-Y891*AD891*Inputs!$B$13*(A892-AC891),0)</f>
        <v>0</v>
      </c>
      <c r="P892" s="10" t="n">
        <f aca="false">X891+O892</f>
        <v>983.862971216719</v>
      </c>
      <c r="Q892" s="9" t="b">
        <f aca="false">AND(IF(M892,0,Y891)=0,AA891,IF(ISNUMBER(AE891),B892&gt;AE891,FALSE()))</f>
        <v>0</v>
      </c>
      <c r="R892" s="8" t="n">
        <f aca="false">B892*(1+Inputs!$B$12)</f>
        <v>0.860758603560977</v>
      </c>
      <c r="S892" s="11" t="n">
        <f aca="false">IF(Q892,MIN(P892*Inputs!$B$3/(R892-AE891),P892*Inputs!$B$11/R892),0)</f>
        <v>0</v>
      </c>
      <c r="T892" s="11" t="n">
        <f aca="false">IF(Q892,S892,IF(M892,0,Y891))</f>
        <v>0</v>
      </c>
      <c r="U892" s="8" t="n">
        <f aca="false">IF(Q892,AE891,AF891)</f>
        <v>0.84586578756897</v>
      </c>
      <c r="V892" s="9" t="b">
        <f aca="false">AND(T892&gt;0,D892&lt;=U892)</f>
        <v>0</v>
      </c>
      <c r="W892" s="10" t="n">
        <f aca="false">IF(V892,T892*(AK892-AB892)-Inputs!$B$9-T892*AD892*Inputs!$B$13*(A892-AC892),0)</f>
        <v>0</v>
      </c>
      <c r="X892" s="10" t="n">
        <f aca="false">P892-IF(Q892,Inputs!$B$9,0)+W892</f>
        <v>983.862971216719</v>
      </c>
      <c r="Y892" s="11" t="n">
        <f aca="false">IF(V892,0,T892)</f>
        <v>0</v>
      </c>
      <c r="Z892" s="9" t="b">
        <f aca="false">AND(Y892&gt;0,K892)</f>
        <v>0</v>
      </c>
      <c r="AA892" s="9" t="b">
        <f aca="false">AND(Y892=0,J892,ISNUMBER(L892))</f>
        <v>0</v>
      </c>
      <c r="AB892" s="8" t="n">
        <f aca="false">IF(Q892,R892,AB891)</f>
        <v>0.863339701115261</v>
      </c>
      <c r="AC892" s="12" t="n">
        <f aca="false">IF(Q892,A892,AC891)</f>
        <v>45628</v>
      </c>
      <c r="AD892" s="8" t="n">
        <f aca="false">IF(Q892,B892,AD891)</f>
        <v>0.86316706770172</v>
      </c>
      <c r="AE892" s="8" t="str">
        <f aca="false">IF(AA892,L892,"")</f>
        <v/>
      </c>
      <c r="AF892" s="8" t="n">
        <f aca="false">U892</f>
        <v>0.84586578756897</v>
      </c>
      <c r="AG892" s="2" t="n">
        <f aca="false">AG891+IF(Q892,1,0)</f>
        <v>8</v>
      </c>
      <c r="AH892" s="2" t="n">
        <f aca="false">AG891</f>
        <v>8</v>
      </c>
      <c r="AI892" s="10" t="n">
        <f aca="false">X892+Y892*(E892-AB892)-Y892*AD892*Inputs!$B$13*(A892-AC892)</f>
        <v>983.862971216719</v>
      </c>
      <c r="AJ892" s="10" t="n">
        <v>0</v>
      </c>
      <c r="AK892" s="8" t="n">
        <f aca="false">IF(AND(B892&lt;=U892,NOT(Q892)),B892,U892)*(1-Inputs!$B$12)</f>
        <v>0.845696614411456</v>
      </c>
    </row>
    <row r="893" customFormat="false" ht="15" hidden="false" customHeight="false" outlineLevel="0" collapsed="false">
      <c r="A893" s="6" t="n">
        <v>45677</v>
      </c>
      <c r="B893" s="7" t="n">
        <v>0.856453003098685</v>
      </c>
      <c r="C893" s="7" t="n">
        <v>0.865249273457838</v>
      </c>
      <c r="D893" s="7" t="n">
        <v>0.844369579501513</v>
      </c>
      <c r="E893" s="7" t="n">
        <v>0.84942007060972</v>
      </c>
      <c r="F893" s="8" t="n">
        <f aca="true">IF(ROW()-2&gt;=Inputs!$B$4,AVERAGE(OFFSET(E893,1-Inputs!$B$4,0,Inputs!$B$4,1)),"")</f>
        <v>0.849047533280952</v>
      </c>
      <c r="G893" s="8" t="n">
        <f aca="true">IF(ROW()-2&gt;=Inputs!$B$5,AVERAGE(OFFSET(E893,1-Inputs!$B$5,0,Inputs!$B$5,1)),"")</f>
        <v>0.850790209570189</v>
      </c>
      <c r="H893" s="8" t="n">
        <f aca="false">MAX(C893-D893,ABS(C893-E892),ABS(D893-E892))</f>
        <v>0.0208796939563252</v>
      </c>
      <c r="I893" s="8" t="n">
        <f aca="true">IF(ROW()-2&lt;14,"",IF(ROW()-2=14,AVERAGE(OFFSET(H893,-13,0,14,1)),(I892*13+H893)/14))</f>
        <v>0.00865726155603735</v>
      </c>
      <c r="J893" s="9" t="b">
        <f aca="false">IF(AND(ISNUMBER(F893),ISNUMBER(G893),ISNUMBER(F892),ISNUMBER(G892)),AND(F893&gt;G893,F892&lt;=G892),FALSE())</f>
        <v>0</v>
      </c>
      <c r="K893" s="9" t="b">
        <f aca="false">IF(AND(ISNUMBER(F893),ISNUMBER(G893),ISNUMBER(F892),ISNUMBER(G892)),AND(F893&lt;G893,F892&gt;=G892),FALSE())</f>
        <v>0</v>
      </c>
      <c r="L893" s="8" t="n">
        <f aca="false">IF(ISNUMBER(I893),E893-Inputs!$B$6*I893,"")</f>
        <v>0.832105547497646</v>
      </c>
      <c r="M893" s="9" t="b">
        <f aca="false">AND(Y892&gt;0,Z892)</f>
        <v>0</v>
      </c>
      <c r="N893" s="8" t="n">
        <f aca="false">B893*(1-Inputs!$B$12)</f>
        <v>0.856281712498066</v>
      </c>
      <c r="O893" s="10" t="n">
        <f aca="false">IF(M893,Y892*(N893-AB892)-Inputs!$B$9-Y892*AD892*Inputs!$B$13*(A893-AC892),0)</f>
        <v>0</v>
      </c>
      <c r="P893" s="10" t="n">
        <f aca="false">X892+O893</f>
        <v>983.862971216719</v>
      </c>
      <c r="Q893" s="9" t="b">
        <f aca="false">AND(IF(M893,0,Y892)=0,AA892,IF(ISNUMBER(AE892),B893&gt;AE892,FALSE()))</f>
        <v>0</v>
      </c>
      <c r="R893" s="8" t="n">
        <f aca="false">B893*(1+Inputs!$B$12)</f>
        <v>0.856624293699305</v>
      </c>
      <c r="S893" s="11" t="n">
        <f aca="false">IF(Q893,MIN(P893*Inputs!$B$3/(R893-AE892),P893*Inputs!$B$11/R893),0)</f>
        <v>0</v>
      </c>
      <c r="T893" s="11" t="n">
        <f aca="false">IF(Q893,S893,IF(M893,0,Y892))</f>
        <v>0</v>
      </c>
      <c r="U893" s="8" t="n">
        <f aca="false">IF(Q893,AE892,AF892)</f>
        <v>0.84586578756897</v>
      </c>
      <c r="V893" s="9" t="b">
        <f aca="false">AND(T893&gt;0,D893&lt;=U893)</f>
        <v>0</v>
      </c>
      <c r="W893" s="10" t="n">
        <f aca="false">IF(V893,T893*(AK893-AB893)-Inputs!$B$9-T893*AD893*Inputs!$B$13*(A893-AC893),0)</f>
        <v>0</v>
      </c>
      <c r="X893" s="10" t="n">
        <f aca="false">P893-IF(Q893,Inputs!$B$9,0)+W893</f>
        <v>983.862971216719</v>
      </c>
      <c r="Y893" s="11" t="n">
        <f aca="false">IF(V893,0,T893)</f>
        <v>0</v>
      </c>
      <c r="Z893" s="9" t="b">
        <f aca="false">AND(Y893&gt;0,K893)</f>
        <v>0</v>
      </c>
      <c r="AA893" s="9" t="b">
        <f aca="false">AND(Y893=0,J893,ISNUMBER(L893))</f>
        <v>0</v>
      </c>
      <c r="AB893" s="8" t="n">
        <f aca="false">IF(Q893,R893,AB892)</f>
        <v>0.863339701115261</v>
      </c>
      <c r="AC893" s="12" t="n">
        <f aca="false">IF(Q893,A893,AC892)</f>
        <v>45628</v>
      </c>
      <c r="AD893" s="8" t="n">
        <f aca="false">IF(Q893,B893,AD892)</f>
        <v>0.86316706770172</v>
      </c>
      <c r="AE893" s="8" t="str">
        <f aca="false">IF(AA893,L893,"")</f>
        <v/>
      </c>
      <c r="AF893" s="8" t="n">
        <f aca="false">U893</f>
        <v>0.84586578756897</v>
      </c>
      <c r="AG893" s="2" t="n">
        <f aca="false">AG892+IF(Q893,1,0)</f>
        <v>8</v>
      </c>
      <c r="AH893" s="2" t="n">
        <f aca="false">AG892</f>
        <v>8</v>
      </c>
      <c r="AI893" s="10" t="n">
        <f aca="false">X893+Y893*(E893-AB893)-Y893*AD893*Inputs!$B$13*(A893-AC893)</f>
        <v>983.862971216719</v>
      </c>
      <c r="AJ893" s="10" t="n">
        <v>0</v>
      </c>
      <c r="AK893" s="8" t="n">
        <f aca="false">IF(AND(B893&lt;=U893,NOT(Q893)),B893,U893)*(1-Inputs!$B$12)</f>
        <v>0.845696614411456</v>
      </c>
    </row>
    <row r="894" customFormat="false" ht="15" hidden="false" customHeight="false" outlineLevel="0" collapsed="false">
      <c r="A894" s="6" t="n">
        <v>45678</v>
      </c>
      <c r="B894" s="7" t="n">
        <v>0.84942007060972</v>
      </c>
      <c r="C894" s="7" t="n">
        <v>0.854438754606943</v>
      </c>
      <c r="D894" s="7" t="n">
        <v>0.845704689765405</v>
      </c>
      <c r="E894" s="7" t="n">
        <v>0.850611816094392</v>
      </c>
      <c r="F894" s="8" t="n">
        <f aca="true">IF(ROW()-2&gt;=Inputs!$B$4,AVERAGE(OFFSET(E894,1-Inputs!$B$4,0,Inputs!$B$4,1)),"")</f>
        <v>0.849240778137068</v>
      </c>
      <c r="G894" s="8" t="n">
        <f aca="true">IF(ROW()-2&gt;=Inputs!$B$5,AVERAGE(OFFSET(E894,1-Inputs!$B$5,0,Inputs!$B$5,1)),"")</f>
        <v>0.850679746301466</v>
      </c>
      <c r="H894" s="8" t="n">
        <f aca="false">MAX(C894-D894,ABS(C894-E893),ABS(D894-E893))</f>
        <v>0.00873406484153816</v>
      </c>
      <c r="I894" s="8" t="n">
        <f aca="true">IF(ROW()-2&lt;14,"",IF(ROW()-2=14,AVERAGE(OFFSET(H894,-13,0,14,1)),(I893*13+H894)/14))</f>
        <v>0.0086627475050017</v>
      </c>
      <c r="J894" s="9" t="b">
        <f aca="false">IF(AND(ISNUMBER(F894),ISNUMBER(G894),ISNUMBER(F893),ISNUMBER(G893)),AND(F894&gt;G894,F893&lt;=G893),FALSE())</f>
        <v>0</v>
      </c>
      <c r="K894" s="9" t="b">
        <f aca="false">IF(AND(ISNUMBER(F894),ISNUMBER(G894),ISNUMBER(F893),ISNUMBER(G893)),AND(F894&lt;G894,F893&gt;=G893),FALSE())</f>
        <v>0</v>
      </c>
      <c r="L894" s="8" t="n">
        <f aca="false">IF(ISNUMBER(I894),E894-Inputs!$B$6*I894,"")</f>
        <v>0.833286321084389</v>
      </c>
      <c r="M894" s="9" t="b">
        <f aca="false">AND(Y893&gt;0,Z893)</f>
        <v>0</v>
      </c>
      <c r="N894" s="8" t="n">
        <f aca="false">B894*(1-Inputs!$B$12)</f>
        <v>0.849250186595599</v>
      </c>
      <c r="O894" s="10" t="n">
        <f aca="false">IF(M894,Y893*(N894-AB893)-Inputs!$B$9-Y893*AD893*Inputs!$B$13*(A894-AC893),0)</f>
        <v>0</v>
      </c>
      <c r="P894" s="10" t="n">
        <f aca="false">X893+O894</f>
        <v>983.862971216719</v>
      </c>
      <c r="Q894" s="9" t="b">
        <f aca="false">AND(IF(M894,0,Y893)=0,AA893,IF(ISNUMBER(AE893),B894&gt;AE893,FALSE()))</f>
        <v>0</v>
      </c>
      <c r="R894" s="8" t="n">
        <f aca="false">B894*(1+Inputs!$B$12)</f>
        <v>0.849589954623842</v>
      </c>
      <c r="S894" s="11" t="n">
        <f aca="false">IF(Q894,MIN(P894*Inputs!$B$3/(R894-AE893),P894*Inputs!$B$11/R894),0)</f>
        <v>0</v>
      </c>
      <c r="T894" s="11" t="n">
        <f aca="false">IF(Q894,S894,IF(M894,0,Y893))</f>
        <v>0</v>
      </c>
      <c r="U894" s="8" t="n">
        <f aca="false">IF(Q894,AE893,AF893)</f>
        <v>0.84586578756897</v>
      </c>
      <c r="V894" s="9" t="b">
        <f aca="false">AND(T894&gt;0,D894&lt;=U894)</f>
        <v>0</v>
      </c>
      <c r="W894" s="10" t="n">
        <f aca="false">IF(V894,T894*(AK894-AB894)-Inputs!$B$9-T894*AD894*Inputs!$B$13*(A894-AC894),0)</f>
        <v>0</v>
      </c>
      <c r="X894" s="10" t="n">
        <f aca="false">P894-IF(Q894,Inputs!$B$9,0)+W894</f>
        <v>983.862971216719</v>
      </c>
      <c r="Y894" s="11" t="n">
        <f aca="false">IF(V894,0,T894)</f>
        <v>0</v>
      </c>
      <c r="Z894" s="9" t="b">
        <f aca="false">AND(Y894&gt;0,K894)</f>
        <v>0</v>
      </c>
      <c r="AA894" s="9" t="b">
        <f aca="false">AND(Y894=0,J894,ISNUMBER(L894))</f>
        <v>0</v>
      </c>
      <c r="AB894" s="8" t="n">
        <f aca="false">IF(Q894,R894,AB893)</f>
        <v>0.863339701115261</v>
      </c>
      <c r="AC894" s="12" t="n">
        <f aca="false">IF(Q894,A894,AC893)</f>
        <v>45628</v>
      </c>
      <c r="AD894" s="8" t="n">
        <f aca="false">IF(Q894,B894,AD893)</f>
        <v>0.86316706770172</v>
      </c>
      <c r="AE894" s="8" t="str">
        <f aca="false">IF(AA894,L894,"")</f>
        <v/>
      </c>
      <c r="AF894" s="8" t="n">
        <f aca="false">U894</f>
        <v>0.84586578756897</v>
      </c>
      <c r="AG894" s="2" t="n">
        <f aca="false">AG893+IF(Q894,1,0)</f>
        <v>8</v>
      </c>
      <c r="AH894" s="2" t="n">
        <f aca="false">AG893</f>
        <v>8</v>
      </c>
      <c r="AI894" s="10" t="n">
        <f aca="false">X894+Y894*(E894-AB894)-Y894*AD894*Inputs!$B$13*(A894-AC894)</f>
        <v>983.862971216719</v>
      </c>
      <c r="AJ894" s="10" t="n">
        <v>0</v>
      </c>
      <c r="AK894" s="8" t="n">
        <f aca="false">IF(AND(B894&lt;=U894,NOT(Q894)),B894,U894)*(1-Inputs!$B$12)</f>
        <v>0.845696614411456</v>
      </c>
    </row>
    <row r="895" customFormat="false" ht="15" hidden="false" customHeight="false" outlineLevel="0" collapsed="false">
      <c r="A895" s="6" t="n">
        <v>45679</v>
      </c>
      <c r="B895" s="7" t="n">
        <v>0.850611816094392</v>
      </c>
      <c r="C895" s="7" t="n">
        <v>0.854786960536985</v>
      </c>
      <c r="D895" s="7" t="n">
        <v>0.844561096808033</v>
      </c>
      <c r="E895" s="7" t="n">
        <v>0.848115622974933</v>
      </c>
      <c r="F895" s="8" t="n">
        <f aca="true">IF(ROW()-2&gt;=Inputs!$B$4,AVERAGE(OFFSET(E895,1-Inputs!$B$4,0,Inputs!$B$4,1)),"")</f>
        <v>0.849421567004438</v>
      </c>
      <c r="G895" s="8" t="n">
        <f aca="true">IF(ROW()-2&gt;=Inputs!$B$5,AVERAGE(OFFSET(E895,1-Inputs!$B$5,0,Inputs!$B$5,1)),"")</f>
        <v>0.850559585513825</v>
      </c>
      <c r="H895" s="8" t="n">
        <f aca="false">MAX(C895-D895,ABS(C895-E894),ABS(D895-E894))</f>
        <v>0.0102258637289518</v>
      </c>
      <c r="I895" s="8" t="n">
        <f aca="true">IF(ROW()-2&lt;14,"",IF(ROW()-2=14,AVERAGE(OFFSET(H895,-13,0,14,1)),(I894*13+H895)/14))</f>
        <v>0.00877439866385528</v>
      </c>
      <c r="J895" s="9" t="b">
        <f aca="false">IF(AND(ISNUMBER(F895),ISNUMBER(G895),ISNUMBER(F894),ISNUMBER(G894)),AND(F895&gt;G895,F894&lt;=G894),FALSE())</f>
        <v>0</v>
      </c>
      <c r="K895" s="9" t="b">
        <f aca="false">IF(AND(ISNUMBER(F895),ISNUMBER(G895),ISNUMBER(F894),ISNUMBER(G894)),AND(F895&lt;G895,F894&gt;=G894),FALSE())</f>
        <v>0</v>
      </c>
      <c r="L895" s="8" t="n">
        <f aca="false">IF(ISNUMBER(I895),E895-Inputs!$B$6*I895,"")</f>
        <v>0.830566825647222</v>
      </c>
      <c r="M895" s="9" t="b">
        <f aca="false">AND(Y894&gt;0,Z894)</f>
        <v>0</v>
      </c>
      <c r="N895" s="8" t="n">
        <f aca="false">B895*(1-Inputs!$B$12)</f>
        <v>0.850441693731173</v>
      </c>
      <c r="O895" s="10" t="n">
        <f aca="false">IF(M895,Y894*(N895-AB894)-Inputs!$B$9-Y894*AD894*Inputs!$B$13*(A895-AC894),0)</f>
        <v>0</v>
      </c>
      <c r="P895" s="10" t="n">
        <f aca="false">X894+O895</f>
        <v>983.862971216719</v>
      </c>
      <c r="Q895" s="9" t="b">
        <f aca="false">AND(IF(M895,0,Y894)=0,AA894,IF(ISNUMBER(AE894),B895&gt;AE894,FALSE()))</f>
        <v>0</v>
      </c>
      <c r="R895" s="8" t="n">
        <f aca="false">B895*(1+Inputs!$B$12)</f>
        <v>0.850781938457611</v>
      </c>
      <c r="S895" s="11" t="n">
        <f aca="false">IF(Q895,MIN(P895*Inputs!$B$3/(R895-AE894),P895*Inputs!$B$11/R895),0)</f>
        <v>0</v>
      </c>
      <c r="T895" s="11" t="n">
        <f aca="false">IF(Q895,S895,IF(M895,0,Y894))</f>
        <v>0</v>
      </c>
      <c r="U895" s="8" t="n">
        <f aca="false">IF(Q895,AE894,AF894)</f>
        <v>0.84586578756897</v>
      </c>
      <c r="V895" s="9" t="b">
        <f aca="false">AND(T895&gt;0,D895&lt;=U895)</f>
        <v>0</v>
      </c>
      <c r="W895" s="10" t="n">
        <f aca="false">IF(V895,T895*(AK895-AB895)-Inputs!$B$9-T895*AD895*Inputs!$B$13*(A895-AC895),0)</f>
        <v>0</v>
      </c>
      <c r="X895" s="10" t="n">
        <f aca="false">P895-IF(Q895,Inputs!$B$9,0)+W895</f>
        <v>983.862971216719</v>
      </c>
      <c r="Y895" s="11" t="n">
        <f aca="false">IF(V895,0,T895)</f>
        <v>0</v>
      </c>
      <c r="Z895" s="9" t="b">
        <f aca="false">AND(Y895&gt;0,K895)</f>
        <v>0</v>
      </c>
      <c r="AA895" s="9" t="b">
        <f aca="false">AND(Y895=0,J895,ISNUMBER(L895))</f>
        <v>0</v>
      </c>
      <c r="AB895" s="8" t="n">
        <f aca="false">IF(Q895,R895,AB894)</f>
        <v>0.863339701115261</v>
      </c>
      <c r="AC895" s="12" t="n">
        <f aca="false">IF(Q895,A895,AC894)</f>
        <v>45628</v>
      </c>
      <c r="AD895" s="8" t="n">
        <f aca="false">IF(Q895,B895,AD894)</f>
        <v>0.86316706770172</v>
      </c>
      <c r="AE895" s="8" t="str">
        <f aca="false">IF(AA895,L895,"")</f>
        <v/>
      </c>
      <c r="AF895" s="8" t="n">
        <f aca="false">U895</f>
        <v>0.84586578756897</v>
      </c>
      <c r="AG895" s="2" t="n">
        <f aca="false">AG894+IF(Q895,1,0)</f>
        <v>8</v>
      </c>
      <c r="AH895" s="2" t="n">
        <f aca="false">AG894</f>
        <v>8</v>
      </c>
      <c r="AI895" s="10" t="n">
        <f aca="false">X895+Y895*(E895-AB895)-Y895*AD895*Inputs!$B$13*(A895-AC895)</f>
        <v>983.862971216719</v>
      </c>
      <c r="AJ895" s="10" t="n">
        <v>0</v>
      </c>
      <c r="AK895" s="8" t="n">
        <f aca="false">IF(AND(B895&lt;=U895,NOT(Q895)),B895,U895)*(1-Inputs!$B$12)</f>
        <v>0.845696614411456</v>
      </c>
    </row>
    <row r="896" customFormat="false" ht="15" hidden="false" customHeight="false" outlineLevel="0" collapsed="false">
      <c r="A896" s="6" t="n">
        <v>45680</v>
      </c>
      <c r="B896" s="7" t="n">
        <v>0.848115622974933</v>
      </c>
      <c r="C896" s="7" t="n">
        <v>0.863160301737539</v>
      </c>
      <c r="D896" s="7" t="n">
        <v>0.845778090638758</v>
      </c>
      <c r="E896" s="7" t="n">
        <v>0.851001723419557</v>
      </c>
      <c r="F896" s="8" t="n">
        <f aca="true">IF(ROW()-2&gt;=Inputs!$B$4,AVERAGE(OFFSET(E896,1-Inputs!$B$4,0,Inputs!$B$4,1)),"")</f>
        <v>0.849506515013128</v>
      </c>
      <c r="G896" s="8" t="n">
        <f aca="true">IF(ROW()-2&gt;=Inputs!$B$5,AVERAGE(OFFSET(E896,1-Inputs!$B$5,0,Inputs!$B$5,1)),"")</f>
        <v>0.850604433069129</v>
      </c>
      <c r="H896" s="8" t="n">
        <f aca="false">MAX(C896-D896,ABS(C896-E895),ABS(D896-E895))</f>
        <v>0.0173822110987816</v>
      </c>
      <c r="I896" s="8" t="n">
        <f aca="true">IF(ROW()-2&lt;14,"",IF(ROW()-2=14,AVERAGE(OFFSET(H896,-13,0,14,1)),(I895*13+H896)/14))</f>
        <v>0.00938924240920716</v>
      </c>
      <c r="J896" s="9" t="b">
        <f aca="false">IF(AND(ISNUMBER(F896),ISNUMBER(G896),ISNUMBER(F895),ISNUMBER(G895)),AND(F896&gt;G896,F895&lt;=G895),FALSE())</f>
        <v>0</v>
      </c>
      <c r="K896" s="9" t="b">
        <f aca="false">IF(AND(ISNUMBER(F896),ISNUMBER(G896),ISNUMBER(F895),ISNUMBER(G895)),AND(F896&lt;G896,F895&gt;=G895),FALSE())</f>
        <v>0</v>
      </c>
      <c r="L896" s="8" t="n">
        <f aca="false">IF(ISNUMBER(I896),E896-Inputs!$B$6*I896,"")</f>
        <v>0.832223238601143</v>
      </c>
      <c r="M896" s="9" t="b">
        <f aca="false">AND(Y895&gt;0,Z895)</f>
        <v>0</v>
      </c>
      <c r="N896" s="8" t="n">
        <f aca="false">B896*(1-Inputs!$B$12)</f>
        <v>0.847945999850338</v>
      </c>
      <c r="O896" s="10" t="n">
        <f aca="false">IF(M896,Y895*(N896-AB895)-Inputs!$B$9-Y895*AD895*Inputs!$B$13*(A896-AC895),0)</f>
        <v>0</v>
      </c>
      <c r="P896" s="10" t="n">
        <f aca="false">X895+O896</f>
        <v>983.862971216719</v>
      </c>
      <c r="Q896" s="9" t="b">
        <f aca="false">AND(IF(M896,0,Y895)=0,AA895,IF(ISNUMBER(AE895),B896&gt;AE895,FALSE()))</f>
        <v>0</v>
      </c>
      <c r="R896" s="8" t="n">
        <f aca="false">B896*(1+Inputs!$B$12)</f>
        <v>0.848285246099528</v>
      </c>
      <c r="S896" s="11" t="n">
        <f aca="false">IF(Q896,MIN(P896*Inputs!$B$3/(R896-AE895),P896*Inputs!$B$11/R896),0)</f>
        <v>0</v>
      </c>
      <c r="T896" s="11" t="n">
        <f aca="false">IF(Q896,S896,IF(M896,0,Y895))</f>
        <v>0</v>
      </c>
      <c r="U896" s="8" t="n">
        <f aca="false">IF(Q896,AE895,AF895)</f>
        <v>0.84586578756897</v>
      </c>
      <c r="V896" s="9" t="b">
        <f aca="false">AND(T896&gt;0,D896&lt;=U896)</f>
        <v>0</v>
      </c>
      <c r="W896" s="10" t="n">
        <f aca="false">IF(V896,T896*(AK896-AB896)-Inputs!$B$9-T896*AD896*Inputs!$B$13*(A896-AC896),0)</f>
        <v>0</v>
      </c>
      <c r="X896" s="10" t="n">
        <f aca="false">P896-IF(Q896,Inputs!$B$9,0)+W896</f>
        <v>983.862971216719</v>
      </c>
      <c r="Y896" s="11" t="n">
        <f aca="false">IF(V896,0,T896)</f>
        <v>0</v>
      </c>
      <c r="Z896" s="9" t="b">
        <f aca="false">AND(Y896&gt;0,K896)</f>
        <v>0</v>
      </c>
      <c r="AA896" s="9" t="b">
        <f aca="false">AND(Y896=0,J896,ISNUMBER(L896))</f>
        <v>0</v>
      </c>
      <c r="AB896" s="8" t="n">
        <f aca="false">IF(Q896,R896,AB895)</f>
        <v>0.863339701115261</v>
      </c>
      <c r="AC896" s="12" t="n">
        <f aca="false">IF(Q896,A896,AC895)</f>
        <v>45628</v>
      </c>
      <c r="AD896" s="8" t="n">
        <f aca="false">IF(Q896,B896,AD895)</f>
        <v>0.86316706770172</v>
      </c>
      <c r="AE896" s="8" t="str">
        <f aca="false">IF(AA896,L896,"")</f>
        <v/>
      </c>
      <c r="AF896" s="8" t="n">
        <f aca="false">U896</f>
        <v>0.84586578756897</v>
      </c>
      <c r="AG896" s="2" t="n">
        <f aca="false">AG895+IF(Q896,1,0)</f>
        <v>8</v>
      </c>
      <c r="AH896" s="2" t="n">
        <f aca="false">AG895</f>
        <v>8</v>
      </c>
      <c r="AI896" s="10" t="n">
        <f aca="false">X896+Y896*(E896-AB896)-Y896*AD896*Inputs!$B$13*(A896-AC896)</f>
        <v>983.862971216719</v>
      </c>
      <c r="AJ896" s="10" t="n">
        <v>0</v>
      </c>
      <c r="AK896" s="8" t="n">
        <f aca="false">IF(AND(B896&lt;=U896,NOT(Q896)),B896,U896)*(1-Inputs!$B$12)</f>
        <v>0.845696614411456</v>
      </c>
    </row>
    <row r="897" customFormat="false" ht="15" hidden="false" customHeight="false" outlineLevel="0" collapsed="false">
      <c r="A897" s="6" t="n">
        <v>45681</v>
      </c>
      <c r="B897" s="7" t="n">
        <v>0.851001723419557</v>
      </c>
      <c r="C897" s="7" t="n">
        <v>0.852213404379436</v>
      </c>
      <c r="D897" s="7" t="n">
        <v>0.846528418226087</v>
      </c>
      <c r="E897" s="7" t="n">
        <v>0.84742990822409</v>
      </c>
      <c r="F897" s="8" t="n">
        <f aca="true">IF(ROW()-2&gt;=Inputs!$B$4,AVERAGE(OFFSET(E897,1-Inputs!$B$4,0,Inputs!$B$4,1)),"")</f>
        <v>0.849642946692133</v>
      </c>
      <c r="G897" s="8" t="n">
        <f aca="true">IF(ROW()-2&gt;=Inputs!$B$5,AVERAGE(OFFSET(E897,1-Inputs!$B$5,0,Inputs!$B$5,1)),"")</f>
        <v>0.85047710736323</v>
      </c>
      <c r="H897" s="8" t="n">
        <f aca="false">MAX(C897-D897,ABS(C897-E896),ABS(D897-E896))</f>
        <v>0.00568498615334856</v>
      </c>
      <c r="I897" s="8" t="n">
        <f aca="true">IF(ROW()-2&lt;14,"",IF(ROW()-2=14,AVERAGE(OFFSET(H897,-13,0,14,1)),(I896*13+H897)/14))</f>
        <v>0.00912465267664583</v>
      </c>
      <c r="J897" s="9" t="b">
        <f aca="false">IF(AND(ISNUMBER(F897),ISNUMBER(G897),ISNUMBER(F896),ISNUMBER(G896)),AND(F897&gt;G897,F896&lt;=G896),FALSE())</f>
        <v>0</v>
      </c>
      <c r="K897" s="9" t="b">
        <f aca="false">IF(AND(ISNUMBER(F897),ISNUMBER(G897),ISNUMBER(F896),ISNUMBER(G896)),AND(F897&lt;G897,F896&gt;=G896),FALSE())</f>
        <v>0</v>
      </c>
      <c r="L897" s="8" t="n">
        <f aca="false">IF(ISNUMBER(I897),E897-Inputs!$B$6*I897,"")</f>
        <v>0.829180602870798</v>
      </c>
      <c r="M897" s="9" t="b">
        <f aca="false">AND(Y896&gt;0,Z896)</f>
        <v>0</v>
      </c>
      <c r="N897" s="8" t="n">
        <f aca="false">B897*(1-Inputs!$B$12)</f>
        <v>0.850831523074873</v>
      </c>
      <c r="O897" s="10" t="n">
        <f aca="false">IF(M897,Y896*(N897-AB896)-Inputs!$B$9-Y896*AD896*Inputs!$B$13*(A897-AC896),0)</f>
        <v>0</v>
      </c>
      <c r="P897" s="10" t="n">
        <f aca="false">X896+O897</f>
        <v>983.862971216719</v>
      </c>
      <c r="Q897" s="9" t="b">
        <f aca="false">AND(IF(M897,0,Y896)=0,AA896,IF(ISNUMBER(AE896),B897&gt;AE896,FALSE()))</f>
        <v>0</v>
      </c>
      <c r="R897" s="8" t="n">
        <f aca="false">B897*(1+Inputs!$B$12)</f>
        <v>0.851171923764241</v>
      </c>
      <c r="S897" s="11" t="n">
        <f aca="false">IF(Q897,MIN(P897*Inputs!$B$3/(R897-AE896),P897*Inputs!$B$11/R897),0)</f>
        <v>0</v>
      </c>
      <c r="T897" s="11" t="n">
        <f aca="false">IF(Q897,S897,IF(M897,0,Y896))</f>
        <v>0</v>
      </c>
      <c r="U897" s="8" t="n">
        <f aca="false">IF(Q897,AE896,AF896)</f>
        <v>0.84586578756897</v>
      </c>
      <c r="V897" s="9" t="b">
        <f aca="false">AND(T897&gt;0,D897&lt;=U897)</f>
        <v>0</v>
      </c>
      <c r="W897" s="10" t="n">
        <f aca="false">IF(V897,T897*(AK897-AB897)-Inputs!$B$9-T897*AD897*Inputs!$B$13*(A897-AC897),0)</f>
        <v>0</v>
      </c>
      <c r="X897" s="10" t="n">
        <f aca="false">P897-IF(Q897,Inputs!$B$9,0)+W897</f>
        <v>983.862971216719</v>
      </c>
      <c r="Y897" s="11" t="n">
        <f aca="false">IF(V897,0,T897)</f>
        <v>0</v>
      </c>
      <c r="Z897" s="9" t="b">
        <f aca="false">AND(Y897&gt;0,K897)</f>
        <v>0</v>
      </c>
      <c r="AA897" s="9" t="b">
        <f aca="false">AND(Y897=0,J897,ISNUMBER(L897))</f>
        <v>0</v>
      </c>
      <c r="AB897" s="8" t="n">
        <f aca="false">IF(Q897,R897,AB896)</f>
        <v>0.863339701115261</v>
      </c>
      <c r="AC897" s="12" t="n">
        <f aca="false">IF(Q897,A897,AC896)</f>
        <v>45628</v>
      </c>
      <c r="AD897" s="8" t="n">
        <f aca="false">IF(Q897,B897,AD896)</f>
        <v>0.86316706770172</v>
      </c>
      <c r="AE897" s="8" t="str">
        <f aca="false">IF(AA897,L897,"")</f>
        <v/>
      </c>
      <c r="AF897" s="8" t="n">
        <f aca="false">U897</f>
        <v>0.84586578756897</v>
      </c>
      <c r="AG897" s="2" t="n">
        <f aca="false">AG896+IF(Q897,1,0)</f>
        <v>8</v>
      </c>
      <c r="AH897" s="2" t="n">
        <f aca="false">AG896</f>
        <v>8</v>
      </c>
      <c r="AI897" s="10" t="n">
        <f aca="false">X897+Y897*(E897-AB897)-Y897*AD897*Inputs!$B$13*(A897-AC897)</f>
        <v>983.862971216719</v>
      </c>
      <c r="AJ897" s="10" t="n">
        <v>0</v>
      </c>
      <c r="AK897" s="8" t="n">
        <f aca="false">IF(AND(B897&lt;=U897,NOT(Q897)),B897,U897)*(1-Inputs!$B$12)</f>
        <v>0.845696614411456</v>
      </c>
    </row>
    <row r="898" customFormat="false" ht="15" hidden="false" customHeight="false" outlineLevel="0" collapsed="false">
      <c r="A898" s="6" t="n">
        <v>45682</v>
      </c>
      <c r="B898" s="7" t="n">
        <v>0.84742990822409</v>
      </c>
      <c r="C898" s="7" t="n">
        <v>0.851293386578808</v>
      </c>
      <c r="D898" s="7" t="n">
        <v>0.841267692850293</v>
      </c>
      <c r="E898" s="7" t="n">
        <v>0.843579047972161</v>
      </c>
      <c r="F898" s="8" t="n">
        <f aca="true">IF(ROW()-2&gt;=Inputs!$B$4,AVERAGE(OFFSET(E898,1-Inputs!$B$4,0,Inputs!$B$4,1)),"")</f>
        <v>0.849454807232406</v>
      </c>
      <c r="G898" s="8" t="n">
        <f aca="true">IF(ROW()-2&gt;=Inputs!$B$5,AVERAGE(OFFSET(E898,1-Inputs!$B$5,0,Inputs!$B$5,1)),"")</f>
        <v>0.850314228977266</v>
      </c>
      <c r="H898" s="8" t="n">
        <f aca="false">MAX(C898-D898,ABS(C898-E897),ABS(D898-E897))</f>
        <v>0.0100256937285155</v>
      </c>
      <c r="I898" s="8" t="n">
        <f aca="true">IF(ROW()-2&lt;14,"",IF(ROW()-2=14,AVERAGE(OFFSET(H898,-13,0,14,1)),(I897*13+H898)/14))</f>
        <v>0.00918901275177938</v>
      </c>
      <c r="J898" s="9" t="b">
        <f aca="false">IF(AND(ISNUMBER(F898),ISNUMBER(G898),ISNUMBER(F897),ISNUMBER(G897)),AND(F898&gt;G898,F897&lt;=G897),FALSE())</f>
        <v>0</v>
      </c>
      <c r="K898" s="9" t="b">
        <f aca="false">IF(AND(ISNUMBER(F898),ISNUMBER(G898),ISNUMBER(F897),ISNUMBER(G897)),AND(F898&lt;G898,F897&gt;=G897),FALSE())</f>
        <v>0</v>
      </c>
      <c r="L898" s="8" t="n">
        <f aca="false">IF(ISNUMBER(I898),E898-Inputs!$B$6*I898,"")</f>
        <v>0.825201022468602</v>
      </c>
      <c r="M898" s="9" t="b">
        <f aca="false">AND(Y897&gt;0,Z897)</f>
        <v>0</v>
      </c>
      <c r="N898" s="8" t="n">
        <f aca="false">B898*(1-Inputs!$B$12)</f>
        <v>0.847260422242445</v>
      </c>
      <c r="O898" s="10" t="n">
        <f aca="false">IF(M898,Y897*(N898-AB897)-Inputs!$B$9-Y897*AD897*Inputs!$B$13*(A898-AC897),0)</f>
        <v>0</v>
      </c>
      <c r="P898" s="10" t="n">
        <f aca="false">X897+O898</f>
        <v>983.862971216719</v>
      </c>
      <c r="Q898" s="9" t="b">
        <f aca="false">AND(IF(M898,0,Y897)=0,AA897,IF(ISNUMBER(AE897),B898&gt;AE897,FALSE()))</f>
        <v>0</v>
      </c>
      <c r="R898" s="8" t="n">
        <f aca="false">B898*(1+Inputs!$B$12)</f>
        <v>0.847599394205734</v>
      </c>
      <c r="S898" s="11" t="n">
        <f aca="false">IF(Q898,MIN(P898*Inputs!$B$3/(R898-AE897),P898*Inputs!$B$11/R898),0)</f>
        <v>0</v>
      </c>
      <c r="T898" s="11" t="n">
        <f aca="false">IF(Q898,S898,IF(M898,0,Y897))</f>
        <v>0</v>
      </c>
      <c r="U898" s="8" t="n">
        <f aca="false">IF(Q898,AE897,AF897)</f>
        <v>0.84586578756897</v>
      </c>
      <c r="V898" s="9" t="b">
        <f aca="false">AND(T898&gt;0,D898&lt;=U898)</f>
        <v>0</v>
      </c>
      <c r="W898" s="10" t="n">
        <f aca="false">IF(V898,T898*(AK898-AB898)-Inputs!$B$9-T898*AD898*Inputs!$B$13*(A898-AC898),0)</f>
        <v>0</v>
      </c>
      <c r="X898" s="10" t="n">
        <f aca="false">P898-IF(Q898,Inputs!$B$9,0)+W898</f>
        <v>983.862971216719</v>
      </c>
      <c r="Y898" s="11" t="n">
        <f aca="false">IF(V898,0,T898)</f>
        <v>0</v>
      </c>
      <c r="Z898" s="9" t="b">
        <f aca="false">AND(Y898&gt;0,K898)</f>
        <v>0</v>
      </c>
      <c r="AA898" s="9" t="b">
        <f aca="false">AND(Y898=0,J898,ISNUMBER(L898))</f>
        <v>0</v>
      </c>
      <c r="AB898" s="8" t="n">
        <f aca="false">IF(Q898,R898,AB897)</f>
        <v>0.863339701115261</v>
      </c>
      <c r="AC898" s="12" t="n">
        <f aca="false">IF(Q898,A898,AC897)</f>
        <v>45628</v>
      </c>
      <c r="AD898" s="8" t="n">
        <f aca="false">IF(Q898,B898,AD897)</f>
        <v>0.86316706770172</v>
      </c>
      <c r="AE898" s="8" t="str">
        <f aca="false">IF(AA898,L898,"")</f>
        <v/>
      </c>
      <c r="AF898" s="8" t="n">
        <f aca="false">U898</f>
        <v>0.84586578756897</v>
      </c>
      <c r="AG898" s="2" t="n">
        <f aca="false">AG897+IF(Q898,1,0)</f>
        <v>8</v>
      </c>
      <c r="AH898" s="2" t="n">
        <f aca="false">AG897</f>
        <v>8</v>
      </c>
      <c r="AI898" s="10" t="n">
        <f aca="false">X898+Y898*(E898-AB898)-Y898*AD898*Inputs!$B$13*(A898-AC898)</f>
        <v>983.862971216719</v>
      </c>
      <c r="AJ898" s="10" t="n">
        <v>0</v>
      </c>
      <c r="AK898" s="8" t="n">
        <f aca="false">IF(AND(B898&lt;=U898,NOT(Q898)),B898,U898)*(1-Inputs!$B$12)</f>
        <v>0.845696614411456</v>
      </c>
    </row>
    <row r="899" customFormat="false" ht="15" hidden="false" customHeight="false" outlineLevel="0" collapsed="false">
      <c r="A899" s="6" t="n">
        <v>45683</v>
      </c>
      <c r="B899" s="7" t="n">
        <v>0.843579047972161</v>
      </c>
      <c r="C899" s="7" t="n">
        <v>0.844748774335906</v>
      </c>
      <c r="D899" s="7" t="n">
        <v>0.832479957154207</v>
      </c>
      <c r="E899" s="7" t="n">
        <v>0.8375404341248</v>
      </c>
      <c r="F899" s="8" t="n">
        <f aca="true">IF(ROW()-2&gt;=Inputs!$B$4,AVERAGE(OFFSET(E899,1-Inputs!$B$4,0,Inputs!$B$4,1)),"")</f>
        <v>0.848635141963366</v>
      </c>
      <c r="G899" s="8" t="n">
        <f aca="true">IF(ROW()-2&gt;=Inputs!$B$5,AVERAGE(OFFSET(E899,1-Inputs!$B$5,0,Inputs!$B$5,1)),"")</f>
        <v>0.850003167397769</v>
      </c>
      <c r="H899" s="8" t="n">
        <f aca="false">MAX(C899-D899,ABS(C899-E898),ABS(D899-E898))</f>
        <v>0.0122688171816983</v>
      </c>
      <c r="I899" s="8" t="n">
        <f aca="true">IF(ROW()-2&lt;14,"",IF(ROW()-2=14,AVERAGE(OFFSET(H899,-13,0,14,1)),(I898*13+H899)/14))</f>
        <v>0.00940899878248787</v>
      </c>
      <c r="J899" s="9" t="b">
        <f aca="false">IF(AND(ISNUMBER(F899),ISNUMBER(G899),ISNUMBER(F898),ISNUMBER(G898)),AND(F899&gt;G899,F898&lt;=G898),FALSE())</f>
        <v>0</v>
      </c>
      <c r="K899" s="9" t="b">
        <f aca="false">IF(AND(ISNUMBER(F899),ISNUMBER(G899),ISNUMBER(F898),ISNUMBER(G898)),AND(F899&lt;G899,F898&gt;=G898),FALSE())</f>
        <v>0</v>
      </c>
      <c r="L899" s="8" t="n">
        <f aca="false">IF(ISNUMBER(I899),E899-Inputs!$B$6*I899,"")</f>
        <v>0.818722436559824</v>
      </c>
      <c r="M899" s="9" t="b">
        <f aca="false">AND(Y898&gt;0,Z898)</f>
        <v>0</v>
      </c>
      <c r="N899" s="8" t="n">
        <f aca="false">B899*(1-Inputs!$B$12)</f>
        <v>0.843410332162566</v>
      </c>
      <c r="O899" s="10" t="n">
        <f aca="false">IF(M899,Y898*(N899-AB898)-Inputs!$B$9-Y898*AD898*Inputs!$B$13*(A899-AC898),0)</f>
        <v>0</v>
      </c>
      <c r="P899" s="10" t="n">
        <f aca="false">X898+O899</f>
        <v>983.862971216719</v>
      </c>
      <c r="Q899" s="9" t="b">
        <f aca="false">AND(IF(M899,0,Y898)=0,AA898,IF(ISNUMBER(AE898),B899&gt;AE898,FALSE()))</f>
        <v>0</v>
      </c>
      <c r="R899" s="8" t="n">
        <f aca="false">B899*(1+Inputs!$B$12)</f>
        <v>0.843747763781755</v>
      </c>
      <c r="S899" s="11" t="n">
        <f aca="false">IF(Q899,MIN(P899*Inputs!$B$3/(R899-AE898),P899*Inputs!$B$11/R899),0)</f>
        <v>0</v>
      </c>
      <c r="T899" s="11" t="n">
        <f aca="false">IF(Q899,S899,IF(M899,0,Y898))</f>
        <v>0</v>
      </c>
      <c r="U899" s="8" t="n">
        <f aca="false">IF(Q899,AE898,AF898)</f>
        <v>0.84586578756897</v>
      </c>
      <c r="V899" s="9" t="b">
        <f aca="false">AND(T899&gt;0,D899&lt;=U899)</f>
        <v>0</v>
      </c>
      <c r="W899" s="10" t="n">
        <f aca="false">IF(V899,T899*(AK899-AB899)-Inputs!$B$9-T899*AD899*Inputs!$B$13*(A899-AC899),0)</f>
        <v>0</v>
      </c>
      <c r="X899" s="10" t="n">
        <f aca="false">P899-IF(Q899,Inputs!$B$9,0)+W899</f>
        <v>983.862971216719</v>
      </c>
      <c r="Y899" s="11" t="n">
        <f aca="false">IF(V899,0,T899)</f>
        <v>0</v>
      </c>
      <c r="Z899" s="9" t="b">
        <f aca="false">AND(Y899&gt;0,K899)</f>
        <v>0</v>
      </c>
      <c r="AA899" s="9" t="b">
        <f aca="false">AND(Y899=0,J899,ISNUMBER(L899))</f>
        <v>0</v>
      </c>
      <c r="AB899" s="8" t="n">
        <f aca="false">IF(Q899,R899,AB898)</f>
        <v>0.863339701115261</v>
      </c>
      <c r="AC899" s="12" t="n">
        <f aca="false">IF(Q899,A899,AC898)</f>
        <v>45628</v>
      </c>
      <c r="AD899" s="8" t="n">
        <f aca="false">IF(Q899,B899,AD898)</f>
        <v>0.86316706770172</v>
      </c>
      <c r="AE899" s="8" t="str">
        <f aca="false">IF(AA899,L899,"")</f>
        <v/>
      </c>
      <c r="AF899" s="8" t="n">
        <f aca="false">U899</f>
        <v>0.84586578756897</v>
      </c>
      <c r="AG899" s="2" t="n">
        <f aca="false">AG898+IF(Q899,1,0)</f>
        <v>8</v>
      </c>
      <c r="AH899" s="2" t="n">
        <f aca="false">AG898</f>
        <v>8</v>
      </c>
      <c r="AI899" s="10" t="n">
        <f aca="false">X899+Y899*(E899-AB899)-Y899*AD899*Inputs!$B$13*(A899-AC899)</f>
        <v>983.862971216719</v>
      </c>
      <c r="AJ899" s="10" t="n">
        <v>0</v>
      </c>
      <c r="AK899" s="8" t="n">
        <f aca="false">IF(AND(B899&lt;=U899,NOT(Q899)),B899,U899)*(1-Inputs!$B$12)</f>
        <v>0.843410332162566</v>
      </c>
    </row>
    <row r="900" customFormat="false" ht="15" hidden="false" customHeight="false" outlineLevel="0" collapsed="false">
      <c r="A900" s="6" t="n">
        <v>45684</v>
      </c>
      <c r="B900" s="7" t="n">
        <v>0.8375404341248</v>
      </c>
      <c r="C900" s="7" t="n">
        <v>0.842017248396195</v>
      </c>
      <c r="D900" s="7" t="n">
        <v>0.827830963068513</v>
      </c>
      <c r="E900" s="7" t="n">
        <v>0.830035166482794</v>
      </c>
      <c r="F900" s="8" t="n">
        <f aca="true">IF(ROW()-2&gt;=Inputs!$B$4,AVERAGE(OFFSET(E900,1-Inputs!$B$4,0,Inputs!$B$4,1)),"")</f>
        <v>0.847511112724754</v>
      </c>
      <c r="G900" s="8" t="n">
        <f aca="true">IF(ROW()-2&gt;=Inputs!$B$5,AVERAGE(OFFSET(E900,1-Inputs!$B$5,0,Inputs!$B$5,1)),"")</f>
        <v>0.849478501977709</v>
      </c>
      <c r="H900" s="8" t="n">
        <f aca="false">MAX(C900-D900,ABS(C900-E899),ABS(D900-E899))</f>
        <v>0.0141862853276822</v>
      </c>
      <c r="I900" s="8" t="n">
        <f aca="true">IF(ROW()-2&lt;14,"",IF(ROW()-2=14,AVERAGE(OFFSET(H900,-13,0,14,1)),(I899*13+H900)/14))</f>
        <v>0.00975023353571603</v>
      </c>
      <c r="J900" s="9" t="b">
        <f aca="false">IF(AND(ISNUMBER(F900),ISNUMBER(G900),ISNUMBER(F899),ISNUMBER(G899)),AND(F900&gt;G900,F899&lt;=G899),FALSE())</f>
        <v>0</v>
      </c>
      <c r="K900" s="9" t="b">
        <f aca="false">IF(AND(ISNUMBER(F900),ISNUMBER(G900),ISNUMBER(F899),ISNUMBER(G899)),AND(F900&lt;G900,F899&gt;=G899),FALSE())</f>
        <v>0</v>
      </c>
      <c r="L900" s="8" t="n">
        <f aca="false">IF(ISNUMBER(I900),E900-Inputs!$B$6*I900,"")</f>
        <v>0.810534699411362</v>
      </c>
      <c r="M900" s="9" t="b">
        <f aca="false">AND(Y899&gt;0,Z899)</f>
        <v>0</v>
      </c>
      <c r="N900" s="8" t="n">
        <f aca="false">B900*(1-Inputs!$B$12)</f>
        <v>0.837372926037975</v>
      </c>
      <c r="O900" s="10" t="n">
        <f aca="false">IF(M900,Y899*(N900-AB899)-Inputs!$B$9-Y899*AD899*Inputs!$B$13*(A900-AC899),0)</f>
        <v>0</v>
      </c>
      <c r="P900" s="10" t="n">
        <f aca="false">X899+O900</f>
        <v>983.862971216719</v>
      </c>
      <c r="Q900" s="9" t="b">
        <f aca="false">AND(IF(M900,0,Y899)=0,AA899,IF(ISNUMBER(AE899),B900&gt;AE899,FALSE()))</f>
        <v>0</v>
      </c>
      <c r="R900" s="8" t="n">
        <f aca="false">B900*(1+Inputs!$B$12)</f>
        <v>0.837707942211625</v>
      </c>
      <c r="S900" s="11" t="n">
        <f aca="false">IF(Q900,MIN(P900*Inputs!$B$3/(R900-AE899),P900*Inputs!$B$11/R900),0)</f>
        <v>0</v>
      </c>
      <c r="T900" s="11" t="n">
        <f aca="false">IF(Q900,S900,IF(M900,0,Y899))</f>
        <v>0</v>
      </c>
      <c r="U900" s="8" t="n">
        <f aca="false">IF(Q900,AE899,AF899)</f>
        <v>0.84586578756897</v>
      </c>
      <c r="V900" s="9" t="b">
        <f aca="false">AND(T900&gt;0,D900&lt;=U900)</f>
        <v>0</v>
      </c>
      <c r="W900" s="10" t="n">
        <f aca="false">IF(V900,T900*(AK900-AB900)-Inputs!$B$9-T900*AD900*Inputs!$B$13*(A900-AC900),0)</f>
        <v>0</v>
      </c>
      <c r="X900" s="10" t="n">
        <f aca="false">P900-IF(Q900,Inputs!$B$9,0)+W900</f>
        <v>983.862971216719</v>
      </c>
      <c r="Y900" s="11" t="n">
        <f aca="false">IF(V900,0,T900)</f>
        <v>0</v>
      </c>
      <c r="Z900" s="9" t="b">
        <f aca="false">AND(Y900&gt;0,K900)</f>
        <v>0</v>
      </c>
      <c r="AA900" s="9" t="b">
        <f aca="false">AND(Y900=0,J900,ISNUMBER(L900))</f>
        <v>0</v>
      </c>
      <c r="AB900" s="8" t="n">
        <f aca="false">IF(Q900,R900,AB899)</f>
        <v>0.863339701115261</v>
      </c>
      <c r="AC900" s="12" t="n">
        <f aca="false">IF(Q900,A900,AC899)</f>
        <v>45628</v>
      </c>
      <c r="AD900" s="8" t="n">
        <f aca="false">IF(Q900,B900,AD899)</f>
        <v>0.86316706770172</v>
      </c>
      <c r="AE900" s="8" t="str">
        <f aca="false">IF(AA900,L900,"")</f>
        <v/>
      </c>
      <c r="AF900" s="8" t="n">
        <f aca="false">U900</f>
        <v>0.84586578756897</v>
      </c>
      <c r="AG900" s="2" t="n">
        <f aca="false">AG899+IF(Q900,1,0)</f>
        <v>8</v>
      </c>
      <c r="AH900" s="2" t="n">
        <f aca="false">AG899</f>
        <v>8</v>
      </c>
      <c r="AI900" s="10" t="n">
        <f aca="false">X900+Y900*(E900-AB900)-Y900*AD900*Inputs!$B$13*(A900-AC900)</f>
        <v>983.862971216719</v>
      </c>
      <c r="AJ900" s="10" t="n">
        <v>0</v>
      </c>
      <c r="AK900" s="8" t="n">
        <f aca="false">IF(AND(B900&lt;=U900,NOT(Q900)),B900,U900)*(1-Inputs!$B$12)</f>
        <v>0.837372926037975</v>
      </c>
    </row>
    <row r="901" customFormat="false" ht="15" hidden="false" customHeight="false" outlineLevel="0" collapsed="false">
      <c r="A901" s="6" t="n">
        <v>45685</v>
      </c>
      <c r="B901" s="7" t="n">
        <v>0.830035166482794</v>
      </c>
      <c r="C901" s="7" t="n">
        <v>0.838214603931395</v>
      </c>
      <c r="D901" s="7" t="n">
        <v>0.828712356263376</v>
      </c>
      <c r="E901" s="7" t="n">
        <v>0.835149941584022</v>
      </c>
      <c r="F901" s="8" t="n">
        <f aca="true">IF(ROW()-2&gt;=Inputs!$B$4,AVERAGE(OFFSET(E901,1-Inputs!$B$4,0,Inputs!$B$4,1)),"")</f>
        <v>0.846994378501467</v>
      </c>
      <c r="G901" s="8" t="n">
        <f aca="true">IF(ROW()-2&gt;=Inputs!$B$5,AVERAGE(OFFSET(E901,1-Inputs!$B$5,0,Inputs!$B$5,1)),"")</f>
        <v>0.849068346499459</v>
      </c>
      <c r="H901" s="8" t="n">
        <f aca="false">MAX(C901-D901,ABS(C901-E900),ABS(D901-E900))</f>
        <v>0.00950224766801922</v>
      </c>
      <c r="I901" s="8" t="n">
        <f aca="true">IF(ROW()-2&lt;14,"",IF(ROW()-2=14,AVERAGE(OFFSET(H901,-13,0,14,1)),(I900*13+H901)/14))</f>
        <v>0.00973252025945197</v>
      </c>
      <c r="J901" s="9" t="b">
        <f aca="false">IF(AND(ISNUMBER(F901),ISNUMBER(G901),ISNUMBER(F900),ISNUMBER(G900)),AND(F901&gt;G901,F900&lt;=G900),FALSE())</f>
        <v>0</v>
      </c>
      <c r="K901" s="9" t="b">
        <f aca="false">IF(AND(ISNUMBER(F901),ISNUMBER(G901),ISNUMBER(F900),ISNUMBER(G900)),AND(F901&lt;G901,F900&gt;=G900),FALSE())</f>
        <v>0</v>
      </c>
      <c r="L901" s="8" t="n">
        <f aca="false">IF(ISNUMBER(I901),E901-Inputs!$B$6*I901,"")</f>
        <v>0.815684901065118</v>
      </c>
      <c r="M901" s="9" t="b">
        <f aca="false">AND(Y900&gt;0,Z900)</f>
        <v>0</v>
      </c>
      <c r="N901" s="8" t="n">
        <f aca="false">B901*(1-Inputs!$B$12)</f>
        <v>0.829869159449498</v>
      </c>
      <c r="O901" s="10" t="n">
        <f aca="false">IF(M901,Y900*(N901-AB900)-Inputs!$B$9-Y900*AD900*Inputs!$B$13*(A901-AC900),0)</f>
        <v>0</v>
      </c>
      <c r="P901" s="10" t="n">
        <f aca="false">X900+O901</f>
        <v>983.862971216719</v>
      </c>
      <c r="Q901" s="9" t="b">
        <f aca="false">AND(IF(M901,0,Y900)=0,AA900,IF(ISNUMBER(AE900),B901&gt;AE900,FALSE()))</f>
        <v>0</v>
      </c>
      <c r="R901" s="8" t="n">
        <f aca="false">B901*(1+Inputs!$B$12)</f>
        <v>0.830201173516091</v>
      </c>
      <c r="S901" s="11" t="n">
        <f aca="false">IF(Q901,MIN(P901*Inputs!$B$3/(R901-AE900),P901*Inputs!$B$11/R901),0)</f>
        <v>0</v>
      </c>
      <c r="T901" s="11" t="n">
        <f aca="false">IF(Q901,S901,IF(M901,0,Y900))</f>
        <v>0</v>
      </c>
      <c r="U901" s="8" t="n">
        <f aca="false">IF(Q901,AE900,AF900)</f>
        <v>0.84586578756897</v>
      </c>
      <c r="V901" s="9" t="b">
        <f aca="false">AND(T901&gt;0,D901&lt;=U901)</f>
        <v>0</v>
      </c>
      <c r="W901" s="10" t="n">
        <f aca="false">IF(V901,T901*(AK901-AB901)-Inputs!$B$9-T901*AD901*Inputs!$B$13*(A901-AC901),0)</f>
        <v>0</v>
      </c>
      <c r="X901" s="10" t="n">
        <f aca="false">P901-IF(Q901,Inputs!$B$9,0)+W901</f>
        <v>983.862971216719</v>
      </c>
      <c r="Y901" s="11" t="n">
        <f aca="false">IF(V901,0,T901)</f>
        <v>0</v>
      </c>
      <c r="Z901" s="9" t="b">
        <f aca="false">AND(Y901&gt;0,K901)</f>
        <v>0</v>
      </c>
      <c r="AA901" s="9" t="b">
        <f aca="false">AND(Y901=0,J901,ISNUMBER(L901))</f>
        <v>0</v>
      </c>
      <c r="AB901" s="8" t="n">
        <f aca="false">IF(Q901,R901,AB900)</f>
        <v>0.863339701115261</v>
      </c>
      <c r="AC901" s="12" t="n">
        <f aca="false">IF(Q901,A901,AC900)</f>
        <v>45628</v>
      </c>
      <c r="AD901" s="8" t="n">
        <f aca="false">IF(Q901,B901,AD900)</f>
        <v>0.86316706770172</v>
      </c>
      <c r="AE901" s="8" t="str">
        <f aca="false">IF(AA901,L901,"")</f>
        <v/>
      </c>
      <c r="AF901" s="8" t="n">
        <f aca="false">U901</f>
        <v>0.84586578756897</v>
      </c>
      <c r="AG901" s="2" t="n">
        <f aca="false">AG900+IF(Q901,1,0)</f>
        <v>8</v>
      </c>
      <c r="AH901" s="2" t="n">
        <f aca="false">AG900</f>
        <v>8</v>
      </c>
      <c r="AI901" s="10" t="n">
        <f aca="false">X901+Y901*(E901-AB901)-Y901*AD901*Inputs!$B$13*(A901-AC901)</f>
        <v>983.862971216719</v>
      </c>
      <c r="AJ901" s="10" t="n">
        <v>0</v>
      </c>
      <c r="AK901" s="8" t="n">
        <f aca="false">IF(AND(B901&lt;=U901,NOT(Q901)),B901,U901)*(1-Inputs!$B$12)</f>
        <v>0.829869159449498</v>
      </c>
    </row>
    <row r="902" customFormat="false" ht="15" hidden="false" customHeight="false" outlineLevel="0" collapsed="false">
      <c r="A902" s="6" t="n">
        <v>45686</v>
      </c>
      <c r="B902" s="7" t="n">
        <v>0.835149941584022</v>
      </c>
      <c r="C902" s="7" t="n">
        <v>0.835456178434415</v>
      </c>
      <c r="D902" s="7" t="n">
        <v>0.831211209273704</v>
      </c>
      <c r="E902" s="7" t="n">
        <v>0.834709908633266</v>
      </c>
      <c r="F902" s="8" t="n">
        <f aca="true">IF(ROW()-2&gt;=Inputs!$B$4,AVERAGE(OFFSET(E902,1-Inputs!$B$4,0,Inputs!$B$4,1)),"")</f>
        <v>0.846439220189562</v>
      </c>
      <c r="G902" s="8" t="n">
        <f aca="true">IF(ROW()-2&gt;=Inputs!$B$5,AVERAGE(OFFSET(E902,1-Inputs!$B$5,0,Inputs!$B$5,1)),"")</f>
        <v>0.848669477739019</v>
      </c>
      <c r="H902" s="8" t="n">
        <f aca="false">MAX(C902-D902,ABS(C902-E901),ABS(D902-E901))</f>
        <v>0.00424496916071093</v>
      </c>
      <c r="I902" s="8" t="n">
        <f aca="true">IF(ROW()-2&lt;14,"",IF(ROW()-2=14,AVERAGE(OFFSET(H902,-13,0,14,1)),(I901*13+H902)/14))</f>
        <v>0.00934055232382761</v>
      </c>
      <c r="J902" s="9" t="b">
        <f aca="false">IF(AND(ISNUMBER(F902),ISNUMBER(G902),ISNUMBER(F901),ISNUMBER(G901)),AND(F902&gt;G902,F901&lt;=G901),FALSE())</f>
        <v>0</v>
      </c>
      <c r="K902" s="9" t="b">
        <f aca="false">IF(AND(ISNUMBER(F902),ISNUMBER(G902),ISNUMBER(F901),ISNUMBER(G901)),AND(F902&lt;G902,F901&gt;=G901),FALSE())</f>
        <v>0</v>
      </c>
      <c r="L902" s="8" t="n">
        <f aca="false">IF(ISNUMBER(I902),E902-Inputs!$B$6*I902,"")</f>
        <v>0.816028803985611</v>
      </c>
      <c r="M902" s="9" t="b">
        <f aca="false">AND(Y901&gt;0,Z901)</f>
        <v>0</v>
      </c>
      <c r="N902" s="8" t="n">
        <f aca="false">B902*(1-Inputs!$B$12)</f>
        <v>0.834982911595705</v>
      </c>
      <c r="O902" s="10" t="n">
        <f aca="false">IF(M902,Y901*(N902-AB901)-Inputs!$B$9-Y901*AD901*Inputs!$B$13*(A902-AC901),0)</f>
        <v>0</v>
      </c>
      <c r="P902" s="10" t="n">
        <f aca="false">X901+O902</f>
        <v>983.862971216719</v>
      </c>
      <c r="Q902" s="9" t="b">
        <f aca="false">AND(IF(M902,0,Y901)=0,AA901,IF(ISNUMBER(AE901),B902&gt;AE901,FALSE()))</f>
        <v>0</v>
      </c>
      <c r="R902" s="8" t="n">
        <f aca="false">B902*(1+Inputs!$B$12)</f>
        <v>0.835316971572338</v>
      </c>
      <c r="S902" s="11" t="n">
        <f aca="false">IF(Q902,MIN(P902*Inputs!$B$3/(R902-AE901),P902*Inputs!$B$11/R902),0)</f>
        <v>0</v>
      </c>
      <c r="T902" s="11" t="n">
        <f aca="false">IF(Q902,S902,IF(M902,0,Y901))</f>
        <v>0</v>
      </c>
      <c r="U902" s="8" t="n">
        <f aca="false">IF(Q902,AE901,AF901)</f>
        <v>0.84586578756897</v>
      </c>
      <c r="V902" s="9" t="b">
        <f aca="false">AND(T902&gt;0,D902&lt;=U902)</f>
        <v>0</v>
      </c>
      <c r="W902" s="10" t="n">
        <f aca="false">IF(V902,T902*(AK902-AB902)-Inputs!$B$9-T902*AD902*Inputs!$B$13*(A902-AC902),0)</f>
        <v>0</v>
      </c>
      <c r="X902" s="10" t="n">
        <f aca="false">P902-IF(Q902,Inputs!$B$9,0)+W902</f>
        <v>983.862971216719</v>
      </c>
      <c r="Y902" s="11" t="n">
        <f aca="false">IF(V902,0,T902)</f>
        <v>0</v>
      </c>
      <c r="Z902" s="9" t="b">
        <f aca="false">AND(Y902&gt;0,K902)</f>
        <v>0</v>
      </c>
      <c r="AA902" s="9" t="b">
        <f aca="false">AND(Y902=0,J902,ISNUMBER(L902))</f>
        <v>0</v>
      </c>
      <c r="AB902" s="8" t="n">
        <f aca="false">IF(Q902,R902,AB901)</f>
        <v>0.863339701115261</v>
      </c>
      <c r="AC902" s="12" t="n">
        <f aca="false">IF(Q902,A902,AC901)</f>
        <v>45628</v>
      </c>
      <c r="AD902" s="8" t="n">
        <f aca="false">IF(Q902,B902,AD901)</f>
        <v>0.86316706770172</v>
      </c>
      <c r="AE902" s="8" t="str">
        <f aca="false">IF(AA902,L902,"")</f>
        <v/>
      </c>
      <c r="AF902" s="8" t="n">
        <f aca="false">U902</f>
        <v>0.84586578756897</v>
      </c>
      <c r="AG902" s="2" t="n">
        <f aca="false">AG901+IF(Q902,1,0)</f>
        <v>8</v>
      </c>
      <c r="AH902" s="2" t="n">
        <f aca="false">AG901</f>
        <v>8</v>
      </c>
      <c r="AI902" s="10" t="n">
        <f aca="false">X902+Y902*(E902-AB902)-Y902*AD902*Inputs!$B$13*(A902-AC902)</f>
        <v>983.862971216719</v>
      </c>
      <c r="AJ902" s="10" t="n">
        <v>0</v>
      </c>
      <c r="AK902" s="8" t="n">
        <f aca="false">IF(AND(B902&lt;=U902,NOT(Q902)),B902,U902)*(1-Inputs!$B$12)</f>
        <v>0.834982911595705</v>
      </c>
    </row>
    <row r="903" customFormat="false" ht="15" hidden="false" customHeight="false" outlineLevel="0" collapsed="false">
      <c r="A903" s="6" t="n">
        <v>45687</v>
      </c>
      <c r="B903" s="7" t="n">
        <v>0.834709908633266</v>
      </c>
      <c r="C903" s="7" t="n">
        <v>0.835871159353335</v>
      </c>
      <c r="D903" s="7" t="n">
        <v>0.83355164959444</v>
      </c>
      <c r="E903" s="7" t="n">
        <v>0.835127300966746</v>
      </c>
      <c r="F903" s="8" t="n">
        <f aca="true">IF(ROW()-2&gt;=Inputs!$B$4,AVERAGE(OFFSET(E903,1-Inputs!$B$4,0,Inputs!$B$4,1)),"")</f>
        <v>0.846052993673934</v>
      </c>
      <c r="G903" s="8" t="n">
        <f aca="true">IF(ROW()-2&gt;=Inputs!$B$5,AVERAGE(OFFSET(E903,1-Inputs!$B$5,0,Inputs!$B$5,1)),"")</f>
        <v>0.84834076699004</v>
      </c>
      <c r="H903" s="8" t="n">
        <f aca="false">MAX(C903-D903,ABS(C903-E902),ABS(D903-E902))</f>
        <v>0.00231950975889439</v>
      </c>
      <c r="I903" s="8" t="n">
        <f aca="true">IF(ROW()-2&lt;14,"",IF(ROW()-2=14,AVERAGE(OFFSET(H903,-13,0,14,1)),(I902*13+H903)/14))</f>
        <v>0.00883904928347524</v>
      </c>
      <c r="J903" s="9" t="b">
        <f aca="false">IF(AND(ISNUMBER(F903),ISNUMBER(G903),ISNUMBER(F902),ISNUMBER(G902)),AND(F903&gt;G903,F902&lt;=G902),FALSE())</f>
        <v>0</v>
      </c>
      <c r="K903" s="9" t="b">
        <f aca="false">IF(AND(ISNUMBER(F903),ISNUMBER(G903),ISNUMBER(F902),ISNUMBER(G902)),AND(F903&lt;G903,F902&gt;=G902),FALSE())</f>
        <v>0</v>
      </c>
      <c r="L903" s="8" t="n">
        <f aca="false">IF(ISNUMBER(I903),E903-Inputs!$B$6*I903,"")</f>
        <v>0.817449202399796</v>
      </c>
      <c r="M903" s="9" t="b">
        <f aca="false">AND(Y902&gt;0,Z902)</f>
        <v>0</v>
      </c>
      <c r="N903" s="8" t="n">
        <f aca="false">B903*(1-Inputs!$B$12)</f>
        <v>0.834542966651539</v>
      </c>
      <c r="O903" s="10" t="n">
        <f aca="false">IF(M903,Y902*(N903-AB902)-Inputs!$B$9-Y902*AD902*Inputs!$B$13*(A903-AC902),0)</f>
        <v>0</v>
      </c>
      <c r="P903" s="10" t="n">
        <f aca="false">X902+O903</f>
        <v>983.862971216719</v>
      </c>
      <c r="Q903" s="9" t="b">
        <f aca="false">AND(IF(M903,0,Y902)=0,AA902,IF(ISNUMBER(AE902),B903&gt;AE902,FALSE()))</f>
        <v>0</v>
      </c>
      <c r="R903" s="8" t="n">
        <f aca="false">B903*(1+Inputs!$B$12)</f>
        <v>0.834876850614993</v>
      </c>
      <c r="S903" s="11" t="n">
        <f aca="false">IF(Q903,MIN(P903*Inputs!$B$3/(R903-AE902),P903*Inputs!$B$11/R903),0)</f>
        <v>0</v>
      </c>
      <c r="T903" s="11" t="n">
        <f aca="false">IF(Q903,S903,IF(M903,0,Y902))</f>
        <v>0</v>
      </c>
      <c r="U903" s="8" t="n">
        <f aca="false">IF(Q903,AE902,AF902)</f>
        <v>0.84586578756897</v>
      </c>
      <c r="V903" s="9" t="b">
        <f aca="false">AND(T903&gt;0,D903&lt;=U903)</f>
        <v>0</v>
      </c>
      <c r="W903" s="10" t="n">
        <f aca="false">IF(V903,T903*(AK903-AB903)-Inputs!$B$9-T903*AD903*Inputs!$B$13*(A903-AC903),0)</f>
        <v>0</v>
      </c>
      <c r="X903" s="10" t="n">
        <f aca="false">P903-IF(Q903,Inputs!$B$9,0)+W903</f>
        <v>983.862971216719</v>
      </c>
      <c r="Y903" s="11" t="n">
        <f aca="false">IF(V903,0,T903)</f>
        <v>0</v>
      </c>
      <c r="Z903" s="9" t="b">
        <f aca="false">AND(Y903&gt;0,K903)</f>
        <v>0</v>
      </c>
      <c r="AA903" s="9" t="b">
        <f aca="false">AND(Y903=0,J903,ISNUMBER(L903))</f>
        <v>0</v>
      </c>
      <c r="AB903" s="8" t="n">
        <f aca="false">IF(Q903,R903,AB902)</f>
        <v>0.863339701115261</v>
      </c>
      <c r="AC903" s="12" t="n">
        <f aca="false">IF(Q903,A903,AC902)</f>
        <v>45628</v>
      </c>
      <c r="AD903" s="8" t="n">
        <f aca="false">IF(Q903,B903,AD902)</f>
        <v>0.86316706770172</v>
      </c>
      <c r="AE903" s="8" t="str">
        <f aca="false">IF(AA903,L903,"")</f>
        <v/>
      </c>
      <c r="AF903" s="8" t="n">
        <f aca="false">U903</f>
        <v>0.84586578756897</v>
      </c>
      <c r="AG903" s="2" t="n">
        <f aca="false">AG902+IF(Q903,1,0)</f>
        <v>8</v>
      </c>
      <c r="AH903" s="2" t="n">
        <f aca="false">AG902</f>
        <v>8</v>
      </c>
      <c r="AI903" s="10" t="n">
        <f aca="false">X903+Y903*(E903-AB903)-Y903*AD903*Inputs!$B$13*(A903-AC903)</f>
        <v>983.862971216719</v>
      </c>
      <c r="AJ903" s="10" t="n">
        <v>0</v>
      </c>
      <c r="AK903" s="8" t="n">
        <f aca="false">IF(AND(B903&lt;=U903,NOT(Q903)),B903,U903)*(1-Inputs!$B$12)</f>
        <v>0.834542966651539</v>
      </c>
    </row>
    <row r="904" customFormat="false" ht="15" hidden="false" customHeight="false" outlineLevel="0" collapsed="false">
      <c r="A904" s="6" t="n">
        <v>45688</v>
      </c>
      <c r="B904" s="7" t="n">
        <v>0.835127300966746</v>
      </c>
      <c r="C904" s="7" t="n">
        <v>0.844634203269616</v>
      </c>
      <c r="D904" s="7" t="n">
        <v>0.831254865112177</v>
      </c>
      <c r="E904" s="7" t="n">
        <v>0.840028468219322</v>
      </c>
      <c r="F904" s="8" t="n">
        <f aca="true">IF(ROW()-2&gt;=Inputs!$B$4,AVERAGE(OFFSET(E904,1-Inputs!$B$4,0,Inputs!$B$4,1)),"")</f>
        <v>0.845887538648915</v>
      </c>
      <c r="G904" s="8" t="n">
        <f aca="true">IF(ROW()-2&gt;=Inputs!$B$5,AVERAGE(OFFSET(E904,1-Inputs!$B$5,0,Inputs!$B$5,1)),"")</f>
        <v>0.848249476290718</v>
      </c>
      <c r="H904" s="8" t="n">
        <f aca="false">MAX(C904-D904,ABS(C904-E903),ABS(D904-E903))</f>
        <v>0.0133793381574387</v>
      </c>
      <c r="I904" s="8" t="n">
        <f aca="true">IF(ROW()-2&lt;14,"",IF(ROW()-2=14,AVERAGE(OFFSET(H904,-13,0,14,1)),(I903*13+H904)/14))</f>
        <v>0.00916335563161549</v>
      </c>
      <c r="J904" s="9" t="b">
        <f aca="false">IF(AND(ISNUMBER(F904),ISNUMBER(G904),ISNUMBER(F903),ISNUMBER(G903)),AND(F904&gt;G904,F903&lt;=G903),FALSE())</f>
        <v>0</v>
      </c>
      <c r="K904" s="9" t="b">
        <f aca="false">IF(AND(ISNUMBER(F904),ISNUMBER(G904),ISNUMBER(F903),ISNUMBER(G903)),AND(F904&lt;G904,F903&gt;=G903),FALSE())</f>
        <v>0</v>
      </c>
      <c r="L904" s="8" t="n">
        <f aca="false">IF(ISNUMBER(I904),E904-Inputs!$B$6*I904,"")</f>
        <v>0.821701756956091</v>
      </c>
      <c r="M904" s="9" t="b">
        <f aca="false">AND(Y903&gt;0,Z903)</f>
        <v>0</v>
      </c>
      <c r="N904" s="8" t="n">
        <f aca="false">B904*(1-Inputs!$B$12)</f>
        <v>0.834960275506553</v>
      </c>
      <c r="O904" s="10" t="n">
        <f aca="false">IF(M904,Y903*(N904-AB903)-Inputs!$B$9-Y903*AD903*Inputs!$B$13*(A904-AC903),0)</f>
        <v>0</v>
      </c>
      <c r="P904" s="10" t="n">
        <f aca="false">X903+O904</f>
        <v>983.862971216719</v>
      </c>
      <c r="Q904" s="9" t="b">
        <f aca="false">AND(IF(M904,0,Y903)=0,AA903,IF(ISNUMBER(AE903),B904&gt;AE903,FALSE()))</f>
        <v>0</v>
      </c>
      <c r="R904" s="8" t="n">
        <f aca="false">B904*(1+Inputs!$B$12)</f>
        <v>0.83529432642694</v>
      </c>
      <c r="S904" s="11" t="n">
        <f aca="false">IF(Q904,MIN(P904*Inputs!$B$3/(R904-AE903),P904*Inputs!$B$11/R904),0)</f>
        <v>0</v>
      </c>
      <c r="T904" s="11" t="n">
        <f aca="false">IF(Q904,S904,IF(M904,0,Y903))</f>
        <v>0</v>
      </c>
      <c r="U904" s="8" t="n">
        <f aca="false">IF(Q904,AE903,AF903)</f>
        <v>0.84586578756897</v>
      </c>
      <c r="V904" s="9" t="b">
        <f aca="false">AND(T904&gt;0,D904&lt;=U904)</f>
        <v>0</v>
      </c>
      <c r="W904" s="10" t="n">
        <f aca="false">IF(V904,T904*(AK904-AB904)-Inputs!$B$9-T904*AD904*Inputs!$B$13*(A904-AC904),0)</f>
        <v>0</v>
      </c>
      <c r="X904" s="10" t="n">
        <f aca="false">P904-IF(Q904,Inputs!$B$9,0)+W904</f>
        <v>983.862971216719</v>
      </c>
      <c r="Y904" s="11" t="n">
        <f aca="false">IF(V904,0,T904)</f>
        <v>0</v>
      </c>
      <c r="Z904" s="9" t="b">
        <f aca="false">AND(Y904&gt;0,K904)</f>
        <v>0</v>
      </c>
      <c r="AA904" s="9" t="b">
        <f aca="false">AND(Y904=0,J904,ISNUMBER(L904))</f>
        <v>0</v>
      </c>
      <c r="AB904" s="8" t="n">
        <f aca="false">IF(Q904,R904,AB903)</f>
        <v>0.863339701115261</v>
      </c>
      <c r="AC904" s="12" t="n">
        <f aca="false">IF(Q904,A904,AC903)</f>
        <v>45628</v>
      </c>
      <c r="AD904" s="8" t="n">
        <f aca="false">IF(Q904,B904,AD903)</f>
        <v>0.86316706770172</v>
      </c>
      <c r="AE904" s="8" t="str">
        <f aca="false">IF(AA904,L904,"")</f>
        <v/>
      </c>
      <c r="AF904" s="8" t="n">
        <f aca="false">U904</f>
        <v>0.84586578756897</v>
      </c>
      <c r="AG904" s="2" t="n">
        <f aca="false">AG903+IF(Q904,1,0)</f>
        <v>8</v>
      </c>
      <c r="AH904" s="2" t="n">
        <f aca="false">AG903</f>
        <v>8</v>
      </c>
      <c r="AI904" s="10" t="n">
        <f aca="false">X904+Y904*(E904-AB904)-Y904*AD904*Inputs!$B$13*(A904-AC904)</f>
        <v>983.862971216719</v>
      </c>
      <c r="AJ904" s="10" t="n">
        <v>0</v>
      </c>
      <c r="AK904" s="8" t="n">
        <f aca="false">IF(AND(B904&lt;=U904,NOT(Q904)),B904,U904)*(1-Inputs!$B$12)</f>
        <v>0.834960275506553</v>
      </c>
    </row>
    <row r="905" customFormat="false" ht="15" hidden="false" customHeight="false" outlineLevel="0" collapsed="false">
      <c r="A905" s="6" t="n">
        <v>45689</v>
      </c>
      <c r="B905" s="7" t="n">
        <v>0.840028468219322</v>
      </c>
      <c r="C905" s="7" t="n">
        <v>0.844333406108287</v>
      </c>
      <c r="D905" s="7" t="n">
        <v>0.836427452779538</v>
      </c>
      <c r="E905" s="7" t="n">
        <v>0.841836693089403</v>
      </c>
      <c r="F905" s="8" t="n">
        <f aca="true">IF(ROW()-2&gt;=Inputs!$B$4,AVERAGE(OFFSET(E905,1-Inputs!$B$4,0,Inputs!$B$4,1)),"")</f>
        <v>0.845610298784202</v>
      </c>
      <c r="G905" s="8" t="n">
        <f aca="true">IF(ROW()-2&gt;=Inputs!$B$5,AVERAGE(OFFSET(E905,1-Inputs!$B$5,0,Inputs!$B$5,1)),"")</f>
        <v>0.847988415782633</v>
      </c>
      <c r="H905" s="8" t="n">
        <f aca="false">MAX(C905-D905,ABS(C905-E904),ABS(D905-E904))</f>
        <v>0.00790595332874888</v>
      </c>
      <c r="I905" s="8" t="n">
        <f aca="true">IF(ROW()-2&lt;14,"",IF(ROW()-2=14,AVERAGE(OFFSET(H905,-13,0,14,1)),(I904*13+H905)/14))</f>
        <v>0.00907354118141074</v>
      </c>
      <c r="J905" s="9" t="b">
        <f aca="false">IF(AND(ISNUMBER(F905),ISNUMBER(G905),ISNUMBER(F904),ISNUMBER(G904)),AND(F905&gt;G905,F904&lt;=G904),FALSE())</f>
        <v>0</v>
      </c>
      <c r="K905" s="9" t="b">
        <f aca="false">IF(AND(ISNUMBER(F905),ISNUMBER(G905),ISNUMBER(F904),ISNUMBER(G904)),AND(F905&lt;G905,F904&gt;=G904),FALSE())</f>
        <v>0</v>
      </c>
      <c r="L905" s="8" t="n">
        <f aca="false">IF(ISNUMBER(I905),E905-Inputs!$B$6*I905,"")</f>
        <v>0.823689610726581</v>
      </c>
      <c r="M905" s="9" t="b">
        <f aca="false">AND(Y904&gt;0,Z904)</f>
        <v>0</v>
      </c>
      <c r="N905" s="8" t="n">
        <f aca="false">B905*(1-Inputs!$B$12)</f>
        <v>0.839860462525678</v>
      </c>
      <c r="O905" s="10" t="n">
        <f aca="false">IF(M905,Y904*(N905-AB904)-Inputs!$B$9-Y904*AD904*Inputs!$B$13*(A905-AC904),0)</f>
        <v>0</v>
      </c>
      <c r="P905" s="10" t="n">
        <f aca="false">X904+O905</f>
        <v>983.862971216719</v>
      </c>
      <c r="Q905" s="9" t="b">
        <f aca="false">AND(IF(M905,0,Y904)=0,AA904,IF(ISNUMBER(AE904),B905&gt;AE904,FALSE()))</f>
        <v>0</v>
      </c>
      <c r="R905" s="8" t="n">
        <f aca="false">B905*(1+Inputs!$B$12)</f>
        <v>0.840196473912966</v>
      </c>
      <c r="S905" s="11" t="n">
        <f aca="false">IF(Q905,MIN(P905*Inputs!$B$3/(R905-AE904),P905*Inputs!$B$11/R905),0)</f>
        <v>0</v>
      </c>
      <c r="T905" s="11" t="n">
        <f aca="false">IF(Q905,S905,IF(M905,0,Y904))</f>
        <v>0</v>
      </c>
      <c r="U905" s="8" t="n">
        <f aca="false">IF(Q905,AE904,AF904)</f>
        <v>0.84586578756897</v>
      </c>
      <c r="V905" s="9" t="b">
        <f aca="false">AND(T905&gt;0,D905&lt;=U905)</f>
        <v>0</v>
      </c>
      <c r="W905" s="10" t="n">
        <f aca="false">IF(V905,T905*(AK905-AB905)-Inputs!$B$9-T905*AD905*Inputs!$B$13*(A905-AC905),0)</f>
        <v>0</v>
      </c>
      <c r="X905" s="10" t="n">
        <f aca="false">P905-IF(Q905,Inputs!$B$9,0)+W905</f>
        <v>983.862971216719</v>
      </c>
      <c r="Y905" s="11" t="n">
        <f aca="false">IF(V905,0,T905)</f>
        <v>0</v>
      </c>
      <c r="Z905" s="9" t="b">
        <f aca="false">AND(Y905&gt;0,K905)</f>
        <v>0</v>
      </c>
      <c r="AA905" s="9" t="b">
        <f aca="false">AND(Y905=0,J905,ISNUMBER(L905))</f>
        <v>0</v>
      </c>
      <c r="AB905" s="8" t="n">
        <f aca="false">IF(Q905,R905,AB904)</f>
        <v>0.863339701115261</v>
      </c>
      <c r="AC905" s="12" t="n">
        <f aca="false">IF(Q905,A905,AC904)</f>
        <v>45628</v>
      </c>
      <c r="AD905" s="8" t="n">
        <f aca="false">IF(Q905,B905,AD904)</f>
        <v>0.86316706770172</v>
      </c>
      <c r="AE905" s="8" t="str">
        <f aca="false">IF(AA905,L905,"")</f>
        <v/>
      </c>
      <c r="AF905" s="8" t="n">
        <f aca="false">U905</f>
        <v>0.84586578756897</v>
      </c>
      <c r="AG905" s="2" t="n">
        <f aca="false">AG904+IF(Q905,1,0)</f>
        <v>8</v>
      </c>
      <c r="AH905" s="2" t="n">
        <f aca="false">AG904</f>
        <v>8</v>
      </c>
      <c r="AI905" s="10" t="n">
        <f aca="false">X905+Y905*(E905-AB905)-Y905*AD905*Inputs!$B$13*(A905-AC905)</f>
        <v>983.862971216719</v>
      </c>
      <c r="AJ905" s="10" t="n">
        <v>0</v>
      </c>
      <c r="AK905" s="8" t="n">
        <f aca="false">IF(AND(B905&lt;=U905,NOT(Q905)),B905,U905)*(1-Inputs!$B$12)</f>
        <v>0.839860462525678</v>
      </c>
    </row>
    <row r="906" customFormat="false" ht="15" hidden="false" customHeight="false" outlineLevel="0" collapsed="false">
      <c r="A906" s="6" t="n">
        <v>45690</v>
      </c>
      <c r="B906" s="7" t="n">
        <v>0.841836693089403</v>
      </c>
      <c r="C906" s="7" t="n">
        <v>0.842097019103092</v>
      </c>
      <c r="D906" s="7" t="n">
        <v>0.840203118840836</v>
      </c>
      <c r="E906" s="7" t="n">
        <v>0.840244477986902</v>
      </c>
      <c r="F906" s="8" t="n">
        <f aca="true">IF(ROW()-2&gt;=Inputs!$B$4,AVERAGE(OFFSET(E906,1-Inputs!$B$4,0,Inputs!$B$4,1)),"")</f>
        <v>0.845157571956342</v>
      </c>
      <c r="G906" s="8" t="n">
        <f aca="true">IF(ROW()-2&gt;=Inputs!$B$5,AVERAGE(OFFSET(E906,1-Inputs!$B$5,0,Inputs!$B$5,1)),"")</f>
        <v>0.847644588328236</v>
      </c>
      <c r="H906" s="8" t="n">
        <f aca="false">MAX(C906-D906,ABS(C906-E905),ABS(D906-E905))</f>
        <v>0.00189390026225611</v>
      </c>
      <c r="I906" s="8" t="n">
        <f aca="true">IF(ROW()-2&lt;14,"",IF(ROW()-2=14,AVERAGE(OFFSET(H906,-13,0,14,1)),(I905*13+H906)/14))</f>
        <v>0.0085607096871854</v>
      </c>
      <c r="J906" s="9" t="b">
        <f aca="false">IF(AND(ISNUMBER(F906),ISNUMBER(G906),ISNUMBER(F905),ISNUMBER(G905)),AND(F906&gt;G906,F905&lt;=G905),FALSE())</f>
        <v>0</v>
      </c>
      <c r="K906" s="9" t="b">
        <f aca="false">IF(AND(ISNUMBER(F906),ISNUMBER(G906),ISNUMBER(F905),ISNUMBER(G905)),AND(F906&lt;G906,F905&gt;=G905),FALSE())</f>
        <v>0</v>
      </c>
      <c r="L906" s="8" t="n">
        <f aca="false">IF(ISNUMBER(I906),E906-Inputs!$B$6*I906,"")</f>
        <v>0.823123058612531</v>
      </c>
      <c r="M906" s="9" t="b">
        <f aca="false">AND(Y905&gt;0,Z905)</f>
        <v>0</v>
      </c>
      <c r="N906" s="8" t="n">
        <f aca="false">B906*(1-Inputs!$B$12)</f>
        <v>0.841668325750785</v>
      </c>
      <c r="O906" s="10" t="n">
        <f aca="false">IF(M906,Y905*(N906-AB905)-Inputs!$B$9-Y905*AD905*Inputs!$B$13*(A906-AC905),0)</f>
        <v>0</v>
      </c>
      <c r="P906" s="10" t="n">
        <f aca="false">X905+O906</f>
        <v>983.862971216719</v>
      </c>
      <c r="Q906" s="9" t="b">
        <f aca="false">AND(IF(M906,0,Y905)=0,AA905,IF(ISNUMBER(AE905),B906&gt;AE905,FALSE()))</f>
        <v>0</v>
      </c>
      <c r="R906" s="8" t="n">
        <f aca="false">B906*(1+Inputs!$B$12)</f>
        <v>0.84200506042802</v>
      </c>
      <c r="S906" s="11" t="n">
        <f aca="false">IF(Q906,MIN(P906*Inputs!$B$3/(R906-AE905),P906*Inputs!$B$11/R906),0)</f>
        <v>0</v>
      </c>
      <c r="T906" s="11" t="n">
        <f aca="false">IF(Q906,S906,IF(M906,0,Y905))</f>
        <v>0</v>
      </c>
      <c r="U906" s="8" t="n">
        <f aca="false">IF(Q906,AE905,AF905)</f>
        <v>0.84586578756897</v>
      </c>
      <c r="V906" s="9" t="b">
        <f aca="false">AND(T906&gt;0,D906&lt;=U906)</f>
        <v>0</v>
      </c>
      <c r="W906" s="10" t="n">
        <f aca="false">IF(V906,T906*(AK906-AB906)-Inputs!$B$9-T906*AD906*Inputs!$B$13*(A906-AC906),0)</f>
        <v>0</v>
      </c>
      <c r="X906" s="10" t="n">
        <f aca="false">P906-IF(Q906,Inputs!$B$9,0)+W906</f>
        <v>983.862971216719</v>
      </c>
      <c r="Y906" s="11" t="n">
        <f aca="false">IF(V906,0,T906)</f>
        <v>0</v>
      </c>
      <c r="Z906" s="9" t="b">
        <f aca="false">AND(Y906&gt;0,K906)</f>
        <v>0</v>
      </c>
      <c r="AA906" s="9" t="b">
        <f aca="false">AND(Y906=0,J906,ISNUMBER(L906))</f>
        <v>0</v>
      </c>
      <c r="AB906" s="8" t="n">
        <f aca="false">IF(Q906,R906,AB905)</f>
        <v>0.863339701115261</v>
      </c>
      <c r="AC906" s="12" t="n">
        <f aca="false">IF(Q906,A906,AC905)</f>
        <v>45628</v>
      </c>
      <c r="AD906" s="8" t="n">
        <f aca="false">IF(Q906,B906,AD905)</f>
        <v>0.86316706770172</v>
      </c>
      <c r="AE906" s="8" t="str">
        <f aca="false">IF(AA906,L906,"")</f>
        <v/>
      </c>
      <c r="AF906" s="8" t="n">
        <f aca="false">U906</f>
        <v>0.84586578756897</v>
      </c>
      <c r="AG906" s="2" t="n">
        <f aca="false">AG905+IF(Q906,1,0)</f>
        <v>8</v>
      </c>
      <c r="AH906" s="2" t="n">
        <f aca="false">AG905</f>
        <v>8</v>
      </c>
      <c r="AI906" s="10" t="n">
        <f aca="false">X906+Y906*(E906-AB906)-Y906*AD906*Inputs!$B$13*(A906-AC906)</f>
        <v>983.862971216719</v>
      </c>
      <c r="AJ906" s="10" t="n">
        <v>0</v>
      </c>
      <c r="AK906" s="8" t="n">
        <f aca="false">IF(AND(B906&lt;=U906,NOT(Q906)),B906,U906)*(1-Inputs!$B$12)</f>
        <v>0.841668325750785</v>
      </c>
    </row>
    <row r="907" customFormat="false" ht="15" hidden="false" customHeight="false" outlineLevel="0" collapsed="false">
      <c r="A907" s="6" t="n">
        <v>45691</v>
      </c>
      <c r="B907" s="7" t="n">
        <v>0.840244477986902</v>
      </c>
      <c r="C907" s="7" t="n">
        <v>0.849665481259884</v>
      </c>
      <c r="D907" s="7" t="n">
        <v>0.838879212097153</v>
      </c>
      <c r="E907" s="7" t="n">
        <v>0.849331887716614</v>
      </c>
      <c r="F907" s="8" t="n">
        <f aca="true">IF(ROW()-2&gt;=Inputs!$B$4,AVERAGE(OFFSET(E907,1-Inputs!$B$4,0,Inputs!$B$4,1)),"")</f>
        <v>0.845342080933256</v>
      </c>
      <c r="G907" s="8" t="n">
        <f aca="true">IF(ROW()-2&gt;=Inputs!$B$5,AVERAGE(OFFSET(E907,1-Inputs!$B$5,0,Inputs!$B$5,1)),"")</f>
        <v>0.847532828640195</v>
      </c>
      <c r="H907" s="8" t="n">
        <f aca="false">MAX(C907-D907,ABS(C907-E906),ABS(D907-E906))</f>
        <v>0.0107862691627314</v>
      </c>
      <c r="I907" s="8" t="n">
        <f aca="true">IF(ROW()-2&lt;14,"",IF(ROW()-2=14,AVERAGE(OFFSET(H907,-13,0,14,1)),(I906*13+H907)/14))</f>
        <v>0.00871967822115297</v>
      </c>
      <c r="J907" s="9" t="b">
        <f aca="false">IF(AND(ISNUMBER(F907),ISNUMBER(G907),ISNUMBER(F906),ISNUMBER(G906)),AND(F907&gt;G907,F906&lt;=G906),FALSE())</f>
        <v>0</v>
      </c>
      <c r="K907" s="9" t="b">
        <f aca="false">IF(AND(ISNUMBER(F907),ISNUMBER(G907),ISNUMBER(F906),ISNUMBER(G906)),AND(F907&lt;G907,F906&gt;=G906),FALSE())</f>
        <v>0</v>
      </c>
      <c r="L907" s="8" t="n">
        <f aca="false">IF(ISNUMBER(I907),E907-Inputs!$B$6*I907,"")</f>
        <v>0.831892531274308</v>
      </c>
      <c r="M907" s="9" t="b">
        <f aca="false">AND(Y906&gt;0,Z906)</f>
        <v>0</v>
      </c>
      <c r="N907" s="8" t="n">
        <f aca="false">B907*(1-Inputs!$B$12)</f>
        <v>0.840076429091305</v>
      </c>
      <c r="O907" s="10" t="n">
        <f aca="false">IF(M907,Y906*(N907-AB906)-Inputs!$B$9-Y906*AD906*Inputs!$B$13*(A907-AC906),0)</f>
        <v>0</v>
      </c>
      <c r="P907" s="10" t="n">
        <f aca="false">X906+O907</f>
        <v>983.862971216719</v>
      </c>
      <c r="Q907" s="9" t="b">
        <f aca="false">AND(IF(M907,0,Y906)=0,AA906,IF(ISNUMBER(AE906),B907&gt;AE906,FALSE()))</f>
        <v>0</v>
      </c>
      <c r="R907" s="8" t="n">
        <f aca="false">B907*(1+Inputs!$B$12)</f>
        <v>0.8404125268825</v>
      </c>
      <c r="S907" s="11" t="n">
        <f aca="false">IF(Q907,MIN(P907*Inputs!$B$3/(R907-AE906),P907*Inputs!$B$11/R907),0)</f>
        <v>0</v>
      </c>
      <c r="T907" s="11" t="n">
        <f aca="false">IF(Q907,S907,IF(M907,0,Y906))</f>
        <v>0</v>
      </c>
      <c r="U907" s="8" t="n">
        <f aca="false">IF(Q907,AE906,AF906)</f>
        <v>0.84586578756897</v>
      </c>
      <c r="V907" s="9" t="b">
        <f aca="false">AND(T907&gt;0,D907&lt;=U907)</f>
        <v>0</v>
      </c>
      <c r="W907" s="10" t="n">
        <f aca="false">IF(V907,T907*(AK907-AB907)-Inputs!$B$9-T907*AD907*Inputs!$B$13*(A907-AC907),0)</f>
        <v>0</v>
      </c>
      <c r="X907" s="10" t="n">
        <f aca="false">P907-IF(Q907,Inputs!$B$9,0)+W907</f>
        <v>983.862971216719</v>
      </c>
      <c r="Y907" s="11" t="n">
        <f aca="false">IF(V907,0,T907)</f>
        <v>0</v>
      </c>
      <c r="Z907" s="9" t="b">
        <f aca="false">AND(Y907&gt;0,K907)</f>
        <v>0</v>
      </c>
      <c r="AA907" s="9" t="b">
        <f aca="false">AND(Y907=0,J907,ISNUMBER(L907))</f>
        <v>0</v>
      </c>
      <c r="AB907" s="8" t="n">
        <f aca="false">IF(Q907,R907,AB906)</f>
        <v>0.863339701115261</v>
      </c>
      <c r="AC907" s="12" t="n">
        <f aca="false">IF(Q907,A907,AC906)</f>
        <v>45628</v>
      </c>
      <c r="AD907" s="8" t="n">
        <f aca="false">IF(Q907,B907,AD906)</f>
        <v>0.86316706770172</v>
      </c>
      <c r="AE907" s="8" t="str">
        <f aca="false">IF(AA907,L907,"")</f>
        <v/>
      </c>
      <c r="AF907" s="8" t="n">
        <f aca="false">U907</f>
        <v>0.84586578756897</v>
      </c>
      <c r="AG907" s="2" t="n">
        <f aca="false">AG906+IF(Q907,1,0)</f>
        <v>8</v>
      </c>
      <c r="AH907" s="2" t="n">
        <f aca="false">AG906</f>
        <v>8</v>
      </c>
      <c r="AI907" s="10" t="n">
        <f aca="false">X907+Y907*(E907-AB907)-Y907*AD907*Inputs!$B$13*(A907-AC907)</f>
        <v>983.862971216719</v>
      </c>
      <c r="AJ907" s="10" t="n">
        <v>0</v>
      </c>
      <c r="AK907" s="8" t="n">
        <f aca="false">IF(AND(B907&lt;=U907,NOT(Q907)),B907,U907)*(1-Inputs!$B$12)</f>
        <v>0.840076429091305</v>
      </c>
    </row>
    <row r="908" customFormat="false" ht="15" hidden="false" customHeight="false" outlineLevel="0" collapsed="false">
      <c r="A908" s="6" t="n">
        <v>45692</v>
      </c>
      <c r="B908" s="7" t="n">
        <v>0.849331887716614</v>
      </c>
      <c r="C908" s="7" t="n">
        <v>0.855978649221858</v>
      </c>
      <c r="D908" s="7" t="n">
        <v>0.840512297449604</v>
      </c>
      <c r="E908" s="7" t="n">
        <v>0.843573799240354</v>
      </c>
      <c r="F908" s="8" t="n">
        <f aca="true">IF(ROW()-2&gt;=Inputs!$B$4,AVERAGE(OFFSET(E908,1-Inputs!$B$4,0,Inputs!$B$4,1)),"")</f>
        <v>0.845144128931601</v>
      </c>
      <c r="G908" s="8" t="n">
        <f aca="true">IF(ROW()-2&gt;=Inputs!$B$5,AVERAGE(OFFSET(E908,1-Inputs!$B$5,0,Inputs!$B$5,1)),"")</f>
        <v>0.847365740816282</v>
      </c>
      <c r="H908" s="8" t="n">
        <f aca="false">MAX(C908-D908,ABS(C908-E907),ABS(D908-E907))</f>
        <v>0.0154663517722542</v>
      </c>
      <c r="I908" s="8" t="n">
        <f aca="true">IF(ROW()-2&lt;14,"",IF(ROW()-2=14,AVERAGE(OFFSET(H908,-13,0,14,1)),(I907*13+H908)/14))</f>
        <v>0.00920158347480306</v>
      </c>
      <c r="J908" s="9" t="b">
        <f aca="false">IF(AND(ISNUMBER(F908),ISNUMBER(G908),ISNUMBER(F907),ISNUMBER(G907)),AND(F908&gt;G908,F907&lt;=G907),FALSE())</f>
        <v>0</v>
      </c>
      <c r="K908" s="9" t="b">
        <f aca="false">IF(AND(ISNUMBER(F908),ISNUMBER(G908),ISNUMBER(F907),ISNUMBER(G907)),AND(F908&lt;G908,F907&gt;=G907),FALSE())</f>
        <v>0</v>
      </c>
      <c r="L908" s="8" t="n">
        <f aca="false">IF(ISNUMBER(I908),E908-Inputs!$B$6*I908,"")</f>
        <v>0.825170632290748</v>
      </c>
      <c r="M908" s="9" t="b">
        <f aca="false">AND(Y907&gt;0,Z907)</f>
        <v>0</v>
      </c>
      <c r="N908" s="8" t="n">
        <f aca="false">B908*(1-Inputs!$B$12)</f>
        <v>0.849162021339071</v>
      </c>
      <c r="O908" s="10" t="n">
        <f aca="false">IF(M908,Y907*(N908-AB907)-Inputs!$B$9-Y907*AD907*Inputs!$B$13*(A908-AC907),0)</f>
        <v>0</v>
      </c>
      <c r="P908" s="10" t="n">
        <f aca="false">X907+O908</f>
        <v>983.862971216719</v>
      </c>
      <c r="Q908" s="9" t="b">
        <f aca="false">AND(IF(M908,0,Y907)=0,AA907,IF(ISNUMBER(AE907),B908&gt;AE907,FALSE()))</f>
        <v>0</v>
      </c>
      <c r="R908" s="8" t="n">
        <f aca="false">B908*(1+Inputs!$B$12)</f>
        <v>0.849501754094158</v>
      </c>
      <c r="S908" s="11" t="n">
        <f aca="false">IF(Q908,MIN(P908*Inputs!$B$3/(R908-AE907),P908*Inputs!$B$11/R908),0)</f>
        <v>0</v>
      </c>
      <c r="T908" s="11" t="n">
        <f aca="false">IF(Q908,S908,IF(M908,0,Y907))</f>
        <v>0</v>
      </c>
      <c r="U908" s="8" t="n">
        <f aca="false">IF(Q908,AE907,AF907)</f>
        <v>0.84586578756897</v>
      </c>
      <c r="V908" s="9" t="b">
        <f aca="false">AND(T908&gt;0,D908&lt;=U908)</f>
        <v>0</v>
      </c>
      <c r="W908" s="10" t="n">
        <f aca="false">IF(V908,T908*(AK908-AB908)-Inputs!$B$9-T908*AD908*Inputs!$B$13*(A908-AC908),0)</f>
        <v>0</v>
      </c>
      <c r="X908" s="10" t="n">
        <f aca="false">P908-IF(Q908,Inputs!$B$9,0)+W908</f>
        <v>983.862971216719</v>
      </c>
      <c r="Y908" s="11" t="n">
        <f aca="false">IF(V908,0,T908)</f>
        <v>0</v>
      </c>
      <c r="Z908" s="9" t="b">
        <f aca="false">AND(Y908&gt;0,K908)</f>
        <v>0</v>
      </c>
      <c r="AA908" s="9" t="b">
        <f aca="false">AND(Y908=0,J908,ISNUMBER(L908))</f>
        <v>0</v>
      </c>
      <c r="AB908" s="8" t="n">
        <f aca="false">IF(Q908,R908,AB907)</f>
        <v>0.863339701115261</v>
      </c>
      <c r="AC908" s="12" t="n">
        <f aca="false">IF(Q908,A908,AC907)</f>
        <v>45628</v>
      </c>
      <c r="AD908" s="8" t="n">
        <f aca="false">IF(Q908,B908,AD907)</f>
        <v>0.86316706770172</v>
      </c>
      <c r="AE908" s="8" t="str">
        <f aca="false">IF(AA908,L908,"")</f>
        <v/>
      </c>
      <c r="AF908" s="8" t="n">
        <f aca="false">U908</f>
        <v>0.84586578756897</v>
      </c>
      <c r="AG908" s="2" t="n">
        <f aca="false">AG907+IF(Q908,1,0)</f>
        <v>8</v>
      </c>
      <c r="AH908" s="2" t="n">
        <f aca="false">AG907</f>
        <v>8</v>
      </c>
      <c r="AI908" s="10" t="n">
        <f aca="false">X908+Y908*(E908-AB908)-Y908*AD908*Inputs!$B$13*(A908-AC908)</f>
        <v>983.862971216719</v>
      </c>
      <c r="AJ908" s="10" t="n">
        <v>0</v>
      </c>
      <c r="AK908" s="8" t="n">
        <f aca="false">IF(AND(B908&lt;=U908,NOT(Q908)),B908,U908)*(1-Inputs!$B$12)</f>
        <v>0.845696614411456</v>
      </c>
    </row>
    <row r="909" customFormat="false" ht="15" hidden="false" customHeight="false" outlineLevel="0" collapsed="false">
      <c r="A909" s="6" t="n">
        <v>45693</v>
      </c>
      <c r="B909" s="7" t="n">
        <v>0.843573799240354</v>
      </c>
      <c r="C909" s="7" t="n">
        <v>0.851654113146378</v>
      </c>
      <c r="D909" s="7" t="n">
        <v>0.842939757740125</v>
      </c>
      <c r="E909" s="7" t="n">
        <v>0.849460076007986</v>
      </c>
      <c r="F909" s="8" t="n">
        <f aca="true">IF(ROW()-2&gt;=Inputs!$B$4,AVERAGE(OFFSET(E909,1-Inputs!$B$4,0,Inputs!$B$4,1)),"")</f>
        <v>0.844889914522843</v>
      </c>
      <c r="G909" s="8" t="n">
        <f aca="true">IF(ROW()-2&gt;=Inputs!$B$5,AVERAGE(OFFSET(E909,1-Inputs!$B$5,0,Inputs!$B$5,1)),"")</f>
        <v>0.847402331719728</v>
      </c>
      <c r="H909" s="8" t="n">
        <f aca="false">MAX(C909-D909,ABS(C909-E908),ABS(D909-E908))</f>
        <v>0.00871435540625243</v>
      </c>
      <c r="I909" s="8" t="n">
        <f aca="true">IF(ROW()-2&lt;14,"",IF(ROW()-2=14,AVERAGE(OFFSET(H909,-13,0,14,1)),(I908*13+H909)/14))</f>
        <v>0.00916678146990659</v>
      </c>
      <c r="J909" s="9" t="b">
        <f aca="false">IF(AND(ISNUMBER(F909),ISNUMBER(G909),ISNUMBER(F908),ISNUMBER(G908)),AND(F909&gt;G909,F908&lt;=G908),FALSE())</f>
        <v>0</v>
      </c>
      <c r="K909" s="9" t="b">
        <f aca="false">IF(AND(ISNUMBER(F909),ISNUMBER(G909),ISNUMBER(F908),ISNUMBER(G908)),AND(F909&lt;G909,F908&gt;=G908),FALSE())</f>
        <v>0</v>
      </c>
      <c r="L909" s="8" t="n">
        <f aca="false">IF(ISNUMBER(I909),E909-Inputs!$B$6*I909,"")</f>
        <v>0.831126513068172</v>
      </c>
      <c r="M909" s="9" t="b">
        <f aca="false">AND(Y908&gt;0,Z908)</f>
        <v>0</v>
      </c>
      <c r="N909" s="8" t="n">
        <f aca="false">B909*(1-Inputs!$B$12)</f>
        <v>0.843405084480506</v>
      </c>
      <c r="O909" s="10" t="n">
        <f aca="false">IF(M909,Y908*(N909-AB908)-Inputs!$B$9-Y908*AD908*Inputs!$B$13*(A909-AC908),0)</f>
        <v>0</v>
      </c>
      <c r="P909" s="10" t="n">
        <f aca="false">X908+O909</f>
        <v>983.862971216719</v>
      </c>
      <c r="Q909" s="9" t="b">
        <f aca="false">AND(IF(M909,0,Y908)=0,AA908,IF(ISNUMBER(AE908),B909&gt;AE908,FALSE()))</f>
        <v>0</v>
      </c>
      <c r="R909" s="8" t="n">
        <f aca="false">B909*(1+Inputs!$B$12)</f>
        <v>0.843742514000202</v>
      </c>
      <c r="S909" s="11" t="n">
        <f aca="false">IF(Q909,MIN(P909*Inputs!$B$3/(R909-AE908),P909*Inputs!$B$11/R909),0)</f>
        <v>0</v>
      </c>
      <c r="T909" s="11" t="n">
        <f aca="false">IF(Q909,S909,IF(M909,0,Y908))</f>
        <v>0</v>
      </c>
      <c r="U909" s="8" t="n">
        <f aca="false">IF(Q909,AE908,AF908)</f>
        <v>0.84586578756897</v>
      </c>
      <c r="V909" s="9" t="b">
        <f aca="false">AND(T909&gt;0,D909&lt;=U909)</f>
        <v>0</v>
      </c>
      <c r="W909" s="10" t="n">
        <f aca="false">IF(V909,T909*(AK909-AB909)-Inputs!$B$9-T909*AD909*Inputs!$B$13*(A909-AC909),0)</f>
        <v>0</v>
      </c>
      <c r="X909" s="10" t="n">
        <f aca="false">P909-IF(Q909,Inputs!$B$9,0)+W909</f>
        <v>983.862971216719</v>
      </c>
      <c r="Y909" s="11" t="n">
        <f aca="false">IF(V909,0,T909)</f>
        <v>0</v>
      </c>
      <c r="Z909" s="9" t="b">
        <f aca="false">AND(Y909&gt;0,K909)</f>
        <v>0</v>
      </c>
      <c r="AA909" s="9" t="b">
        <f aca="false">AND(Y909=0,J909,ISNUMBER(L909))</f>
        <v>0</v>
      </c>
      <c r="AB909" s="8" t="n">
        <f aca="false">IF(Q909,R909,AB908)</f>
        <v>0.863339701115261</v>
      </c>
      <c r="AC909" s="12" t="n">
        <f aca="false">IF(Q909,A909,AC908)</f>
        <v>45628</v>
      </c>
      <c r="AD909" s="8" t="n">
        <f aca="false">IF(Q909,B909,AD908)</f>
        <v>0.86316706770172</v>
      </c>
      <c r="AE909" s="8" t="str">
        <f aca="false">IF(AA909,L909,"")</f>
        <v/>
      </c>
      <c r="AF909" s="8" t="n">
        <f aca="false">U909</f>
        <v>0.84586578756897</v>
      </c>
      <c r="AG909" s="2" t="n">
        <f aca="false">AG908+IF(Q909,1,0)</f>
        <v>8</v>
      </c>
      <c r="AH909" s="2" t="n">
        <f aca="false">AG908</f>
        <v>8</v>
      </c>
      <c r="AI909" s="10" t="n">
        <f aca="false">X909+Y909*(E909-AB909)-Y909*AD909*Inputs!$B$13*(A909-AC909)</f>
        <v>983.862971216719</v>
      </c>
      <c r="AJ909" s="10" t="n">
        <v>0</v>
      </c>
      <c r="AK909" s="8" t="n">
        <f aca="false">IF(AND(B909&lt;=U909,NOT(Q909)),B909,U909)*(1-Inputs!$B$12)</f>
        <v>0.843405084480506</v>
      </c>
    </row>
    <row r="910" customFormat="false" ht="15" hidden="false" customHeight="false" outlineLevel="0" collapsed="false">
      <c r="A910" s="6" t="n">
        <v>45694</v>
      </c>
      <c r="B910" s="7" t="n">
        <v>0.849460076007986</v>
      </c>
      <c r="C910" s="7" t="n">
        <v>0.854089110265223</v>
      </c>
      <c r="D910" s="7" t="n">
        <v>0.84126919454029</v>
      </c>
      <c r="E910" s="7" t="n">
        <v>0.853534576559276</v>
      </c>
      <c r="F910" s="8" t="n">
        <f aca="true">IF(ROW()-2&gt;=Inputs!$B$4,AVERAGE(OFFSET(E910,1-Inputs!$B$4,0,Inputs!$B$4,1)),"")</f>
        <v>0.844888520463437</v>
      </c>
      <c r="G910" s="8" t="n">
        <f aca="true">IF(ROW()-2&gt;=Inputs!$B$5,AVERAGE(OFFSET(E910,1-Inputs!$B$5,0,Inputs!$B$5,1)),"")</f>
        <v>0.847469092222313</v>
      </c>
      <c r="H910" s="8" t="n">
        <f aca="false">MAX(C910-D910,ABS(C910-E909),ABS(D910-E909))</f>
        <v>0.0128199157249329</v>
      </c>
      <c r="I910" s="8" t="n">
        <f aca="true">IF(ROW()-2&lt;14,"",IF(ROW()-2=14,AVERAGE(OFFSET(H910,-13,0,14,1)),(I909*13+H910)/14))</f>
        <v>0.0094277196309799</v>
      </c>
      <c r="J910" s="9" t="b">
        <f aca="false">IF(AND(ISNUMBER(F910),ISNUMBER(G910),ISNUMBER(F909),ISNUMBER(G909)),AND(F910&gt;G910,F909&lt;=G909),FALSE())</f>
        <v>0</v>
      </c>
      <c r="K910" s="9" t="b">
        <f aca="false">IF(AND(ISNUMBER(F910),ISNUMBER(G910),ISNUMBER(F909),ISNUMBER(G909)),AND(F910&lt;G910,F909&gt;=G909),FALSE())</f>
        <v>0</v>
      </c>
      <c r="L910" s="8" t="n">
        <f aca="false">IF(ISNUMBER(I910),E910-Inputs!$B$6*I910,"")</f>
        <v>0.834679137297316</v>
      </c>
      <c r="M910" s="9" t="b">
        <f aca="false">AND(Y909&gt;0,Z909)</f>
        <v>0</v>
      </c>
      <c r="N910" s="8" t="n">
        <f aca="false">B910*(1-Inputs!$B$12)</f>
        <v>0.849290183992784</v>
      </c>
      <c r="O910" s="10" t="n">
        <f aca="false">IF(M910,Y909*(N910-AB909)-Inputs!$B$9-Y909*AD909*Inputs!$B$13*(A910-AC909),0)</f>
        <v>0</v>
      </c>
      <c r="P910" s="10" t="n">
        <f aca="false">X909+O910</f>
        <v>983.862971216719</v>
      </c>
      <c r="Q910" s="9" t="b">
        <f aca="false">AND(IF(M910,0,Y909)=0,AA909,IF(ISNUMBER(AE909),B910&gt;AE909,FALSE()))</f>
        <v>0</v>
      </c>
      <c r="R910" s="8" t="n">
        <f aca="false">B910*(1+Inputs!$B$12)</f>
        <v>0.849629968023187</v>
      </c>
      <c r="S910" s="11" t="n">
        <f aca="false">IF(Q910,MIN(P910*Inputs!$B$3/(R910-AE909),P910*Inputs!$B$11/R910),0)</f>
        <v>0</v>
      </c>
      <c r="T910" s="11" t="n">
        <f aca="false">IF(Q910,S910,IF(M910,0,Y909))</f>
        <v>0</v>
      </c>
      <c r="U910" s="8" t="n">
        <f aca="false">IF(Q910,AE909,AF909)</f>
        <v>0.84586578756897</v>
      </c>
      <c r="V910" s="9" t="b">
        <f aca="false">AND(T910&gt;0,D910&lt;=U910)</f>
        <v>0</v>
      </c>
      <c r="W910" s="10" t="n">
        <f aca="false">IF(V910,T910*(AK910-AB910)-Inputs!$B$9-T910*AD910*Inputs!$B$13*(A910-AC910),0)</f>
        <v>0</v>
      </c>
      <c r="X910" s="10" t="n">
        <f aca="false">P910-IF(Q910,Inputs!$B$9,0)+W910</f>
        <v>983.862971216719</v>
      </c>
      <c r="Y910" s="11" t="n">
        <f aca="false">IF(V910,0,T910)</f>
        <v>0</v>
      </c>
      <c r="Z910" s="9" t="b">
        <f aca="false">AND(Y910&gt;0,K910)</f>
        <v>0</v>
      </c>
      <c r="AA910" s="9" t="b">
        <f aca="false">AND(Y910=0,J910,ISNUMBER(L910))</f>
        <v>0</v>
      </c>
      <c r="AB910" s="8" t="n">
        <f aca="false">IF(Q910,R910,AB909)</f>
        <v>0.863339701115261</v>
      </c>
      <c r="AC910" s="12" t="n">
        <f aca="false">IF(Q910,A910,AC909)</f>
        <v>45628</v>
      </c>
      <c r="AD910" s="8" t="n">
        <f aca="false">IF(Q910,B910,AD909)</f>
        <v>0.86316706770172</v>
      </c>
      <c r="AE910" s="8" t="str">
        <f aca="false">IF(AA910,L910,"")</f>
        <v/>
      </c>
      <c r="AF910" s="8" t="n">
        <f aca="false">U910</f>
        <v>0.84586578756897</v>
      </c>
      <c r="AG910" s="2" t="n">
        <f aca="false">AG909+IF(Q910,1,0)</f>
        <v>8</v>
      </c>
      <c r="AH910" s="2" t="n">
        <f aca="false">AG909</f>
        <v>8</v>
      </c>
      <c r="AI910" s="10" t="n">
        <f aca="false">X910+Y910*(E910-AB910)-Y910*AD910*Inputs!$B$13*(A910-AC910)</f>
        <v>983.862971216719</v>
      </c>
      <c r="AJ910" s="10" t="n">
        <v>0</v>
      </c>
      <c r="AK910" s="8" t="n">
        <f aca="false">IF(AND(B910&lt;=U910,NOT(Q910)),B910,U910)*(1-Inputs!$B$12)</f>
        <v>0.845696614411456</v>
      </c>
    </row>
    <row r="911" customFormat="false" ht="15" hidden="false" customHeight="false" outlineLevel="0" collapsed="false">
      <c r="A911" s="6" t="n">
        <v>45695</v>
      </c>
      <c r="B911" s="7" t="n">
        <v>0.853534576559276</v>
      </c>
      <c r="C911" s="7" t="n">
        <v>0.856489332970713</v>
      </c>
      <c r="D911" s="7" t="n">
        <v>0.852543406625822</v>
      </c>
      <c r="E911" s="7" t="n">
        <v>0.853729939103203</v>
      </c>
      <c r="F911" s="8" t="n">
        <f aca="true">IF(ROW()-2&gt;=Inputs!$B$4,AVERAGE(OFFSET(E911,1-Inputs!$B$4,0,Inputs!$B$4,1)),"")</f>
        <v>0.844545693105411</v>
      </c>
      <c r="G911" s="8" t="n">
        <f aca="true">IF(ROW()-2&gt;=Inputs!$B$5,AVERAGE(OFFSET(E911,1-Inputs!$B$5,0,Inputs!$B$5,1)),"")</f>
        <v>0.847472569279806</v>
      </c>
      <c r="H911" s="8" t="n">
        <f aca="false">MAX(C911-D911,ABS(C911-E910),ABS(D911-E910))</f>
        <v>0.00394592634489144</v>
      </c>
      <c r="I911" s="8" t="n">
        <f aca="true">IF(ROW()-2&lt;14,"",IF(ROW()-2=14,AVERAGE(OFFSET(H911,-13,0,14,1)),(I910*13+H911)/14))</f>
        <v>0.00903616296768786</v>
      </c>
      <c r="J911" s="9" t="b">
        <f aca="false">IF(AND(ISNUMBER(F911),ISNUMBER(G911),ISNUMBER(F910),ISNUMBER(G910)),AND(F911&gt;G911,F910&lt;=G910),FALSE())</f>
        <v>0</v>
      </c>
      <c r="K911" s="9" t="b">
        <f aca="false">IF(AND(ISNUMBER(F911),ISNUMBER(G911),ISNUMBER(F910),ISNUMBER(G910)),AND(F911&lt;G911,F910&gt;=G910),FALSE())</f>
        <v>0</v>
      </c>
      <c r="L911" s="8" t="n">
        <f aca="false">IF(ISNUMBER(I911),E911-Inputs!$B$6*I911,"")</f>
        <v>0.835657613167827</v>
      </c>
      <c r="M911" s="9" t="b">
        <f aca="false">AND(Y910&gt;0,Z910)</f>
        <v>0</v>
      </c>
      <c r="N911" s="8" t="n">
        <f aca="false">B911*(1-Inputs!$B$12)</f>
        <v>0.853363869643964</v>
      </c>
      <c r="O911" s="10" t="n">
        <f aca="false">IF(M911,Y910*(N911-AB910)-Inputs!$B$9-Y910*AD910*Inputs!$B$13*(A911-AC910),0)</f>
        <v>0</v>
      </c>
      <c r="P911" s="10" t="n">
        <f aca="false">X910+O911</f>
        <v>983.862971216719</v>
      </c>
      <c r="Q911" s="9" t="b">
        <f aca="false">AND(IF(M911,0,Y910)=0,AA910,IF(ISNUMBER(AE910),B911&gt;AE910,FALSE()))</f>
        <v>0</v>
      </c>
      <c r="R911" s="8" t="n">
        <f aca="false">B911*(1+Inputs!$B$12)</f>
        <v>0.853705283474588</v>
      </c>
      <c r="S911" s="11" t="n">
        <f aca="false">IF(Q911,MIN(P911*Inputs!$B$3/(R911-AE910),P911*Inputs!$B$11/R911),0)</f>
        <v>0</v>
      </c>
      <c r="T911" s="11" t="n">
        <f aca="false">IF(Q911,S911,IF(M911,0,Y910))</f>
        <v>0</v>
      </c>
      <c r="U911" s="8" t="n">
        <f aca="false">IF(Q911,AE910,AF910)</f>
        <v>0.84586578756897</v>
      </c>
      <c r="V911" s="9" t="b">
        <f aca="false">AND(T911&gt;0,D911&lt;=U911)</f>
        <v>0</v>
      </c>
      <c r="W911" s="10" t="n">
        <f aca="false">IF(V911,T911*(AK911-AB911)-Inputs!$B$9-T911*AD911*Inputs!$B$13*(A911-AC911),0)</f>
        <v>0</v>
      </c>
      <c r="X911" s="10" t="n">
        <f aca="false">P911-IF(Q911,Inputs!$B$9,0)+W911</f>
        <v>983.862971216719</v>
      </c>
      <c r="Y911" s="11" t="n">
        <f aca="false">IF(V911,0,T911)</f>
        <v>0</v>
      </c>
      <c r="Z911" s="9" t="b">
        <f aca="false">AND(Y911&gt;0,K911)</f>
        <v>0</v>
      </c>
      <c r="AA911" s="9" t="b">
        <f aca="false">AND(Y911=0,J911,ISNUMBER(L911))</f>
        <v>0</v>
      </c>
      <c r="AB911" s="8" t="n">
        <f aca="false">IF(Q911,R911,AB910)</f>
        <v>0.863339701115261</v>
      </c>
      <c r="AC911" s="12" t="n">
        <f aca="false">IF(Q911,A911,AC910)</f>
        <v>45628</v>
      </c>
      <c r="AD911" s="8" t="n">
        <f aca="false">IF(Q911,B911,AD910)</f>
        <v>0.86316706770172</v>
      </c>
      <c r="AE911" s="8" t="str">
        <f aca="false">IF(AA911,L911,"")</f>
        <v/>
      </c>
      <c r="AF911" s="8" t="n">
        <f aca="false">U911</f>
        <v>0.84586578756897</v>
      </c>
      <c r="AG911" s="2" t="n">
        <f aca="false">AG910+IF(Q911,1,0)</f>
        <v>8</v>
      </c>
      <c r="AH911" s="2" t="n">
        <f aca="false">AG910</f>
        <v>8</v>
      </c>
      <c r="AI911" s="10" t="n">
        <f aca="false">X911+Y911*(E911-AB911)-Y911*AD911*Inputs!$B$13*(A911-AC911)</f>
        <v>983.862971216719</v>
      </c>
      <c r="AJ911" s="10" t="n">
        <v>0</v>
      </c>
      <c r="AK911" s="8" t="n">
        <f aca="false">IF(AND(B911&lt;=U911,NOT(Q911)),B911,U911)*(1-Inputs!$B$12)</f>
        <v>0.845696614411456</v>
      </c>
    </row>
    <row r="912" customFormat="false" ht="15" hidden="false" customHeight="false" outlineLevel="0" collapsed="false">
      <c r="A912" s="6" t="n">
        <v>45696</v>
      </c>
      <c r="B912" s="7" t="n">
        <v>0.853729939103203</v>
      </c>
      <c r="C912" s="7" t="n">
        <v>0.856179319369773</v>
      </c>
      <c r="D912" s="7" t="n">
        <v>0.84238001210863</v>
      </c>
      <c r="E912" s="7" t="n">
        <v>0.848104293026514</v>
      </c>
      <c r="F912" s="8" t="n">
        <f aca="true">IF(ROW()-2&gt;=Inputs!$B$4,AVERAGE(OFFSET(E912,1-Inputs!$B$4,0,Inputs!$B$4,1)),"")</f>
        <v>0.844128257601803</v>
      </c>
      <c r="G912" s="8" t="n">
        <f aca="true">IF(ROW()-2&gt;=Inputs!$B$5,AVERAGE(OFFSET(E912,1-Inputs!$B$5,0,Inputs!$B$5,1)),"")</f>
        <v>0.847289805398254</v>
      </c>
      <c r="H912" s="8" t="n">
        <f aca="false">MAX(C912-D912,ABS(C912-E911),ABS(D912-E911))</f>
        <v>0.0137993072611422</v>
      </c>
      <c r="I912" s="8" t="n">
        <f aca="true">IF(ROW()-2&lt;14,"",IF(ROW()-2=14,AVERAGE(OFFSET(H912,-13,0,14,1)),(I911*13+H912)/14))</f>
        <v>0.00937638756007746</v>
      </c>
      <c r="J912" s="9" t="b">
        <f aca="false">IF(AND(ISNUMBER(F912),ISNUMBER(G912),ISNUMBER(F911),ISNUMBER(G911)),AND(F912&gt;G912,F911&lt;=G911),FALSE())</f>
        <v>0</v>
      </c>
      <c r="K912" s="9" t="b">
        <f aca="false">IF(AND(ISNUMBER(F912),ISNUMBER(G912),ISNUMBER(F911),ISNUMBER(G911)),AND(F912&lt;G912,F911&gt;=G911),FALSE())</f>
        <v>0</v>
      </c>
      <c r="L912" s="8" t="n">
        <f aca="false">IF(ISNUMBER(I912),E912-Inputs!$B$6*I912,"")</f>
        <v>0.829351517906359</v>
      </c>
      <c r="M912" s="9" t="b">
        <f aca="false">AND(Y911&gt;0,Z911)</f>
        <v>0</v>
      </c>
      <c r="N912" s="8" t="n">
        <f aca="false">B912*(1-Inputs!$B$12)</f>
        <v>0.853559193115382</v>
      </c>
      <c r="O912" s="10" t="n">
        <f aca="false">IF(M912,Y911*(N912-AB911)-Inputs!$B$9-Y911*AD911*Inputs!$B$13*(A912-AC911),0)</f>
        <v>0</v>
      </c>
      <c r="P912" s="10" t="n">
        <f aca="false">X911+O912</f>
        <v>983.862971216719</v>
      </c>
      <c r="Q912" s="9" t="b">
        <f aca="false">AND(IF(M912,0,Y911)=0,AA911,IF(ISNUMBER(AE911),B912&gt;AE911,FALSE()))</f>
        <v>0</v>
      </c>
      <c r="R912" s="8" t="n">
        <f aca="false">B912*(1+Inputs!$B$12)</f>
        <v>0.853900685091023</v>
      </c>
      <c r="S912" s="11" t="n">
        <f aca="false">IF(Q912,MIN(P912*Inputs!$B$3/(R912-AE911),P912*Inputs!$B$11/R912),0)</f>
        <v>0</v>
      </c>
      <c r="T912" s="11" t="n">
        <f aca="false">IF(Q912,S912,IF(M912,0,Y911))</f>
        <v>0</v>
      </c>
      <c r="U912" s="8" t="n">
        <f aca="false">IF(Q912,AE911,AF911)</f>
        <v>0.84586578756897</v>
      </c>
      <c r="V912" s="9" t="b">
        <f aca="false">AND(T912&gt;0,D912&lt;=U912)</f>
        <v>0</v>
      </c>
      <c r="W912" s="10" t="n">
        <f aca="false">IF(V912,T912*(AK912-AB912)-Inputs!$B$9-T912*AD912*Inputs!$B$13*(A912-AC912),0)</f>
        <v>0</v>
      </c>
      <c r="X912" s="10" t="n">
        <f aca="false">P912-IF(Q912,Inputs!$B$9,0)+W912</f>
        <v>983.862971216719</v>
      </c>
      <c r="Y912" s="11" t="n">
        <f aca="false">IF(V912,0,T912)</f>
        <v>0</v>
      </c>
      <c r="Z912" s="9" t="b">
        <f aca="false">AND(Y912&gt;0,K912)</f>
        <v>0</v>
      </c>
      <c r="AA912" s="9" t="b">
        <f aca="false">AND(Y912=0,J912,ISNUMBER(L912))</f>
        <v>0</v>
      </c>
      <c r="AB912" s="8" t="n">
        <f aca="false">IF(Q912,R912,AB911)</f>
        <v>0.863339701115261</v>
      </c>
      <c r="AC912" s="12" t="n">
        <f aca="false">IF(Q912,A912,AC911)</f>
        <v>45628</v>
      </c>
      <c r="AD912" s="8" t="n">
        <f aca="false">IF(Q912,B912,AD911)</f>
        <v>0.86316706770172</v>
      </c>
      <c r="AE912" s="8" t="str">
        <f aca="false">IF(AA912,L912,"")</f>
        <v/>
      </c>
      <c r="AF912" s="8" t="n">
        <f aca="false">U912</f>
        <v>0.84586578756897</v>
      </c>
      <c r="AG912" s="2" t="n">
        <f aca="false">AG911+IF(Q912,1,0)</f>
        <v>8</v>
      </c>
      <c r="AH912" s="2" t="n">
        <f aca="false">AG911</f>
        <v>8</v>
      </c>
      <c r="AI912" s="10" t="n">
        <f aca="false">X912+Y912*(E912-AB912)-Y912*AD912*Inputs!$B$13*(A912-AC912)</f>
        <v>983.862971216719</v>
      </c>
      <c r="AJ912" s="10" t="n">
        <v>0</v>
      </c>
      <c r="AK912" s="8" t="n">
        <f aca="false">IF(AND(B912&lt;=U912,NOT(Q912)),B912,U912)*(1-Inputs!$B$12)</f>
        <v>0.845696614411456</v>
      </c>
    </row>
    <row r="913" customFormat="false" ht="15" hidden="false" customHeight="false" outlineLevel="0" collapsed="false">
      <c r="A913" s="6" t="n">
        <v>45697</v>
      </c>
      <c r="B913" s="7" t="n">
        <v>0.848104293026514</v>
      </c>
      <c r="C913" s="7" t="n">
        <v>0.849283466836753</v>
      </c>
      <c r="D913" s="7" t="n">
        <v>0.839263172736025</v>
      </c>
      <c r="E913" s="7" t="n">
        <v>0.844709852268482</v>
      </c>
      <c r="F913" s="8" t="n">
        <f aca="true">IF(ROW()-2&gt;=Inputs!$B$4,AVERAGE(OFFSET(E913,1-Inputs!$B$4,0,Inputs!$B$4,1)),"")</f>
        <v>0.843892746684741</v>
      </c>
      <c r="G913" s="8" t="n">
        <f aca="true">IF(ROW()-2&gt;=Inputs!$B$5,AVERAGE(OFFSET(E913,1-Inputs!$B$5,0,Inputs!$B$5,1)),"")</f>
        <v>0.847046274227789</v>
      </c>
      <c r="H913" s="8" t="n">
        <f aca="false">MAX(C913-D913,ABS(C913-E912),ABS(D913-E912))</f>
        <v>0.010020294100728</v>
      </c>
      <c r="I913" s="8" t="n">
        <f aca="true">IF(ROW()-2&lt;14,"",IF(ROW()-2=14,AVERAGE(OFFSET(H913,-13,0,14,1)),(I912*13+H913)/14))</f>
        <v>0.00942238088440964</v>
      </c>
      <c r="J913" s="9" t="b">
        <f aca="false">IF(AND(ISNUMBER(F913),ISNUMBER(G913),ISNUMBER(F912),ISNUMBER(G912)),AND(F913&gt;G913,F912&lt;=G912),FALSE())</f>
        <v>0</v>
      </c>
      <c r="K913" s="9" t="b">
        <f aca="false">IF(AND(ISNUMBER(F913),ISNUMBER(G913),ISNUMBER(F912),ISNUMBER(G912)),AND(F913&lt;G913,F912&gt;=G912),FALSE())</f>
        <v>0</v>
      </c>
      <c r="L913" s="8" t="n">
        <f aca="false">IF(ISNUMBER(I913),E913-Inputs!$B$6*I913,"")</f>
        <v>0.825865090499662</v>
      </c>
      <c r="M913" s="9" t="b">
        <f aca="false">AND(Y912&gt;0,Z912)</f>
        <v>0</v>
      </c>
      <c r="N913" s="8" t="n">
        <f aca="false">B913*(1-Inputs!$B$12)</f>
        <v>0.847934672167909</v>
      </c>
      <c r="O913" s="10" t="n">
        <f aca="false">IF(M913,Y912*(N913-AB912)-Inputs!$B$9-Y912*AD912*Inputs!$B$13*(A913-AC912),0)</f>
        <v>0</v>
      </c>
      <c r="P913" s="10" t="n">
        <f aca="false">X912+O913</f>
        <v>983.862971216719</v>
      </c>
      <c r="Q913" s="9" t="b">
        <f aca="false">AND(IF(M913,0,Y912)=0,AA912,IF(ISNUMBER(AE912),B913&gt;AE912,FALSE()))</f>
        <v>0</v>
      </c>
      <c r="R913" s="8" t="n">
        <f aca="false">B913*(1+Inputs!$B$12)</f>
        <v>0.848273913885119</v>
      </c>
      <c r="S913" s="11" t="n">
        <f aca="false">IF(Q913,MIN(P913*Inputs!$B$3/(R913-AE912),P913*Inputs!$B$11/R913),0)</f>
        <v>0</v>
      </c>
      <c r="T913" s="11" t="n">
        <f aca="false">IF(Q913,S913,IF(M913,0,Y912))</f>
        <v>0</v>
      </c>
      <c r="U913" s="8" t="n">
        <f aca="false">IF(Q913,AE912,AF912)</f>
        <v>0.84586578756897</v>
      </c>
      <c r="V913" s="9" t="b">
        <f aca="false">AND(T913&gt;0,D913&lt;=U913)</f>
        <v>0</v>
      </c>
      <c r="W913" s="10" t="n">
        <f aca="false">IF(V913,T913*(AK913-AB913)-Inputs!$B$9-T913*AD913*Inputs!$B$13*(A913-AC913),0)</f>
        <v>0</v>
      </c>
      <c r="X913" s="10" t="n">
        <f aca="false">P913-IF(Q913,Inputs!$B$9,0)+W913</f>
        <v>983.862971216719</v>
      </c>
      <c r="Y913" s="11" t="n">
        <f aca="false">IF(V913,0,T913)</f>
        <v>0</v>
      </c>
      <c r="Z913" s="9" t="b">
        <f aca="false">AND(Y913&gt;0,K913)</f>
        <v>0</v>
      </c>
      <c r="AA913" s="9" t="b">
        <f aca="false">AND(Y913=0,J913,ISNUMBER(L913))</f>
        <v>0</v>
      </c>
      <c r="AB913" s="8" t="n">
        <f aca="false">IF(Q913,R913,AB912)</f>
        <v>0.863339701115261</v>
      </c>
      <c r="AC913" s="12" t="n">
        <f aca="false">IF(Q913,A913,AC912)</f>
        <v>45628</v>
      </c>
      <c r="AD913" s="8" t="n">
        <f aca="false">IF(Q913,B913,AD912)</f>
        <v>0.86316706770172</v>
      </c>
      <c r="AE913" s="8" t="str">
        <f aca="false">IF(AA913,L913,"")</f>
        <v/>
      </c>
      <c r="AF913" s="8" t="n">
        <f aca="false">U913</f>
        <v>0.84586578756897</v>
      </c>
      <c r="AG913" s="2" t="n">
        <f aca="false">AG912+IF(Q913,1,0)</f>
        <v>8</v>
      </c>
      <c r="AH913" s="2" t="n">
        <f aca="false">AG912</f>
        <v>8</v>
      </c>
      <c r="AI913" s="10" t="n">
        <f aca="false">X913+Y913*(E913-AB913)-Y913*AD913*Inputs!$B$13*(A913-AC913)</f>
        <v>983.862971216719</v>
      </c>
      <c r="AJ913" s="10" t="n">
        <v>0</v>
      </c>
      <c r="AK913" s="8" t="n">
        <f aca="false">IF(AND(B913&lt;=U913,NOT(Q913)),B913,U913)*(1-Inputs!$B$12)</f>
        <v>0.845696614411456</v>
      </c>
    </row>
    <row r="914" customFormat="false" ht="15" hidden="false" customHeight="false" outlineLevel="0" collapsed="false">
      <c r="A914" s="6" t="n">
        <v>45698</v>
      </c>
      <c r="B914" s="7" t="n">
        <v>0.844709852268482</v>
      </c>
      <c r="C914" s="7" t="n">
        <v>0.850171063095193</v>
      </c>
      <c r="D914" s="7" t="n">
        <v>0.84226130089219</v>
      </c>
      <c r="E914" s="7" t="n">
        <v>0.849811776247796</v>
      </c>
      <c r="F914" s="8" t="n">
        <f aca="true">IF(ROW()-2&gt;=Inputs!$B$4,AVERAGE(OFFSET(E914,1-Inputs!$B$4,0,Inputs!$B$4,1)),"")</f>
        <v>0.843852744692411</v>
      </c>
      <c r="G914" s="8" t="n">
        <f aca="true">IF(ROW()-2&gt;=Inputs!$B$5,AVERAGE(OFFSET(E914,1-Inputs!$B$5,0,Inputs!$B$5,1)),"")</f>
        <v>0.846965805968433</v>
      </c>
      <c r="H914" s="8" t="n">
        <f aca="false">MAX(C914-D914,ABS(C914-E913),ABS(D914-E913))</f>
        <v>0.00790976220300221</v>
      </c>
      <c r="I914" s="8" t="n">
        <f aca="true">IF(ROW()-2&lt;14,"",IF(ROW()-2=14,AVERAGE(OFFSET(H914,-13,0,14,1)),(I913*13+H914)/14))</f>
        <v>0.00931433669288054</v>
      </c>
      <c r="J914" s="9" t="b">
        <f aca="false">IF(AND(ISNUMBER(F914),ISNUMBER(G914),ISNUMBER(F913),ISNUMBER(G913)),AND(F914&gt;G914,F913&lt;=G913),FALSE())</f>
        <v>0</v>
      </c>
      <c r="K914" s="9" t="b">
        <f aca="false">IF(AND(ISNUMBER(F914),ISNUMBER(G914),ISNUMBER(F913),ISNUMBER(G913)),AND(F914&lt;G914,F913&gt;=G913),FALSE())</f>
        <v>0</v>
      </c>
      <c r="L914" s="8" t="n">
        <f aca="false">IF(ISNUMBER(I914),E914-Inputs!$B$6*I914,"")</f>
        <v>0.831183102862035</v>
      </c>
      <c r="M914" s="9" t="b">
        <f aca="false">AND(Y913&gt;0,Z913)</f>
        <v>0</v>
      </c>
      <c r="N914" s="8" t="n">
        <f aca="false">B914*(1-Inputs!$B$12)</f>
        <v>0.844540910298028</v>
      </c>
      <c r="O914" s="10" t="n">
        <f aca="false">IF(M914,Y913*(N914-AB913)-Inputs!$B$9-Y913*AD913*Inputs!$B$13*(A914-AC913),0)</f>
        <v>0</v>
      </c>
      <c r="P914" s="10" t="n">
        <f aca="false">X913+O914</f>
        <v>983.862971216719</v>
      </c>
      <c r="Q914" s="9" t="b">
        <f aca="false">AND(IF(M914,0,Y913)=0,AA913,IF(ISNUMBER(AE913),B914&gt;AE913,FALSE()))</f>
        <v>0</v>
      </c>
      <c r="R914" s="8" t="n">
        <f aca="false">B914*(1+Inputs!$B$12)</f>
        <v>0.844878794238935</v>
      </c>
      <c r="S914" s="11" t="n">
        <f aca="false">IF(Q914,MIN(P914*Inputs!$B$3/(R914-AE913),P914*Inputs!$B$11/R914),0)</f>
        <v>0</v>
      </c>
      <c r="T914" s="11" t="n">
        <f aca="false">IF(Q914,S914,IF(M914,0,Y913))</f>
        <v>0</v>
      </c>
      <c r="U914" s="8" t="n">
        <f aca="false">IF(Q914,AE913,AF913)</f>
        <v>0.84586578756897</v>
      </c>
      <c r="V914" s="9" t="b">
        <f aca="false">AND(T914&gt;0,D914&lt;=U914)</f>
        <v>0</v>
      </c>
      <c r="W914" s="10" t="n">
        <f aca="false">IF(V914,T914*(AK914-AB914)-Inputs!$B$9-T914*AD914*Inputs!$B$13*(A914-AC914),0)</f>
        <v>0</v>
      </c>
      <c r="X914" s="10" t="n">
        <f aca="false">P914-IF(Q914,Inputs!$B$9,0)+W914</f>
        <v>983.862971216719</v>
      </c>
      <c r="Y914" s="11" t="n">
        <f aca="false">IF(V914,0,T914)</f>
        <v>0</v>
      </c>
      <c r="Z914" s="9" t="b">
        <f aca="false">AND(Y914&gt;0,K914)</f>
        <v>0</v>
      </c>
      <c r="AA914" s="9" t="b">
        <f aca="false">AND(Y914=0,J914,ISNUMBER(L914))</f>
        <v>0</v>
      </c>
      <c r="AB914" s="8" t="n">
        <f aca="false">IF(Q914,R914,AB913)</f>
        <v>0.863339701115261</v>
      </c>
      <c r="AC914" s="12" t="n">
        <f aca="false">IF(Q914,A914,AC913)</f>
        <v>45628</v>
      </c>
      <c r="AD914" s="8" t="n">
        <f aca="false">IF(Q914,B914,AD913)</f>
        <v>0.86316706770172</v>
      </c>
      <c r="AE914" s="8" t="str">
        <f aca="false">IF(AA914,L914,"")</f>
        <v/>
      </c>
      <c r="AF914" s="8" t="n">
        <f aca="false">U914</f>
        <v>0.84586578756897</v>
      </c>
      <c r="AG914" s="2" t="n">
        <f aca="false">AG913+IF(Q914,1,0)</f>
        <v>8</v>
      </c>
      <c r="AH914" s="2" t="n">
        <f aca="false">AG913</f>
        <v>8</v>
      </c>
      <c r="AI914" s="10" t="n">
        <f aca="false">X914+Y914*(E914-AB914)-Y914*AD914*Inputs!$B$13*(A914-AC914)</f>
        <v>983.862971216719</v>
      </c>
      <c r="AJ914" s="10" t="n">
        <v>0</v>
      </c>
      <c r="AK914" s="8" t="n">
        <f aca="false">IF(AND(B914&lt;=U914,NOT(Q914)),B914,U914)*(1-Inputs!$B$12)</f>
        <v>0.844540910298028</v>
      </c>
    </row>
    <row r="915" customFormat="false" ht="15" hidden="false" customHeight="false" outlineLevel="0" collapsed="false">
      <c r="A915" s="6" t="n">
        <v>45699</v>
      </c>
      <c r="B915" s="7" t="n">
        <v>0.849811776247796</v>
      </c>
      <c r="C915" s="7" t="n">
        <v>0.854258582222544</v>
      </c>
      <c r="D915" s="7" t="n">
        <v>0.846072405308377</v>
      </c>
      <c r="E915" s="7" t="n">
        <v>0.846840974614118</v>
      </c>
      <c r="F915" s="8" t="n">
        <f aca="true">IF(ROW()-2&gt;=Inputs!$B$4,AVERAGE(OFFSET(E915,1-Inputs!$B$4,0,Inputs!$B$4,1)),"")</f>
        <v>0.84378901227437</v>
      </c>
      <c r="G915" s="8" t="n">
        <f aca="true">IF(ROW()-2&gt;=Inputs!$B$5,AVERAGE(OFFSET(E915,1-Inputs!$B$5,0,Inputs!$B$5,1)),"")</f>
        <v>0.846814758948579</v>
      </c>
      <c r="H915" s="8" t="n">
        <f aca="false">MAX(C915-D915,ABS(C915-E914),ABS(D915-E914))</f>
        <v>0.00818617691416701</v>
      </c>
      <c r="I915" s="8" t="n">
        <f aca="true">IF(ROW()-2&lt;14,"",IF(ROW()-2=14,AVERAGE(OFFSET(H915,-13,0,14,1)),(I914*13+H915)/14))</f>
        <v>0.00923375385154386</v>
      </c>
      <c r="J915" s="9" t="b">
        <f aca="false">IF(AND(ISNUMBER(F915),ISNUMBER(G915),ISNUMBER(F914),ISNUMBER(G914)),AND(F915&gt;G915,F914&lt;=G914),FALSE())</f>
        <v>0</v>
      </c>
      <c r="K915" s="9" t="b">
        <f aca="false">IF(AND(ISNUMBER(F915),ISNUMBER(G915),ISNUMBER(F914),ISNUMBER(G914)),AND(F915&lt;G915,F914&gt;=G914),FALSE())</f>
        <v>0</v>
      </c>
      <c r="L915" s="8" t="n">
        <f aca="false">IF(ISNUMBER(I915),E915-Inputs!$B$6*I915,"")</f>
        <v>0.828373466911031</v>
      </c>
      <c r="M915" s="9" t="b">
        <f aca="false">AND(Y914&gt;0,Z914)</f>
        <v>0</v>
      </c>
      <c r="N915" s="8" t="n">
        <f aca="false">B915*(1-Inputs!$B$12)</f>
        <v>0.849641813892547</v>
      </c>
      <c r="O915" s="10" t="n">
        <f aca="false">IF(M915,Y914*(N915-AB914)-Inputs!$B$9-Y914*AD914*Inputs!$B$13*(A915-AC914),0)</f>
        <v>0</v>
      </c>
      <c r="P915" s="10" t="n">
        <f aca="false">X914+O915</f>
        <v>983.862971216719</v>
      </c>
      <c r="Q915" s="9" t="b">
        <f aca="false">AND(IF(M915,0,Y914)=0,AA914,IF(ISNUMBER(AE914),B915&gt;AE914,FALSE()))</f>
        <v>0</v>
      </c>
      <c r="R915" s="8" t="n">
        <f aca="false">B915*(1+Inputs!$B$12)</f>
        <v>0.849981738603046</v>
      </c>
      <c r="S915" s="11" t="n">
        <f aca="false">IF(Q915,MIN(P915*Inputs!$B$3/(R915-AE914),P915*Inputs!$B$11/R915),0)</f>
        <v>0</v>
      </c>
      <c r="T915" s="11" t="n">
        <f aca="false">IF(Q915,S915,IF(M915,0,Y914))</f>
        <v>0</v>
      </c>
      <c r="U915" s="8" t="n">
        <f aca="false">IF(Q915,AE914,AF914)</f>
        <v>0.84586578756897</v>
      </c>
      <c r="V915" s="9" t="b">
        <f aca="false">AND(T915&gt;0,D915&lt;=U915)</f>
        <v>0</v>
      </c>
      <c r="W915" s="10" t="n">
        <f aca="false">IF(V915,T915*(AK915-AB915)-Inputs!$B$9-T915*AD915*Inputs!$B$13*(A915-AC915),0)</f>
        <v>0</v>
      </c>
      <c r="X915" s="10" t="n">
        <f aca="false">P915-IF(Q915,Inputs!$B$9,0)+W915</f>
        <v>983.862971216719</v>
      </c>
      <c r="Y915" s="11" t="n">
        <f aca="false">IF(V915,0,T915)</f>
        <v>0</v>
      </c>
      <c r="Z915" s="9" t="b">
        <f aca="false">AND(Y915&gt;0,K915)</f>
        <v>0</v>
      </c>
      <c r="AA915" s="9" t="b">
        <f aca="false">AND(Y915=0,J915,ISNUMBER(L915))</f>
        <v>0</v>
      </c>
      <c r="AB915" s="8" t="n">
        <f aca="false">IF(Q915,R915,AB914)</f>
        <v>0.863339701115261</v>
      </c>
      <c r="AC915" s="12" t="n">
        <f aca="false">IF(Q915,A915,AC914)</f>
        <v>45628</v>
      </c>
      <c r="AD915" s="8" t="n">
        <f aca="false">IF(Q915,B915,AD914)</f>
        <v>0.86316706770172</v>
      </c>
      <c r="AE915" s="8" t="str">
        <f aca="false">IF(AA915,L915,"")</f>
        <v/>
      </c>
      <c r="AF915" s="8" t="n">
        <f aca="false">U915</f>
        <v>0.84586578756897</v>
      </c>
      <c r="AG915" s="2" t="n">
        <f aca="false">AG914+IF(Q915,1,0)</f>
        <v>8</v>
      </c>
      <c r="AH915" s="2" t="n">
        <f aca="false">AG914</f>
        <v>8</v>
      </c>
      <c r="AI915" s="10" t="n">
        <f aca="false">X915+Y915*(E915-AB915)-Y915*AD915*Inputs!$B$13*(A915-AC915)</f>
        <v>983.862971216719</v>
      </c>
      <c r="AJ915" s="10" t="n">
        <v>0</v>
      </c>
      <c r="AK915" s="8" t="n">
        <f aca="false">IF(AND(B915&lt;=U915,NOT(Q915)),B915,U915)*(1-Inputs!$B$12)</f>
        <v>0.845696614411456</v>
      </c>
    </row>
    <row r="916" customFormat="false" ht="15" hidden="false" customHeight="false" outlineLevel="0" collapsed="false">
      <c r="A916" s="6" t="n">
        <v>45700</v>
      </c>
      <c r="B916" s="7" t="n">
        <v>0.846840974614118</v>
      </c>
      <c r="C916" s="7" t="n">
        <v>0.847102561334034</v>
      </c>
      <c r="D916" s="7" t="n">
        <v>0.843615430756043</v>
      </c>
      <c r="E916" s="7" t="n">
        <v>0.845921957790884</v>
      </c>
      <c r="F916" s="8" t="n">
        <f aca="true">IF(ROW()-2&gt;=Inputs!$B$4,AVERAGE(OFFSET(E916,1-Inputs!$B$4,0,Inputs!$B$4,1)),"")</f>
        <v>0.843535023992937</v>
      </c>
      <c r="G916" s="8" t="n">
        <f aca="true">IF(ROW()-2&gt;=Inputs!$B$5,AVERAGE(OFFSET(E916,1-Inputs!$B$5,0,Inputs!$B$5,1)),"")</f>
        <v>0.846671260655049</v>
      </c>
      <c r="H916" s="8" t="n">
        <f aca="false">MAX(C916-D916,ABS(C916-E915),ABS(D916-E915))</f>
        <v>0.0034871305779911</v>
      </c>
      <c r="I916" s="8" t="n">
        <f aca="true">IF(ROW()-2&lt;14,"",IF(ROW()-2=14,AVERAGE(OFFSET(H916,-13,0,14,1)),(I915*13+H916)/14))</f>
        <v>0.0088232807605758</v>
      </c>
      <c r="J916" s="9" t="b">
        <f aca="false">IF(AND(ISNUMBER(F916),ISNUMBER(G916),ISNUMBER(F915),ISNUMBER(G915)),AND(F916&gt;G916,F915&lt;=G915),FALSE())</f>
        <v>0</v>
      </c>
      <c r="K916" s="9" t="b">
        <f aca="false">IF(AND(ISNUMBER(F916),ISNUMBER(G916),ISNUMBER(F915),ISNUMBER(G915)),AND(F916&lt;G916,F915&gt;=G915),FALSE())</f>
        <v>0</v>
      </c>
      <c r="L916" s="8" t="n">
        <f aca="false">IF(ISNUMBER(I916),E916-Inputs!$B$6*I916,"")</f>
        <v>0.828275396269732</v>
      </c>
      <c r="M916" s="9" t="b">
        <f aca="false">AND(Y915&gt;0,Z915)</f>
        <v>0</v>
      </c>
      <c r="N916" s="8" t="n">
        <f aca="false">B916*(1-Inputs!$B$12)</f>
        <v>0.846671606419195</v>
      </c>
      <c r="O916" s="10" t="n">
        <f aca="false">IF(M916,Y915*(N916-AB915)-Inputs!$B$9-Y915*AD915*Inputs!$B$13*(A916-AC915),0)</f>
        <v>0</v>
      </c>
      <c r="P916" s="10" t="n">
        <f aca="false">X915+O916</f>
        <v>983.862971216719</v>
      </c>
      <c r="Q916" s="9" t="b">
        <f aca="false">AND(IF(M916,0,Y915)=0,AA915,IF(ISNUMBER(AE915),B916&gt;AE915,FALSE()))</f>
        <v>0</v>
      </c>
      <c r="R916" s="8" t="n">
        <f aca="false">B916*(1+Inputs!$B$12)</f>
        <v>0.847010342809041</v>
      </c>
      <c r="S916" s="11" t="n">
        <f aca="false">IF(Q916,MIN(P916*Inputs!$B$3/(R916-AE915),P916*Inputs!$B$11/R916),0)</f>
        <v>0</v>
      </c>
      <c r="T916" s="11" t="n">
        <f aca="false">IF(Q916,S916,IF(M916,0,Y915))</f>
        <v>0</v>
      </c>
      <c r="U916" s="8" t="n">
        <f aca="false">IF(Q916,AE915,AF915)</f>
        <v>0.84586578756897</v>
      </c>
      <c r="V916" s="9" t="b">
        <f aca="false">AND(T916&gt;0,D916&lt;=U916)</f>
        <v>0</v>
      </c>
      <c r="W916" s="10" t="n">
        <f aca="false">IF(V916,T916*(AK916-AB916)-Inputs!$B$9-T916*AD916*Inputs!$B$13*(A916-AC916),0)</f>
        <v>0</v>
      </c>
      <c r="X916" s="10" t="n">
        <f aca="false">P916-IF(Q916,Inputs!$B$9,0)+W916</f>
        <v>983.862971216719</v>
      </c>
      <c r="Y916" s="11" t="n">
        <f aca="false">IF(V916,0,T916)</f>
        <v>0</v>
      </c>
      <c r="Z916" s="9" t="b">
        <f aca="false">AND(Y916&gt;0,K916)</f>
        <v>0</v>
      </c>
      <c r="AA916" s="9" t="b">
        <f aca="false">AND(Y916=0,J916,ISNUMBER(L916))</f>
        <v>0</v>
      </c>
      <c r="AB916" s="8" t="n">
        <f aca="false">IF(Q916,R916,AB915)</f>
        <v>0.863339701115261</v>
      </c>
      <c r="AC916" s="12" t="n">
        <f aca="false">IF(Q916,A916,AC915)</f>
        <v>45628</v>
      </c>
      <c r="AD916" s="8" t="n">
        <f aca="false">IF(Q916,B916,AD915)</f>
        <v>0.86316706770172</v>
      </c>
      <c r="AE916" s="8" t="str">
        <f aca="false">IF(AA916,L916,"")</f>
        <v/>
      </c>
      <c r="AF916" s="8" t="n">
        <f aca="false">U916</f>
        <v>0.84586578756897</v>
      </c>
      <c r="AG916" s="2" t="n">
        <f aca="false">AG915+IF(Q916,1,0)</f>
        <v>8</v>
      </c>
      <c r="AH916" s="2" t="n">
        <f aca="false">AG915</f>
        <v>8</v>
      </c>
      <c r="AI916" s="10" t="n">
        <f aca="false">X916+Y916*(E916-AB916)-Y916*AD916*Inputs!$B$13*(A916-AC916)</f>
        <v>983.862971216719</v>
      </c>
      <c r="AJ916" s="10" t="n">
        <v>0</v>
      </c>
      <c r="AK916" s="8" t="n">
        <f aca="false">IF(AND(B916&lt;=U916,NOT(Q916)),B916,U916)*(1-Inputs!$B$12)</f>
        <v>0.845696614411456</v>
      </c>
    </row>
    <row r="917" customFormat="false" ht="15" hidden="false" customHeight="false" outlineLevel="0" collapsed="false">
      <c r="A917" s="6" t="n">
        <v>45701</v>
      </c>
      <c r="B917" s="7" t="n">
        <v>0.845921957790884</v>
      </c>
      <c r="C917" s="7" t="n">
        <v>0.854000108161139</v>
      </c>
      <c r="D917" s="7" t="n">
        <v>0.844517219929568</v>
      </c>
      <c r="E917" s="7" t="n">
        <v>0.853027898066808</v>
      </c>
      <c r="F917" s="8" t="n">
        <f aca="true">IF(ROW()-2&gt;=Inputs!$B$4,AVERAGE(OFFSET(E917,1-Inputs!$B$4,0,Inputs!$B$4,1)),"")</f>
        <v>0.843814923485073</v>
      </c>
      <c r="G917" s="8" t="n">
        <f aca="true">IF(ROW()-2&gt;=Inputs!$B$5,AVERAGE(OFFSET(E917,1-Inputs!$B$5,0,Inputs!$B$5,1)),"")</f>
        <v>0.846672132429632</v>
      </c>
      <c r="H917" s="8" t="n">
        <f aca="false">MAX(C917-D917,ABS(C917-E916),ABS(D917-E916))</f>
        <v>0.0094828882315714</v>
      </c>
      <c r="I917" s="8" t="n">
        <f aca="true">IF(ROW()-2&lt;14,"",IF(ROW()-2=14,AVERAGE(OFFSET(H917,-13,0,14,1)),(I916*13+H917)/14))</f>
        <v>0.00887039557993263</v>
      </c>
      <c r="J917" s="9" t="b">
        <f aca="false">IF(AND(ISNUMBER(F917),ISNUMBER(G917),ISNUMBER(F916),ISNUMBER(G916)),AND(F917&gt;G917,F916&lt;=G916),FALSE())</f>
        <v>0</v>
      </c>
      <c r="K917" s="9" t="b">
        <f aca="false">IF(AND(ISNUMBER(F917),ISNUMBER(G917),ISNUMBER(F916),ISNUMBER(G916)),AND(F917&lt;G917,F916&gt;=G916),FALSE())</f>
        <v>0</v>
      </c>
      <c r="L917" s="8" t="n">
        <f aca="false">IF(ISNUMBER(I917),E917-Inputs!$B$6*I917,"")</f>
        <v>0.835287106906942</v>
      </c>
      <c r="M917" s="9" t="b">
        <f aca="false">AND(Y916&gt;0,Z916)</f>
        <v>0</v>
      </c>
      <c r="N917" s="8" t="n">
        <f aca="false">B917*(1-Inputs!$B$12)</f>
        <v>0.845752773399326</v>
      </c>
      <c r="O917" s="10" t="n">
        <f aca="false">IF(M917,Y916*(N917-AB916)-Inputs!$B$9-Y916*AD916*Inputs!$B$13*(A917-AC916),0)</f>
        <v>0</v>
      </c>
      <c r="P917" s="10" t="n">
        <f aca="false">X916+O917</f>
        <v>983.862971216719</v>
      </c>
      <c r="Q917" s="9" t="b">
        <f aca="false">AND(IF(M917,0,Y916)=0,AA916,IF(ISNUMBER(AE916),B917&gt;AE916,FALSE()))</f>
        <v>0</v>
      </c>
      <c r="R917" s="8" t="n">
        <f aca="false">B917*(1+Inputs!$B$12)</f>
        <v>0.846091142182442</v>
      </c>
      <c r="S917" s="11" t="n">
        <f aca="false">IF(Q917,MIN(P917*Inputs!$B$3/(R917-AE916),P917*Inputs!$B$11/R917),0)</f>
        <v>0</v>
      </c>
      <c r="T917" s="11" t="n">
        <f aca="false">IF(Q917,S917,IF(M917,0,Y916))</f>
        <v>0</v>
      </c>
      <c r="U917" s="8" t="n">
        <f aca="false">IF(Q917,AE916,AF916)</f>
        <v>0.84586578756897</v>
      </c>
      <c r="V917" s="9" t="b">
        <f aca="false">AND(T917&gt;0,D917&lt;=U917)</f>
        <v>0</v>
      </c>
      <c r="W917" s="10" t="n">
        <f aca="false">IF(V917,T917*(AK917-AB917)-Inputs!$B$9-T917*AD917*Inputs!$B$13*(A917-AC917),0)</f>
        <v>0</v>
      </c>
      <c r="X917" s="10" t="n">
        <f aca="false">P917-IF(Q917,Inputs!$B$9,0)+W917</f>
        <v>983.862971216719</v>
      </c>
      <c r="Y917" s="11" t="n">
        <f aca="false">IF(V917,0,T917)</f>
        <v>0</v>
      </c>
      <c r="Z917" s="9" t="b">
        <f aca="false">AND(Y917&gt;0,K917)</f>
        <v>0</v>
      </c>
      <c r="AA917" s="9" t="b">
        <f aca="false">AND(Y917=0,J917,ISNUMBER(L917))</f>
        <v>0</v>
      </c>
      <c r="AB917" s="8" t="n">
        <f aca="false">IF(Q917,R917,AB916)</f>
        <v>0.863339701115261</v>
      </c>
      <c r="AC917" s="12" t="n">
        <f aca="false">IF(Q917,A917,AC916)</f>
        <v>45628</v>
      </c>
      <c r="AD917" s="8" t="n">
        <f aca="false">IF(Q917,B917,AD916)</f>
        <v>0.86316706770172</v>
      </c>
      <c r="AE917" s="8" t="str">
        <f aca="false">IF(AA917,L917,"")</f>
        <v/>
      </c>
      <c r="AF917" s="8" t="n">
        <f aca="false">U917</f>
        <v>0.84586578756897</v>
      </c>
      <c r="AG917" s="2" t="n">
        <f aca="false">AG916+IF(Q917,1,0)</f>
        <v>8</v>
      </c>
      <c r="AH917" s="2" t="n">
        <f aca="false">AG916</f>
        <v>8</v>
      </c>
      <c r="AI917" s="10" t="n">
        <f aca="false">X917+Y917*(E917-AB917)-Y917*AD917*Inputs!$B$13*(A917-AC917)</f>
        <v>983.862971216719</v>
      </c>
      <c r="AJ917" s="10" t="n">
        <v>0</v>
      </c>
      <c r="AK917" s="8" t="n">
        <f aca="false">IF(AND(B917&lt;=U917,NOT(Q917)),B917,U917)*(1-Inputs!$B$12)</f>
        <v>0.845696614411456</v>
      </c>
    </row>
    <row r="918" customFormat="false" ht="15" hidden="false" customHeight="false" outlineLevel="0" collapsed="false">
      <c r="A918" s="6" t="n">
        <v>45702</v>
      </c>
      <c r="B918" s="7" t="n">
        <v>0.853027898066808</v>
      </c>
      <c r="C918" s="7" t="n">
        <v>0.865138673566933</v>
      </c>
      <c r="D918" s="7" t="n">
        <v>0.848876727925121</v>
      </c>
      <c r="E918" s="7" t="n">
        <v>0.860482263648336</v>
      </c>
      <c r="F918" s="8" t="n">
        <f aca="true">IF(ROW()-2&gt;=Inputs!$B$4,AVERAGE(OFFSET(E918,1-Inputs!$B$4,0,Inputs!$B$4,1)),"")</f>
        <v>0.844660084268881</v>
      </c>
      <c r="G918" s="8" t="n">
        <f aca="true">IF(ROW()-2&gt;=Inputs!$B$5,AVERAGE(OFFSET(E918,1-Inputs!$B$5,0,Inputs!$B$5,1)),"")</f>
        <v>0.847072896676314</v>
      </c>
      <c r="H918" s="8" t="n">
        <f aca="false">MAX(C918-D918,ABS(C918-E917),ABS(D918-E917))</f>
        <v>0.0162619456418118</v>
      </c>
      <c r="I918" s="8" t="n">
        <f aca="true">IF(ROW()-2&lt;14,"",IF(ROW()-2=14,AVERAGE(OFFSET(H918,-13,0,14,1)),(I917*13+H918)/14))</f>
        <v>0.00939836344149543</v>
      </c>
      <c r="J918" s="9" t="b">
        <f aca="false">IF(AND(ISNUMBER(F918),ISNUMBER(G918),ISNUMBER(F917),ISNUMBER(G917)),AND(F918&gt;G918,F917&lt;=G917),FALSE())</f>
        <v>0</v>
      </c>
      <c r="K918" s="9" t="b">
        <f aca="false">IF(AND(ISNUMBER(F918),ISNUMBER(G918),ISNUMBER(F917),ISNUMBER(G917)),AND(F918&lt;G918,F917&gt;=G917),FALSE())</f>
        <v>0</v>
      </c>
      <c r="L918" s="8" t="n">
        <f aca="false">IF(ISNUMBER(I918),E918-Inputs!$B$6*I918,"")</f>
        <v>0.841685536765345</v>
      </c>
      <c r="M918" s="9" t="b">
        <f aca="false">AND(Y917&gt;0,Z917)</f>
        <v>0</v>
      </c>
      <c r="N918" s="8" t="n">
        <f aca="false">B918*(1-Inputs!$B$12)</f>
        <v>0.852857292487194</v>
      </c>
      <c r="O918" s="10" t="n">
        <f aca="false">IF(M918,Y917*(N918-AB917)-Inputs!$B$9-Y917*AD917*Inputs!$B$13*(A918-AC917),0)</f>
        <v>0</v>
      </c>
      <c r="P918" s="10" t="n">
        <f aca="false">X917+O918</f>
        <v>983.862971216719</v>
      </c>
      <c r="Q918" s="9" t="b">
        <f aca="false">AND(IF(M918,0,Y917)=0,AA917,IF(ISNUMBER(AE917),B918&gt;AE917,FALSE()))</f>
        <v>0</v>
      </c>
      <c r="R918" s="8" t="n">
        <f aca="false">B918*(1+Inputs!$B$12)</f>
        <v>0.853198503646421</v>
      </c>
      <c r="S918" s="11" t="n">
        <f aca="false">IF(Q918,MIN(P918*Inputs!$B$3/(R918-AE917),P918*Inputs!$B$11/R918),0)</f>
        <v>0</v>
      </c>
      <c r="T918" s="11" t="n">
        <f aca="false">IF(Q918,S918,IF(M918,0,Y917))</f>
        <v>0</v>
      </c>
      <c r="U918" s="8" t="n">
        <f aca="false">IF(Q918,AE917,AF917)</f>
        <v>0.84586578756897</v>
      </c>
      <c r="V918" s="9" t="b">
        <f aca="false">AND(T918&gt;0,D918&lt;=U918)</f>
        <v>0</v>
      </c>
      <c r="W918" s="10" t="n">
        <f aca="false">IF(V918,T918*(AK918-AB918)-Inputs!$B$9-T918*AD918*Inputs!$B$13*(A918-AC918),0)</f>
        <v>0</v>
      </c>
      <c r="X918" s="10" t="n">
        <f aca="false">P918-IF(Q918,Inputs!$B$9,0)+W918</f>
        <v>983.862971216719</v>
      </c>
      <c r="Y918" s="11" t="n">
        <f aca="false">IF(V918,0,T918)</f>
        <v>0</v>
      </c>
      <c r="Z918" s="9" t="b">
        <f aca="false">AND(Y918&gt;0,K918)</f>
        <v>0</v>
      </c>
      <c r="AA918" s="9" t="b">
        <f aca="false">AND(Y918=0,J918,ISNUMBER(L918))</f>
        <v>0</v>
      </c>
      <c r="AB918" s="8" t="n">
        <f aca="false">IF(Q918,R918,AB917)</f>
        <v>0.863339701115261</v>
      </c>
      <c r="AC918" s="12" t="n">
        <f aca="false">IF(Q918,A918,AC917)</f>
        <v>45628</v>
      </c>
      <c r="AD918" s="8" t="n">
        <f aca="false">IF(Q918,B918,AD917)</f>
        <v>0.86316706770172</v>
      </c>
      <c r="AE918" s="8" t="str">
        <f aca="false">IF(AA918,L918,"")</f>
        <v/>
      </c>
      <c r="AF918" s="8" t="n">
        <f aca="false">U918</f>
        <v>0.84586578756897</v>
      </c>
      <c r="AG918" s="2" t="n">
        <f aca="false">AG917+IF(Q918,1,0)</f>
        <v>8</v>
      </c>
      <c r="AH918" s="2" t="n">
        <f aca="false">AG917</f>
        <v>8</v>
      </c>
      <c r="AI918" s="10" t="n">
        <f aca="false">X918+Y918*(E918-AB918)-Y918*AD918*Inputs!$B$13*(A918-AC918)</f>
        <v>983.862971216719</v>
      </c>
      <c r="AJ918" s="10" t="n">
        <v>0</v>
      </c>
      <c r="AK918" s="8" t="n">
        <f aca="false">IF(AND(B918&lt;=U918,NOT(Q918)),B918,U918)*(1-Inputs!$B$12)</f>
        <v>0.845696614411456</v>
      </c>
    </row>
    <row r="919" customFormat="false" ht="15" hidden="false" customHeight="false" outlineLevel="0" collapsed="false">
      <c r="A919" s="6" t="n">
        <v>45703</v>
      </c>
      <c r="B919" s="7" t="n">
        <v>0.860482263648336</v>
      </c>
      <c r="C919" s="7" t="n">
        <v>0.862218746671266</v>
      </c>
      <c r="D919" s="7" t="n">
        <v>0.850238915837267</v>
      </c>
      <c r="E919" s="7" t="n">
        <v>0.850404097417871</v>
      </c>
      <c r="F919" s="8" t="n">
        <f aca="true">IF(ROW()-2&gt;=Inputs!$B$4,AVERAGE(OFFSET(E919,1-Inputs!$B$4,0,Inputs!$B$4,1)),"")</f>
        <v>0.845303267433535</v>
      </c>
      <c r="G919" s="8" t="n">
        <f aca="true">IF(ROW()-2&gt;=Inputs!$B$5,AVERAGE(OFFSET(E919,1-Inputs!$B$5,0,Inputs!$B$5,1)),"")</f>
        <v>0.847116803218011</v>
      </c>
      <c r="H919" s="8" t="n">
        <f aca="false">MAX(C919-D919,ABS(C919-E918),ABS(D919-E918))</f>
        <v>0.011979830833999</v>
      </c>
      <c r="I919" s="8" t="n">
        <f aca="true">IF(ROW()-2&lt;14,"",IF(ROW()-2=14,AVERAGE(OFFSET(H919,-13,0,14,1)),(I918*13+H919)/14))</f>
        <v>0.0095827539695314</v>
      </c>
      <c r="J919" s="9" t="b">
        <f aca="false">IF(AND(ISNUMBER(F919),ISNUMBER(G919),ISNUMBER(F918),ISNUMBER(G918)),AND(F919&gt;G919,F918&lt;=G918),FALSE())</f>
        <v>0</v>
      </c>
      <c r="K919" s="9" t="b">
        <f aca="false">IF(AND(ISNUMBER(F919),ISNUMBER(G919),ISNUMBER(F918),ISNUMBER(G918)),AND(F919&lt;G919,F918&gt;=G918),FALSE())</f>
        <v>0</v>
      </c>
      <c r="L919" s="8" t="n">
        <f aca="false">IF(ISNUMBER(I919),E919-Inputs!$B$6*I919,"")</f>
        <v>0.831238589478808</v>
      </c>
      <c r="M919" s="9" t="b">
        <f aca="false">AND(Y918&gt;0,Z918)</f>
        <v>0</v>
      </c>
      <c r="N919" s="8" t="n">
        <f aca="false">B919*(1-Inputs!$B$12)</f>
        <v>0.860310167195606</v>
      </c>
      <c r="O919" s="10" t="n">
        <f aca="false">IF(M919,Y918*(N919-AB918)-Inputs!$B$9-Y918*AD918*Inputs!$B$13*(A919-AC918),0)</f>
        <v>0</v>
      </c>
      <c r="P919" s="10" t="n">
        <f aca="false">X918+O919</f>
        <v>983.862971216719</v>
      </c>
      <c r="Q919" s="9" t="b">
        <f aca="false">AND(IF(M919,0,Y918)=0,AA918,IF(ISNUMBER(AE918),B919&gt;AE918,FALSE()))</f>
        <v>0</v>
      </c>
      <c r="R919" s="8" t="n">
        <f aca="false">B919*(1+Inputs!$B$12)</f>
        <v>0.860654360101066</v>
      </c>
      <c r="S919" s="11" t="n">
        <f aca="false">IF(Q919,MIN(P919*Inputs!$B$3/(R919-AE918),P919*Inputs!$B$11/R919),0)</f>
        <v>0</v>
      </c>
      <c r="T919" s="11" t="n">
        <f aca="false">IF(Q919,S919,IF(M919,0,Y918))</f>
        <v>0</v>
      </c>
      <c r="U919" s="8" t="n">
        <f aca="false">IF(Q919,AE918,AF918)</f>
        <v>0.84586578756897</v>
      </c>
      <c r="V919" s="9" t="b">
        <f aca="false">AND(T919&gt;0,D919&lt;=U919)</f>
        <v>0</v>
      </c>
      <c r="W919" s="10" t="n">
        <f aca="false">IF(V919,T919*(AK919-AB919)-Inputs!$B$9-T919*AD919*Inputs!$B$13*(A919-AC919),0)</f>
        <v>0</v>
      </c>
      <c r="X919" s="10" t="n">
        <f aca="false">P919-IF(Q919,Inputs!$B$9,0)+W919</f>
        <v>983.862971216719</v>
      </c>
      <c r="Y919" s="11" t="n">
        <f aca="false">IF(V919,0,T919)</f>
        <v>0</v>
      </c>
      <c r="Z919" s="9" t="b">
        <f aca="false">AND(Y919&gt;0,K919)</f>
        <v>0</v>
      </c>
      <c r="AA919" s="9" t="b">
        <f aca="false">AND(Y919=0,J919,ISNUMBER(L919))</f>
        <v>0</v>
      </c>
      <c r="AB919" s="8" t="n">
        <f aca="false">IF(Q919,R919,AB918)</f>
        <v>0.863339701115261</v>
      </c>
      <c r="AC919" s="12" t="n">
        <f aca="false">IF(Q919,A919,AC918)</f>
        <v>45628</v>
      </c>
      <c r="AD919" s="8" t="n">
        <f aca="false">IF(Q919,B919,AD918)</f>
        <v>0.86316706770172</v>
      </c>
      <c r="AE919" s="8" t="str">
        <f aca="false">IF(AA919,L919,"")</f>
        <v/>
      </c>
      <c r="AF919" s="8" t="n">
        <f aca="false">U919</f>
        <v>0.84586578756897</v>
      </c>
      <c r="AG919" s="2" t="n">
        <f aca="false">AG918+IF(Q919,1,0)</f>
        <v>8</v>
      </c>
      <c r="AH919" s="2" t="n">
        <f aca="false">AG918</f>
        <v>8</v>
      </c>
      <c r="AI919" s="10" t="n">
        <f aca="false">X919+Y919*(E919-AB919)-Y919*AD919*Inputs!$B$13*(A919-AC919)</f>
        <v>983.862971216719</v>
      </c>
      <c r="AJ919" s="10" t="n">
        <v>0</v>
      </c>
      <c r="AK919" s="8" t="n">
        <f aca="false">IF(AND(B919&lt;=U919,NOT(Q919)),B919,U919)*(1-Inputs!$B$12)</f>
        <v>0.845696614411456</v>
      </c>
    </row>
    <row r="920" customFormat="false" ht="15" hidden="false" customHeight="false" outlineLevel="0" collapsed="false">
      <c r="A920" s="6" t="n">
        <v>45704</v>
      </c>
      <c r="B920" s="7" t="n">
        <v>0.850404097417871</v>
      </c>
      <c r="C920" s="7" t="n">
        <v>0.856848484083892</v>
      </c>
      <c r="D920" s="7" t="n">
        <v>0.850275670568918</v>
      </c>
      <c r="E920" s="7" t="n">
        <v>0.854464786076914</v>
      </c>
      <c r="F920" s="8" t="n">
        <f aca="true">IF(ROW()-2&gt;=Inputs!$B$4,AVERAGE(OFFSET(E920,1-Inputs!$B$4,0,Inputs!$B$4,1)),"")</f>
        <v>0.846524748413241</v>
      </c>
      <c r="G920" s="8" t="n">
        <f aca="true">IF(ROW()-2&gt;=Inputs!$B$5,AVERAGE(OFFSET(E920,1-Inputs!$B$5,0,Inputs!$B$5,1)),"")</f>
        <v>0.847309449118839</v>
      </c>
      <c r="H920" s="8" t="n">
        <f aca="false">MAX(C920-D920,ABS(C920-E919),ABS(D920-E919))</f>
        <v>0.00657281351497407</v>
      </c>
      <c r="I920" s="8" t="n">
        <f aca="true">IF(ROW()-2&lt;14,"",IF(ROW()-2=14,AVERAGE(OFFSET(H920,-13,0,14,1)),(I919*13+H920)/14))</f>
        <v>0.0093677582227773</v>
      </c>
      <c r="J920" s="9" t="b">
        <f aca="false">IF(AND(ISNUMBER(F920),ISNUMBER(G920),ISNUMBER(F919),ISNUMBER(G919)),AND(F920&gt;G920,F919&lt;=G919),FALSE())</f>
        <v>0</v>
      </c>
      <c r="K920" s="9" t="b">
        <f aca="false">IF(AND(ISNUMBER(F920),ISNUMBER(G920),ISNUMBER(F919),ISNUMBER(G919)),AND(F920&lt;G920,F919&gt;=G919),FALSE())</f>
        <v>0</v>
      </c>
      <c r="L920" s="8" t="n">
        <f aca="false">IF(ISNUMBER(I920),E920-Inputs!$B$6*I920,"")</f>
        <v>0.835729269631359</v>
      </c>
      <c r="M920" s="9" t="b">
        <f aca="false">AND(Y919&gt;0,Z919)</f>
        <v>0</v>
      </c>
      <c r="N920" s="8" t="n">
        <f aca="false">B920*(1-Inputs!$B$12)</f>
        <v>0.850234016598387</v>
      </c>
      <c r="O920" s="10" t="n">
        <f aca="false">IF(M920,Y919*(N920-AB919)-Inputs!$B$9-Y919*AD919*Inputs!$B$13*(A920-AC919),0)</f>
        <v>0</v>
      </c>
      <c r="P920" s="10" t="n">
        <f aca="false">X919+O920</f>
        <v>983.862971216719</v>
      </c>
      <c r="Q920" s="9" t="b">
        <f aca="false">AND(IF(M920,0,Y919)=0,AA919,IF(ISNUMBER(AE919),B920&gt;AE919,FALSE()))</f>
        <v>0</v>
      </c>
      <c r="R920" s="8" t="n">
        <f aca="false">B920*(1+Inputs!$B$12)</f>
        <v>0.850574178237354</v>
      </c>
      <c r="S920" s="11" t="n">
        <f aca="false">IF(Q920,MIN(P920*Inputs!$B$3/(R920-AE919),P920*Inputs!$B$11/R920),0)</f>
        <v>0</v>
      </c>
      <c r="T920" s="11" t="n">
        <f aca="false">IF(Q920,S920,IF(M920,0,Y919))</f>
        <v>0</v>
      </c>
      <c r="U920" s="8" t="n">
        <f aca="false">IF(Q920,AE919,AF919)</f>
        <v>0.84586578756897</v>
      </c>
      <c r="V920" s="9" t="b">
        <f aca="false">AND(T920&gt;0,D920&lt;=U920)</f>
        <v>0</v>
      </c>
      <c r="W920" s="10" t="n">
        <f aca="false">IF(V920,T920*(AK920-AB920)-Inputs!$B$9-T920*AD920*Inputs!$B$13*(A920-AC920),0)</f>
        <v>0</v>
      </c>
      <c r="X920" s="10" t="n">
        <f aca="false">P920-IF(Q920,Inputs!$B$9,0)+W920</f>
        <v>983.862971216719</v>
      </c>
      <c r="Y920" s="11" t="n">
        <f aca="false">IF(V920,0,T920)</f>
        <v>0</v>
      </c>
      <c r="Z920" s="9" t="b">
        <f aca="false">AND(Y920&gt;0,K920)</f>
        <v>0</v>
      </c>
      <c r="AA920" s="9" t="b">
        <f aca="false">AND(Y920=0,J920,ISNUMBER(L920))</f>
        <v>0</v>
      </c>
      <c r="AB920" s="8" t="n">
        <f aca="false">IF(Q920,R920,AB919)</f>
        <v>0.863339701115261</v>
      </c>
      <c r="AC920" s="12" t="n">
        <f aca="false">IF(Q920,A920,AC919)</f>
        <v>45628</v>
      </c>
      <c r="AD920" s="8" t="n">
        <f aca="false">IF(Q920,B920,AD919)</f>
        <v>0.86316706770172</v>
      </c>
      <c r="AE920" s="8" t="str">
        <f aca="false">IF(AA920,L920,"")</f>
        <v/>
      </c>
      <c r="AF920" s="8" t="n">
        <f aca="false">U920</f>
        <v>0.84586578756897</v>
      </c>
      <c r="AG920" s="2" t="n">
        <f aca="false">AG919+IF(Q920,1,0)</f>
        <v>8</v>
      </c>
      <c r="AH920" s="2" t="n">
        <f aca="false">AG919</f>
        <v>8</v>
      </c>
      <c r="AI920" s="10" t="n">
        <f aca="false">X920+Y920*(E920-AB920)-Y920*AD920*Inputs!$B$13*(A920-AC920)</f>
        <v>983.862971216719</v>
      </c>
      <c r="AJ920" s="10" t="n">
        <v>0</v>
      </c>
      <c r="AK920" s="8" t="n">
        <f aca="false">IF(AND(B920&lt;=U920,NOT(Q920)),B920,U920)*(1-Inputs!$B$12)</f>
        <v>0.845696614411456</v>
      </c>
    </row>
    <row r="921" customFormat="false" ht="15" hidden="false" customHeight="false" outlineLevel="0" collapsed="false">
      <c r="A921" s="6" t="n">
        <v>45705</v>
      </c>
      <c r="B921" s="7" t="n">
        <v>0.854464786076914</v>
      </c>
      <c r="C921" s="7" t="n">
        <v>0.864154803682184</v>
      </c>
      <c r="D921" s="7" t="n">
        <v>0.849418990865868</v>
      </c>
      <c r="E921" s="7" t="n">
        <v>0.863330777928526</v>
      </c>
      <c r="F921" s="8" t="n">
        <f aca="true">IF(ROW()-2&gt;=Inputs!$B$4,AVERAGE(OFFSET(E921,1-Inputs!$B$4,0,Inputs!$B$4,1)),"")</f>
        <v>0.847933790230466</v>
      </c>
      <c r="G921" s="8" t="n">
        <f aca="true">IF(ROW()-2&gt;=Inputs!$B$5,AVERAGE(OFFSET(E921,1-Inputs!$B$5,0,Inputs!$B$5,1)),"")</f>
        <v>0.847682490423901</v>
      </c>
      <c r="H921" s="8" t="n">
        <f aca="false">MAX(C921-D921,ABS(C921-E920),ABS(D921-E920))</f>
        <v>0.0147358128163156</v>
      </c>
      <c r="I921" s="8" t="n">
        <f aca="true">IF(ROW()-2&lt;14,"",IF(ROW()-2=14,AVERAGE(OFFSET(H921,-13,0,14,1)),(I920*13+H921)/14))</f>
        <v>0.00975119069374433</v>
      </c>
      <c r="J921" s="9" t="b">
        <f aca="false">IF(AND(ISNUMBER(F921),ISNUMBER(G921),ISNUMBER(F920),ISNUMBER(G920)),AND(F921&gt;G921,F920&lt;=G920),FALSE())</f>
        <v>1</v>
      </c>
      <c r="K921" s="9" t="b">
        <f aca="false">IF(AND(ISNUMBER(F921),ISNUMBER(G921),ISNUMBER(F920),ISNUMBER(G920)),AND(F921&lt;G921,F920&gt;=G920),FALSE())</f>
        <v>0</v>
      </c>
      <c r="L921" s="8" t="n">
        <f aca="false">IF(ISNUMBER(I921),E921-Inputs!$B$6*I921,"")</f>
        <v>0.843828396541038</v>
      </c>
      <c r="M921" s="9" t="b">
        <f aca="false">AND(Y920&gt;0,Z920)</f>
        <v>0</v>
      </c>
      <c r="N921" s="8" t="n">
        <f aca="false">B921*(1-Inputs!$B$12)</f>
        <v>0.854293893119699</v>
      </c>
      <c r="O921" s="10" t="n">
        <f aca="false">IF(M921,Y920*(N921-AB920)-Inputs!$B$9-Y920*AD920*Inputs!$B$13*(A921-AC920),0)</f>
        <v>0</v>
      </c>
      <c r="P921" s="10" t="n">
        <f aca="false">X920+O921</f>
        <v>983.862971216719</v>
      </c>
      <c r="Q921" s="9" t="b">
        <f aca="false">AND(IF(M921,0,Y920)=0,AA920,IF(ISNUMBER(AE920),B921&gt;AE920,FALSE()))</f>
        <v>0</v>
      </c>
      <c r="R921" s="8" t="n">
        <f aca="false">B921*(1+Inputs!$B$12)</f>
        <v>0.854635679034129</v>
      </c>
      <c r="S921" s="11" t="n">
        <f aca="false">IF(Q921,MIN(P921*Inputs!$B$3/(R921-AE920),P921*Inputs!$B$11/R921),0)</f>
        <v>0</v>
      </c>
      <c r="T921" s="11" t="n">
        <f aca="false">IF(Q921,S921,IF(M921,0,Y920))</f>
        <v>0</v>
      </c>
      <c r="U921" s="8" t="n">
        <f aca="false">IF(Q921,AE920,AF920)</f>
        <v>0.84586578756897</v>
      </c>
      <c r="V921" s="9" t="b">
        <f aca="false">AND(T921&gt;0,D921&lt;=U921)</f>
        <v>0</v>
      </c>
      <c r="W921" s="10" t="n">
        <f aca="false">IF(V921,T921*(AK921-AB921)-Inputs!$B$9-T921*AD921*Inputs!$B$13*(A921-AC921),0)</f>
        <v>0</v>
      </c>
      <c r="X921" s="10" t="n">
        <f aca="false">P921-IF(Q921,Inputs!$B$9,0)+W921</f>
        <v>983.862971216719</v>
      </c>
      <c r="Y921" s="11" t="n">
        <f aca="false">IF(V921,0,T921)</f>
        <v>0</v>
      </c>
      <c r="Z921" s="9" t="b">
        <f aca="false">AND(Y921&gt;0,K921)</f>
        <v>0</v>
      </c>
      <c r="AA921" s="9" t="b">
        <f aca="false">AND(Y921=0,J921,ISNUMBER(L921))</f>
        <v>1</v>
      </c>
      <c r="AB921" s="8" t="n">
        <f aca="false">IF(Q921,R921,AB920)</f>
        <v>0.863339701115261</v>
      </c>
      <c r="AC921" s="12" t="n">
        <f aca="false">IF(Q921,A921,AC920)</f>
        <v>45628</v>
      </c>
      <c r="AD921" s="8" t="n">
        <f aca="false">IF(Q921,B921,AD920)</f>
        <v>0.86316706770172</v>
      </c>
      <c r="AE921" s="8" t="n">
        <f aca="false">IF(AA921,L921,"")</f>
        <v>0.843828396541038</v>
      </c>
      <c r="AF921" s="8" t="n">
        <f aca="false">U921</f>
        <v>0.84586578756897</v>
      </c>
      <c r="AG921" s="2" t="n">
        <f aca="false">AG920+IF(Q921,1,0)</f>
        <v>8</v>
      </c>
      <c r="AH921" s="2" t="n">
        <f aca="false">AG920</f>
        <v>8</v>
      </c>
      <c r="AI921" s="10" t="n">
        <f aca="false">X921+Y921*(E921-AB921)-Y921*AD921*Inputs!$B$13*(A921-AC921)</f>
        <v>983.862971216719</v>
      </c>
      <c r="AJ921" s="10" t="n">
        <v>0</v>
      </c>
      <c r="AK921" s="8" t="n">
        <f aca="false">IF(AND(B921&lt;=U921,NOT(Q921)),B921,U921)*(1-Inputs!$B$12)</f>
        <v>0.845696614411456</v>
      </c>
    </row>
    <row r="922" customFormat="false" ht="15" hidden="false" customHeight="false" outlineLevel="0" collapsed="false">
      <c r="A922" s="6" t="n">
        <v>45706</v>
      </c>
      <c r="B922" s="7" t="n">
        <v>0.863330777928526</v>
      </c>
      <c r="C922" s="7" t="n">
        <v>0.870652825966069</v>
      </c>
      <c r="D922" s="7" t="n">
        <v>0.86286407928293</v>
      </c>
      <c r="E922" s="7" t="n">
        <v>0.863754510370951</v>
      </c>
      <c r="F922" s="8" t="n">
        <f aca="true">IF(ROW()-2&gt;=Inputs!$B$4,AVERAGE(OFFSET(E922,1-Inputs!$B$4,0,Inputs!$B$4,1)),"")</f>
        <v>0.84938602031735</v>
      </c>
      <c r="G922" s="8" t="n">
        <f aca="true">IF(ROW()-2&gt;=Inputs!$B$5,AVERAGE(OFFSET(E922,1-Inputs!$B$5,0,Inputs!$B$5,1)),"")</f>
        <v>0.847921037805759</v>
      </c>
      <c r="H922" s="8" t="n">
        <f aca="false">MAX(C922-D922,ABS(C922-E921),ABS(D922-E921))</f>
        <v>0.00778874668313911</v>
      </c>
      <c r="I922" s="8" t="n">
        <f aca="true">IF(ROW()-2&lt;14,"",IF(ROW()-2=14,AVERAGE(OFFSET(H922,-13,0,14,1)),(I921*13+H922)/14))</f>
        <v>0.00961101612155824</v>
      </c>
      <c r="J922" s="9" t="b">
        <f aca="false">IF(AND(ISNUMBER(F922),ISNUMBER(G922),ISNUMBER(F921),ISNUMBER(G921)),AND(F922&gt;G922,F921&lt;=G921),FALSE())</f>
        <v>0</v>
      </c>
      <c r="K922" s="9" t="b">
        <f aca="false">IF(AND(ISNUMBER(F922),ISNUMBER(G922),ISNUMBER(F921),ISNUMBER(G921)),AND(F922&lt;G922,F921&gt;=G921),FALSE())</f>
        <v>0</v>
      </c>
      <c r="L922" s="8" t="n">
        <f aca="false">IF(ISNUMBER(I922),E922-Inputs!$B$6*I922,"")</f>
        <v>0.844532478127835</v>
      </c>
      <c r="M922" s="9" t="b">
        <f aca="false">AND(Y921&gt;0,Z921)</f>
        <v>0</v>
      </c>
      <c r="N922" s="8" t="n">
        <f aca="false">B922*(1-Inputs!$B$12)</f>
        <v>0.86315811177294</v>
      </c>
      <c r="O922" s="10" t="n">
        <f aca="false">IF(M922,Y921*(N922-AB921)-Inputs!$B$9-Y921*AD921*Inputs!$B$13*(A922-AC921),0)</f>
        <v>0</v>
      </c>
      <c r="P922" s="10" t="n">
        <f aca="false">X921+O922</f>
        <v>983.862971216719</v>
      </c>
      <c r="Q922" s="9" t="b">
        <f aca="false">AND(IF(M922,0,Y921)=0,AA921,IF(ISNUMBER(AE921),B922&gt;AE921,FALSE()))</f>
        <v>1</v>
      </c>
      <c r="R922" s="8" t="n">
        <f aca="false">B922*(1+Inputs!$B$12)</f>
        <v>0.863503444084112</v>
      </c>
      <c r="S922" s="11" t="n">
        <f aca="false">IF(Q922,MIN(P922*Inputs!$B$3/(R922-AE921),P922*Inputs!$B$11/R922),0)</f>
        <v>500.05621031551</v>
      </c>
      <c r="T922" s="11" t="n">
        <f aca="false">IF(Q922,S922,IF(M922,0,Y921))</f>
        <v>500.05621031551</v>
      </c>
      <c r="U922" s="8" t="n">
        <f aca="false">IF(Q922,AE921,AF921)</f>
        <v>0.843828396541038</v>
      </c>
      <c r="V922" s="9" t="b">
        <f aca="false">AND(T922&gt;0,D922&lt;=U922)</f>
        <v>0</v>
      </c>
      <c r="W922" s="10" t="n">
        <f aca="false">IF(V922,T922*(AK922-AB922)-Inputs!$B$9-T922*AD922*Inputs!$B$13*(A922-AC922),0)</f>
        <v>0</v>
      </c>
      <c r="X922" s="10" t="n">
        <f aca="false">P922-IF(Q922,Inputs!$B$9,0)+W922</f>
        <v>982.862971216719</v>
      </c>
      <c r="Y922" s="11" t="n">
        <f aca="false">IF(V922,0,T922)</f>
        <v>500.05621031551</v>
      </c>
      <c r="Z922" s="9" t="b">
        <f aca="false">AND(Y922&gt;0,K922)</f>
        <v>0</v>
      </c>
      <c r="AA922" s="9" t="b">
        <f aca="false">AND(Y922=0,J922,ISNUMBER(L922))</f>
        <v>0</v>
      </c>
      <c r="AB922" s="8" t="n">
        <f aca="false">IF(Q922,R922,AB921)</f>
        <v>0.863503444084112</v>
      </c>
      <c r="AC922" s="12" t="n">
        <f aca="false">IF(Q922,A922,AC921)</f>
        <v>45706</v>
      </c>
      <c r="AD922" s="8" t="n">
        <f aca="false">IF(Q922,B922,AD921)</f>
        <v>0.863330777928526</v>
      </c>
      <c r="AE922" s="8" t="str">
        <f aca="false">IF(AA922,L922,"")</f>
        <v/>
      </c>
      <c r="AF922" s="8" t="n">
        <f aca="false">U922</f>
        <v>0.843828396541038</v>
      </c>
      <c r="AG922" s="2" t="n">
        <f aca="false">AG921+IF(Q922,1,0)</f>
        <v>9</v>
      </c>
      <c r="AH922" s="2" t="n">
        <f aca="false">AG921</f>
        <v>8</v>
      </c>
      <c r="AI922" s="10" t="n">
        <f aca="false">X922+Y922*(E922-AB922)-Y922*AD922*Inputs!$B$13*(A922-AC922)</f>
        <v>982.988518472654</v>
      </c>
      <c r="AJ922" s="10" t="n">
        <v>0</v>
      </c>
      <c r="AK922" s="8" t="n">
        <f aca="false">IF(AND(B922&lt;=U922,NOT(Q922)),B922,U922)*(1-Inputs!$B$12)</f>
        <v>0.843659630861729</v>
      </c>
    </row>
    <row r="923" customFormat="false" ht="15" hidden="false" customHeight="false" outlineLevel="0" collapsed="false">
      <c r="A923" s="6" t="n">
        <v>45707</v>
      </c>
      <c r="B923" s="7" t="n">
        <v>0.863754510370951</v>
      </c>
      <c r="C923" s="7" t="n">
        <v>0.864530583025334</v>
      </c>
      <c r="D923" s="7" t="n">
        <v>0.855493543166822</v>
      </c>
      <c r="E923" s="7" t="n">
        <v>0.859606711669212</v>
      </c>
      <c r="F923" s="8" t="n">
        <f aca="true">IF(ROW()-2&gt;=Inputs!$B$4,AVERAGE(OFFSET(E923,1-Inputs!$B$4,0,Inputs!$B$4,1)),"")</f>
        <v>0.850609990852474</v>
      </c>
      <c r="G923" s="8" t="n">
        <f aca="true">IF(ROW()-2&gt;=Inputs!$B$5,AVERAGE(OFFSET(E923,1-Inputs!$B$5,0,Inputs!$B$5,1)),"")</f>
        <v>0.848129027062905</v>
      </c>
      <c r="H923" s="8" t="n">
        <f aca="false">MAX(C923-D923,ABS(C923-E922),ABS(D923-E922))</f>
        <v>0.00903703985851279</v>
      </c>
      <c r="I923" s="8" t="n">
        <f aca="true">IF(ROW()-2&lt;14,"",IF(ROW()-2=14,AVERAGE(OFFSET(H923,-13,0,14,1)),(I922*13+H923)/14))</f>
        <v>0.00957001781705499</v>
      </c>
      <c r="J923" s="9" t="b">
        <f aca="false">IF(AND(ISNUMBER(F923),ISNUMBER(G923),ISNUMBER(F922),ISNUMBER(G922)),AND(F923&gt;G923,F922&lt;=G922),FALSE())</f>
        <v>0</v>
      </c>
      <c r="K923" s="9" t="b">
        <f aca="false">IF(AND(ISNUMBER(F923),ISNUMBER(G923),ISNUMBER(F922),ISNUMBER(G922)),AND(F923&lt;G923,F922&gt;=G922),FALSE())</f>
        <v>0</v>
      </c>
      <c r="L923" s="8" t="n">
        <f aca="false">IF(ISNUMBER(I923),E923-Inputs!$B$6*I923,"")</f>
        <v>0.840466676035102</v>
      </c>
      <c r="M923" s="9" t="b">
        <f aca="false">AND(Y922&gt;0,Z922)</f>
        <v>0</v>
      </c>
      <c r="N923" s="8" t="n">
        <f aca="false">B923*(1-Inputs!$B$12)</f>
        <v>0.863581759468877</v>
      </c>
      <c r="O923" s="10" t="n">
        <f aca="false">IF(M923,Y922*(N923-AB922)-Inputs!$B$9-Y922*AD922*Inputs!$B$13*(A923-AC922),0)</f>
        <v>0</v>
      </c>
      <c r="P923" s="10" t="n">
        <f aca="false">X922+O923</f>
        <v>982.862971216719</v>
      </c>
      <c r="Q923" s="9" t="b">
        <f aca="false">AND(IF(M923,0,Y922)=0,AA922,IF(ISNUMBER(AE922),B923&gt;AE922,FALSE()))</f>
        <v>0</v>
      </c>
      <c r="R923" s="8" t="n">
        <f aca="false">B923*(1+Inputs!$B$12)</f>
        <v>0.863927261273025</v>
      </c>
      <c r="S923" s="11" t="n">
        <f aca="false">IF(Q923,MIN(P923*Inputs!$B$3/(R923-AE922),P923*Inputs!$B$11/R923),0)</f>
        <v>0</v>
      </c>
      <c r="T923" s="11" t="n">
        <f aca="false">IF(Q923,S923,IF(M923,0,Y922))</f>
        <v>500.05621031551</v>
      </c>
      <c r="U923" s="8" t="n">
        <f aca="false">IF(Q923,AE922,AF922)</f>
        <v>0.843828396541038</v>
      </c>
      <c r="V923" s="9" t="b">
        <f aca="false">AND(T923&gt;0,D923&lt;=U923)</f>
        <v>0</v>
      </c>
      <c r="W923" s="10" t="n">
        <f aca="false">IF(V923,T923*(AK923-AB923)-Inputs!$B$9-T923*AD923*Inputs!$B$13*(A923-AC923),0)</f>
        <v>0</v>
      </c>
      <c r="X923" s="10" t="n">
        <f aca="false">P923-IF(Q923,Inputs!$B$9,0)+W923</f>
        <v>982.862971216719</v>
      </c>
      <c r="Y923" s="11" t="n">
        <f aca="false">IF(V923,0,T923)</f>
        <v>500.05621031551</v>
      </c>
      <c r="Z923" s="9" t="b">
        <f aca="false">AND(Y923&gt;0,K923)</f>
        <v>0</v>
      </c>
      <c r="AA923" s="9" t="b">
        <f aca="false">AND(Y923=0,J923,ISNUMBER(L923))</f>
        <v>0</v>
      </c>
      <c r="AB923" s="8" t="n">
        <f aca="false">IF(Q923,R923,AB922)</f>
        <v>0.863503444084112</v>
      </c>
      <c r="AC923" s="12" t="n">
        <f aca="false">IF(Q923,A923,AC922)</f>
        <v>45706</v>
      </c>
      <c r="AD923" s="8" t="n">
        <f aca="false">IF(Q923,B923,AD922)</f>
        <v>0.863330777928526</v>
      </c>
      <c r="AE923" s="8" t="str">
        <f aca="false">IF(AA923,L923,"")</f>
        <v/>
      </c>
      <c r="AF923" s="8" t="n">
        <f aca="false">U923</f>
        <v>0.843828396541038</v>
      </c>
      <c r="AG923" s="2" t="n">
        <f aca="false">AG922+IF(Q923,1,0)</f>
        <v>9</v>
      </c>
      <c r="AH923" s="2" t="n">
        <f aca="false">AG922</f>
        <v>9</v>
      </c>
      <c r="AI923" s="10" t="n">
        <f aca="false">X923+Y923*(E923-AB923)-Y923*AD923*Inputs!$B$13*(A923-AC923)</f>
        <v>980.837505412139</v>
      </c>
      <c r="AJ923" s="10" t="n">
        <v>0</v>
      </c>
      <c r="AK923" s="8" t="n">
        <f aca="false">IF(AND(B923&lt;=U923,NOT(Q923)),B923,U923)*(1-Inputs!$B$12)</f>
        <v>0.843659630861729</v>
      </c>
    </row>
    <row r="924" customFormat="false" ht="15" hidden="false" customHeight="false" outlineLevel="0" collapsed="false">
      <c r="A924" s="6" t="n">
        <v>45708</v>
      </c>
      <c r="B924" s="7" t="n">
        <v>0.859606711669212</v>
      </c>
      <c r="C924" s="7" t="n">
        <v>0.862496431059813</v>
      </c>
      <c r="D924" s="7" t="n">
        <v>0.847035864278394</v>
      </c>
      <c r="E924" s="7" t="n">
        <v>0.85072044067045</v>
      </c>
      <c r="F924" s="8" t="n">
        <f aca="true">IF(ROW()-2&gt;=Inputs!$B$4,AVERAGE(OFFSET(E924,1-Inputs!$B$4,0,Inputs!$B$4,1)),"")</f>
        <v>0.85114458947503</v>
      </c>
      <c r="G924" s="8" t="n">
        <f aca="true">IF(ROW()-2&gt;=Inputs!$B$5,AVERAGE(OFFSET(E924,1-Inputs!$B$5,0,Inputs!$B$5,1)),"")</f>
        <v>0.848208497496873</v>
      </c>
      <c r="H924" s="8" t="n">
        <f aca="false">MAX(C924-D924,ABS(C924-E923),ABS(D924-E923))</f>
        <v>0.0154605667814185</v>
      </c>
      <c r="I924" s="8" t="n">
        <f aca="true">IF(ROW()-2&lt;14,"",IF(ROW()-2=14,AVERAGE(OFFSET(H924,-13,0,14,1)),(I923*13+H924)/14))</f>
        <v>0.00999077131450953</v>
      </c>
      <c r="J924" s="9" t="b">
        <f aca="false">IF(AND(ISNUMBER(F924),ISNUMBER(G924),ISNUMBER(F923),ISNUMBER(G923)),AND(F924&gt;G924,F923&lt;=G923),FALSE())</f>
        <v>0</v>
      </c>
      <c r="K924" s="9" t="b">
        <f aca="false">IF(AND(ISNUMBER(F924),ISNUMBER(G924),ISNUMBER(F923),ISNUMBER(G923)),AND(F924&lt;G924,F923&gt;=G923),FALSE())</f>
        <v>0</v>
      </c>
      <c r="L924" s="8" t="n">
        <f aca="false">IF(ISNUMBER(I924),E924-Inputs!$B$6*I924,"")</f>
        <v>0.83073889804143</v>
      </c>
      <c r="M924" s="9" t="b">
        <f aca="false">AND(Y923&gt;0,Z923)</f>
        <v>0</v>
      </c>
      <c r="N924" s="8" t="n">
        <f aca="false">B924*(1-Inputs!$B$12)</f>
        <v>0.859434790326879</v>
      </c>
      <c r="O924" s="10" t="n">
        <f aca="false">IF(M924,Y923*(N924-AB923)-Inputs!$B$9-Y923*AD923*Inputs!$B$13*(A924-AC923),0)</f>
        <v>0</v>
      </c>
      <c r="P924" s="10" t="n">
        <f aca="false">X923+O924</f>
        <v>982.862971216719</v>
      </c>
      <c r="Q924" s="9" t="b">
        <f aca="false">AND(IF(M924,0,Y923)=0,AA923,IF(ISNUMBER(AE923),B924&gt;AE923,FALSE()))</f>
        <v>0</v>
      </c>
      <c r="R924" s="8" t="n">
        <f aca="false">B924*(1+Inputs!$B$12)</f>
        <v>0.859778633011546</v>
      </c>
      <c r="S924" s="11" t="n">
        <f aca="false">IF(Q924,MIN(P924*Inputs!$B$3/(R924-AE923),P924*Inputs!$B$11/R924),0)</f>
        <v>0</v>
      </c>
      <c r="T924" s="11" t="n">
        <f aca="false">IF(Q924,S924,IF(M924,0,Y923))</f>
        <v>500.05621031551</v>
      </c>
      <c r="U924" s="8" t="n">
        <f aca="false">IF(Q924,AE923,AF923)</f>
        <v>0.843828396541038</v>
      </c>
      <c r="V924" s="9" t="b">
        <f aca="false">AND(T924&gt;0,D924&lt;=U924)</f>
        <v>0</v>
      </c>
      <c r="W924" s="10" t="n">
        <f aca="false">IF(V924,T924*(AK924-AB924)-Inputs!$B$9-T924*AD924*Inputs!$B$13*(A924-AC924),0)</f>
        <v>0</v>
      </c>
      <c r="X924" s="10" t="n">
        <f aca="false">P924-IF(Q924,Inputs!$B$9,0)+W924</f>
        <v>982.862971216719</v>
      </c>
      <c r="Y924" s="11" t="n">
        <f aca="false">IF(V924,0,T924)</f>
        <v>500.05621031551</v>
      </c>
      <c r="Z924" s="9" t="b">
        <f aca="false">AND(Y924&gt;0,K924)</f>
        <v>0</v>
      </c>
      <c r="AA924" s="9" t="b">
        <f aca="false">AND(Y924=0,J924,ISNUMBER(L924))</f>
        <v>0</v>
      </c>
      <c r="AB924" s="8" t="n">
        <f aca="false">IF(Q924,R924,AB923)</f>
        <v>0.863503444084112</v>
      </c>
      <c r="AC924" s="12" t="n">
        <f aca="false">IF(Q924,A924,AC923)</f>
        <v>45706</v>
      </c>
      <c r="AD924" s="8" t="n">
        <f aca="false">IF(Q924,B924,AD923)</f>
        <v>0.863330777928526</v>
      </c>
      <c r="AE924" s="8" t="str">
        <f aca="false">IF(AA924,L924,"")</f>
        <v/>
      </c>
      <c r="AF924" s="8" t="n">
        <f aca="false">U924</f>
        <v>0.843828396541038</v>
      </c>
      <c r="AG924" s="2" t="n">
        <f aca="false">AG923+IF(Q924,1,0)</f>
        <v>9</v>
      </c>
      <c r="AH924" s="2" t="n">
        <f aca="false">AG923</f>
        <v>9</v>
      </c>
      <c r="AI924" s="10" t="n">
        <f aca="false">X924+Y924*(E924-AB924)-Y924*AD924*Inputs!$B$13*(A924-AC924)</f>
        <v>976.316989852088</v>
      </c>
      <c r="AJ924" s="10" t="n">
        <v>0</v>
      </c>
      <c r="AK924" s="8" t="n">
        <f aca="false">IF(AND(B924&lt;=U924,NOT(Q924)),B924,U924)*(1-Inputs!$B$12)</f>
        <v>0.843659630861729</v>
      </c>
    </row>
    <row r="925" customFormat="false" ht="15" hidden="false" customHeight="false" outlineLevel="0" collapsed="false">
      <c r="A925" s="6" t="n">
        <v>45709</v>
      </c>
      <c r="B925" s="7" t="n">
        <v>0.85072044067045</v>
      </c>
      <c r="C925" s="7" t="n">
        <v>0.862029233238112</v>
      </c>
      <c r="D925" s="7" t="n">
        <v>0.845423459766574</v>
      </c>
      <c r="E925" s="7" t="n">
        <v>0.859699888334908</v>
      </c>
      <c r="F925" s="8" t="n">
        <f aca="true">IF(ROW()-2&gt;=Inputs!$B$4,AVERAGE(OFFSET(E925,1-Inputs!$B$4,0,Inputs!$B$4,1)),"")</f>
        <v>0.852037749237305</v>
      </c>
      <c r="G925" s="8" t="n">
        <f aca="true">IF(ROW()-2&gt;=Inputs!$B$5,AVERAGE(OFFSET(E925,1-Inputs!$B$5,0,Inputs!$B$5,1)),"")</f>
        <v>0.84851249835102</v>
      </c>
      <c r="H925" s="8" t="n">
        <f aca="false">MAX(C925-D925,ABS(C925-E924),ABS(D925-E924))</f>
        <v>0.0166057734715386</v>
      </c>
      <c r="I925" s="8" t="n">
        <f aca="true">IF(ROW()-2&lt;14,"",IF(ROW()-2=14,AVERAGE(OFFSET(H925,-13,0,14,1)),(I924*13+H925)/14))</f>
        <v>0.010463271468583</v>
      </c>
      <c r="J925" s="9" t="b">
        <f aca="false">IF(AND(ISNUMBER(F925),ISNUMBER(G925),ISNUMBER(F924),ISNUMBER(G924)),AND(F925&gt;G925,F924&lt;=G924),FALSE())</f>
        <v>0</v>
      </c>
      <c r="K925" s="9" t="b">
        <f aca="false">IF(AND(ISNUMBER(F925),ISNUMBER(G925),ISNUMBER(F924),ISNUMBER(G924)),AND(F925&lt;G925,F924&gt;=G924),FALSE())</f>
        <v>0</v>
      </c>
      <c r="L925" s="8" t="n">
        <f aca="false">IF(ISNUMBER(I925),E925-Inputs!$B$6*I925,"")</f>
        <v>0.838773345397742</v>
      </c>
      <c r="M925" s="9" t="b">
        <f aca="false">AND(Y924&gt;0,Z924)</f>
        <v>0</v>
      </c>
      <c r="N925" s="8" t="n">
        <f aca="false">B925*(1-Inputs!$B$12)</f>
        <v>0.850550296582315</v>
      </c>
      <c r="O925" s="10" t="n">
        <f aca="false">IF(M925,Y924*(N925-AB924)-Inputs!$B$9-Y924*AD924*Inputs!$B$13*(A925-AC924),0)</f>
        <v>0</v>
      </c>
      <c r="P925" s="10" t="n">
        <f aca="false">X924+O925</f>
        <v>982.862971216719</v>
      </c>
      <c r="Q925" s="9" t="b">
        <f aca="false">AND(IF(M925,0,Y924)=0,AA924,IF(ISNUMBER(AE924),B925&gt;AE924,FALSE()))</f>
        <v>0</v>
      </c>
      <c r="R925" s="8" t="n">
        <f aca="false">B925*(1+Inputs!$B$12)</f>
        <v>0.850890584758584</v>
      </c>
      <c r="S925" s="11" t="n">
        <f aca="false">IF(Q925,MIN(P925*Inputs!$B$3/(R925-AE924),P925*Inputs!$B$11/R925),0)</f>
        <v>0</v>
      </c>
      <c r="T925" s="11" t="n">
        <f aca="false">IF(Q925,S925,IF(M925,0,Y924))</f>
        <v>500.05621031551</v>
      </c>
      <c r="U925" s="8" t="n">
        <f aca="false">IF(Q925,AE924,AF924)</f>
        <v>0.843828396541038</v>
      </c>
      <c r="V925" s="9" t="b">
        <f aca="false">AND(T925&gt;0,D925&lt;=U925)</f>
        <v>0</v>
      </c>
      <c r="W925" s="10" t="n">
        <f aca="false">IF(V925,T925*(AK925-AB925)-Inputs!$B$9-T925*AD925*Inputs!$B$13*(A925-AC925),0)</f>
        <v>0</v>
      </c>
      <c r="X925" s="10" t="n">
        <f aca="false">P925-IF(Q925,Inputs!$B$9,0)+W925</f>
        <v>982.862971216719</v>
      </c>
      <c r="Y925" s="11" t="n">
        <f aca="false">IF(V925,0,T925)</f>
        <v>500.05621031551</v>
      </c>
      <c r="Z925" s="9" t="b">
        <f aca="false">AND(Y925&gt;0,K925)</f>
        <v>0</v>
      </c>
      <c r="AA925" s="9" t="b">
        <f aca="false">AND(Y925=0,J925,ISNUMBER(L925))</f>
        <v>0</v>
      </c>
      <c r="AB925" s="8" t="n">
        <f aca="false">IF(Q925,R925,AB924)</f>
        <v>0.863503444084112</v>
      </c>
      <c r="AC925" s="12" t="n">
        <f aca="false">IF(Q925,A925,AC924)</f>
        <v>45706</v>
      </c>
      <c r="AD925" s="8" t="n">
        <f aca="false">IF(Q925,B925,AD924)</f>
        <v>0.863330777928526</v>
      </c>
      <c r="AE925" s="8" t="str">
        <f aca="false">IF(AA925,L925,"")</f>
        <v/>
      </c>
      <c r="AF925" s="8" t="n">
        <f aca="false">U925</f>
        <v>0.843828396541038</v>
      </c>
      <c r="AG925" s="2" t="n">
        <f aca="false">AG924+IF(Q925,1,0)</f>
        <v>9</v>
      </c>
      <c r="AH925" s="2" t="n">
        <f aca="false">AG924</f>
        <v>9</v>
      </c>
      <c r="AI925" s="10" t="n">
        <f aca="false">X925+Y925*(E925-AB925)-Y925*AD925*Inputs!$B$13*(A925-AC925)</f>
        <v>980.730337861332</v>
      </c>
      <c r="AJ925" s="10" t="n">
        <v>0</v>
      </c>
      <c r="AK925" s="8" t="n">
        <f aca="false">IF(AND(B925&lt;=U925,NOT(Q925)),B925,U925)*(1-Inputs!$B$12)</f>
        <v>0.843659630861729</v>
      </c>
    </row>
    <row r="926" customFormat="false" ht="15" hidden="false" customHeight="false" outlineLevel="0" collapsed="false">
      <c r="A926" s="6" t="n">
        <v>45710</v>
      </c>
      <c r="B926" s="7" t="n">
        <v>0.859699888334908</v>
      </c>
      <c r="C926" s="7" t="n">
        <v>0.860200538018218</v>
      </c>
      <c r="D926" s="7" t="n">
        <v>0.856011123766237</v>
      </c>
      <c r="E926" s="7" t="n">
        <v>0.859248597810919</v>
      </c>
      <c r="F926" s="8" t="n">
        <f aca="true">IF(ROW()-2&gt;=Inputs!$B$4,AVERAGE(OFFSET(E926,1-Inputs!$B$4,0,Inputs!$B$4,1)),"")</f>
        <v>0.852987955228506</v>
      </c>
      <c r="G926" s="8" t="n">
        <f aca="true">IF(ROW()-2&gt;=Inputs!$B$5,AVERAGE(OFFSET(E926,1-Inputs!$B$5,0,Inputs!$B$5,1)),"")</f>
        <v>0.848711415042324</v>
      </c>
      <c r="H926" s="8" t="n">
        <f aca="false">MAX(C926-D926,ABS(C926-E925),ABS(D926-E925))</f>
        <v>0.00418941425198083</v>
      </c>
      <c r="I926" s="8" t="n">
        <f aca="true">IF(ROW()-2&lt;14,"",IF(ROW()-2=14,AVERAGE(OFFSET(H926,-13,0,14,1)),(I925*13+H926)/14))</f>
        <v>0.0100151388102543</v>
      </c>
      <c r="J926" s="9" t="b">
        <f aca="false">IF(AND(ISNUMBER(F926),ISNUMBER(G926),ISNUMBER(F925),ISNUMBER(G925)),AND(F926&gt;G926,F925&lt;=G925),FALSE())</f>
        <v>0</v>
      </c>
      <c r="K926" s="9" t="b">
        <f aca="false">IF(AND(ISNUMBER(F926),ISNUMBER(G926),ISNUMBER(F925),ISNUMBER(G925)),AND(F926&lt;G926,F925&gt;=G925),FALSE())</f>
        <v>0</v>
      </c>
      <c r="L926" s="8" t="n">
        <f aca="false">IF(ISNUMBER(I926),E926-Inputs!$B$6*I926,"")</f>
        <v>0.839218320190411</v>
      </c>
      <c r="M926" s="9" t="b">
        <f aca="false">AND(Y925&gt;0,Z925)</f>
        <v>0</v>
      </c>
      <c r="N926" s="8" t="n">
        <f aca="false">B926*(1-Inputs!$B$12)</f>
        <v>0.859527948357241</v>
      </c>
      <c r="O926" s="10" t="n">
        <f aca="false">IF(M926,Y925*(N926-AB925)-Inputs!$B$9-Y925*AD925*Inputs!$B$13*(A926-AC925),0)</f>
        <v>0</v>
      </c>
      <c r="P926" s="10" t="n">
        <f aca="false">X925+O926</f>
        <v>982.862971216719</v>
      </c>
      <c r="Q926" s="9" t="b">
        <f aca="false">AND(IF(M926,0,Y925)=0,AA925,IF(ISNUMBER(AE925),B926&gt;AE925,FALSE()))</f>
        <v>0</v>
      </c>
      <c r="R926" s="8" t="n">
        <f aca="false">B926*(1+Inputs!$B$12)</f>
        <v>0.859871828312575</v>
      </c>
      <c r="S926" s="11" t="n">
        <f aca="false">IF(Q926,MIN(P926*Inputs!$B$3/(R926-AE925),P926*Inputs!$B$11/R926),0)</f>
        <v>0</v>
      </c>
      <c r="T926" s="11" t="n">
        <f aca="false">IF(Q926,S926,IF(M926,0,Y925))</f>
        <v>500.05621031551</v>
      </c>
      <c r="U926" s="8" t="n">
        <f aca="false">IF(Q926,AE925,AF925)</f>
        <v>0.843828396541038</v>
      </c>
      <c r="V926" s="9" t="b">
        <f aca="false">AND(T926&gt;0,D926&lt;=U926)</f>
        <v>0</v>
      </c>
      <c r="W926" s="10" t="n">
        <f aca="false">IF(V926,T926*(AK926-AB926)-Inputs!$B$9-T926*AD926*Inputs!$B$13*(A926-AC926),0)</f>
        <v>0</v>
      </c>
      <c r="X926" s="10" t="n">
        <f aca="false">P926-IF(Q926,Inputs!$B$9,0)+W926</f>
        <v>982.862971216719</v>
      </c>
      <c r="Y926" s="11" t="n">
        <f aca="false">IF(V926,0,T926)</f>
        <v>500.05621031551</v>
      </c>
      <c r="Z926" s="9" t="b">
        <f aca="false">AND(Y926&gt;0,K926)</f>
        <v>0</v>
      </c>
      <c r="AA926" s="9" t="b">
        <f aca="false">AND(Y926=0,J926,ISNUMBER(L926))</f>
        <v>0</v>
      </c>
      <c r="AB926" s="8" t="n">
        <f aca="false">IF(Q926,R926,AB925)</f>
        <v>0.863503444084112</v>
      </c>
      <c r="AC926" s="12" t="n">
        <f aca="false">IF(Q926,A926,AC925)</f>
        <v>45706</v>
      </c>
      <c r="AD926" s="8" t="n">
        <f aca="false">IF(Q926,B926,AD925)</f>
        <v>0.863330777928526</v>
      </c>
      <c r="AE926" s="8" t="str">
        <f aca="false">IF(AA926,L926,"")</f>
        <v/>
      </c>
      <c r="AF926" s="8" t="n">
        <f aca="false">U926</f>
        <v>0.843828396541038</v>
      </c>
      <c r="AG926" s="2" t="n">
        <f aca="false">AG925+IF(Q926,1,0)</f>
        <v>9</v>
      </c>
      <c r="AH926" s="2" t="n">
        <f aca="false">AG925</f>
        <v>9</v>
      </c>
      <c r="AI926" s="10" t="n">
        <f aca="false">X926+Y926*(E926-AB926)-Y926*AD926*Inputs!$B$13*(A926-AC926)</f>
        <v>980.427786671582</v>
      </c>
      <c r="AJ926" s="10" t="n">
        <v>0</v>
      </c>
      <c r="AK926" s="8" t="n">
        <f aca="false">IF(AND(B926&lt;=U926,NOT(Q926)),B926,U926)*(1-Inputs!$B$12)</f>
        <v>0.843659630861729</v>
      </c>
    </row>
    <row r="927" customFormat="false" ht="15" hidden="false" customHeight="false" outlineLevel="0" collapsed="false">
      <c r="A927" s="6" t="n">
        <v>45711</v>
      </c>
      <c r="B927" s="7" t="n">
        <v>0.859248597810919</v>
      </c>
      <c r="C927" s="7" t="n">
        <v>0.861379682500392</v>
      </c>
      <c r="D927" s="7" t="n">
        <v>0.853969195790851</v>
      </c>
      <c r="E927" s="7" t="n">
        <v>0.855164265809116</v>
      </c>
      <c r="F927" s="8" t="n">
        <f aca="true">IF(ROW()-2&gt;=Inputs!$B$4,AVERAGE(OFFSET(E927,1-Inputs!$B$4,0,Inputs!$B$4,1)),"")</f>
        <v>0.853279574133131</v>
      </c>
      <c r="G927" s="8" t="n">
        <f aca="true">IF(ROW()-2&gt;=Inputs!$B$5,AVERAGE(OFFSET(E927,1-Inputs!$B$5,0,Inputs!$B$5,1)),"")</f>
        <v>0.848920674865626</v>
      </c>
      <c r="H927" s="8" t="n">
        <f aca="false">MAX(C927-D927,ABS(C927-E926),ABS(D927-E926))</f>
        <v>0.00741048670954114</v>
      </c>
      <c r="I927" s="8" t="n">
        <f aca="true">IF(ROW()-2&lt;14,"",IF(ROW()-2=14,AVERAGE(OFFSET(H927,-13,0,14,1)),(I926*13+H927)/14))</f>
        <v>0.00982909223163193</v>
      </c>
      <c r="J927" s="9" t="b">
        <f aca="false">IF(AND(ISNUMBER(F927),ISNUMBER(G927),ISNUMBER(F926),ISNUMBER(G926)),AND(F927&gt;G927,F926&lt;=G926),FALSE())</f>
        <v>0</v>
      </c>
      <c r="K927" s="9" t="b">
        <f aca="false">IF(AND(ISNUMBER(F927),ISNUMBER(G927),ISNUMBER(F926),ISNUMBER(G926)),AND(F927&lt;G927,F926&gt;=G926),FALSE())</f>
        <v>0</v>
      </c>
      <c r="L927" s="8" t="n">
        <f aca="false">IF(ISNUMBER(I927),E927-Inputs!$B$6*I927,"")</f>
        <v>0.835506081345852</v>
      </c>
      <c r="M927" s="9" t="b">
        <f aca="false">AND(Y926&gt;0,Z926)</f>
        <v>0</v>
      </c>
      <c r="N927" s="8" t="n">
        <f aca="false">B927*(1-Inputs!$B$12)</f>
        <v>0.859076748091357</v>
      </c>
      <c r="O927" s="10" t="n">
        <f aca="false">IF(M927,Y926*(N927-AB926)-Inputs!$B$9-Y926*AD926*Inputs!$B$13*(A927-AC926),0)</f>
        <v>0</v>
      </c>
      <c r="P927" s="10" t="n">
        <f aca="false">X926+O927</f>
        <v>982.862971216719</v>
      </c>
      <c r="Q927" s="9" t="b">
        <f aca="false">AND(IF(M927,0,Y926)=0,AA926,IF(ISNUMBER(AE926),B927&gt;AE926,FALSE()))</f>
        <v>0</v>
      </c>
      <c r="R927" s="8" t="n">
        <f aca="false">B927*(1+Inputs!$B$12)</f>
        <v>0.859420447530481</v>
      </c>
      <c r="S927" s="11" t="n">
        <f aca="false">IF(Q927,MIN(P927*Inputs!$B$3/(R927-AE926),P927*Inputs!$B$11/R927),0)</f>
        <v>0</v>
      </c>
      <c r="T927" s="11" t="n">
        <f aca="false">IF(Q927,S927,IF(M927,0,Y926))</f>
        <v>500.05621031551</v>
      </c>
      <c r="U927" s="8" t="n">
        <f aca="false">IF(Q927,AE926,AF926)</f>
        <v>0.843828396541038</v>
      </c>
      <c r="V927" s="9" t="b">
        <f aca="false">AND(T927&gt;0,D927&lt;=U927)</f>
        <v>0</v>
      </c>
      <c r="W927" s="10" t="n">
        <f aca="false">IF(V927,T927*(AK927-AB927)-Inputs!$B$9-T927*AD927*Inputs!$B$13*(A927-AC927),0)</f>
        <v>0</v>
      </c>
      <c r="X927" s="10" t="n">
        <f aca="false">P927-IF(Q927,Inputs!$B$9,0)+W927</f>
        <v>982.862971216719</v>
      </c>
      <c r="Y927" s="11" t="n">
        <f aca="false">IF(V927,0,T927)</f>
        <v>500.05621031551</v>
      </c>
      <c r="Z927" s="9" t="b">
        <f aca="false">AND(Y927&gt;0,K927)</f>
        <v>0</v>
      </c>
      <c r="AA927" s="9" t="b">
        <f aca="false">AND(Y927=0,J927,ISNUMBER(L927))</f>
        <v>0</v>
      </c>
      <c r="AB927" s="8" t="n">
        <f aca="false">IF(Q927,R927,AB926)</f>
        <v>0.863503444084112</v>
      </c>
      <c r="AC927" s="12" t="n">
        <f aca="false">IF(Q927,A927,AC926)</f>
        <v>45706</v>
      </c>
      <c r="AD927" s="8" t="n">
        <f aca="false">IF(Q927,B927,AD926)</f>
        <v>0.863330777928526</v>
      </c>
      <c r="AE927" s="8" t="str">
        <f aca="false">IF(AA927,L927,"")</f>
        <v/>
      </c>
      <c r="AF927" s="8" t="n">
        <f aca="false">U927</f>
        <v>0.843828396541038</v>
      </c>
      <c r="AG927" s="2" t="n">
        <f aca="false">AG926+IF(Q927,1,0)</f>
        <v>9</v>
      </c>
      <c r="AH927" s="2" t="n">
        <f aca="false">AG926</f>
        <v>9</v>
      </c>
      <c r="AI927" s="10" t="n">
        <f aca="false">X927+Y927*(E927-AB927)-Y927*AD927*Inputs!$B$13*(A927-AC927)</f>
        <v>978.308510528518</v>
      </c>
      <c r="AJ927" s="10" t="n">
        <v>0</v>
      </c>
      <c r="AK927" s="8" t="n">
        <f aca="false">IF(AND(B927&lt;=U927,NOT(Q927)),B927,U927)*(1-Inputs!$B$12)</f>
        <v>0.843659630861729</v>
      </c>
    </row>
    <row r="928" customFormat="false" ht="15" hidden="false" customHeight="false" outlineLevel="0" collapsed="false">
      <c r="A928" s="6" t="n">
        <v>45712</v>
      </c>
      <c r="B928" s="7" t="n">
        <v>0.855164265809116</v>
      </c>
      <c r="C928" s="7" t="n">
        <v>0.856703139074868</v>
      </c>
      <c r="D928" s="7" t="n">
        <v>0.846897038735721</v>
      </c>
      <c r="E928" s="7" t="n">
        <v>0.848578239484604</v>
      </c>
      <c r="F928" s="8" t="n">
        <f aca="true">IF(ROW()-2&gt;=Inputs!$B$4,AVERAGE(OFFSET(E928,1-Inputs!$B$4,0,Inputs!$B$4,1)),"")</f>
        <v>0.853529796145344</v>
      </c>
      <c r="G928" s="8" t="n">
        <f aca="true">IF(ROW()-2&gt;=Inputs!$B$5,AVERAGE(OFFSET(E928,1-Inputs!$B$5,0,Inputs!$B$5,1)),"")</f>
        <v>0.848945402911984</v>
      </c>
      <c r="H928" s="8" t="n">
        <f aca="false">MAX(C928-D928,ABS(C928-E927),ABS(D928-E927))</f>
        <v>0.00980610033914708</v>
      </c>
      <c r="I928" s="8" t="n">
        <f aca="true">IF(ROW()-2&lt;14,"",IF(ROW()-2=14,AVERAGE(OFFSET(H928,-13,0,14,1)),(I927*13+H928)/14))</f>
        <v>0.0098274499535973</v>
      </c>
      <c r="J928" s="9" t="b">
        <f aca="false">IF(AND(ISNUMBER(F928),ISNUMBER(G928),ISNUMBER(F927),ISNUMBER(G927)),AND(F928&gt;G928,F927&lt;=G927),FALSE())</f>
        <v>0</v>
      </c>
      <c r="K928" s="9" t="b">
        <f aca="false">IF(AND(ISNUMBER(F928),ISNUMBER(G928),ISNUMBER(F927),ISNUMBER(G927)),AND(F928&lt;G928,F927&gt;=G927),FALSE())</f>
        <v>0</v>
      </c>
      <c r="L928" s="8" t="n">
        <f aca="false">IF(ISNUMBER(I928),E928-Inputs!$B$6*I928,"")</f>
        <v>0.82892333957741</v>
      </c>
      <c r="M928" s="9" t="b">
        <f aca="false">AND(Y927&gt;0,Z927)</f>
        <v>0</v>
      </c>
      <c r="N928" s="8" t="n">
        <f aca="false">B928*(1-Inputs!$B$12)</f>
        <v>0.854993232955954</v>
      </c>
      <c r="O928" s="10" t="n">
        <f aca="false">IF(M928,Y927*(N928-AB927)-Inputs!$B$9-Y927*AD927*Inputs!$B$13*(A928-AC927),0)</f>
        <v>0</v>
      </c>
      <c r="P928" s="10" t="n">
        <f aca="false">X927+O928</f>
        <v>982.862971216719</v>
      </c>
      <c r="Q928" s="9" t="b">
        <f aca="false">AND(IF(M928,0,Y927)=0,AA927,IF(ISNUMBER(AE927),B928&gt;AE927,FALSE()))</f>
        <v>0</v>
      </c>
      <c r="R928" s="8" t="n">
        <f aca="false">B928*(1+Inputs!$B$12)</f>
        <v>0.855335298662278</v>
      </c>
      <c r="S928" s="11" t="n">
        <f aca="false">IF(Q928,MIN(P928*Inputs!$B$3/(R928-AE927),P928*Inputs!$B$11/R928),0)</f>
        <v>0</v>
      </c>
      <c r="T928" s="11" t="n">
        <f aca="false">IF(Q928,S928,IF(M928,0,Y927))</f>
        <v>500.05621031551</v>
      </c>
      <c r="U928" s="8" t="n">
        <f aca="false">IF(Q928,AE927,AF927)</f>
        <v>0.843828396541038</v>
      </c>
      <c r="V928" s="9" t="b">
        <f aca="false">AND(T928&gt;0,D928&lt;=U928)</f>
        <v>0</v>
      </c>
      <c r="W928" s="10" t="n">
        <f aca="false">IF(V928,T928*(AK928-AB928)-Inputs!$B$9-T928*AD928*Inputs!$B$13*(A928-AC928),0)</f>
        <v>0</v>
      </c>
      <c r="X928" s="10" t="n">
        <f aca="false">P928-IF(Q928,Inputs!$B$9,0)+W928</f>
        <v>982.862971216719</v>
      </c>
      <c r="Y928" s="11" t="n">
        <f aca="false">IF(V928,0,T928)</f>
        <v>500.05621031551</v>
      </c>
      <c r="Z928" s="9" t="b">
        <f aca="false">AND(Y928&gt;0,K928)</f>
        <v>0</v>
      </c>
      <c r="AA928" s="9" t="b">
        <f aca="false">AND(Y928=0,J928,ISNUMBER(L928))</f>
        <v>0</v>
      </c>
      <c r="AB928" s="8" t="n">
        <f aca="false">IF(Q928,R928,AB927)</f>
        <v>0.863503444084112</v>
      </c>
      <c r="AC928" s="12" t="n">
        <f aca="false">IF(Q928,A928,AC927)</f>
        <v>45706</v>
      </c>
      <c r="AD928" s="8" t="n">
        <f aca="false">IF(Q928,B928,AD927)</f>
        <v>0.863330777928526</v>
      </c>
      <c r="AE928" s="8" t="str">
        <f aca="false">IF(AA928,L928,"")</f>
        <v/>
      </c>
      <c r="AF928" s="8" t="n">
        <f aca="false">U928</f>
        <v>0.843828396541038</v>
      </c>
      <c r="AG928" s="2" t="n">
        <f aca="false">AG927+IF(Q928,1,0)</f>
        <v>9</v>
      </c>
      <c r="AH928" s="2" t="n">
        <f aca="false">AG927</f>
        <v>9</v>
      </c>
      <c r="AI928" s="10" t="n">
        <f aca="false">X928+Y928*(E928-AB928)-Y928*AD928*Inputs!$B$13*(A928-AC928)</f>
        <v>974.938246603072</v>
      </c>
      <c r="AJ928" s="10" t="n">
        <v>0</v>
      </c>
      <c r="AK928" s="8" t="n">
        <f aca="false">IF(AND(B928&lt;=U928,NOT(Q928)),B928,U928)*(1-Inputs!$B$12)</f>
        <v>0.843659630861729</v>
      </c>
    </row>
    <row r="929" customFormat="false" ht="15" hidden="false" customHeight="false" outlineLevel="0" collapsed="false">
      <c r="A929" s="6" t="n">
        <v>45713</v>
      </c>
      <c r="B929" s="7" t="n">
        <v>0.848578239484604</v>
      </c>
      <c r="C929" s="7" t="n">
        <v>0.853834534183113</v>
      </c>
      <c r="D929" s="7" t="n">
        <v>0.848444635075492</v>
      </c>
      <c r="E929" s="7" t="n">
        <v>0.851566138297382</v>
      </c>
      <c r="F929" s="8" t="n">
        <f aca="true">IF(ROW()-2&gt;=Inputs!$B$4,AVERAGE(OFFSET(E929,1-Inputs!$B$4,0,Inputs!$B$4,1)),"")</f>
        <v>0.853635099259813</v>
      </c>
      <c r="G929" s="8" t="n">
        <f aca="true">IF(ROW()-2&gt;=Inputs!$B$5,AVERAGE(OFFSET(E929,1-Inputs!$B$5,0,Inputs!$B$5,1)),"")</f>
        <v>0.84889805088782</v>
      </c>
      <c r="H929" s="8" t="n">
        <f aca="false">MAX(C929-D929,ABS(C929-E928),ABS(D929-E928))</f>
        <v>0.00538989910762144</v>
      </c>
      <c r="I929" s="8" t="n">
        <f aca="true">IF(ROW()-2&lt;14,"",IF(ROW()-2=14,AVERAGE(OFFSET(H929,-13,0,14,1)),(I928*13+H929)/14))</f>
        <v>0.0095104820360276</v>
      </c>
      <c r="J929" s="9" t="b">
        <f aca="false">IF(AND(ISNUMBER(F929),ISNUMBER(G929),ISNUMBER(F928),ISNUMBER(G928)),AND(F929&gt;G929,F928&lt;=G928),FALSE())</f>
        <v>0</v>
      </c>
      <c r="K929" s="9" t="b">
        <f aca="false">IF(AND(ISNUMBER(F929),ISNUMBER(G929),ISNUMBER(F928),ISNUMBER(G928)),AND(F929&lt;G929,F928&gt;=G928),FALSE())</f>
        <v>0</v>
      </c>
      <c r="L929" s="8" t="n">
        <f aca="false">IF(ISNUMBER(I929),E929-Inputs!$B$6*I929,"")</f>
        <v>0.832545174225327</v>
      </c>
      <c r="M929" s="9" t="b">
        <f aca="false">AND(Y928&gt;0,Z928)</f>
        <v>0</v>
      </c>
      <c r="N929" s="8" t="n">
        <f aca="false">B929*(1-Inputs!$B$12)</f>
        <v>0.848408523836707</v>
      </c>
      <c r="O929" s="10" t="n">
        <f aca="false">IF(M929,Y928*(N929-AB928)-Inputs!$B$9-Y928*AD928*Inputs!$B$13*(A929-AC928),0)</f>
        <v>0</v>
      </c>
      <c r="P929" s="10" t="n">
        <f aca="false">X928+O929</f>
        <v>982.862971216719</v>
      </c>
      <c r="Q929" s="9" t="b">
        <f aca="false">AND(IF(M929,0,Y928)=0,AA928,IF(ISNUMBER(AE928),B929&gt;AE928,FALSE()))</f>
        <v>0</v>
      </c>
      <c r="R929" s="8" t="n">
        <f aca="false">B929*(1+Inputs!$B$12)</f>
        <v>0.848747955132501</v>
      </c>
      <c r="S929" s="11" t="n">
        <f aca="false">IF(Q929,MIN(P929*Inputs!$B$3/(R929-AE928),P929*Inputs!$B$11/R929),0)</f>
        <v>0</v>
      </c>
      <c r="T929" s="11" t="n">
        <f aca="false">IF(Q929,S929,IF(M929,0,Y928))</f>
        <v>500.05621031551</v>
      </c>
      <c r="U929" s="8" t="n">
        <f aca="false">IF(Q929,AE928,AF928)</f>
        <v>0.843828396541038</v>
      </c>
      <c r="V929" s="9" t="b">
        <f aca="false">AND(T929&gt;0,D929&lt;=U929)</f>
        <v>0</v>
      </c>
      <c r="W929" s="10" t="n">
        <f aca="false">IF(V929,T929*(AK929-AB929)-Inputs!$B$9-T929*AD929*Inputs!$B$13*(A929-AC929),0)</f>
        <v>0</v>
      </c>
      <c r="X929" s="10" t="n">
        <f aca="false">P929-IF(Q929,Inputs!$B$9,0)+W929</f>
        <v>982.862971216719</v>
      </c>
      <c r="Y929" s="11" t="n">
        <f aca="false">IF(V929,0,T929)</f>
        <v>500.05621031551</v>
      </c>
      <c r="Z929" s="9" t="b">
        <f aca="false">AND(Y929&gt;0,K929)</f>
        <v>0</v>
      </c>
      <c r="AA929" s="9" t="b">
        <f aca="false">AND(Y929=0,J929,ISNUMBER(L929))</f>
        <v>0</v>
      </c>
      <c r="AB929" s="8" t="n">
        <f aca="false">IF(Q929,R929,AB928)</f>
        <v>0.863503444084112</v>
      </c>
      <c r="AC929" s="12" t="n">
        <f aca="false">IF(Q929,A929,AC928)</f>
        <v>45706</v>
      </c>
      <c r="AD929" s="8" t="n">
        <f aca="false">IF(Q929,B929,AD928)</f>
        <v>0.863330777928526</v>
      </c>
      <c r="AE929" s="8" t="str">
        <f aca="false">IF(AA929,L929,"")</f>
        <v/>
      </c>
      <c r="AF929" s="8" t="n">
        <f aca="false">U929</f>
        <v>0.843828396541038</v>
      </c>
      <c r="AG929" s="2" t="n">
        <f aca="false">AG928+IF(Q929,1,0)</f>
        <v>9</v>
      </c>
      <c r="AH929" s="2" t="n">
        <f aca="false">AG928</f>
        <v>9</v>
      </c>
      <c r="AI929" s="10" t="n">
        <f aca="false">X929+Y929*(E929-AB929)-Y929*AD929*Inputs!$B$13*(A929-AC929)</f>
        <v>976.355483399624</v>
      </c>
      <c r="AJ929" s="10" t="n">
        <v>0</v>
      </c>
      <c r="AK929" s="8" t="n">
        <f aca="false">IF(AND(B929&lt;=U929,NOT(Q929)),B929,U929)*(1-Inputs!$B$12)</f>
        <v>0.843659630861729</v>
      </c>
    </row>
    <row r="930" customFormat="false" ht="15" hidden="false" customHeight="false" outlineLevel="0" collapsed="false">
      <c r="A930" s="6" t="n">
        <v>45714</v>
      </c>
      <c r="B930" s="7" t="n">
        <v>0.851566138297382</v>
      </c>
      <c r="C930" s="7" t="n">
        <v>0.862799594748613</v>
      </c>
      <c r="D930" s="7" t="n">
        <v>0.851365310766104</v>
      </c>
      <c r="E930" s="7" t="n">
        <v>0.860625216594172</v>
      </c>
      <c r="F930" s="8" t="n">
        <f aca="true">IF(ROW()-2&gt;=Inputs!$B$4,AVERAGE(OFFSET(E930,1-Inputs!$B$4,0,Inputs!$B$4,1)),"")</f>
        <v>0.853989631261558</v>
      </c>
      <c r="G930" s="8" t="n">
        <f aca="true">IF(ROW()-2&gt;=Inputs!$B$5,AVERAGE(OFFSET(E930,1-Inputs!$B$5,0,Inputs!$B$5,1)),"")</f>
        <v>0.849060240194603</v>
      </c>
      <c r="H930" s="8" t="n">
        <f aca="false">MAX(C930-D930,ABS(C930-E929),ABS(D930-E929))</f>
        <v>0.0114342839825088</v>
      </c>
      <c r="I930" s="8" t="n">
        <f aca="true">IF(ROW()-2&lt;14,"",IF(ROW()-2=14,AVERAGE(OFFSET(H930,-13,0,14,1)),(I929*13+H930)/14))</f>
        <v>0.00964789646077625</v>
      </c>
      <c r="J930" s="9" t="b">
        <f aca="false">IF(AND(ISNUMBER(F930),ISNUMBER(G930),ISNUMBER(F929),ISNUMBER(G929)),AND(F930&gt;G930,F929&lt;=G929),FALSE())</f>
        <v>0</v>
      </c>
      <c r="K930" s="9" t="b">
        <f aca="false">IF(AND(ISNUMBER(F930),ISNUMBER(G930),ISNUMBER(F929),ISNUMBER(G929)),AND(F930&lt;G930,F929&gt;=G929),FALSE())</f>
        <v>0</v>
      </c>
      <c r="L930" s="8" t="n">
        <f aca="false">IF(ISNUMBER(I930),E930-Inputs!$B$6*I930,"")</f>
        <v>0.841329423672619</v>
      </c>
      <c r="M930" s="9" t="b">
        <f aca="false">AND(Y929&gt;0,Z929)</f>
        <v>0</v>
      </c>
      <c r="N930" s="8" t="n">
        <f aca="false">B930*(1-Inputs!$B$12)</f>
        <v>0.851395825069723</v>
      </c>
      <c r="O930" s="10" t="n">
        <f aca="false">IF(M930,Y929*(N930-AB929)-Inputs!$B$9-Y929*AD929*Inputs!$B$13*(A930-AC929),0)</f>
        <v>0</v>
      </c>
      <c r="P930" s="10" t="n">
        <f aca="false">X929+O930</f>
        <v>982.862971216719</v>
      </c>
      <c r="Q930" s="9" t="b">
        <f aca="false">AND(IF(M930,0,Y929)=0,AA929,IF(ISNUMBER(AE929),B930&gt;AE929,FALSE()))</f>
        <v>0</v>
      </c>
      <c r="R930" s="8" t="n">
        <f aca="false">B930*(1+Inputs!$B$12)</f>
        <v>0.851736451525042</v>
      </c>
      <c r="S930" s="11" t="n">
        <f aca="false">IF(Q930,MIN(P930*Inputs!$B$3/(R930-AE929),P930*Inputs!$B$11/R930),0)</f>
        <v>0</v>
      </c>
      <c r="T930" s="11" t="n">
        <f aca="false">IF(Q930,S930,IF(M930,0,Y929))</f>
        <v>500.05621031551</v>
      </c>
      <c r="U930" s="8" t="n">
        <f aca="false">IF(Q930,AE929,AF929)</f>
        <v>0.843828396541038</v>
      </c>
      <c r="V930" s="9" t="b">
        <f aca="false">AND(T930&gt;0,D930&lt;=U930)</f>
        <v>0</v>
      </c>
      <c r="W930" s="10" t="n">
        <f aca="false">IF(V930,T930*(AK930-AB930)-Inputs!$B$9-T930*AD930*Inputs!$B$13*(A930-AC930),0)</f>
        <v>0</v>
      </c>
      <c r="X930" s="10" t="n">
        <f aca="false">P930-IF(Q930,Inputs!$B$9,0)+W930</f>
        <v>982.862971216719</v>
      </c>
      <c r="Y930" s="11" t="n">
        <f aca="false">IF(V930,0,T930)</f>
        <v>500.05621031551</v>
      </c>
      <c r="Z930" s="9" t="b">
        <f aca="false">AND(Y930&gt;0,K930)</f>
        <v>0</v>
      </c>
      <c r="AA930" s="9" t="b">
        <f aca="false">AND(Y930=0,J930,ISNUMBER(L930))</f>
        <v>0</v>
      </c>
      <c r="AB930" s="8" t="n">
        <f aca="false">IF(Q930,R930,AB929)</f>
        <v>0.863503444084112</v>
      </c>
      <c r="AC930" s="12" t="n">
        <f aca="false">IF(Q930,A930,AC929)</f>
        <v>45706</v>
      </c>
      <c r="AD930" s="8" t="n">
        <f aca="false">IF(Q930,B930,AD929)</f>
        <v>0.863330777928526</v>
      </c>
      <c r="AE930" s="8" t="str">
        <f aca="false">IF(AA930,L930,"")</f>
        <v/>
      </c>
      <c r="AF930" s="8" t="n">
        <f aca="false">U930</f>
        <v>0.843828396541038</v>
      </c>
      <c r="AG930" s="2" t="n">
        <f aca="false">AG929+IF(Q930,1,0)</f>
        <v>9</v>
      </c>
      <c r="AH930" s="2" t="n">
        <f aca="false">AG929</f>
        <v>9</v>
      </c>
      <c r="AI930" s="10" t="n">
        <f aca="false">X930+Y930*(E930-AB930)-Y930*AD930*Inputs!$B$13*(A930-AC930)</f>
        <v>980.808651201095</v>
      </c>
      <c r="AJ930" s="10" t="n">
        <v>0</v>
      </c>
      <c r="AK930" s="8" t="n">
        <f aca="false">IF(AND(B930&lt;=U930,NOT(Q930)),B930,U930)*(1-Inputs!$B$12)</f>
        <v>0.843659630861729</v>
      </c>
    </row>
    <row r="931" customFormat="false" ht="15" hidden="false" customHeight="false" outlineLevel="0" collapsed="false">
      <c r="A931" s="6" t="n">
        <v>45715</v>
      </c>
      <c r="B931" s="7" t="n">
        <v>0.860625216594172</v>
      </c>
      <c r="C931" s="7" t="n">
        <v>0.865518763004552</v>
      </c>
      <c r="D931" s="7" t="n">
        <v>0.852816206364259</v>
      </c>
      <c r="E931" s="7" t="n">
        <v>0.855127697998655</v>
      </c>
      <c r="F931" s="8" t="n">
        <f aca="true">IF(ROW()-2&gt;=Inputs!$B$4,AVERAGE(OFFSET(E931,1-Inputs!$B$4,0,Inputs!$B$4,1)),"")</f>
        <v>0.854059519206331</v>
      </c>
      <c r="G931" s="8" t="n">
        <f aca="true">IF(ROW()-2&gt;=Inputs!$B$5,AVERAGE(OFFSET(E931,1-Inputs!$B$5,0,Inputs!$B$5,1)),"")</f>
        <v>0.84925310163358</v>
      </c>
      <c r="H931" s="8" t="n">
        <f aca="false">MAX(C931-D931,ABS(C931-E930),ABS(D931-E930))</f>
        <v>0.0127025566402923</v>
      </c>
      <c r="I931" s="8" t="n">
        <f aca="true">IF(ROW()-2&lt;14,"",IF(ROW()-2=14,AVERAGE(OFFSET(H931,-13,0,14,1)),(I930*13+H931)/14))</f>
        <v>0.00986608647359883</v>
      </c>
      <c r="J931" s="9" t="b">
        <f aca="false">IF(AND(ISNUMBER(F931),ISNUMBER(G931),ISNUMBER(F930),ISNUMBER(G930)),AND(F931&gt;G931,F930&lt;=G930),FALSE())</f>
        <v>0</v>
      </c>
      <c r="K931" s="9" t="b">
        <f aca="false">IF(AND(ISNUMBER(F931),ISNUMBER(G931),ISNUMBER(F930),ISNUMBER(G930)),AND(F931&lt;G931,F930&gt;=G930),FALSE())</f>
        <v>0</v>
      </c>
      <c r="L931" s="8" t="n">
        <f aca="false">IF(ISNUMBER(I931),E931-Inputs!$B$6*I931,"")</f>
        <v>0.835395525051457</v>
      </c>
      <c r="M931" s="9" t="b">
        <f aca="false">AND(Y930&gt;0,Z930)</f>
        <v>0</v>
      </c>
      <c r="N931" s="8" t="n">
        <f aca="false">B931*(1-Inputs!$B$12)</f>
        <v>0.860453091550853</v>
      </c>
      <c r="O931" s="10" t="n">
        <f aca="false">IF(M931,Y930*(N931-AB930)-Inputs!$B$9-Y930*AD930*Inputs!$B$13*(A931-AC930),0)</f>
        <v>0</v>
      </c>
      <c r="P931" s="10" t="n">
        <f aca="false">X930+O931</f>
        <v>982.862971216719</v>
      </c>
      <c r="Q931" s="9" t="b">
        <f aca="false">AND(IF(M931,0,Y930)=0,AA930,IF(ISNUMBER(AE930),B931&gt;AE930,FALSE()))</f>
        <v>0</v>
      </c>
      <c r="R931" s="8" t="n">
        <f aca="false">B931*(1+Inputs!$B$12)</f>
        <v>0.86079734163749</v>
      </c>
      <c r="S931" s="11" t="n">
        <f aca="false">IF(Q931,MIN(P931*Inputs!$B$3/(R931-AE930),P931*Inputs!$B$11/R931),0)</f>
        <v>0</v>
      </c>
      <c r="T931" s="11" t="n">
        <f aca="false">IF(Q931,S931,IF(M931,0,Y930))</f>
        <v>500.05621031551</v>
      </c>
      <c r="U931" s="8" t="n">
        <f aca="false">IF(Q931,AE930,AF930)</f>
        <v>0.843828396541038</v>
      </c>
      <c r="V931" s="9" t="b">
        <f aca="false">AND(T931&gt;0,D931&lt;=U931)</f>
        <v>0</v>
      </c>
      <c r="W931" s="10" t="n">
        <f aca="false">IF(V931,T931*(AK931-AB931)-Inputs!$B$9-T931*AD931*Inputs!$B$13*(A931-AC931),0)</f>
        <v>0</v>
      </c>
      <c r="X931" s="10" t="n">
        <f aca="false">P931-IF(Q931,Inputs!$B$9,0)+W931</f>
        <v>982.862971216719</v>
      </c>
      <c r="Y931" s="11" t="n">
        <f aca="false">IF(V931,0,T931)</f>
        <v>500.05621031551</v>
      </c>
      <c r="Z931" s="9" t="b">
        <f aca="false">AND(Y931&gt;0,K931)</f>
        <v>0</v>
      </c>
      <c r="AA931" s="9" t="b">
        <f aca="false">AND(Y931=0,J931,ISNUMBER(L931))</f>
        <v>0</v>
      </c>
      <c r="AB931" s="8" t="n">
        <f aca="false">IF(Q931,R931,AB930)</f>
        <v>0.863503444084112</v>
      </c>
      <c r="AC931" s="12" t="n">
        <f aca="false">IF(Q931,A931,AC930)</f>
        <v>45706</v>
      </c>
      <c r="AD931" s="8" t="n">
        <f aca="false">IF(Q931,B931,AD930)</f>
        <v>0.863330777928526</v>
      </c>
      <c r="AE931" s="8" t="str">
        <f aca="false">IF(AA931,L931,"")</f>
        <v/>
      </c>
      <c r="AF931" s="8" t="n">
        <f aca="false">U931</f>
        <v>0.843828396541038</v>
      </c>
      <c r="AG931" s="2" t="n">
        <f aca="false">AG930+IF(Q931,1,0)</f>
        <v>9</v>
      </c>
      <c r="AH931" s="2" t="n">
        <f aca="false">AG930</f>
        <v>9</v>
      </c>
      <c r="AI931" s="10" t="n">
        <f aca="false">X931+Y931*(E931-AB931)-Y931*AD931*Inputs!$B$13*(A931-AC931)</f>
        <v>977.98270232551</v>
      </c>
      <c r="AJ931" s="10" t="n">
        <v>0</v>
      </c>
      <c r="AK931" s="8" t="n">
        <f aca="false">IF(AND(B931&lt;=U931,NOT(Q931)),B931,U931)*(1-Inputs!$B$12)</f>
        <v>0.843659630861729</v>
      </c>
    </row>
    <row r="932" customFormat="false" ht="15" hidden="false" customHeight="false" outlineLevel="0" collapsed="false">
      <c r="A932" s="6" t="n">
        <v>45716</v>
      </c>
      <c r="B932" s="7" t="n">
        <v>0.855127697998655</v>
      </c>
      <c r="C932" s="7" t="n">
        <v>0.860085005165195</v>
      </c>
      <c r="D932" s="7" t="n">
        <v>0.854589837827495</v>
      </c>
      <c r="E932" s="7" t="n">
        <v>0.856195058236995</v>
      </c>
      <c r="F932" s="8" t="n">
        <f aca="true">IF(ROW()-2&gt;=Inputs!$B$4,AVERAGE(OFFSET(E932,1-Inputs!$B$4,0,Inputs!$B$4,1)),"")</f>
        <v>0.854464057466855</v>
      </c>
      <c r="G932" s="8" t="n">
        <f aca="true">IF(ROW()-2&gt;=Inputs!$B$5,AVERAGE(OFFSET(E932,1-Inputs!$B$5,0,Inputs!$B$5,1)),"")</f>
        <v>0.849460741300893</v>
      </c>
      <c r="H932" s="8" t="n">
        <f aca="false">MAX(C932-D932,ABS(C932-E931),ABS(D932-E931))</f>
        <v>0.00549516733770017</v>
      </c>
      <c r="I932" s="8" t="n">
        <f aca="true">IF(ROW()-2&lt;14,"",IF(ROW()-2=14,AVERAGE(OFFSET(H932,-13,0,14,1)),(I931*13+H932)/14))</f>
        <v>0.00955387796389178</v>
      </c>
      <c r="J932" s="9" t="b">
        <f aca="false">IF(AND(ISNUMBER(F932),ISNUMBER(G932),ISNUMBER(F931),ISNUMBER(G931)),AND(F932&gt;G932,F931&lt;=G931),FALSE())</f>
        <v>0</v>
      </c>
      <c r="K932" s="9" t="b">
        <f aca="false">IF(AND(ISNUMBER(F932),ISNUMBER(G932),ISNUMBER(F931),ISNUMBER(G931)),AND(F932&lt;G932,F931&gt;=G931),FALSE())</f>
        <v>0</v>
      </c>
      <c r="L932" s="8" t="n">
        <f aca="false">IF(ISNUMBER(I932),E932-Inputs!$B$6*I932,"")</f>
        <v>0.837087302309211</v>
      </c>
      <c r="M932" s="9" t="b">
        <f aca="false">AND(Y931&gt;0,Z931)</f>
        <v>0</v>
      </c>
      <c r="N932" s="8" t="n">
        <f aca="false">B932*(1-Inputs!$B$12)</f>
        <v>0.854956672459055</v>
      </c>
      <c r="O932" s="10" t="n">
        <f aca="false">IF(M932,Y931*(N932-AB931)-Inputs!$B$9-Y931*AD931*Inputs!$B$13*(A932-AC931),0)</f>
        <v>0</v>
      </c>
      <c r="P932" s="10" t="n">
        <f aca="false">X931+O932</f>
        <v>982.862971216719</v>
      </c>
      <c r="Q932" s="9" t="b">
        <f aca="false">AND(IF(M932,0,Y931)=0,AA931,IF(ISNUMBER(AE931),B932&gt;AE931,FALSE()))</f>
        <v>0</v>
      </c>
      <c r="R932" s="8" t="n">
        <f aca="false">B932*(1+Inputs!$B$12)</f>
        <v>0.855298723538254</v>
      </c>
      <c r="S932" s="11" t="n">
        <f aca="false">IF(Q932,MIN(P932*Inputs!$B$3/(R932-AE931),P932*Inputs!$B$11/R932),0)</f>
        <v>0</v>
      </c>
      <c r="T932" s="11" t="n">
        <f aca="false">IF(Q932,S932,IF(M932,0,Y931))</f>
        <v>500.05621031551</v>
      </c>
      <c r="U932" s="8" t="n">
        <f aca="false">IF(Q932,AE931,AF931)</f>
        <v>0.843828396541038</v>
      </c>
      <c r="V932" s="9" t="b">
        <f aca="false">AND(T932&gt;0,D932&lt;=U932)</f>
        <v>0</v>
      </c>
      <c r="W932" s="10" t="n">
        <f aca="false">IF(V932,T932*(AK932-AB932)-Inputs!$B$9-T932*AD932*Inputs!$B$13*(A932-AC932),0)</f>
        <v>0</v>
      </c>
      <c r="X932" s="10" t="n">
        <f aca="false">P932-IF(Q932,Inputs!$B$9,0)+W932</f>
        <v>982.862971216719</v>
      </c>
      <c r="Y932" s="11" t="n">
        <f aca="false">IF(V932,0,T932)</f>
        <v>500.05621031551</v>
      </c>
      <c r="Z932" s="9" t="b">
        <f aca="false">AND(Y932&gt;0,K932)</f>
        <v>0</v>
      </c>
      <c r="AA932" s="9" t="b">
        <f aca="false">AND(Y932=0,J932,ISNUMBER(L932))</f>
        <v>0</v>
      </c>
      <c r="AB932" s="8" t="n">
        <f aca="false">IF(Q932,R932,AB931)</f>
        <v>0.863503444084112</v>
      </c>
      <c r="AC932" s="12" t="n">
        <f aca="false">IF(Q932,A932,AC931)</f>
        <v>45706</v>
      </c>
      <c r="AD932" s="8" t="n">
        <f aca="false">IF(Q932,B932,AD931)</f>
        <v>0.863330777928526</v>
      </c>
      <c r="AE932" s="8" t="str">
        <f aca="false">IF(AA932,L932,"")</f>
        <v/>
      </c>
      <c r="AF932" s="8" t="n">
        <f aca="false">U932</f>
        <v>0.843828396541038</v>
      </c>
      <c r="AG932" s="2" t="n">
        <f aca="false">AG931+IF(Q932,1,0)</f>
        <v>9</v>
      </c>
      <c r="AH932" s="2" t="n">
        <f aca="false">AG931</f>
        <v>9</v>
      </c>
      <c r="AI932" s="10" t="n">
        <f aca="false">X932+Y932*(E932-AB932)-Y932*AD932*Inputs!$B$13*(A932-AC932)</f>
        <v>978.439561880763</v>
      </c>
      <c r="AJ932" s="10" t="n">
        <v>0</v>
      </c>
      <c r="AK932" s="8" t="n">
        <f aca="false">IF(AND(B932&lt;=U932,NOT(Q932)),B932,U932)*(1-Inputs!$B$12)</f>
        <v>0.843659630861729</v>
      </c>
    </row>
    <row r="933" customFormat="false" ht="15" hidden="false" customHeight="false" outlineLevel="0" collapsed="false">
      <c r="A933" s="6" t="n">
        <v>45717</v>
      </c>
      <c r="B933" s="7" t="n">
        <v>0.856195058236995</v>
      </c>
      <c r="C933" s="7" t="n">
        <v>0.867587684753264</v>
      </c>
      <c r="D933" s="7" t="n">
        <v>0.852911875691498</v>
      </c>
      <c r="E933" s="7" t="n">
        <v>0.861219625244125</v>
      </c>
      <c r="F933" s="8" t="n">
        <f aca="true">IF(ROW()-2&gt;=Inputs!$B$4,AVERAGE(OFFSET(E933,1-Inputs!$B$4,0,Inputs!$B$4,1)),"")</f>
        <v>0.855289546115637</v>
      </c>
      <c r="G933" s="8" t="n">
        <f aca="true">IF(ROW()-2&gt;=Inputs!$B$5,AVERAGE(OFFSET(E933,1-Inputs!$B$5,0,Inputs!$B$5,1)),"")</f>
        <v>0.84982809718019</v>
      </c>
      <c r="H933" s="8" t="n">
        <f aca="false">MAX(C933-D933,ABS(C933-E932),ABS(D933-E932))</f>
        <v>0.0146758090617661</v>
      </c>
      <c r="I933" s="8" t="n">
        <f aca="true">IF(ROW()-2&lt;14,"",IF(ROW()-2=14,AVERAGE(OFFSET(H933,-13,0,14,1)),(I932*13+H933)/14))</f>
        <v>0.00991973018516852</v>
      </c>
      <c r="J933" s="9" t="b">
        <f aca="false">IF(AND(ISNUMBER(F933),ISNUMBER(G933),ISNUMBER(F932),ISNUMBER(G932)),AND(F933&gt;G933,F932&lt;=G932),FALSE())</f>
        <v>0</v>
      </c>
      <c r="K933" s="9" t="b">
        <f aca="false">IF(AND(ISNUMBER(F933),ISNUMBER(G933),ISNUMBER(F932),ISNUMBER(G932)),AND(F933&lt;G933,F932&gt;=G932),FALSE())</f>
        <v>0</v>
      </c>
      <c r="L933" s="8" t="n">
        <f aca="false">IF(ISNUMBER(I933),E933-Inputs!$B$6*I933,"")</f>
        <v>0.841380164873788</v>
      </c>
      <c r="M933" s="9" t="b">
        <f aca="false">AND(Y932&gt;0,Z932)</f>
        <v>0</v>
      </c>
      <c r="N933" s="8" t="n">
        <f aca="false">B933*(1-Inputs!$B$12)</f>
        <v>0.856023819225347</v>
      </c>
      <c r="O933" s="10" t="n">
        <f aca="false">IF(M933,Y932*(N933-AB932)-Inputs!$B$9-Y932*AD932*Inputs!$B$13*(A933-AC932),0)</f>
        <v>0</v>
      </c>
      <c r="P933" s="10" t="n">
        <f aca="false">X932+O933</f>
        <v>982.862971216719</v>
      </c>
      <c r="Q933" s="9" t="b">
        <f aca="false">AND(IF(M933,0,Y932)=0,AA932,IF(ISNUMBER(AE932),B933&gt;AE932,FALSE()))</f>
        <v>0</v>
      </c>
      <c r="R933" s="8" t="n">
        <f aca="false">B933*(1+Inputs!$B$12)</f>
        <v>0.856366297248642</v>
      </c>
      <c r="S933" s="11" t="n">
        <f aca="false">IF(Q933,MIN(P933*Inputs!$B$3/(R933-AE932),P933*Inputs!$B$11/R933),0)</f>
        <v>0</v>
      </c>
      <c r="T933" s="11" t="n">
        <f aca="false">IF(Q933,S933,IF(M933,0,Y932))</f>
        <v>500.05621031551</v>
      </c>
      <c r="U933" s="8" t="n">
        <f aca="false">IF(Q933,AE932,AF932)</f>
        <v>0.843828396541038</v>
      </c>
      <c r="V933" s="9" t="b">
        <f aca="false">AND(T933&gt;0,D933&lt;=U933)</f>
        <v>0</v>
      </c>
      <c r="W933" s="10" t="n">
        <f aca="false">IF(V933,T933*(AK933-AB933)-Inputs!$B$9-T933*AD933*Inputs!$B$13*(A933-AC933),0)</f>
        <v>0</v>
      </c>
      <c r="X933" s="10" t="n">
        <f aca="false">P933-IF(Q933,Inputs!$B$9,0)+W933</f>
        <v>982.862971216719</v>
      </c>
      <c r="Y933" s="11" t="n">
        <f aca="false">IF(V933,0,T933)</f>
        <v>500.05621031551</v>
      </c>
      <c r="Z933" s="9" t="b">
        <f aca="false">AND(Y933&gt;0,K933)</f>
        <v>0</v>
      </c>
      <c r="AA933" s="9" t="b">
        <f aca="false">AND(Y933=0,J933,ISNUMBER(L933))</f>
        <v>0</v>
      </c>
      <c r="AB933" s="8" t="n">
        <f aca="false">IF(Q933,R933,AB932)</f>
        <v>0.863503444084112</v>
      </c>
      <c r="AC933" s="12" t="n">
        <f aca="false">IF(Q933,A933,AC932)</f>
        <v>45706</v>
      </c>
      <c r="AD933" s="8" t="n">
        <f aca="false">IF(Q933,B933,AD932)</f>
        <v>0.863330777928526</v>
      </c>
      <c r="AE933" s="8" t="str">
        <f aca="false">IF(AA933,L933,"")</f>
        <v/>
      </c>
      <c r="AF933" s="8" t="n">
        <f aca="false">U933</f>
        <v>0.843828396541038</v>
      </c>
      <c r="AG933" s="2" t="n">
        <f aca="false">AG932+IF(Q933,1,0)</f>
        <v>9</v>
      </c>
      <c r="AH933" s="2" t="n">
        <f aca="false">AG932</f>
        <v>9</v>
      </c>
      <c r="AI933" s="10" t="n">
        <f aca="false">X933+Y933*(E933-AB933)-Y933*AD933*Inputs!$B$13*(A933-AC933)</f>
        <v>980.875247256253</v>
      </c>
      <c r="AJ933" s="10" t="n">
        <v>0</v>
      </c>
      <c r="AK933" s="8" t="n">
        <f aca="false">IF(AND(B933&lt;=U933,NOT(Q933)),B933,U933)*(1-Inputs!$B$12)</f>
        <v>0.843659630861729</v>
      </c>
    </row>
    <row r="934" customFormat="false" ht="15" hidden="false" customHeight="false" outlineLevel="0" collapsed="false">
      <c r="A934" s="6" t="n">
        <v>45718</v>
      </c>
      <c r="B934" s="7" t="n">
        <v>0.861219625244125</v>
      </c>
      <c r="C934" s="7" t="n">
        <v>0.862839437241497</v>
      </c>
      <c r="D934" s="7" t="n">
        <v>0.855135380722901</v>
      </c>
      <c r="E934" s="7" t="n">
        <v>0.857016822516966</v>
      </c>
      <c r="F934" s="8" t="n">
        <f aca="true">IF(ROW()-2&gt;=Inputs!$B$4,AVERAGE(OFFSET(E934,1-Inputs!$B$4,0,Inputs!$B$4,1)),"")</f>
        <v>0.855649798429096</v>
      </c>
      <c r="G934" s="8" t="n">
        <f aca="true">IF(ROW()-2&gt;=Inputs!$B$5,AVERAGE(OFFSET(E934,1-Inputs!$B$5,0,Inputs!$B$5,1)),"")</f>
        <v>0.850101682256135</v>
      </c>
      <c r="H934" s="8" t="n">
        <f aca="false">MAX(C934-D934,ABS(C934-E933),ABS(D934-E933))</f>
        <v>0.00770405651859674</v>
      </c>
      <c r="I934" s="8" t="n">
        <f aca="true">IF(ROW()-2&lt;14,"",IF(ROW()-2=14,AVERAGE(OFFSET(H934,-13,0,14,1)),(I933*13+H934)/14))</f>
        <v>0.00976146778041339</v>
      </c>
      <c r="J934" s="9" t="b">
        <f aca="false">IF(AND(ISNUMBER(F934),ISNUMBER(G934),ISNUMBER(F933),ISNUMBER(G933)),AND(F934&gt;G934,F933&lt;=G933),FALSE())</f>
        <v>0</v>
      </c>
      <c r="K934" s="9" t="b">
        <f aca="false">IF(AND(ISNUMBER(F934),ISNUMBER(G934),ISNUMBER(F933),ISNUMBER(G933)),AND(F934&lt;G934,F933&gt;=G933),FALSE())</f>
        <v>0</v>
      </c>
      <c r="L934" s="8" t="n">
        <f aca="false">IF(ISNUMBER(I934),E934-Inputs!$B$6*I934,"")</f>
        <v>0.83749388695614</v>
      </c>
      <c r="M934" s="9" t="b">
        <f aca="false">AND(Y933&gt;0,Z933)</f>
        <v>0</v>
      </c>
      <c r="N934" s="8" t="n">
        <f aca="false">B934*(1-Inputs!$B$12)</f>
        <v>0.861047381319076</v>
      </c>
      <c r="O934" s="10" t="n">
        <f aca="false">IF(M934,Y933*(N934-AB933)-Inputs!$B$9-Y933*AD933*Inputs!$B$13*(A934-AC933),0)</f>
        <v>0</v>
      </c>
      <c r="P934" s="10" t="n">
        <f aca="false">X933+O934</f>
        <v>982.862971216719</v>
      </c>
      <c r="Q934" s="9" t="b">
        <f aca="false">AND(IF(M934,0,Y933)=0,AA933,IF(ISNUMBER(AE933),B934&gt;AE933,FALSE()))</f>
        <v>0</v>
      </c>
      <c r="R934" s="8" t="n">
        <f aca="false">B934*(1+Inputs!$B$12)</f>
        <v>0.861391869169173</v>
      </c>
      <c r="S934" s="11" t="n">
        <f aca="false">IF(Q934,MIN(P934*Inputs!$B$3/(R934-AE933),P934*Inputs!$B$11/R934),0)</f>
        <v>0</v>
      </c>
      <c r="T934" s="11" t="n">
        <f aca="false">IF(Q934,S934,IF(M934,0,Y933))</f>
        <v>500.05621031551</v>
      </c>
      <c r="U934" s="8" t="n">
        <f aca="false">IF(Q934,AE933,AF933)</f>
        <v>0.843828396541038</v>
      </c>
      <c r="V934" s="9" t="b">
        <f aca="false">AND(T934&gt;0,D934&lt;=U934)</f>
        <v>0</v>
      </c>
      <c r="W934" s="10" t="n">
        <f aca="false">IF(V934,T934*(AK934-AB934)-Inputs!$B$9-T934*AD934*Inputs!$B$13*(A934-AC934),0)</f>
        <v>0</v>
      </c>
      <c r="X934" s="10" t="n">
        <f aca="false">P934-IF(Q934,Inputs!$B$9,0)+W934</f>
        <v>982.862971216719</v>
      </c>
      <c r="Y934" s="11" t="n">
        <f aca="false">IF(V934,0,T934)</f>
        <v>500.05621031551</v>
      </c>
      <c r="Z934" s="9" t="b">
        <f aca="false">AND(Y934&gt;0,K934)</f>
        <v>0</v>
      </c>
      <c r="AA934" s="9" t="b">
        <f aca="false">AND(Y934=0,J934,ISNUMBER(L934))</f>
        <v>0</v>
      </c>
      <c r="AB934" s="8" t="n">
        <f aca="false">IF(Q934,R934,AB933)</f>
        <v>0.863503444084112</v>
      </c>
      <c r="AC934" s="12" t="n">
        <f aca="false">IF(Q934,A934,AC933)</f>
        <v>45706</v>
      </c>
      <c r="AD934" s="8" t="n">
        <f aca="false">IF(Q934,B934,AD933)</f>
        <v>0.863330777928526</v>
      </c>
      <c r="AE934" s="8" t="str">
        <f aca="false">IF(AA934,L934,"")</f>
        <v/>
      </c>
      <c r="AF934" s="8" t="n">
        <f aca="false">U934</f>
        <v>0.843828396541038</v>
      </c>
      <c r="AG934" s="2" t="n">
        <f aca="false">AG933+IF(Q934,1,0)</f>
        <v>9</v>
      </c>
      <c r="AH934" s="2" t="n">
        <f aca="false">AG933</f>
        <v>9</v>
      </c>
      <c r="AI934" s="10" t="n">
        <f aca="false">X934+Y934*(E934-AB934)-Y934*AD934*Inputs!$B$13*(A934-AC934)</f>
        <v>978.696729091234</v>
      </c>
      <c r="AJ934" s="10" t="n">
        <v>0</v>
      </c>
      <c r="AK934" s="8" t="n">
        <f aca="false">IF(AND(B934&lt;=U934,NOT(Q934)),B934,U934)*(1-Inputs!$B$12)</f>
        <v>0.843659630861729</v>
      </c>
    </row>
    <row r="935" customFormat="false" ht="15" hidden="false" customHeight="false" outlineLevel="0" collapsed="false">
      <c r="A935" s="6" t="n">
        <v>45719</v>
      </c>
      <c r="B935" s="7" t="n">
        <v>0.857016822516966</v>
      </c>
      <c r="C935" s="7" t="n">
        <v>0.864053609863535</v>
      </c>
      <c r="D935" s="7" t="n">
        <v>0.852641538297397</v>
      </c>
      <c r="E935" s="7" t="n">
        <v>0.859137772367071</v>
      </c>
      <c r="F935" s="8" t="n">
        <f aca="true">IF(ROW()-2&gt;=Inputs!$B$4,AVERAGE(OFFSET(E935,1-Inputs!$B$4,0,Inputs!$B$4,1)),"")</f>
        <v>0.856264638316743</v>
      </c>
      <c r="G935" s="8" t="n">
        <f aca="true">IF(ROW()-2&gt;=Inputs!$B$5,AVERAGE(OFFSET(E935,1-Inputs!$B$5,0,Inputs!$B$5,1)),"")</f>
        <v>0.850336807895803</v>
      </c>
      <c r="H935" s="8" t="n">
        <f aca="false">MAX(C935-D935,ABS(C935-E934),ABS(D935-E934))</f>
        <v>0.0114120715661383</v>
      </c>
      <c r="I935" s="8" t="n">
        <f aca="true">IF(ROW()-2&lt;14,"",IF(ROW()-2=14,AVERAGE(OFFSET(H935,-13,0,14,1)),(I934*13+H935)/14))</f>
        <v>0.00987936805082232</v>
      </c>
      <c r="J935" s="9" t="b">
        <f aca="false">IF(AND(ISNUMBER(F935),ISNUMBER(G935),ISNUMBER(F934),ISNUMBER(G934)),AND(F935&gt;G935,F934&lt;=G934),FALSE())</f>
        <v>0</v>
      </c>
      <c r="K935" s="9" t="b">
        <f aca="false">IF(AND(ISNUMBER(F935),ISNUMBER(G935),ISNUMBER(F934),ISNUMBER(G934)),AND(F935&lt;G935,F934&gt;=G934),FALSE())</f>
        <v>0</v>
      </c>
      <c r="L935" s="8" t="n">
        <f aca="false">IF(ISNUMBER(I935),E935-Inputs!$B$6*I935,"")</f>
        <v>0.839379036265426</v>
      </c>
      <c r="M935" s="9" t="b">
        <f aca="false">AND(Y934&gt;0,Z934)</f>
        <v>0</v>
      </c>
      <c r="N935" s="8" t="n">
        <f aca="false">B935*(1-Inputs!$B$12)</f>
        <v>0.856845419152463</v>
      </c>
      <c r="O935" s="10" t="n">
        <f aca="false">IF(M935,Y934*(N935-AB934)-Inputs!$B$9-Y934*AD934*Inputs!$B$13*(A935-AC934),0)</f>
        <v>0</v>
      </c>
      <c r="P935" s="10" t="n">
        <f aca="false">X934+O935</f>
        <v>982.862971216719</v>
      </c>
      <c r="Q935" s="9" t="b">
        <f aca="false">AND(IF(M935,0,Y934)=0,AA934,IF(ISNUMBER(AE934),B935&gt;AE934,FALSE()))</f>
        <v>0</v>
      </c>
      <c r="R935" s="8" t="n">
        <f aca="false">B935*(1+Inputs!$B$12)</f>
        <v>0.85718822588147</v>
      </c>
      <c r="S935" s="11" t="n">
        <f aca="false">IF(Q935,MIN(P935*Inputs!$B$3/(R935-AE934),P935*Inputs!$B$11/R935),0)</f>
        <v>0</v>
      </c>
      <c r="T935" s="11" t="n">
        <f aca="false">IF(Q935,S935,IF(M935,0,Y934))</f>
        <v>500.05621031551</v>
      </c>
      <c r="U935" s="8" t="n">
        <f aca="false">IF(Q935,AE934,AF934)</f>
        <v>0.843828396541038</v>
      </c>
      <c r="V935" s="9" t="b">
        <f aca="false">AND(T935&gt;0,D935&lt;=U935)</f>
        <v>0</v>
      </c>
      <c r="W935" s="10" t="n">
        <f aca="false">IF(V935,T935*(AK935-AB935)-Inputs!$B$9-T935*AD935*Inputs!$B$13*(A935-AC935),0)</f>
        <v>0</v>
      </c>
      <c r="X935" s="10" t="n">
        <f aca="false">P935-IF(Q935,Inputs!$B$9,0)+W935</f>
        <v>982.862971216719</v>
      </c>
      <c r="Y935" s="11" t="n">
        <f aca="false">IF(V935,0,T935)</f>
        <v>500.05621031551</v>
      </c>
      <c r="Z935" s="9" t="b">
        <f aca="false">AND(Y935&gt;0,K935)</f>
        <v>0</v>
      </c>
      <c r="AA935" s="9" t="b">
        <f aca="false">AND(Y935=0,J935,ISNUMBER(L935))</f>
        <v>0</v>
      </c>
      <c r="AB935" s="8" t="n">
        <f aca="false">IF(Q935,R935,AB934)</f>
        <v>0.863503444084112</v>
      </c>
      <c r="AC935" s="12" t="n">
        <f aca="false">IF(Q935,A935,AC934)</f>
        <v>45706</v>
      </c>
      <c r="AD935" s="8" t="n">
        <f aca="false">IF(Q935,B935,AD934)</f>
        <v>0.863330777928526</v>
      </c>
      <c r="AE935" s="8" t="str">
        <f aca="false">IF(AA935,L935,"")</f>
        <v/>
      </c>
      <c r="AF935" s="8" t="n">
        <f aca="false">U935</f>
        <v>0.843828396541038</v>
      </c>
      <c r="AG935" s="2" t="n">
        <f aca="false">AG934+IF(Q935,1,0)</f>
        <v>9</v>
      </c>
      <c r="AH935" s="2" t="n">
        <f aca="false">AG934</f>
        <v>9</v>
      </c>
      <c r="AI935" s="10" t="n">
        <f aca="false">X935+Y935*(E935-AB935)-Y935*AD935*Inputs!$B$13*(A935-AC935)</f>
        <v>979.680442674974</v>
      </c>
      <c r="AJ935" s="10" t="n">
        <v>0</v>
      </c>
      <c r="AK935" s="8" t="n">
        <f aca="false">IF(AND(B935&lt;=U935,NOT(Q935)),B935,U935)*(1-Inputs!$B$12)</f>
        <v>0.843659630861729</v>
      </c>
    </row>
    <row r="936" customFormat="false" ht="15" hidden="false" customHeight="false" outlineLevel="0" collapsed="false">
      <c r="A936" s="6" t="n">
        <v>45720</v>
      </c>
      <c r="B936" s="7" t="n">
        <v>0.859137772367071</v>
      </c>
      <c r="C936" s="7" t="n">
        <v>0.866815989819986</v>
      </c>
      <c r="D936" s="7" t="n">
        <v>0.857479357878776</v>
      </c>
      <c r="E936" s="7" t="n">
        <v>0.866106750744285</v>
      </c>
      <c r="F936" s="8" t="n">
        <f aca="true">IF(ROW()-2&gt;=Inputs!$B$4,AVERAGE(OFFSET(E936,1-Inputs!$B$4,0,Inputs!$B$4,1)),"")</f>
        <v>0.857273877964413</v>
      </c>
      <c r="G936" s="8" t="n">
        <f aca="true">IF(ROW()-2&gt;=Inputs!$B$5,AVERAGE(OFFSET(E936,1-Inputs!$B$5,0,Inputs!$B$5,1)),"")</f>
        <v>0.850672962619806</v>
      </c>
      <c r="H936" s="8" t="n">
        <f aca="false">MAX(C936-D936,ABS(C936-E935),ABS(D936-E935))</f>
        <v>0.00933663194121004</v>
      </c>
      <c r="I936" s="8" t="n">
        <f aca="true">IF(ROW()-2&lt;14,"",IF(ROW()-2=14,AVERAGE(OFFSET(H936,-13,0,14,1)),(I935*13+H936)/14))</f>
        <v>0.00984060118585001</v>
      </c>
      <c r="J936" s="9" t="b">
        <f aca="false">IF(AND(ISNUMBER(F936),ISNUMBER(G936),ISNUMBER(F935),ISNUMBER(G935)),AND(F936&gt;G936,F935&lt;=G935),FALSE())</f>
        <v>0</v>
      </c>
      <c r="K936" s="9" t="b">
        <f aca="false">IF(AND(ISNUMBER(F936),ISNUMBER(G936),ISNUMBER(F935),ISNUMBER(G935)),AND(F936&lt;G936,F935&gt;=G935),FALSE())</f>
        <v>0</v>
      </c>
      <c r="L936" s="8" t="n">
        <f aca="false">IF(ISNUMBER(I936),E936-Inputs!$B$6*I936,"")</f>
        <v>0.846425548372585</v>
      </c>
      <c r="M936" s="9" t="b">
        <f aca="false">AND(Y935&gt;0,Z935)</f>
        <v>0</v>
      </c>
      <c r="N936" s="8" t="n">
        <f aca="false">B936*(1-Inputs!$B$12)</f>
        <v>0.858965944812598</v>
      </c>
      <c r="O936" s="10" t="n">
        <f aca="false">IF(M936,Y935*(N936-AB935)-Inputs!$B$9-Y935*AD935*Inputs!$B$13*(A936-AC935),0)</f>
        <v>0</v>
      </c>
      <c r="P936" s="10" t="n">
        <f aca="false">X935+O936</f>
        <v>982.862971216719</v>
      </c>
      <c r="Q936" s="9" t="b">
        <f aca="false">AND(IF(M936,0,Y935)=0,AA935,IF(ISNUMBER(AE935),B936&gt;AE935,FALSE()))</f>
        <v>0</v>
      </c>
      <c r="R936" s="8" t="n">
        <f aca="false">B936*(1+Inputs!$B$12)</f>
        <v>0.859309599921544</v>
      </c>
      <c r="S936" s="11" t="n">
        <f aca="false">IF(Q936,MIN(P936*Inputs!$B$3/(R936-AE935),P936*Inputs!$B$11/R936),0)</f>
        <v>0</v>
      </c>
      <c r="T936" s="11" t="n">
        <f aca="false">IF(Q936,S936,IF(M936,0,Y935))</f>
        <v>500.05621031551</v>
      </c>
      <c r="U936" s="8" t="n">
        <f aca="false">IF(Q936,AE935,AF935)</f>
        <v>0.843828396541038</v>
      </c>
      <c r="V936" s="9" t="b">
        <f aca="false">AND(T936&gt;0,D936&lt;=U936)</f>
        <v>0</v>
      </c>
      <c r="W936" s="10" t="n">
        <f aca="false">IF(V936,T936*(AK936-AB936)-Inputs!$B$9-T936*AD936*Inputs!$B$13*(A936-AC936),0)</f>
        <v>0</v>
      </c>
      <c r="X936" s="10" t="n">
        <f aca="false">P936-IF(Q936,Inputs!$B$9,0)+W936</f>
        <v>982.862971216719</v>
      </c>
      <c r="Y936" s="11" t="n">
        <f aca="false">IF(V936,0,T936)</f>
        <v>500.05621031551</v>
      </c>
      <c r="Z936" s="9" t="b">
        <f aca="false">AND(Y936&gt;0,K936)</f>
        <v>0</v>
      </c>
      <c r="AA936" s="9" t="b">
        <f aca="false">AND(Y936=0,J936,ISNUMBER(L936))</f>
        <v>0</v>
      </c>
      <c r="AB936" s="8" t="n">
        <f aca="false">IF(Q936,R936,AB935)</f>
        <v>0.863503444084112</v>
      </c>
      <c r="AC936" s="12" t="n">
        <f aca="false">IF(Q936,A936,AC935)</f>
        <v>45706</v>
      </c>
      <c r="AD936" s="8" t="n">
        <f aca="false">IF(Q936,B936,AD935)</f>
        <v>0.863330777928526</v>
      </c>
      <c r="AE936" s="8" t="str">
        <f aca="false">IF(AA936,L936,"")</f>
        <v/>
      </c>
      <c r="AF936" s="8" t="n">
        <f aca="false">U936</f>
        <v>0.843828396541038</v>
      </c>
      <c r="AG936" s="2" t="n">
        <f aca="false">AG935+IF(Q936,1,0)</f>
        <v>9</v>
      </c>
      <c r="AH936" s="2" t="n">
        <f aca="false">AG935</f>
        <v>9</v>
      </c>
      <c r="AI936" s="10" t="n">
        <f aca="false">X936+Y936*(E936-AB936)-Y936*AD936*Inputs!$B$13*(A936-AC936)</f>
        <v>983.088443031483</v>
      </c>
      <c r="AJ936" s="10" t="n">
        <v>0</v>
      </c>
      <c r="AK936" s="8" t="n">
        <f aca="false">IF(AND(B936&lt;=U936,NOT(Q936)),B936,U936)*(1-Inputs!$B$12)</f>
        <v>0.843659630861729</v>
      </c>
    </row>
    <row r="937" customFormat="false" ht="15" hidden="false" customHeight="false" outlineLevel="0" collapsed="false">
      <c r="A937" s="6" t="n">
        <v>45721</v>
      </c>
      <c r="B937" s="7" t="n">
        <v>0.866106750744285</v>
      </c>
      <c r="C937" s="7" t="n">
        <v>0.867398796057754</v>
      </c>
      <c r="D937" s="7" t="n">
        <v>0.86072963338435</v>
      </c>
      <c r="E937" s="7" t="n">
        <v>0.861030546295922</v>
      </c>
      <c r="F937" s="8" t="n">
        <f aca="true">IF(ROW()-2&gt;=Inputs!$B$4,AVERAGE(OFFSET(E937,1-Inputs!$B$4,0,Inputs!$B$4,1)),"")</f>
        <v>0.857674010375869</v>
      </c>
      <c r="G937" s="8" t="n">
        <f aca="true">IF(ROW()-2&gt;=Inputs!$B$5,AVERAGE(OFFSET(E937,1-Inputs!$B$5,0,Inputs!$B$5,1)),"")</f>
        <v>0.850980739382158</v>
      </c>
      <c r="H937" s="8" t="n">
        <f aca="false">MAX(C937-D937,ABS(C937-E936),ABS(D937-E936))</f>
        <v>0.00666916267340412</v>
      </c>
      <c r="I937" s="8" t="n">
        <f aca="true">IF(ROW()-2&lt;14,"",IF(ROW()-2=14,AVERAGE(OFFSET(H937,-13,0,14,1)),(I936*13+H937)/14))</f>
        <v>0.00961406986353245</v>
      </c>
      <c r="J937" s="9" t="b">
        <f aca="false">IF(AND(ISNUMBER(F937),ISNUMBER(G937),ISNUMBER(F936),ISNUMBER(G936)),AND(F937&gt;G937,F936&lt;=G936),FALSE())</f>
        <v>0</v>
      </c>
      <c r="K937" s="9" t="b">
        <f aca="false">IF(AND(ISNUMBER(F937),ISNUMBER(G937),ISNUMBER(F936),ISNUMBER(G936)),AND(F937&lt;G937,F936&gt;=G936),FALSE())</f>
        <v>0</v>
      </c>
      <c r="L937" s="8" t="n">
        <f aca="false">IF(ISNUMBER(I937),E937-Inputs!$B$6*I937,"")</f>
        <v>0.841802406568857</v>
      </c>
      <c r="M937" s="9" t="b">
        <f aca="false">AND(Y936&gt;0,Z936)</f>
        <v>0</v>
      </c>
      <c r="N937" s="8" t="n">
        <f aca="false">B937*(1-Inputs!$B$12)</f>
        <v>0.865933529394136</v>
      </c>
      <c r="O937" s="10" t="n">
        <f aca="false">IF(M937,Y936*(N937-AB936)-Inputs!$B$9-Y936*AD936*Inputs!$B$13*(A937-AC936),0)</f>
        <v>0</v>
      </c>
      <c r="P937" s="10" t="n">
        <f aca="false">X936+O937</f>
        <v>982.862971216719</v>
      </c>
      <c r="Q937" s="9" t="b">
        <f aca="false">AND(IF(M937,0,Y936)=0,AA936,IF(ISNUMBER(AE936),B937&gt;AE936,FALSE()))</f>
        <v>0</v>
      </c>
      <c r="R937" s="8" t="n">
        <f aca="false">B937*(1+Inputs!$B$12)</f>
        <v>0.866279972094434</v>
      </c>
      <c r="S937" s="11" t="n">
        <f aca="false">IF(Q937,MIN(P937*Inputs!$B$3/(R937-AE936),P937*Inputs!$B$11/R937),0)</f>
        <v>0</v>
      </c>
      <c r="T937" s="11" t="n">
        <f aca="false">IF(Q937,S937,IF(M937,0,Y936))</f>
        <v>500.05621031551</v>
      </c>
      <c r="U937" s="8" t="n">
        <f aca="false">IF(Q937,AE936,AF936)</f>
        <v>0.843828396541038</v>
      </c>
      <c r="V937" s="9" t="b">
        <f aca="false">AND(T937&gt;0,D937&lt;=U937)</f>
        <v>0</v>
      </c>
      <c r="W937" s="10" t="n">
        <f aca="false">IF(V937,T937*(AK937-AB937)-Inputs!$B$9-T937*AD937*Inputs!$B$13*(A937-AC937),0)</f>
        <v>0</v>
      </c>
      <c r="X937" s="10" t="n">
        <f aca="false">P937-IF(Q937,Inputs!$B$9,0)+W937</f>
        <v>982.862971216719</v>
      </c>
      <c r="Y937" s="11" t="n">
        <f aca="false">IF(V937,0,T937)</f>
        <v>500.05621031551</v>
      </c>
      <c r="Z937" s="9" t="b">
        <f aca="false">AND(Y937&gt;0,K937)</f>
        <v>0</v>
      </c>
      <c r="AA937" s="9" t="b">
        <f aca="false">AND(Y937=0,J937,ISNUMBER(L937))</f>
        <v>0</v>
      </c>
      <c r="AB937" s="8" t="n">
        <f aca="false">IF(Q937,R937,AB936)</f>
        <v>0.863503444084112</v>
      </c>
      <c r="AC937" s="12" t="n">
        <f aca="false">IF(Q937,A937,AC936)</f>
        <v>45706</v>
      </c>
      <c r="AD937" s="8" t="n">
        <f aca="false">IF(Q937,B937,AD936)</f>
        <v>0.863330777928526</v>
      </c>
      <c r="AE937" s="8" t="str">
        <f aca="false">IF(AA937,L937,"")</f>
        <v/>
      </c>
      <c r="AF937" s="8" t="n">
        <f aca="false">U937</f>
        <v>0.843828396541038</v>
      </c>
      <c r="AG937" s="2" t="n">
        <f aca="false">AG936+IF(Q937,1,0)</f>
        <v>9</v>
      </c>
      <c r="AH937" s="2" t="n">
        <f aca="false">AG936</f>
        <v>9</v>
      </c>
      <c r="AI937" s="10" t="n">
        <f aca="false">X937+Y937*(E937-AB937)-Y937*AD937*Inputs!$B$13*(A937-AC937)</f>
        <v>980.473174911675</v>
      </c>
      <c r="AJ937" s="10" t="n">
        <v>0</v>
      </c>
      <c r="AK937" s="8" t="n">
        <f aca="false">IF(AND(B937&lt;=U937,NOT(Q937)),B937,U937)*(1-Inputs!$B$12)</f>
        <v>0.843659630861729</v>
      </c>
    </row>
    <row r="938" customFormat="false" ht="15" hidden="false" customHeight="false" outlineLevel="0" collapsed="false">
      <c r="A938" s="6" t="n">
        <v>45722</v>
      </c>
      <c r="B938" s="7" t="n">
        <v>0.861030546295922</v>
      </c>
      <c r="C938" s="7" t="n">
        <v>0.861779227759954</v>
      </c>
      <c r="D938" s="7" t="n">
        <v>0.847955628044533</v>
      </c>
      <c r="E938" s="7" t="n">
        <v>0.853933696532506</v>
      </c>
      <c r="F938" s="8" t="n">
        <f aca="true">IF(ROW()-2&gt;=Inputs!$B$4,AVERAGE(OFFSET(E938,1-Inputs!$B$4,0,Inputs!$B$4,1)),"")</f>
        <v>0.857346582020078</v>
      </c>
      <c r="G938" s="8" t="n">
        <f aca="true">IF(ROW()-2&gt;=Inputs!$B$5,AVERAGE(OFFSET(E938,1-Inputs!$B$5,0,Inputs!$B$5,1)),"")</f>
        <v>0.85110875652734</v>
      </c>
      <c r="H938" s="8" t="n">
        <f aca="false">MAX(C938-D938,ABS(C938-E937),ABS(D938-E937))</f>
        <v>0.013823599715421</v>
      </c>
      <c r="I938" s="8" t="n">
        <f aca="true">IF(ROW()-2&lt;14,"",IF(ROW()-2=14,AVERAGE(OFFSET(H938,-13,0,14,1)),(I937*13+H938)/14))</f>
        <v>0.00991475056723877</v>
      </c>
      <c r="J938" s="9" t="b">
        <f aca="false">IF(AND(ISNUMBER(F938),ISNUMBER(G938),ISNUMBER(F937),ISNUMBER(G937)),AND(F938&gt;G938,F937&lt;=G937),FALSE())</f>
        <v>0</v>
      </c>
      <c r="K938" s="9" t="b">
        <f aca="false">IF(AND(ISNUMBER(F938),ISNUMBER(G938),ISNUMBER(F937),ISNUMBER(G937)),AND(F938&lt;G938,F937&gt;=G937),FALSE())</f>
        <v>0</v>
      </c>
      <c r="L938" s="8" t="n">
        <f aca="false">IF(ISNUMBER(I938),E938-Inputs!$B$6*I938,"")</f>
        <v>0.834104195398029</v>
      </c>
      <c r="M938" s="9" t="b">
        <f aca="false">AND(Y937&gt;0,Z937)</f>
        <v>0</v>
      </c>
      <c r="N938" s="8" t="n">
        <f aca="false">B938*(1-Inputs!$B$12)</f>
        <v>0.860858340186663</v>
      </c>
      <c r="O938" s="10" t="n">
        <f aca="false">IF(M938,Y937*(N938-AB937)-Inputs!$B$9-Y937*AD937*Inputs!$B$13*(A938-AC937),0)</f>
        <v>0</v>
      </c>
      <c r="P938" s="10" t="n">
        <f aca="false">X937+O938</f>
        <v>982.862971216719</v>
      </c>
      <c r="Q938" s="9" t="b">
        <f aca="false">AND(IF(M938,0,Y937)=0,AA937,IF(ISNUMBER(AE937),B938&gt;AE937,FALSE()))</f>
        <v>0</v>
      </c>
      <c r="R938" s="8" t="n">
        <f aca="false">B938*(1+Inputs!$B$12)</f>
        <v>0.861202752405181</v>
      </c>
      <c r="S938" s="11" t="n">
        <f aca="false">IF(Q938,MIN(P938*Inputs!$B$3/(R938-AE937),P938*Inputs!$B$11/R938),0)</f>
        <v>0</v>
      </c>
      <c r="T938" s="11" t="n">
        <f aca="false">IF(Q938,S938,IF(M938,0,Y937))</f>
        <v>500.05621031551</v>
      </c>
      <c r="U938" s="8" t="n">
        <f aca="false">IF(Q938,AE937,AF937)</f>
        <v>0.843828396541038</v>
      </c>
      <c r="V938" s="9" t="b">
        <f aca="false">AND(T938&gt;0,D938&lt;=U938)</f>
        <v>0</v>
      </c>
      <c r="W938" s="10" t="n">
        <f aca="false">IF(V938,T938*(AK938-AB938)-Inputs!$B$9-T938*AD938*Inputs!$B$13*(A938-AC938),0)</f>
        <v>0</v>
      </c>
      <c r="X938" s="10" t="n">
        <f aca="false">P938-IF(Q938,Inputs!$B$9,0)+W938</f>
        <v>982.862971216719</v>
      </c>
      <c r="Y938" s="11" t="n">
        <f aca="false">IF(V938,0,T938)</f>
        <v>500.05621031551</v>
      </c>
      <c r="Z938" s="9" t="b">
        <f aca="false">AND(Y938&gt;0,K938)</f>
        <v>0</v>
      </c>
      <c r="AA938" s="9" t="b">
        <f aca="false">AND(Y938=0,J938,ISNUMBER(L938))</f>
        <v>0</v>
      </c>
      <c r="AB938" s="8" t="n">
        <f aca="false">IF(Q938,R938,AB937)</f>
        <v>0.863503444084112</v>
      </c>
      <c r="AC938" s="12" t="n">
        <f aca="false">IF(Q938,A938,AC937)</f>
        <v>45706</v>
      </c>
      <c r="AD938" s="8" t="n">
        <f aca="false">IF(Q938,B938,AD937)</f>
        <v>0.863330777928526</v>
      </c>
      <c r="AE938" s="8" t="str">
        <f aca="false">IF(AA938,L938,"")</f>
        <v/>
      </c>
      <c r="AF938" s="8" t="n">
        <f aca="false">U938</f>
        <v>0.843828396541038</v>
      </c>
      <c r="AG938" s="2" t="n">
        <f aca="false">AG937+IF(Q938,1,0)</f>
        <v>9</v>
      </c>
      <c r="AH938" s="2" t="n">
        <f aca="false">AG937</f>
        <v>9</v>
      </c>
      <c r="AI938" s="10" t="n">
        <f aca="false">X938+Y938*(E938-AB938)-Y938*AD938*Inputs!$B$13*(A938-AC938)</f>
        <v>976.847470553231</v>
      </c>
      <c r="AJ938" s="10" t="n">
        <v>0</v>
      </c>
      <c r="AK938" s="8" t="n">
        <f aca="false">IF(AND(B938&lt;=U938,NOT(Q938)),B938,U938)*(1-Inputs!$B$12)</f>
        <v>0.843659630861729</v>
      </c>
    </row>
    <row r="939" customFormat="false" ht="15" hidden="false" customHeight="false" outlineLevel="0" collapsed="false">
      <c r="A939" s="6" t="n">
        <v>45723</v>
      </c>
      <c r="B939" s="7" t="n">
        <v>0.853933696532506</v>
      </c>
      <c r="C939" s="7" t="n">
        <v>0.855364031704117</v>
      </c>
      <c r="D939" s="7" t="n">
        <v>0.850883557959528</v>
      </c>
      <c r="E939" s="7" t="n">
        <v>0.854035140715401</v>
      </c>
      <c r="F939" s="8" t="n">
        <f aca="true">IF(ROW()-2&gt;=Inputs!$B$4,AVERAGE(OFFSET(E939,1-Inputs!$B$4,0,Inputs!$B$4,1)),"")</f>
        <v>0.857528134184954</v>
      </c>
      <c r="G939" s="8" t="n">
        <f aca="true">IF(ROW()-2&gt;=Inputs!$B$5,AVERAGE(OFFSET(E939,1-Inputs!$B$5,0,Inputs!$B$5,1)),"")</f>
        <v>0.851098572057985</v>
      </c>
      <c r="H939" s="8" t="n">
        <f aca="false">MAX(C939-D939,ABS(C939-E938),ABS(D939-E938))</f>
        <v>0.00448047374458815</v>
      </c>
      <c r="I939" s="8" t="n">
        <f aca="true">IF(ROW()-2&lt;14,"",IF(ROW()-2=14,AVERAGE(OFFSET(H939,-13,0,14,1)),(I938*13+H939)/14))</f>
        <v>0.00952658793704944</v>
      </c>
      <c r="J939" s="9" t="b">
        <f aca="false">IF(AND(ISNUMBER(F939),ISNUMBER(G939),ISNUMBER(F938),ISNUMBER(G938)),AND(F939&gt;G939,F938&lt;=G938),FALSE())</f>
        <v>0</v>
      </c>
      <c r="K939" s="9" t="b">
        <f aca="false">IF(AND(ISNUMBER(F939),ISNUMBER(G939),ISNUMBER(F938),ISNUMBER(G938)),AND(F939&lt;G939,F938&gt;=G938),FALSE())</f>
        <v>0</v>
      </c>
      <c r="L939" s="8" t="n">
        <f aca="false">IF(ISNUMBER(I939),E939-Inputs!$B$6*I939,"")</f>
        <v>0.834981964841302</v>
      </c>
      <c r="M939" s="9" t="b">
        <f aca="false">AND(Y938&gt;0,Z938)</f>
        <v>0</v>
      </c>
      <c r="N939" s="8" t="n">
        <f aca="false">B939*(1-Inputs!$B$12)</f>
        <v>0.8537629097932</v>
      </c>
      <c r="O939" s="10" t="n">
        <f aca="false">IF(M939,Y938*(N939-AB938)-Inputs!$B$9-Y938*AD938*Inputs!$B$13*(A939-AC938),0)</f>
        <v>0</v>
      </c>
      <c r="P939" s="10" t="n">
        <f aca="false">X938+O939</f>
        <v>982.862971216719</v>
      </c>
      <c r="Q939" s="9" t="b">
        <f aca="false">AND(IF(M939,0,Y938)=0,AA938,IF(ISNUMBER(AE938),B939&gt;AE938,FALSE()))</f>
        <v>0</v>
      </c>
      <c r="R939" s="8" t="n">
        <f aca="false">B939*(1+Inputs!$B$12)</f>
        <v>0.854104483271813</v>
      </c>
      <c r="S939" s="11" t="n">
        <f aca="false">IF(Q939,MIN(P939*Inputs!$B$3/(R939-AE938),P939*Inputs!$B$11/R939),0)</f>
        <v>0</v>
      </c>
      <c r="T939" s="11" t="n">
        <f aca="false">IF(Q939,S939,IF(M939,0,Y938))</f>
        <v>500.05621031551</v>
      </c>
      <c r="U939" s="8" t="n">
        <f aca="false">IF(Q939,AE938,AF938)</f>
        <v>0.843828396541038</v>
      </c>
      <c r="V939" s="9" t="b">
        <f aca="false">AND(T939&gt;0,D939&lt;=U939)</f>
        <v>0</v>
      </c>
      <c r="W939" s="10" t="n">
        <f aca="false">IF(V939,T939*(AK939-AB939)-Inputs!$B$9-T939*AD939*Inputs!$B$13*(A939-AC939),0)</f>
        <v>0</v>
      </c>
      <c r="X939" s="10" t="n">
        <f aca="false">P939-IF(Q939,Inputs!$B$9,0)+W939</f>
        <v>982.862971216719</v>
      </c>
      <c r="Y939" s="11" t="n">
        <f aca="false">IF(V939,0,T939)</f>
        <v>500.05621031551</v>
      </c>
      <c r="Z939" s="9" t="b">
        <f aca="false">AND(Y939&gt;0,K939)</f>
        <v>0</v>
      </c>
      <c r="AA939" s="9" t="b">
        <f aca="false">AND(Y939=0,J939,ISNUMBER(L939))</f>
        <v>0</v>
      </c>
      <c r="AB939" s="8" t="n">
        <f aca="false">IF(Q939,R939,AB938)</f>
        <v>0.863503444084112</v>
      </c>
      <c r="AC939" s="12" t="n">
        <f aca="false">IF(Q939,A939,AC938)</f>
        <v>45706</v>
      </c>
      <c r="AD939" s="8" t="n">
        <f aca="false">IF(Q939,B939,AD938)</f>
        <v>0.863330777928526</v>
      </c>
      <c r="AE939" s="8" t="str">
        <f aca="false">IF(AA939,L939,"")</f>
        <v/>
      </c>
      <c r="AF939" s="8" t="n">
        <f aca="false">U939</f>
        <v>0.843828396541038</v>
      </c>
      <c r="AG939" s="2" t="n">
        <f aca="false">AG938+IF(Q939,1,0)</f>
        <v>9</v>
      </c>
      <c r="AH939" s="2" t="n">
        <f aca="false">AG938</f>
        <v>9</v>
      </c>
      <c r="AI939" s="10" t="n">
        <f aca="false">X939+Y939*(E939-AB939)-Y939*AD939*Inputs!$B$13*(A939-AC939)</f>
        <v>976.821317786315</v>
      </c>
      <c r="AJ939" s="10" t="n">
        <v>0</v>
      </c>
      <c r="AK939" s="8" t="n">
        <f aca="false">IF(AND(B939&lt;=U939,NOT(Q939)),B939,U939)*(1-Inputs!$B$12)</f>
        <v>0.843659630861729</v>
      </c>
    </row>
    <row r="940" customFormat="false" ht="15" hidden="false" customHeight="false" outlineLevel="0" collapsed="false">
      <c r="A940" s="6" t="n">
        <v>45724</v>
      </c>
      <c r="B940" s="7" t="n">
        <v>0.854035140715401</v>
      </c>
      <c r="C940" s="7" t="n">
        <v>0.856948319563011</v>
      </c>
      <c r="D940" s="7" t="n">
        <v>0.851611525072057</v>
      </c>
      <c r="E940" s="7" t="n">
        <v>0.854750801557109</v>
      </c>
      <c r="F940" s="8" t="n">
        <f aca="true">IF(ROW()-2&gt;=Inputs!$B$4,AVERAGE(OFFSET(E940,1-Inputs!$B$4,0,Inputs!$B$4,1)),"")</f>
        <v>0.857542434958964</v>
      </c>
      <c r="G940" s="8" t="n">
        <f aca="true">IF(ROW()-2&gt;=Inputs!$B$5,AVERAGE(OFFSET(E940,1-Inputs!$B$5,0,Inputs!$B$5,1)),"")</f>
        <v>0.851122338934179</v>
      </c>
      <c r="H940" s="8" t="n">
        <f aca="false">MAX(C940-D940,ABS(C940-E939),ABS(D940-E939))</f>
        <v>0.00533679449095381</v>
      </c>
      <c r="I940" s="8" t="n">
        <f aca="true">IF(ROW()-2&lt;14,"",IF(ROW()-2=14,AVERAGE(OFFSET(H940,-13,0,14,1)),(I939*13+H940)/14))</f>
        <v>0.00922731697661404</v>
      </c>
      <c r="J940" s="9" t="b">
        <f aca="false">IF(AND(ISNUMBER(F940),ISNUMBER(G940),ISNUMBER(F939),ISNUMBER(G939)),AND(F940&gt;G940,F939&lt;=G939),FALSE())</f>
        <v>0</v>
      </c>
      <c r="K940" s="9" t="b">
        <f aca="false">IF(AND(ISNUMBER(F940),ISNUMBER(G940),ISNUMBER(F939),ISNUMBER(G939)),AND(F940&lt;G940,F939&gt;=G939),FALSE())</f>
        <v>0</v>
      </c>
      <c r="L940" s="8" t="n">
        <f aca="false">IF(ISNUMBER(I940),E940-Inputs!$B$6*I940,"")</f>
        <v>0.836296167603881</v>
      </c>
      <c r="M940" s="9" t="b">
        <f aca="false">AND(Y939&gt;0,Z939)</f>
        <v>0</v>
      </c>
      <c r="N940" s="8" t="n">
        <f aca="false">B940*(1-Inputs!$B$12)</f>
        <v>0.853864333687258</v>
      </c>
      <c r="O940" s="10" t="n">
        <f aca="false">IF(M940,Y939*(N940-AB939)-Inputs!$B$9-Y939*AD939*Inputs!$B$13*(A940-AC939),0)</f>
        <v>0</v>
      </c>
      <c r="P940" s="10" t="n">
        <f aca="false">X939+O940</f>
        <v>982.862971216719</v>
      </c>
      <c r="Q940" s="9" t="b">
        <f aca="false">AND(IF(M940,0,Y939)=0,AA939,IF(ISNUMBER(AE939),B940&gt;AE939,FALSE()))</f>
        <v>0</v>
      </c>
      <c r="R940" s="8" t="n">
        <f aca="false">B940*(1+Inputs!$B$12)</f>
        <v>0.854205947743544</v>
      </c>
      <c r="S940" s="11" t="n">
        <f aca="false">IF(Q940,MIN(P940*Inputs!$B$3/(R940-AE939),P940*Inputs!$B$11/R940),0)</f>
        <v>0</v>
      </c>
      <c r="T940" s="11" t="n">
        <f aca="false">IF(Q940,S940,IF(M940,0,Y939))</f>
        <v>500.05621031551</v>
      </c>
      <c r="U940" s="8" t="n">
        <f aca="false">IF(Q940,AE939,AF939)</f>
        <v>0.843828396541038</v>
      </c>
      <c r="V940" s="9" t="b">
        <f aca="false">AND(T940&gt;0,D940&lt;=U940)</f>
        <v>0</v>
      </c>
      <c r="W940" s="10" t="n">
        <f aca="false">IF(V940,T940*(AK940-AB940)-Inputs!$B$9-T940*AD940*Inputs!$B$13*(A940-AC940),0)</f>
        <v>0</v>
      </c>
      <c r="X940" s="10" t="n">
        <f aca="false">P940-IF(Q940,Inputs!$B$9,0)+W940</f>
        <v>982.862971216719</v>
      </c>
      <c r="Y940" s="11" t="n">
        <f aca="false">IF(V940,0,T940)</f>
        <v>500.05621031551</v>
      </c>
      <c r="Z940" s="9" t="b">
        <f aca="false">AND(Y940&gt;0,K940)</f>
        <v>0</v>
      </c>
      <c r="AA940" s="9" t="b">
        <f aca="false">AND(Y940=0,J940,ISNUMBER(L940))</f>
        <v>0</v>
      </c>
      <c r="AB940" s="8" t="n">
        <f aca="false">IF(Q940,R940,AB939)</f>
        <v>0.863503444084112</v>
      </c>
      <c r="AC940" s="12" t="n">
        <f aca="false">IF(Q940,A940,AC939)</f>
        <v>45706</v>
      </c>
      <c r="AD940" s="8" t="n">
        <f aca="false">IF(Q940,B940,AD939)</f>
        <v>0.863330777928526</v>
      </c>
      <c r="AE940" s="8" t="str">
        <f aca="false">IF(AA940,L940,"")</f>
        <v/>
      </c>
      <c r="AF940" s="8" t="n">
        <f aca="false">U940</f>
        <v>0.843828396541038</v>
      </c>
      <c r="AG940" s="2" t="n">
        <f aca="false">AG939+IF(Q940,1,0)</f>
        <v>9</v>
      </c>
      <c r="AH940" s="2" t="n">
        <f aca="false">AG939</f>
        <v>9</v>
      </c>
      <c r="AI940" s="10" t="n">
        <f aca="false">X940+Y940*(E940-AB940)-Y940*AD940*Inputs!$B$13*(A940-AC940)</f>
        <v>977.102307874119</v>
      </c>
      <c r="AJ940" s="10" t="n">
        <v>0</v>
      </c>
      <c r="AK940" s="8" t="n">
        <f aca="false">IF(AND(B940&lt;=U940,NOT(Q940)),B940,U940)*(1-Inputs!$B$12)</f>
        <v>0.843659630861729</v>
      </c>
    </row>
    <row r="941" customFormat="false" ht="15" hidden="false" customHeight="false" outlineLevel="0" collapsed="false">
      <c r="A941" s="6" t="n">
        <v>45725</v>
      </c>
      <c r="B941" s="7" t="n">
        <v>0.854750801557109</v>
      </c>
      <c r="C941" s="7" t="n">
        <v>0.856513781024454</v>
      </c>
      <c r="D941" s="7" t="n">
        <v>0.846207557656168</v>
      </c>
      <c r="E941" s="7" t="n">
        <v>0.848378099898187</v>
      </c>
      <c r="F941" s="8" t="n">
        <f aca="true">IF(ROW()-2&gt;=Inputs!$B$4,AVERAGE(OFFSET(E941,1-Inputs!$B$4,0,Inputs!$B$4,1)),"")</f>
        <v>0.856794801057447</v>
      </c>
      <c r="G941" s="8" t="n">
        <f aca="true">IF(ROW()-2&gt;=Inputs!$B$5,AVERAGE(OFFSET(E941,1-Inputs!$B$5,0,Inputs!$B$5,1)),"")</f>
        <v>0.850878171206868</v>
      </c>
      <c r="H941" s="8" t="n">
        <f aca="false">MAX(C941-D941,ABS(C941-E940),ABS(D941-E940))</f>
        <v>0.0103062233682858</v>
      </c>
      <c r="I941" s="8" t="n">
        <f aca="true">IF(ROW()-2&lt;14,"",IF(ROW()-2=14,AVERAGE(OFFSET(H941,-13,0,14,1)),(I940*13+H941)/14))</f>
        <v>0.00930438171887631</v>
      </c>
      <c r="J941" s="9" t="b">
        <f aca="false">IF(AND(ISNUMBER(F941),ISNUMBER(G941),ISNUMBER(F940),ISNUMBER(G940)),AND(F941&gt;G941,F940&lt;=G940),FALSE())</f>
        <v>0</v>
      </c>
      <c r="K941" s="9" t="b">
        <f aca="false">IF(AND(ISNUMBER(F941),ISNUMBER(G941),ISNUMBER(F940),ISNUMBER(G940)),AND(F941&lt;G941,F940&gt;=G940),FALSE())</f>
        <v>0</v>
      </c>
      <c r="L941" s="8" t="n">
        <f aca="false">IF(ISNUMBER(I941),E941-Inputs!$B$6*I941,"")</f>
        <v>0.829769336460434</v>
      </c>
      <c r="M941" s="9" t="b">
        <f aca="false">AND(Y940&gt;0,Z940)</f>
        <v>0</v>
      </c>
      <c r="N941" s="8" t="n">
        <f aca="false">B941*(1-Inputs!$B$12)</f>
        <v>0.854579851396798</v>
      </c>
      <c r="O941" s="10" t="n">
        <f aca="false">IF(M941,Y940*(N941-AB940)-Inputs!$B$9-Y940*AD940*Inputs!$B$13*(A941-AC940),0)</f>
        <v>0</v>
      </c>
      <c r="P941" s="10" t="n">
        <f aca="false">X940+O941</f>
        <v>982.862971216719</v>
      </c>
      <c r="Q941" s="9" t="b">
        <f aca="false">AND(IF(M941,0,Y940)=0,AA940,IF(ISNUMBER(AE940),B941&gt;AE940,FALSE()))</f>
        <v>0</v>
      </c>
      <c r="R941" s="8" t="n">
        <f aca="false">B941*(1+Inputs!$B$12)</f>
        <v>0.854921751717421</v>
      </c>
      <c r="S941" s="11" t="n">
        <f aca="false">IF(Q941,MIN(P941*Inputs!$B$3/(R941-AE940),P941*Inputs!$B$11/R941),0)</f>
        <v>0</v>
      </c>
      <c r="T941" s="11" t="n">
        <f aca="false">IF(Q941,S941,IF(M941,0,Y940))</f>
        <v>500.05621031551</v>
      </c>
      <c r="U941" s="8" t="n">
        <f aca="false">IF(Q941,AE940,AF940)</f>
        <v>0.843828396541038</v>
      </c>
      <c r="V941" s="9" t="b">
        <f aca="false">AND(T941&gt;0,D941&lt;=U941)</f>
        <v>0</v>
      </c>
      <c r="W941" s="10" t="n">
        <f aca="false">IF(V941,T941*(AK941-AB941)-Inputs!$B$9-T941*AD941*Inputs!$B$13*(A941-AC941),0)</f>
        <v>0</v>
      </c>
      <c r="X941" s="10" t="n">
        <f aca="false">P941-IF(Q941,Inputs!$B$9,0)+W941</f>
        <v>982.862971216719</v>
      </c>
      <c r="Y941" s="11" t="n">
        <f aca="false">IF(V941,0,T941)</f>
        <v>500.05621031551</v>
      </c>
      <c r="Z941" s="9" t="b">
        <f aca="false">AND(Y941&gt;0,K941)</f>
        <v>0</v>
      </c>
      <c r="AA941" s="9" t="b">
        <f aca="false">AND(Y941=0,J941,ISNUMBER(L941))</f>
        <v>0</v>
      </c>
      <c r="AB941" s="8" t="n">
        <f aca="false">IF(Q941,R941,AB940)</f>
        <v>0.863503444084112</v>
      </c>
      <c r="AC941" s="12" t="n">
        <f aca="false">IF(Q941,A941,AC940)</f>
        <v>45706</v>
      </c>
      <c r="AD941" s="8" t="n">
        <f aca="false">IF(Q941,B941,AD940)</f>
        <v>0.863330777928526</v>
      </c>
      <c r="AE941" s="8" t="str">
        <f aca="false">IF(AA941,L941,"")</f>
        <v/>
      </c>
      <c r="AF941" s="8" t="n">
        <f aca="false">U941</f>
        <v>0.843828396541038</v>
      </c>
      <c r="AG941" s="2" t="n">
        <f aca="false">AG940+IF(Q941,1,0)</f>
        <v>9</v>
      </c>
      <c r="AH941" s="2" t="n">
        <f aca="false">AG940</f>
        <v>9</v>
      </c>
      <c r="AI941" s="10" t="n">
        <f aca="false">X941+Y941*(E941-AB941)-Y941*AD941*Inputs!$B$13*(A941-AC941)</f>
        <v>973.838718272515</v>
      </c>
      <c r="AJ941" s="10" t="n">
        <v>0</v>
      </c>
      <c r="AK941" s="8" t="n">
        <f aca="false">IF(AND(B941&lt;=U941,NOT(Q941)),B941,U941)*(1-Inputs!$B$12)</f>
        <v>0.843659630861729</v>
      </c>
    </row>
    <row r="942" customFormat="false" ht="15" hidden="false" customHeight="false" outlineLevel="0" collapsed="false">
      <c r="A942" s="6" t="n">
        <v>45726</v>
      </c>
      <c r="B942" s="7" t="n">
        <v>0.848378099898187</v>
      </c>
      <c r="C942" s="7" t="n">
        <v>0.849954457174619</v>
      </c>
      <c r="D942" s="7" t="n">
        <v>0.842359172557008</v>
      </c>
      <c r="E942" s="7" t="n">
        <v>0.843125839011795</v>
      </c>
      <c r="F942" s="8" t="n">
        <f aca="true">IF(ROW()-2&gt;=Inputs!$B$4,AVERAGE(OFFSET(E942,1-Inputs!$B$4,0,Inputs!$B$4,1)),"")</f>
        <v>0.855763367489489</v>
      </c>
      <c r="G942" s="8" t="n">
        <f aca="true">IF(ROW()-2&gt;=Inputs!$B$5,AVERAGE(OFFSET(E942,1-Inputs!$B$5,0,Inputs!$B$5,1)),"")</f>
        <v>0.85061162792513</v>
      </c>
      <c r="H942" s="8" t="n">
        <f aca="false">MAX(C942-D942,ABS(C942-E941),ABS(D942-E941))</f>
        <v>0.00759528461761105</v>
      </c>
      <c r="I942" s="8" t="n">
        <f aca="true">IF(ROW()-2&lt;14,"",IF(ROW()-2=14,AVERAGE(OFFSET(H942,-13,0,14,1)),(I941*13+H942)/14))</f>
        <v>0.00918230335450022</v>
      </c>
      <c r="J942" s="9" t="b">
        <f aca="false">IF(AND(ISNUMBER(F942),ISNUMBER(G942),ISNUMBER(F941),ISNUMBER(G941)),AND(F942&gt;G942,F941&lt;=G941),FALSE())</f>
        <v>0</v>
      </c>
      <c r="K942" s="9" t="b">
        <f aca="false">IF(AND(ISNUMBER(F942),ISNUMBER(G942),ISNUMBER(F941),ISNUMBER(G941)),AND(F942&lt;G942,F941&gt;=G941),FALSE())</f>
        <v>0</v>
      </c>
      <c r="L942" s="8" t="n">
        <f aca="false">IF(ISNUMBER(I942),E942-Inputs!$B$6*I942,"")</f>
        <v>0.824761232302794</v>
      </c>
      <c r="M942" s="9" t="b">
        <f aca="false">AND(Y941&gt;0,Z941)</f>
        <v>0</v>
      </c>
      <c r="N942" s="8" t="n">
        <f aca="false">B942*(1-Inputs!$B$12)</f>
        <v>0.848208424278207</v>
      </c>
      <c r="O942" s="10" t="n">
        <f aca="false">IF(M942,Y941*(N942-AB941)-Inputs!$B$9-Y941*AD941*Inputs!$B$13*(A942-AC941),0)</f>
        <v>0</v>
      </c>
      <c r="P942" s="10" t="n">
        <f aca="false">X941+O942</f>
        <v>982.862971216719</v>
      </c>
      <c r="Q942" s="9" t="b">
        <f aca="false">AND(IF(M942,0,Y941)=0,AA941,IF(ISNUMBER(AE941),B942&gt;AE941,FALSE()))</f>
        <v>0</v>
      </c>
      <c r="R942" s="8" t="n">
        <f aca="false">B942*(1+Inputs!$B$12)</f>
        <v>0.848547775518167</v>
      </c>
      <c r="S942" s="11" t="n">
        <f aca="false">IF(Q942,MIN(P942*Inputs!$B$3/(R942-AE941),P942*Inputs!$B$11/R942),0)</f>
        <v>0</v>
      </c>
      <c r="T942" s="11" t="n">
        <f aca="false">IF(Q942,S942,IF(M942,0,Y941))</f>
        <v>500.05621031551</v>
      </c>
      <c r="U942" s="8" t="n">
        <f aca="false">IF(Q942,AE941,AF941)</f>
        <v>0.843828396541038</v>
      </c>
      <c r="V942" s="9" t="b">
        <f aca="false">AND(T942&gt;0,D942&lt;=U942)</f>
        <v>1</v>
      </c>
      <c r="W942" s="10" t="n">
        <f aca="false">IF(V942,T942*(AK942-AB942)-Inputs!$B$9-T942*AD942*Inputs!$B$13*(A942-AC942),0)</f>
        <v>-12.4606332496388</v>
      </c>
      <c r="X942" s="10" t="n">
        <f aca="false">P942-IF(Q942,Inputs!$B$9,0)+W942</f>
        <v>970.40233796708</v>
      </c>
      <c r="Y942" s="11" t="n">
        <f aca="false">IF(V942,0,T942)</f>
        <v>0</v>
      </c>
      <c r="Z942" s="9" t="b">
        <f aca="false">AND(Y942&gt;0,K942)</f>
        <v>0</v>
      </c>
      <c r="AA942" s="9" t="b">
        <f aca="false">AND(Y942=0,J942,ISNUMBER(L942))</f>
        <v>0</v>
      </c>
      <c r="AB942" s="8" t="n">
        <f aca="false">IF(Q942,R942,AB941)</f>
        <v>0.863503444084112</v>
      </c>
      <c r="AC942" s="12" t="n">
        <f aca="false">IF(Q942,A942,AC941)</f>
        <v>45706</v>
      </c>
      <c r="AD942" s="8" t="n">
        <f aca="false">IF(Q942,B942,AD941)</f>
        <v>0.863330777928526</v>
      </c>
      <c r="AE942" s="8" t="str">
        <f aca="false">IF(AA942,L942,"")</f>
        <v/>
      </c>
      <c r="AF942" s="8" t="n">
        <f aca="false">U942</f>
        <v>0.843828396541038</v>
      </c>
      <c r="AG942" s="2" t="n">
        <f aca="false">AG941+IF(Q942,1,0)</f>
        <v>9</v>
      </c>
      <c r="AH942" s="2" t="n">
        <f aca="false">AG941</f>
        <v>9</v>
      </c>
      <c r="AI942" s="10" t="n">
        <f aca="false">X942+Y942*(E942-AB942)-Y942*AD942*Inputs!$B$13*(A942-AC942)</f>
        <v>970.40233796708</v>
      </c>
      <c r="AJ942" s="10" t="n">
        <v>0</v>
      </c>
      <c r="AK942" s="8" t="n">
        <f aca="false">IF(AND(B942&lt;=U942,NOT(Q942)),B942,U942)*(1-Inputs!$B$12)</f>
        <v>0.843659630861729</v>
      </c>
    </row>
    <row r="943" customFormat="false" ht="15" hidden="false" customHeight="false" outlineLevel="0" collapsed="false">
      <c r="A943" s="6" t="n">
        <v>45727</v>
      </c>
      <c r="B943" s="7" t="n">
        <v>0.843125839011795</v>
      </c>
      <c r="C943" s="7" t="n">
        <v>0.848453856112851</v>
      </c>
      <c r="D943" s="7" t="n">
        <v>0.842971187115214</v>
      </c>
      <c r="E943" s="7" t="n">
        <v>0.847681520422954</v>
      </c>
      <c r="F943" s="8" t="n">
        <f aca="true">IF(ROW()-2&gt;=Inputs!$B$4,AVERAGE(OFFSET(E943,1-Inputs!$B$4,0,Inputs!$B$4,1)),"")</f>
        <v>0.855167107927176</v>
      </c>
      <c r="G943" s="8" t="n">
        <f aca="true">IF(ROW()-2&gt;=Inputs!$B$5,AVERAGE(OFFSET(E943,1-Inputs!$B$5,0,Inputs!$B$5,1)),"")</f>
        <v>0.850576856921395</v>
      </c>
      <c r="H943" s="8" t="n">
        <f aca="false">MAX(C943-D943,ABS(C943-E942),ABS(D943-E942))</f>
        <v>0.00548266899763683</v>
      </c>
      <c r="I943" s="8" t="n">
        <f aca="true">IF(ROW()-2&lt;14,"",IF(ROW()-2=14,AVERAGE(OFFSET(H943,-13,0,14,1)),(I942*13+H943)/14))</f>
        <v>0.0089180437575814</v>
      </c>
      <c r="J943" s="9" t="b">
        <f aca="false">IF(AND(ISNUMBER(F943),ISNUMBER(G943),ISNUMBER(F942),ISNUMBER(G942)),AND(F943&gt;G943,F942&lt;=G942),FALSE())</f>
        <v>0</v>
      </c>
      <c r="K943" s="9" t="b">
        <f aca="false">IF(AND(ISNUMBER(F943),ISNUMBER(G943),ISNUMBER(F942),ISNUMBER(G942)),AND(F943&lt;G943,F942&gt;=G942),FALSE())</f>
        <v>0</v>
      </c>
      <c r="L943" s="8" t="n">
        <f aca="false">IF(ISNUMBER(I943),E943-Inputs!$B$6*I943,"")</f>
        <v>0.829845432907791</v>
      </c>
      <c r="M943" s="9" t="b">
        <f aca="false">AND(Y942&gt;0,Z942)</f>
        <v>0</v>
      </c>
      <c r="N943" s="8" t="n">
        <f aca="false">B943*(1-Inputs!$B$12)</f>
        <v>0.842957213843992</v>
      </c>
      <c r="O943" s="10" t="n">
        <f aca="false">IF(M943,Y942*(N943-AB942)-Inputs!$B$9-Y942*AD942*Inputs!$B$13*(A943-AC942),0)</f>
        <v>0</v>
      </c>
      <c r="P943" s="10" t="n">
        <f aca="false">X942+O943</f>
        <v>970.40233796708</v>
      </c>
      <c r="Q943" s="9" t="b">
        <f aca="false">AND(IF(M943,0,Y942)=0,AA942,IF(ISNUMBER(AE942),B943&gt;AE942,FALSE()))</f>
        <v>0</v>
      </c>
      <c r="R943" s="8" t="n">
        <f aca="false">B943*(1+Inputs!$B$12)</f>
        <v>0.843294464179597</v>
      </c>
      <c r="S943" s="11" t="n">
        <f aca="false">IF(Q943,MIN(P943*Inputs!$B$3/(R943-AE942),P943*Inputs!$B$11/R943),0)</f>
        <v>0</v>
      </c>
      <c r="T943" s="11" t="n">
        <f aca="false">IF(Q943,S943,IF(M943,0,Y942))</f>
        <v>0</v>
      </c>
      <c r="U943" s="8" t="n">
        <f aca="false">IF(Q943,AE942,AF942)</f>
        <v>0.843828396541038</v>
      </c>
      <c r="V943" s="9" t="b">
        <f aca="false">AND(T943&gt;0,D943&lt;=U943)</f>
        <v>0</v>
      </c>
      <c r="W943" s="10" t="n">
        <f aca="false">IF(V943,T943*(AK943-AB943)-Inputs!$B$9-T943*AD943*Inputs!$B$13*(A943-AC943),0)</f>
        <v>0</v>
      </c>
      <c r="X943" s="10" t="n">
        <f aca="false">P943-IF(Q943,Inputs!$B$9,0)+W943</f>
        <v>970.40233796708</v>
      </c>
      <c r="Y943" s="11" t="n">
        <f aca="false">IF(V943,0,T943)</f>
        <v>0</v>
      </c>
      <c r="Z943" s="9" t="b">
        <f aca="false">AND(Y943&gt;0,K943)</f>
        <v>0</v>
      </c>
      <c r="AA943" s="9" t="b">
        <f aca="false">AND(Y943=0,J943,ISNUMBER(L943))</f>
        <v>0</v>
      </c>
      <c r="AB943" s="8" t="n">
        <f aca="false">IF(Q943,R943,AB942)</f>
        <v>0.863503444084112</v>
      </c>
      <c r="AC943" s="12" t="n">
        <f aca="false">IF(Q943,A943,AC942)</f>
        <v>45706</v>
      </c>
      <c r="AD943" s="8" t="n">
        <f aca="false">IF(Q943,B943,AD942)</f>
        <v>0.863330777928526</v>
      </c>
      <c r="AE943" s="8" t="str">
        <f aca="false">IF(AA943,L943,"")</f>
        <v/>
      </c>
      <c r="AF943" s="8" t="n">
        <f aca="false">U943</f>
        <v>0.843828396541038</v>
      </c>
      <c r="AG943" s="2" t="n">
        <f aca="false">AG942+IF(Q943,1,0)</f>
        <v>9</v>
      </c>
      <c r="AH943" s="2" t="n">
        <f aca="false">AG942</f>
        <v>9</v>
      </c>
      <c r="AI943" s="10" t="n">
        <f aca="false">X943+Y943*(E943-AB943)-Y943*AD943*Inputs!$B$13*(A943-AC943)</f>
        <v>970.40233796708</v>
      </c>
      <c r="AJ943" s="10" t="n">
        <v>0</v>
      </c>
      <c r="AK943" s="8" t="n">
        <f aca="false">IF(AND(B943&lt;=U943,NOT(Q943)),B943,U943)*(1-Inputs!$B$12)</f>
        <v>0.842957213843992</v>
      </c>
    </row>
    <row r="944" customFormat="false" ht="15" hidden="false" customHeight="false" outlineLevel="0" collapsed="false">
      <c r="A944" s="6" t="n">
        <v>45728</v>
      </c>
      <c r="B944" s="7" t="n">
        <v>0.847681520422954</v>
      </c>
      <c r="C944" s="7" t="n">
        <v>0.854089949266478</v>
      </c>
      <c r="D944" s="7" t="n">
        <v>0.842939229792216</v>
      </c>
      <c r="E944" s="7" t="n">
        <v>0.852444973244586</v>
      </c>
      <c r="F944" s="8" t="n">
        <f aca="true">IF(ROW()-2&gt;=Inputs!$B$4,AVERAGE(OFFSET(E944,1-Inputs!$B$4,0,Inputs!$B$4,1)),"")</f>
        <v>0.855253334555883</v>
      </c>
      <c r="G944" s="8" t="n">
        <f aca="true">IF(ROW()-2&gt;=Inputs!$B$5,AVERAGE(OFFSET(E944,1-Inputs!$B$5,0,Inputs!$B$5,1)),"")</f>
        <v>0.850613520064399</v>
      </c>
      <c r="H944" s="8" t="n">
        <f aca="false">MAX(C944-D944,ABS(C944-E943),ABS(D944-E943))</f>
        <v>0.0111507194742625</v>
      </c>
      <c r="I944" s="8" t="n">
        <f aca="true">IF(ROW()-2&lt;14,"",IF(ROW()-2=14,AVERAGE(OFFSET(H944,-13,0,14,1)),(I943*13+H944)/14))</f>
        <v>0.0090775205944872</v>
      </c>
      <c r="J944" s="9" t="b">
        <f aca="false">IF(AND(ISNUMBER(F944),ISNUMBER(G944),ISNUMBER(F943),ISNUMBER(G943)),AND(F944&gt;G944,F943&lt;=G943),FALSE())</f>
        <v>0</v>
      </c>
      <c r="K944" s="9" t="b">
        <f aca="false">IF(AND(ISNUMBER(F944),ISNUMBER(G944),ISNUMBER(F943),ISNUMBER(G943)),AND(F944&lt;G944,F943&gt;=G943),FALSE())</f>
        <v>0</v>
      </c>
      <c r="L944" s="8" t="n">
        <f aca="false">IF(ISNUMBER(I944),E944-Inputs!$B$6*I944,"")</f>
        <v>0.834289932055612</v>
      </c>
      <c r="M944" s="9" t="b">
        <f aca="false">AND(Y943&gt;0,Z943)</f>
        <v>0</v>
      </c>
      <c r="N944" s="8" t="n">
        <f aca="false">B944*(1-Inputs!$B$12)</f>
        <v>0.847511984118869</v>
      </c>
      <c r="O944" s="10" t="n">
        <f aca="false">IF(M944,Y943*(N944-AB943)-Inputs!$B$9-Y943*AD943*Inputs!$B$13*(A944-AC943),0)</f>
        <v>0</v>
      </c>
      <c r="P944" s="10" t="n">
        <f aca="false">X943+O944</f>
        <v>970.40233796708</v>
      </c>
      <c r="Q944" s="9" t="b">
        <f aca="false">AND(IF(M944,0,Y943)=0,AA943,IF(ISNUMBER(AE943),B944&gt;AE943,FALSE()))</f>
        <v>0</v>
      </c>
      <c r="R944" s="8" t="n">
        <f aca="false">B944*(1+Inputs!$B$12)</f>
        <v>0.847851056727038</v>
      </c>
      <c r="S944" s="11" t="n">
        <f aca="false">IF(Q944,MIN(P944*Inputs!$B$3/(R944-AE943),P944*Inputs!$B$11/R944),0)</f>
        <v>0</v>
      </c>
      <c r="T944" s="11" t="n">
        <f aca="false">IF(Q944,S944,IF(M944,0,Y943))</f>
        <v>0</v>
      </c>
      <c r="U944" s="8" t="n">
        <f aca="false">IF(Q944,AE943,AF943)</f>
        <v>0.843828396541038</v>
      </c>
      <c r="V944" s="9" t="b">
        <f aca="false">AND(T944&gt;0,D944&lt;=U944)</f>
        <v>0</v>
      </c>
      <c r="W944" s="10" t="n">
        <f aca="false">IF(V944,T944*(AK944-AB944)-Inputs!$B$9-T944*AD944*Inputs!$B$13*(A944-AC944),0)</f>
        <v>0</v>
      </c>
      <c r="X944" s="10" t="n">
        <f aca="false">P944-IF(Q944,Inputs!$B$9,0)+W944</f>
        <v>970.40233796708</v>
      </c>
      <c r="Y944" s="11" t="n">
        <f aca="false">IF(V944,0,T944)</f>
        <v>0</v>
      </c>
      <c r="Z944" s="9" t="b">
        <f aca="false">AND(Y944&gt;0,K944)</f>
        <v>0</v>
      </c>
      <c r="AA944" s="9" t="b">
        <f aca="false">AND(Y944=0,J944,ISNUMBER(L944))</f>
        <v>0</v>
      </c>
      <c r="AB944" s="8" t="n">
        <f aca="false">IF(Q944,R944,AB943)</f>
        <v>0.863503444084112</v>
      </c>
      <c r="AC944" s="12" t="n">
        <f aca="false">IF(Q944,A944,AC943)</f>
        <v>45706</v>
      </c>
      <c r="AD944" s="8" t="n">
        <f aca="false">IF(Q944,B944,AD943)</f>
        <v>0.863330777928526</v>
      </c>
      <c r="AE944" s="8" t="str">
        <f aca="false">IF(AA944,L944,"")</f>
        <v/>
      </c>
      <c r="AF944" s="8" t="n">
        <f aca="false">U944</f>
        <v>0.843828396541038</v>
      </c>
      <c r="AG944" s="2" t="n">
        <f aca="false">AG943+IF(Q944,1,0)</f>
        <v>9</v>
      </c>
      <c r="AH944" s="2" t="n">
        <f aca="false">AG943</f>
        <v>9</v>
      </c>
      <c r="AI944" s="10" t="n">
        <f aca="false">X944+Y944*(E944-AB944)-Y944*AD944*Inputs!$B$13*(A944-AC944)</f>
        <v>970.40233796708</v>
      </c>
      <c r="AJ944" s="10" t="n">
        <v>0</v>
      </c>
      <c r="AK944" s="8" t="n">
        <f aca="false">IF(AND(B944&lt;=U944,NOT(Q944)),B944,U944)*(1-Inputs!$B$12)</f>
        <v>0.843659630861729</v>
      </c>
    </row>
    <row r="945" customFormat="false" ht="15" hidden="false" customHeight="false" outlineLevel="0" collapsed="false">
      <c r="A945" s="6" t="n">
        <v>45729</v>
      </c>
      <c r="B945" s="7" t="n">
        <v>0.852444973244586</v>
      </c>
      <c r="C945" s="7" t="n">
        <v>0.85636745675119</v>
      </c>
      <c r="D945" s="7" t="n">
        <v>0.850390315114843</v>
      </c>
      <c r="E945" s="7" t="n">
        <v>0.854173337060567</v>
      </c>
      <c r="F945" s="8" t="n">
        <f aca="true">IF(ROW()-2&gt;=Inputs!$B$4,AVERAGE(OFFSET(E945,1-Inputs!$B$4,0,Inputs!$B$4,1)),"")</f>
        <v>0.854977006992166</v>
      </c>
      <c r="G945" s="8" t="n">
        <f aca="true">IF(ROW()-2&gt;=Inputs!$B$5,AVERAGE(OFFSET(E945,1-Inputs!$B$5,0,Inputs!$B$5,1)),"")</f>
        <v>0.850734674346112</v>
      </c>
      <c r="H945" s="8" t="n">
        <f aca="false">MAX(C945-D945,ABS(C945-E944),ABS(D945-E944))</f>
        <v>0.00597714163634766</v>
      </c>
      <c r="I945" s="8" t="n">
        <f aca="true">IF(ROW()-2&lt;14,"",IF(ROW()-2=14,AVERAGE(OFFSET(H945,-13,0,14,1)),(I944*13+H945)/14))</f>
        <v>0.00885606495462009</v>
      </c>
      <c r="J945" s="9" t="b">
        <f aca="false">IF(AND(ISNUMBER(F945),ISNUMBER(G945),ISNUMBER(F944),ISNUMBER(G944)),AND(F945&gt;G945,F944&lt;=G944),FALSE())</f>
        <v>0</v>
      </c>
      <c r="K945" s="9" t="b">
        <f aca="false">IF(AND(ISNUMBER(F945),ISNUMBER(G945),ISNUMBER(F944),ISNUMBER(G944)),AND(F945&lt;G945,F944&gt;=G944),FALSE())</f>
        <v>0</v>
      </c>
      <c r="L945" s="8" t="n">
        <f aca="false">IF(ISNUMBER(I945),E945-Inputs!$B$6*I945,"")</f>
        <v>0.836461207151327</v>
      </c>
      <c r="M945" s="9" t="b">
        <f aca="false">AND(Y944&gt;0,Z944)</f>
        <v>0</v>
      </c>
      <c r="N945" s="8" t="n">
        <f aca="false">B945*(1-Inputs!$B$12)</f>
        <v>0.852274484249937</v>
      </c>
      <c r="O945" s="10" t="n">
        <f aca="false">IF(M945,Y944*(N945-AB944)-Inputs!$B$9-Y944*AD944*Inputs!$B$13*(A945-AC944),0)</f>
        <v>0</v>
      </c>
      <c r="P945" s="10" t="n">
        <f aca="false">X944+O945</f>
        <v>970.40233796708</v>
      </c>
      <c r="Q945" s="9" t="b">
        <f aca="false">AND(IF(M945,0,Y944)=0,AA944,IF(ISNUMBER(AE944),B945&gt;AE944,FALSE()))</f>
        <v>0</v>
      </c>
      <c r="R945" s="8" t="n">
        <f aca="false">B945*(1+Inputs!$B$12)</f>
        <v>0.852615462239235</v>
      </c>
      <c r="S945" s="11" t="n">
        <f aca="false">IF(Q945,MIN(P945*Inputs!$B$3/(R945-AE944),P945*Inputs!$B$11/R945),0)</f>
        <v>0</v>
      </c>
      <c r="T945" s="11" t="n">
        <f aca="false">IF(Q945,S945,IF(M945,0,Y944))</f>
        <v>0</v>
      </c>
      <c r="U945" s="8" t="n">
        <f aca="false">IF(Q945,AE944,AF944)</f>
        <v>0.843828396541038</v>
      </c>
      <c r="V945" s="9" t="b">
        <f aca="false">AND(T945&gt;0,D945&lt;=U945)</f>
        <v>0</v>
      </c>
      <c r="W945" s="10" t="n">
        <f aca="false">IF(V945,T945*(AK945-AB945)-Inputs!$B$9-T945*AD945*Inputs!$B$13*(A945-AC945),0)</f>
        <v>0</v>
      </c>
      <c r="X945" s="10" t="n">
        <f aca="false">P945-IF(Q945,Inputs!$B$9,0)+W945</f>
        <v>970.40233796708</v>
      </c>
      <c r="Y945" s="11" t="n">
        <f aca="false">IF(V945,0,T945)</f>
        <v>0</v>
      </c>
      <c r="Z945" s="9" t="b">
        <f aca="false">AND(Y945&gt;0,K945)</f>
        <v>0</v>
      </c>
      <c r="AA945" s="9" t="b">
        <f aca="false">AND(Y945=0,J945,ISNUMBER(L945))</f>
        <v>0</v>
      </c>
      <c r="AB945" s="8" t="n">
        <f aca="false">IF(Q945,R945,AB944)</f>
        <v>0.863503444084112</v>
      </c>
      <c r="AC945" s="12" t="n">
        <f aca="false">IF(Q945,A945,AC944)</f>
        <v>45706</v>
      </c>
      <c r="AD945" s="8" t="n">
        <f aca="false">IF(Q945,B945,AD944)</f>
        <v>0.863330777928526</v>
      </c>
      <c r="AE945" s="8" t="str">
        <f aca="false">IF(AA945,L945,"")</f>
        <v/>
      </c>
      <c r="AF945" s="8" t="n">
        <f aca="false">U945</f>
        <v>0.843828396541038</v>
      </c>
      <c r="AG945" s="2" t="n">
        <f aca="false">AG944+IF(Q945,1,0)</f>
        <v>9</v>
      </c>
      <c r="AH945" s="2" t="n">
        <f aca="false">AG944</f>
        <v>9</v>
      </c>
      <c r="AI945" s="10" t="n">
        <f aca="false">X945+Y945*(E945-AB945)-Y945*AD945*Inputs!$B$13*(A945-AC945)</f>
        <v>970.40233796708</v>
      </c>
      <c r="AJ945" s="10" t="n">
        <v>0</v>
      </c>
      <c r="AK945" s="8" t="n">
        <f aca="false">IF(AND(B945&lt;=U945,NOT(Q945)),B945,U945)*(1-Inputs!$B$12)</f>
        <v>0.843659630861729</v>
      </c>
    </row>
    <row r="946" customFormat="false" ht="15" hidden="false" customHeight="false" outlineLevel="0" collapsed="false">
      <c r="A946" s="6" t="n">
        <v>45730</v>
      </c>
      <c r="B946" s="7" t="n">
        <v>0.854173337060567</v>
      </c>
      <c r="C946" s="7" t="n">
        <v>0.864570117941684</v>
      </c>
      <c r="D946" s="7" t="n">
        <v>0.852569785794381</v>
      </c>
      <c r="E946" s="7" t="n">
        <v>0.86448889566016</v>
      </c>
      <c r="F946" s="8" t="n">
        <f aca="true">IF(ROW()-2&gt;=Inputs!$B$4,AVERAGE(OFFSET(E946,1-Inputs!$B$4,0,Inputs!$B$4,1)),"")</f>
        <v>0.855239021884628</v>
      </c>
      <c r="G946" s="8" t="n">
        <f aca="true">IF(ROW()-2&gt;=Inputs!$B$5,AVERAGE(OFFSET(E946,1-Inputs!$B$5,0,Inputs!$B$5,1)),"")</f>
        <v>0.851004417790924</v>
      </c>
      <c r="H946" s="8" t="n">
        <f aca="false">MAX(C946-D946,ABS(C946-E945),ABS(D946-E945))</f>
        <v>0.0120003321473031</v>
      </c>
      <c r="I946" s="8" t="n">
        <f aca="true">IF(ROW()-2&lt;14,"",IF(ROW()-2=14,AVERAGE(OFFSET(H946,-13,0,14,1)),(I945*13+H946)/14))</f>
        <v>0.00908065546838316</v>
      </c>
      <c r="J946" s="9" t="b">
        <f aca="false">IF(AND(ISNUMBER(F946),ISNUMBER(G946),ISNUMBER(F945),ISNUMBER(G945)),AND(F946&gt;G946,F945&lt;=G945),FALSE())</f>
        <v>0</v>
      </c>
      <c r="K946" s="9" t="b">
        <f aca="false">IF(AND(ISNUMBER(F946),ISNUMBER(G946),ISNUMBER(F945),ISNUMBER(G945)),AND(F946&lt;G946,F945&gt;=G945),FALSE())</f>
        <v>0</v>
      </c>
      <c r="L946" s="8" t="n">
        <f aca="false">IF(ISNUMBER(I946),E946-Inputs!$B$6*I946,"")</f>
        <v>0.846327584723393</v>
      </c>
      <c r="M946" s="9" t="b">
        <f aca="false">AND(Y945&gt;0,Z945)</f>
        <v>0</v>
      </c>
      <c r="N946" s="8" t="n">
        <f aca="false">B946*(1-Inputs!$B$12)</f>
        <v>0.854002502393155</v>
      </c>
      <c r="O946" s="10" t="n">
        <f aca="false">IF(M946,Y945*(N946-AB945)-Inputs!$B$9-Y945*AD945*Inputs!$B$13*(A946-AC945),0)</f>
        <v>0</v>
      </c>
      <c r="P946" s="10" t="n">
        <f aca="false">X945+O946</f>
        <v>970.40233796708</v>
      </c>
      <c r="Q946" s="9" t="b">
        <f aca="false">AND(IF(M946,0,Y945)=0,AA945,IF(ISNUMBER(AE945),B946&gt;AE945,FALSE()))</f>
        <v>0</v>
      </c>
      <c r="R946" s="8" t="n">
        <f aca="false">B946*(1+Inputs!$B$12)</f>
        <v>0.854344171727979</v>
      </c>
      <c r="S946" s="11" t="n">
        <f aca="false">IF(Q946,MIN(P946*Inputs!$B$3/(R946-AE945),P946*Inputs!$B$11/R946),0)</f>
        <v>0</v>
      </c>
      <c r="T946" s="11" t="n">
        <f aca="false">IF(Q946,S946,IF(M946,0,Y945))</f>
        <v>0</v>
      </c>
      <c r="U946" s="8" t="n">
        <f aca="false">IF(Q946,AE945,AF945)</f>
        <v>0.843828396541038</v>
      </c>
      <c r="V946" s="9" t="b">
        <f aca="false">AND(T946&gt;0,D946&lt;=U946)</f>
        <v>0</v>
      </c>
      <c r="W946" s="10" t="n">
        <f aca="false">IF(V946,T946*(AK946-AB946)-Inputs!$B$9-T946*AD946*Inputs!$B$13*(A946-AC946),0)</f>
        <v>0</v>
      </c>
      <c r="X946" s="10" t="n">
        <f aca="false">P946-IF(Q946,Inputs!$B$9,0)+W946</f>
        <v>970.40233796708</v>
      </c>
      <c r="Y946" s="11" t="n">
        <f aca="false">IF(V946,0,T946)</f>
        <v>0</v>
      </c>
      <c r="Z946" s="9" t="b">
        <f aca="false">AND(Y946&gt;0,K946)</f>
        <v>0</v>
      </c>
      <c r="AA946" s="9" t="b">
        <f aca="false">AND(Y946=0,J946,ISNUMBER(L946))</f>
        <v>0</v>
      </c>
      <c r="AB946" s="8" t="n">
        <f aca="false">IF(Q946,R946,AB945)</f>
        <v>0.863503444084112</v>
      </c>
      <c r="AC946" s="12" t="n">
        <f aca="false">IF(Q946,A946,AC945)</f>
        <v>45706</v>
      </c>
      <c r="AD946" s="8" t="n">
        <f aca="false">IF(Q946,B946,AD945)</f>
        <v>0.863330777928526</v>
      </c>
      <c r="AE946" s="8" t="str">
        <f aca="false">IF(AA946,L946,"")</f>
        <v/>
      </c>
      <c r="AF946" s="8" t="n">
        <f aca="false">U946</f>
        <v>0.843828396541038</v>
      </c>
      <c r="AG946" s="2" t="n">
        <f aca="false">AG945+IF(Q946,1,0)</f>
        <v>9</v>
      </c>
      <c r="AH946" s="2" t="n">
        <f aca="false">AG945</f>
        <v>9</v>
      </c>
      <c r="AI946" s="10" t="n">
        <f aca="false">X946+Y946*(E946-AB946)-Y946*AD946*Inputs!$B$13*(A946-AC946)</f>
        <v>970.40233796708</v>
      </c>
      <c r="AJ946" s="10" t="n">
        <v>0</v>
      </c>
      <c r="AK946" s="8" t="n">
        <f aca="false">IF(AND(B946&lt;=U946,NOT(Q946)),B946,U946)*(1-Inputs!$B$12)</f>
        <v>0.843659630861729</v>
      </c>
    </row>
    <row r="947" customFormat="false" ht="15" hidden="false" customHeight="false" outlineLevel="0" collapsed="false">
      <c r="A947" s="6" t="n">
        <v>45731</v>
      </c>
      <c r="B947" s="7" t="n">
        <v>0.86448889566016</v>
      </c>
      <c r="C947" s="7" t="n">
        <v>0.871382382394436</v>
      </c>
      <c r="D947" s="7" t="n">
        <v>0.861314794150216</v>
      </c>
      <c r="E947" s="7" t="n">
        <v>0.871268096379406</v>
      </c>
      <c r="F947" s="8" t="n">
        <f aca="true">IF(ROW()-2&gt;=Inputs!$B$4,AVERAGE(OFFSET(E947,1-Inputs!$B$4,0,Inputs!$B$4,1)),"")</f>
        <v>0.856044213413142</v>
      </c>
      <c r="G947" s="8" t="n">
        <f aca="true">IF(ROW()-2&gt;=Inputs!$B$5,AVERAGE(OFFSET(E947,1-Inputs!$B$5,0,Inputs!$B$5,1)),"")</f>
        <v>0.85148118155403</v>
      </c>
      <c r="H947" s="8" t="n">
        <f aca="false">MAX(C947-D947,ABS(C947-E946),ABS(D947-E946))</f>
        <v>0.0100675882442204</v>
      </c>
      <c r="I947" s="8" t="n">
        <f aca="true">IF(ROW()-2&lt;14,"",IF(ROW()-2=14,AVERAGE(OFFSET(H947,-13,0,14,1)),(I946*13+H947)/14))</f>
        <v>0.00915115066665725</v>
      </c>
      <c r="J947" s="9" t="b">
        <f aca="false">IF(AND(ISNUMBER(F947),ISNUMBER(G947),ISNUMBER(F946),ISNUMBER(G946)),AND(F947&gt;G947,F946&lt;=G946),FALSE())</f>
        <v>0</v>
      </c>
      <c r="K947" s="9" t="b">
        <f aca="false">IF(AND(ISNUMBER(F947),ISNUMBER(G947),ISNUMBER(F946),ISNUMBER(G946)),AND(F947&lt;G947,F946&gt;=G946),FALSE())</f>
        <v>0</v>
      </c>
      <c r="L947" s="8" t="n">
        <f aca="false">IF(ISNUMBER(I947),E947-Inputs!$B$6*I947,"")</f>
        <v>0.852965795046092</v>
      </c>
      <c r="M947" s="9" t="b">
        <f aca="false">AND(Y946&gt;0,Z946)</f>
        <v>0</v>
      </c>
      <c r="N947" s="8" t="n">
        <f aca="false">B947*(1-Inputs!$B$12)</f>
        <v>0.864315997881028</v>
      </c>
      <c r="O947" s="10" t="n">
        <f aca="false">IF(M947,Y946*(N947-AB946)-Inputs!$B$9-Y946*AD946*Inputs!$B$13*(A947-AC946),0)</f>
        <v>0</v>
      </c>
      <c r="P947" s="10" t="n">
        <f aca="false">X946+O947</f>
        <v>970.40233796708</v>
      </c>
      <c r="Q947" s="9" t="b">
        <f aca="false">AND(IF(M947,0,Y946)=0,AA946,IF(ISNUMBER(AE946),B947&gt;AE946,FALSE()))</f>
        <v>0</v>
      </c>
      <c r="R947" s="8" t="n">
        <f aca="false">B947*(1+Inputs!$B$12)</f>
        <v>0.864661793439292</v>
      </c>
      <c r="S947" s="11" t="n">
        <f aca="false">IF(Q947,MIN(P947*Inputs!$B$3/(R947-AE946),P947*Inputs!$B$11/R947),0)</f>
        <v>0</v>
      </c>
      <c r="T947" s="11" t="n">
        <f aca="false">IF(Q947,S947,IF(M947,0,Y946))</f>
        <v>0</v>
      </c>
      <c r="U947" s="8" t="n">
        <f aca="false">IF(Q947,AE946,AF946)</f>
        <v>0.843828396541038</v>
      </c>
      <c r="V947" s="9" t="b">
        <f aca="false">AND(T947&gt;0,D947&lt;=U947)</f>
        <v>0</v>
      </c>
      <c r="W947" s="10" t="n">
        <f aca="false">IF(V947,T947*(AK947-AB947)-Inputs!$B$9-T947*AD947*Inputs!$B$13*(A947-AC947),0)</f>
        <v>0</v>
      </c>
      <c r="X947" s="10" t="n">
        <f aca="false">P947-IF(Q947,Inputs!$B$9,0)+W947</f>
        <v>970.40233796708</v>
      </c>
      <c r="Y947" s="11" t="n">
        <f aca="false">IF(V947,0,T947)</f>
        <v>0</v>
      </c>
      <c r="Z947" s="9" t="b">
        <f aca="false">AND(Y947&gt;0,K947)</f>
        <v>0</v>
      </c>
      <c r="AA947" s="9" t="b">
        <f aca="false">AND(Y947=0,J947,ISNUMBER(L947))</f>
        <v>0</v>
      </c>
      <c r="AB947" s="8" t="n">
        <f aca="false">IF(Q947,R947,AB946)</f>
        <v>0.863503444084112</v>
      </c>
      <c r="AC947" s="12" t="n">
        <f aca="false">IF(Q947,A947,AC946)</f>
        <v>45706</v>
      </c>
      <c r="AD947" s="8" t="n">
        <f aca="false">IF(Q947,B947,AD946)</f>
        <v>0.863330777928526</v>
      </c>
      <c r="AE947" s="8" t="str">
        <f aca="false">IF(AA947,L947,"")</f>
        <v/>
      </c>
      <c r="AF947" s="8" t="n">
        <f aca="false">U947</f>
        <v>0.843828396541038</v>
      </c>
      <c r="AG947" s="2" t="n">
        <f aca="false">AG946+IF(Q947,1,0)</f>
        <v>9</v>
      </c>
      <c r="AH947" s="2" t="n">
        <f aca="false">AG946</f>
        <v>9</v>
      </c>
      <c r="AI947" s="10" t="n">
        <f aca="false">X947+Y947*(E947-AB947)-Y947*AD947*Inputs!$B$13*(A947-AC947)</f>
        <v>970.40233796708</v>
      </c>
      <c r="AJ947" s="10" t="n">
        <v>0</v>
      </c>
      <c r="AK947" s="8" t="n">
        <f aca="false">IF(AND(B947&lt;=U947,NOT(Q947)),B947,U947)*(1-Inputs!$B$12)</f>
        <v>0.843659630861729</v>
      </c>
    </row>
    <row r="948" customFormat="false" ht="15" hidden="false" customHeight="false" outlineLevel="0" collapsed="false">
      <c r="A948" s="6" t="n">
        <v>45732</v>
      </c>
      <c r="B948" s="7" t="n">
        <v>0.871268096379406</v>
      </c>
      <c r="C948" s="7" t="n">
        <v>0.872573593624655</v>
      </c>
      <c r="D948" s="7" t="n">
        <v>0.865604459333808</v>
      </c>
      <c r="E948" s="7" t="n">
        <v>0.868597273850276</v>
      </c>
      <c r="F948" s="8" t="n">
        <f aca="true">IF(ROW()-2&gt;=Inputs!$B$4,AVERAGE(OFFSET(E948,1-Inputs!$B$4,0,Inputs!$B$4,1)),"")</f>
        <v>0.857045165131426</v>
      </c>
      <c r="G948" s="8" t="n">
        <f aca="true">IF(ROW()-2&gt;=Inputs!$B$5,AVERAGE(OFFSET(E948,1-Inputs!$B$5,0,Inputs!$B$5,1)),"")</f>
        <v>0.851981546071592</v>
      </c>
      <c r="H948" s="8" t="n">
        <f aca="false">MAX(C948-D948,ABS(C948-E947),ABS(D948-E947))</f>
        <v>0.00696913429084733</v>
      </c>
      <c r="I948" s="8" t="n">
        <f aca="true">IF(ROW()-2&lt;14,"",IF(ROW()-2=14,AVERAGE(OFFSET(H948,-13,0,14,1)),(I947*13+H948)/14))</f>
        <v>0.00899529235409939</v>
      </c>
      <c r="J948" s="9" t="b">
        <f aca="false">IF(AND(ISNUMBER(F948),ISNUMBER(G948),ISNUMBER(F947),ISNUMBER(G947)),AND(F948&gt;G948,F947&lt;=G947),FALSE())</f>
        <v>0</v>
      </c>
      <c r="K948" s="9" t="b">
        <f aca="false">IF(AND(ISNUMBER(F948),ISNUMBER(G948),ISNUMBER(F947),ISNUMBER(G947)),AND(F948&lt;G948,F947&gt;=G947),FALSE())</f>
        <v>0</v>
      </c>
      <c r="L948" s="8" t="n">
        <f aca="false">IF(ISNUMBER(I948),E948-Inputs!$B$6*I948,"")</f>
        <v>0.850606689142077</v>
      </c>
      <c r="M948" s="9" t="b">
        <f aca="false">AND(Y947&gt;0,Z947)</f>
        <v>0</v>
      </c>
      <c r="N948" s="8" t="n">
        <f aca="false">B948*(1-Inputs!$B$12)</f>
        <v>0.871093842760131</v>
      </c>
      <c r="O948" s="10" t="n">
        <f aca="false">IF(M948,Y947*(N948-AB947)-Inputs!$B$9-Y947*AD947*Inputs!$B$13*(A948-AC947),0)</f>
        <v>0</v>
      </c>
      <c r="P948" s="10" t="n">
        <f aca="false">X947+O948</f>
        <v>970.40233796708</v>
      </c>
      <c r="Q948" s="9" t="b">
        <f aca="false">AND(IF(M948,0,Y947)=0,AA947,IF(ISNUMBER(AE947),B948&gt;AE947,FALSE()))</f>
        <v>0</v>
      </c>
      <c r="R948" s="8" t="n">
        <f aca="false">B948*(1+Inputs!$B$12)</f>
        <v>0.871442349998682</v>
      </c>
      <c r="S948" s="11" t="n">
        <f aca="false">IF(Q948,MIN(P948*Inputs!$B$3/(R948-AE947),P948*Inputs!$B$11/R948),0)</f>
        <v>0</v>
      </c>
      <c r="T948" s="11" t="n">
        <f aca="false">IF(Q948,S948,IF(M948,0,Y947))</f>
        <v>0</v>
      </c>
      <c r="U948" s="8" t="n">
        <f aca="false">IF(Q948,AE947,AF947)</f>
        <v>0.843828396541038</v>
      </c>
      <c r="V948" s="9" t="b">
        <f aca="false">AND(T948&gt;0,D948&lt;=U948)</f>
        <v>0</v>
      </c>
      <c r="W948" s="10" t="n">
        <f aca="false">IF(V948,T948*(AK948-AB948)-Inputs!$B$9-T948*AD948*Inputs!$B$13*(A948-AC948),0)</f>
        <v>0</v>
      </c>
      <c r="X948" s="10" t="n">
        <f aca="false">P948-IF(Q948,Inputs!$B$9,0)+W948</f>
        <v>970.40233796708</v>
      </c>
      <c r="Y948" s="11" t="n">
        <f aca="false">IF(V948,0,T948)</f>
        <v>0</v>
      </c>
      <c r="Z948" s="9" t="b">
        <f aca="false">AND(Y948&gt;0,K948)</f>
        <v>0</v>
      </c>
      <c r="AA948" s="9" t="b">
        <f aca="false">AND(Y948=0,J948,ISNUMBER(L948))</f>
        <v>0</v>
      </c>
      <c r="AB948" s="8" t="n">
        <f aca="false">IF(Q948,R948,AB947)</f>
        <v>0.863503444084112</v>
      </c>
      <c r="AC948" s="12" t="n">
        <f aca="false">IF(Q948,A948,AC947)</f>
        <v>45706</v>
      </c>
      <c r="AD948" s="8" t="n">
        <f aca="false">IF(Q948,B948,AD947)</f>
        <v>0.863330777928526</v>
      </c>
      <c r="AE948" s="8" t="str">
        <f aca="false">IF(AA948,L948,"")</f>
        <v/>
      </c>
      <c r="AF948" s="8" t="n">
        <f aca="false">U948</f>
        <v>0.843828396541038</v>
      </c>
      <c r="AG948" s="2" t="n">
        <f aca="false">AG947+IF(Q948,1,0)</f>
        <v>9</v>
      </c>
      <c r="AH948" s="2" t="n">
        <f aca="false">AG947</f>
        <v>9</v>
      </c>
      <c r="AI948" s="10" t="n">
        <f aca="false">X948+Y948*(E948-AB948)-Y948*AD948*Inputs!$B$13*(A948-AC948)</f>
        <v>970.40233796708</v>
      </c>
      <c r="AJ948" s="10" t="n">
        <v>0</v>
      </c>
      <c r="AK948" s="8" t="n">
        <f aca="false">IF(AND(B948&lt;=U948,NOT(Q948)),B948,U948)*(1-Inputs!$B$12)</f>
        <v>0.843659630861729</v>
      </c>
    </row>
    <row r="949" customFormat="false" ht="15" hidden="false" customHeight="false" outlineLevel="0" collapsed="false">
      <c r="A949" s="6" t="n">
        <v>45733</v>
      </c>
      <c r="B949" s="7" t="n">
        <v>0.868597273850276</v>
      </c>
      <c r="C949" s="7" t="n">
        <v>0.87926944699981</v>
      </c>
      <c r="D949" s="7" t="n">
        <v>0.865524236167785</v>
      </c>
      <c r="E949" s="7" t="n">
        <v>0.876028518939685</v>
      </c>
      <c r="F949" s="8" t="n">
        <f aca="true">IF(ROW()-2&gt;=Inputs!$B$4,AVERAGE(OFFSET(E949,1-Inputs!$B$4,0,Inputs!$B$4,1)),"")</f>
        <v>0.858268284163541</v>
      </c>
      <c r="G949" s="8" t="n">
        <f aca="true">IF(ROW()-2&gt;=Inputs!$B$5,AVERAGE(OFFSET(E949,1-Inputs!$B$5,0,Inputs!$B$5,1)),"")</f>
        <v>0.85275130776789</v>
      </c>
      <c r="H949" s="8" t="n">
        <f aca="false">MAX(C949-D949,ABS(C949-E948),ABS(D949-E948))</f>
        <v>0.0137452108320251</v>
      </c>
      <c r="I949" s="8" t="n">
        <f aca="true">IF(ROW()-2&lt;14,"",IF(ROW()-2=14,AVERAGE(OFFSET(H949,-13,0,14,1)),(I948*13+H949)/14))</f>
        <v>0.0093345722453798</v>
      </c>
      <c r="J949" s="9" t="b">
        <f aca="false">IF(AND(ISNUMBER(F949),ISNUMBER(G949),ISNUMBER(F948),ISNUMBER(G948)),AND(F949&gt;G949,F948&lt;=G948),FALSE())</f>
        <v>0</v>
      </c>
      <c r="K949" s="9" t="b">
        <f aca="false">IF(AND(ISNUMBER(F949),ISNUMBER(G949),ISNUMBER(F948),ISNUMBER(G948)),AND(F949&lt;G949,F948&gt;=G948),FALSE())</f>
        <v>0</v>
      </c>
      <c r="L949" s="8" t="n">
        <f aca="false">IF(ISNUMBER(I949),E949-Inputs!$B$6*I949,"")</f>
        <v>0.857359374448925</v>
      </c>
      <c r="M949" s="9" t="b">
        <f aca="false">AND(Y948&gt;0,Z948)</f>
        <v>0</v>
      </c>
      <c r="N949" s="8" t="n">
        <f aca="false">B949*(1-Inputs!$B$12)</f>
        <v>0.868423554395506</v>
      </c>
      <c r="O949" s="10" t="n">
        <f aca="false">IF(M949,Y948*(N949-AB948)-Inputs!$B$9-Y948*AD948*Inputs!$B$13*(A949-AC948),0)</f>
        <v>0</v>
      </c>
      <c r="P949" s="10" t="n">
        <f aca="false">X948+O949</f>
        <v>970.40233796708</v>
      </c>
      <c r="Q949" s="9" t="b">
        <f aca="false">AND(IF(M949,0,Y948)=0,AA948,IF(ISNUMBER(AE948),B949&gt;AE948,FALSE()))</f>
        <v>0</v>
      </c>
      <c r="R949" s="8" t="n">
        <f aca="false">B949*(1+Inputs!$B$12)</f>
        <v>0.868770993305046</v>
      </c>
      <c r="S949" s="11" t="n">
        <f aca="false">IF(Q949,MIN(P949*Inputs!$B$3/(R949-AE948),P949*Inputs!$B$11/R949),0)</f>
        <v>0</v>
      </c>
      <c r="T949" s="11" t="n">
        <f aca="false">IF(Q949,S949,IF(M949,0,Y948))</f>
        <v>0</v>
      </c>
      <c r="U949" s="8" t="n">
        <f aca="false">IF(Q949,AE948,AF948)</f>
        <v>0.843828396541038</v>
      </c>
      <c r="V949" s="9" t="b">
        <f aca="false">AND(T949&gt;0,D949&lt;=U949)</f>
        <v>0</v>
      </c>
      <c r="W949" s="10" t="n">
        <f aca="false">IF(V949,T949*(AK949-AB949)-Inputs!$B$9-T949*AD949*Inputs!$B$13*(A949-AC949),0)</f>
        <v>0</v>
      </c>
      <c r="X949" s="10" t="n">
        <f aca="false">P949-IF(Q949,Inputs!$B$9,0)+W949</f>
        <v>970.40233796708</v>
      </c>
      <c r="Y949" s="11" t="n">
        <f aca="false">IF(V949,0,T949)</f>
        <v>0</v>
      </c>
      <c r="Z949" s="9" t="b">
        <f aca="false">AND(Y949&gt;0,K949)</f>
        <v>0</v>
      </c>
      <c r="AA949" s="9" t="b">
        <f aca="false">AND(Y949=0,J949,ISNUMBER(L949))</f>
        <v>0</v>
      </c>
      <c r="AB949" s="8" t="n">
        <f aca="false">IF(Q949,R949,AB948)</f>
        <v>0.863503444084112</v>
      </c>
      <c r="AC949" s="12" t="n">
        <f aca="false">IF(Q949,A949,AC948)</f>
        <v>45706</v>
      </c>
      <c r="AD949" s="8" t="n">
        <f aca="false">IF(Q949,B949,AD948)</f>
        <v>0.863330777928526</v>
      </c>
      <c r="AE949" s="8" t="str">
        <f aca="false">IF(AA949,L949,"")</f>
        <v/>
      </c>
      <c r="AF949" s="8" t="n">
        <f aca="false">U949</f>
        <v>0.843828396541038</v>
      </c>
      <c r="AG949" s="2" t="n">
        <f aca="false">AG948+IF(Q949,1,0)</f>
        <v>9</v>
      </c>
      <c r="AH949" s="2" t="n">
        <f aca="false">AG948</f>
        <v>9</v>
      </c>
      <c r="AI949" s="10" t="n">
        <f aca="false">X949+Y949*(E949-AB949)-Y949*AD949*Inputs!$B$13*(A949-AC949)</f>
        <v>970.40233796708</v>
      </c>
      <c r="AJ949" s="10" t="n">
        <v>0</v>
      </c>
      <c r="AK949" s="8" t="n">
        <f aca="false">IF(AND(B949&lt;=U949,NOT(Q949)),B949,U949)*(1-Inputs!$B$12)</f>
        <v>0.843659630861729</v>
      </c>
    </row>
    <row r="950" customFormat="false" ht="15" hidden="false" customHeight="false" outlineLevel="0" collapsed="false">
      <c r="A950" s="6" t="n">
        <v>45734</v>
      </c>
      <c r="B950" s="7" t="n">
        <v>0.876028518939685</v>
      </c>
      <c r="C950" s="7" t="n">
        <v>0.876904884275839</v>
      </c>
      <c r="D950" s="7" t="n">
        <v>0.874613787550351</v>
      </c>
      <c r="E950" s="7" t="n">
        <v>0.874745313861991</v>
      </c>
      <c r="F950" s="8" t="n">
        <f aca="true">IF(ROW()-2&gt;=Inputs!$B$4,AVERAGE(OFFSET(E950,1-Inputs!$B$4,0,Inputs!$B$4,1)),"")</f>
        <v>0.858974289026932</v>
      </c>
      <c r="G950" s="8" t="n">
        <f aca="true">IF(ROW()-2&gt;=Inputs!$B$5,AVERAGE(OFFSET(E950,1-Inputs!$B$5,0,Inputs!$B$5,1)),"")</f>
        <v>0.853645510715474</v>
      </c>
      <c r="H950" s="8" t="n">
        <f aca="false">MAX(C950-D950,ABS(C950-E949),ABS(D950-E949))</f>
        <v>0.00229109672548722</v>
      </c>
      <c r="I950" s="8" t="n">
        <f aca="true">IF(ROW()-2&lt;14,"",IF(ROW()-2=14,AVERAGE(OFFSET(H950,-13,0,14,1)),(I949*13+H950)/14))</f>
        <v>0.00883146685110176</v>
      </c>
      <c r="J950" s="9" t="b">
        <f aca="false">IF(AND(ISNUMBER(F950),ISNUMBER(G950),ISNUMBER(F949),ISNUMBER(G949)),AND(F950&gt;G950,F949&lt;=G949),FALSE())</f>
        <v>0</v>
      </c>
      <c r="K950" s="9" t="b">
        <f aca="false">IF(AND(ISNUMBER(F950),ISNUMBER(G950),ISNUMBER(F949),ISNUMBER(G949)),AND(F950&lt;G950,F949&gt;=G949),FALSE())</f>
        <v>0</v>
      </c>
      <c r="L950" s="8" t="n">
        <f aca="false">IF(ISNUMBER(I950),E950-Inputs!$B$6*I950,"")</f>
        <v>0.857082380159787</v>
      </c>
      <c r="M950" s="9" t="b">
        <f aca="false">AND(Y949&gt;0,Z949)</f>
        <v>0</v>
      </c>
      <c r="N950" s="8" t="n">
        <f aca="false">B950*(1-Inputs!$B$12)</f>
        <v>0.875853313235897</v>
      </c>
      <c r="O950" s="10" t="n">
        <f aca="false">IF(M950,Y949*(N950-AB949)-Inputs!$B$9-Y949*AD949*Inputs!$B$13*(A950-AC949),0)</f>
        <v>0</v>
      </c>
      <c r="P950" s="10" t="n">
        <f aca="false">X949+O950</f>
        <v>970.40233796708</v>
      </c>
      <c r="Q950" s="9" t="b">
        <f aca="false">AND(IF(M950,0,Y949)=0,AA949,IF(ISNUMBER(AE949),B950&gt;AE949,FALSE()))</f>
        <v>0</v>
      </c>
      <c r="R950" s="8" t="n">
        <f aca="false">B950*(1+Inputs!$B$12)</f>
        <v>0.876203724643473</v>
      </c>
      <c r="S950" s="11" t="n">
        <f aca="false">IF(Q950,MIN(P950*Inputs!$B$3/(R950-AE949),P950*Inputs!$B$11/R950),0)</f>
        <v>0</v>
      </c>
      <c r="T950" s="11" t="n">
        <f aca="false">IF(Q950,S950,IF(M950,0,Y949))</f>
        <v>0</v>
      </c>
      <c r="U950" s="8" t="n">
        <f aca="false">IF(Q950,AE949,AF949)</f>
        <v>0.843828396541038</v>
      </c>
      <c r="V950" s="9" t="b">
        <f aca="false">AND(T950&gt;0,D950&lt;=U950)</f>
        <v>0</v>
      </c>
      <c r="W950" s="10" t="n">
        <f aca="false">IF(V950,T950*(AK950-AB950)-Inputs!$B$9-T950*AD950*Inputs!$B$13*(A950-AC950),0)</f>
        <v>0</v>
      </c>
      <c r="X950" s="10" t="n">
        <f aca="false">P950-IF(Q950,Inputs!$B$9,0)+W950</f>
        <v>970.40233796708</v>
      </c>
      <c r="Y950" s="11" t="n">
        <f aca="false">IF(V950,0,T950)</f>
        <v>0</v>
      </c>
      <c r="Z950" s="9" t="b">
        <f aca="false">AND(Y950&gt;0,K950)</f>
        <v>0</v>
      </c>
      <c r="AA950" s="9" t="b">
        <f aca="false">AND(Y950=0,J950,ISNUMBER(L950))</f>
        <v>0</v>
      </c>
      <c r="AB950" s="8" t="n">
        <f aca="false">IF(Q950,R950,AB949)</f>
        <v>0.863503444084112</v>
      </c>
      <c r="AC950" s="12" t="n">
        <f aca="false">IF(Q950,A950,AC949)</f>
        <v>45706</v>
      </c>
      <c r="AD950" s="8" t="n">
        <f aca="false">IF(Q950,B950,AD949)</f>
        <v>0.863330777928526</v>
      </c>
      <c r="AE950" s="8" t="str">
        <f aca="false">IF(AA950,L950,"")</f>
        <v/>
      </c>
      <c r="AF950" s="8" t="n">
        <f aca="false">U950</f>
        <v>0.843828396541038</v>
      </c>
      <c r="AG950" s="2" t="n">
        <f aca="false">AG949+IF(Q950,1,0)</f>
        <v>9</v>
      </c>
      <c r="AH950" s="2" t="n">
        <f aca="false">AG949</f>
        <v>9</v>
      </c>
      <c r="AI950" s="10" t="n">
        <f aca="false">X950+Y950*(E950-AB950)-Y950*AD950*Inputs!$B$13*(A950-AC950)</f>
        <v>970.40233796708</v>
      </c>
      <c r="AJ950" s="10" t="n">
        <v>0</v>
      </c>
      <c r="AK950" s="8" t="n">
        <f aca="false">IF(AND(B950&lt;=U950,NOT(Q950)),B950,U950)*(1-Inputs!$B$12)</f>
        <v>0.843659630861729</v>
      </c>
    </row>
    <row r="951" customFormat="false" ht="15" hidden="false" customHeight="false" outlineLevel="0" collapsed="false">
      <c r="A951" s="6" t="n">
        <v>45735</v>
      </c>
      <c r="B951" s="7" t="n">
        <v>0.874745313861991</v>
      </c>
      <c r="C951" s="7" t="n">
        <v>0.881488357713754</v>
      </c>
      <c r="D951" s="7" t="n">
        <v>0.868698278294165</v>
      </c>
      <c r="E951" s="7" t="n">
        <v>0.879592756861232</v>
      </c>
      <c r="F951" s="8" t="n">
        <f aca="true">IF(ROW()-2&gt;=Inputs!$B$4,AVERAGE(OFFSET(E951,1-Inputs!$B$4,0,Inputs!$B$4,1)),"")</f>
        <v>0.860197541970061</v>
      </c>
      <c r="G951" s="8" t="n">
        <f aca="true">IF(ROW()-2&gt;=Inputs!$B$5,AVERAGE(OFFSET(E951,1-Inputs!$B$5,0,Inputs!$B$5,1)),"")</f>
        <v>0.854534367021018</v>
      </c>
      <c r="H951" s="8" t="n">
        <f aca="false">MAX(C951-D951,ABS(C951-E950),ABS(D951-E950))</f>
        <v>0.0127900794195888</v>
      </c>
      <c r="I951" s="8" t="n">
        <f aca="true">IF(ROW()-2&lt;14,"",IF(ROW()-2=14,AVERAGE(OFFSET(H951,-13,0,14,1)),(I950*13+H951)/14))</f>
        <v>0.00911422489170797</v>
      </c>
      <c r="J951" s="9" t="b">
        <f aca="false">IF(AND(ISNUMBER(F951),ISNUMBER(G951),ISNUMBER(F950),ISNUMBER(G950)),AND(F951&gt;G951,F950&lt;=G950),FALSE())</f>
        <v>0</v>
      </c>
      <c r="K951" s="9" t="b">
        <f aca="false">IF(AND(ISNUMBER(F951),ISNUMBER(G951),ISNUMBER(F950),ISNUMBER(G950)),AND(F951&lt;G951,F950&gt;=G950),FALSE())</f>
        <v>0</v>
      </c>
      <c r="L951" s="8" t="n">
        <f aca="false">IF(ISNUMBER(I951),E951-Inputs!$B$6*I951,"")</f>
        <v>0.861364307077816</v>
      </c>
      <c r="M951" s="9" t="b">
        <f aca="false">AND(Y950&gt;0,Z950)</f>
        <v>0</v>
      </c>
      <c r="N951" s="8" t="n">
        <f aca="false">B951*(1-Inputs!$B$12)</f>
        <v>0.874570364799219</v>
      </c>
      <c r="O951" s="10" t="n">
        <f aca="false">IF(M951,Y950*(N951-AB950)-Inputs!$B$9-Y950*AD950*Inputs!$B$13*(A951-AC950),0)</f>
        <v>0</v>
      </c>
      <c r="P951" s="10" t="n">
        <f aca="false">X950+O951</f>
        <v>970.40233796708</v>
      </c>
      <c r="Q951" s="9" t="b">
        <f aca="false">AND(IF(M951,0,Y950)=0,AA950,IF(ISNUMBER(AE950),B951&gt;AE950,FALSE()))</f>
        <v>0</v>
      </c>
      <c r="R951" s="8" t="n">
        <f aca="false">B951*(1+Inputs!$B$12)</f>
        <v>0.874920262924763</v>
      </c>
      <c r="S951" s="11" t="n">
        <f aca="false">IF(Q951,MIN(P951*Inputs!$B$3/(R951-AE950),P951*Inputs!$B$11/R951),0)</f>
        <v>0</v>
      </c>
      <c r="T951" s="11" t="n">
        <f aca="false">IF(Q951,S951,IF(M951,0,Y950))</f>
        <v>0</v>
      </c>
      <c r="U951" s="8" t="n">
        <f aca="false">IF(Q951,AE950,AF950)</f>
        <v>0.843828396541038</v>
      </c>
      <c r="V951" s="9" t="b">
        <f aca="false">AND(T951&gt;0,D951&lt;=U951)</f>
        <v>0</v>
      </c>
      <c r="W951" s="10" t="n">
        <f aca="false">IF(V951,T951*(AK951-AB951)-Inputs!$B$9-T951*AD951*Inputs!$B$13*(A951-AC951),0)</f>
        <v>0</v>
      </c>
      <c r="X951" s="10" t="n">
        <f aca="false">P951-IF(Q951,Inputs!$B$9,0)+W951</f>
        <v>970.40233796708</v>
      </c>
      <c r="Y951" s="11" t="n">
        <f aca="false">IF(V951,0,T951)</f>
        <v>0</v>
      </c>
      <c r="Z951" s="9" t="b">
        <f aca="false">AND(Y951&gt;0,K951)</f>
        <v>0</v>
      </c>
      <c r="AA951" s="9" t="b">
        <f aca="false">AND(Y951=0,J951,ISNUMBER(L951))</f>
        <v>0</v>
      </c>
      <c r="AB951" s="8" t="n">
        <f aca="false">IF(Q951,R951,AB950)</f>
        <v>0.863503444084112</v>
      </c>
      <c r="AC951" s="12" t="n">
        <f aca="false">IF(Q951,A951,AC950)</f>
        <v>45706</v>
      </c>
      <c r="AD951" s="8" t="n">
        <f aca="false">IF(Q951,B951,AD950)</f>
        <v>0.863330777928526</v>
      </c>
      <c r="AE951" s="8" t="str">
        <f aca="false">IF(AA951,L951,"")</f>
        <v/>
      </c>
      <c r="AF951" s="8" t="n">
        <f aca="false">U951</f>
        <v>0.843828396541038</v>
      </c>
      <c r="AG951" s="2" t="n">
        <f aca="false">AG950+IF(Q951,1,0)</f>
        <v>9</v>
      </c>
      <c r="AH951" s="2" t="n">
        <f aca="false">AG950</f>
        <v>9</v>
      </c>
      <c r="AI951" s="10" t="n">
        <f aca="false">X951+Y951*(E951-AB951)-Y951*AD951*Inputs!$B$13*(A951-AC951)</f>
        <v>970.40233796708</v>
      </c>
      <c r="AJ951" s="10" t="n">
        <v>0</v>
      </c>
      <c r="AK951" s="8" t="n">
        <f aca="false">IF(AND(B951&lt;=U951,NOT(Q951)),B951,U951)*(1-Inputs!$B$12)</f>
        <v>0.843659630861729</v>
      </c>
    </row>
    <row r="952" customFormat="false" ht="15" hidden="false" customHeight="false" outlineLevel="0" collapsed="false">
      <c r="A952" s="6" t="n">
        <v>45736</v>
      </c>
      <c r="B952" s="7" t="n">
        <v>0.879592756861232</v>
      </c>
      <c r="C952" s="7" t="n">
        <v>0.884144616700058</v>
      </c>
      <c r="D952" s="7" t="n">
        <v>0.875516921946527</v>
      </c>
      <c r="E952" s="7" t="n">
        <v>0.882423869528182</v>
      </c>
      <c r="F952" s="8" t="n">
        <f aca="true">IF(ROW()-2&gt;=Inputs!$B$4,AVERAGE(OFFSET(E952,1-Inputs!$B$4,0,Inputs!$B$4,1)),"")</f>
        <v>0.86150898253462</v>
      </c>
      <c r="G952" s="8" t="n">
        <f aca="true">IF(ROW()-2&gt;=Inputs!$B$5,AVERAGE(OFFSET(E952,1-Inputs!$B$5,0,Inputs!$B$5,1)),"")</f>
        <v>0.855488646238916</v>
      </c>
      <c r="H952" s="8" t="n">
        <f aca="false">MAX(C952-D952,ABS(C952-E951),ABS(D952-E951))</f>
        <v>0.00862769475353031</v>
      </c>
      <c r="I952" s="8" t="n">
        <f aca="true">IF(ROW()-2&lt;14,"",IF(ROW()-2=14,AVERAGE(OFFSET(H952,-13,0,14,1)),(I951*13+H952)/14))</f>
        <v>0.009079472738981</v>
      </c>
      <c r="J952" s="9" t="b">
        <f aca="false">IF(AND(ISNUMBER(F952),ISNUMBER(G952),ISNUMBER(F951),ISNUMBER(G951)),AND(F952&gt;G952,F951&lt;=G951),FALSE())</f>
        <v>0</v>
      </c>
      <c r="K952" s="9" t="b">
        <f aca="false">IF(AND(ISNUMBER(F952),ISNUMBER(G952),ISNUMBER(F951),ISNUMBER(G951)),AND(F952&lt;G952,F951&gt;=G951),FALSE())</f>
        <v>0</v>
      </c>
      <c r="L952" s="8" t="n">
        <f aca="false">IF(ISNUMBER(I952),E952-Inputs!$B$6*I952,"")</f>
        <v>0.86426492405022</v>
      </c>
      <c r="M952" s="9" t="b">
        <f aca="false">AND(Y951&gt;0,Z951)</f>
        <v>0</v>
      </c>
      <c r="N952" s="8" t="n">
        <f aca="false">B952*(1-Inputs!$B$12)</f>
        <v>0.87941683830986</v>
      </c>
      <c r="O952" s="10" t="n">
        <f aca="false">IF(M952,Y951*(N952-AB951)-Inputs!$B$9-Y951*AD951*Inputs!$B$13*(A952-AC951),0)</f>
        <v>0</v>
      </c>
      <c r="P952" s="10" t="n">
        <f aca="false">X951+O952</f>
        <v>970.40233796708</v>
      </c>
      <c r="Q952" s="9" t="b">
        <f aca="false">AND(IF(M952,0,Y951)=0,AA951,IF(ISNUMBER(AE951),B952&gt;AE951,FALSE()))</f>
        <v>0</v>
      </c>
      <c r="R952" s="8" t="n">
        <f aca="false">B952*(1+Inputs!$B$12)</f>
        <v>0.879768675412604</v>
      </c>
      <c r="S952" s="11" t="n">
        <f aca="false">IF(Q952,MIN(P952*Inputs!$B$3/(R952-AE951),P952*Inputs!$B$11/R952),0)</f>
        <v>0</v>
      </c>
      <c r="T952" s="11" t="n">
        <f aca="false">IF(Q952,S952,IF(M952,0,Y951))</f>
        <v>0</v>
      </c>
      <c r="U952" s="8" t="n">
        <f aca="false">IF(Q952,AE951,AF951)</f>
        <v>0.843828396541038</v>
      </c>
      <c r="V952" s="9" t="b">
        <f aca="false">AND(T952&gt;0,D952&lt;=U952)</f>
        <v>0</v>
      </c>
      <c r="W952" s="10" t="n">
        <f aca="false">IF(V952,T952*(AK952-AB952)-Inputs!$B$9-T952*AD952*Inputs!$B$13*(A952-AC952),0)</f>
        <v>0</v>
      </c>
      <c r="X952" s="10" t="n">
        <f aca="false">P952-IF(Q952,Inputs!$B$9,0)+W952</f>
        <v>970.40233796708</v>
      </c>
      <c r="Y952" s="11" t="n">
        <f aca="false">IF(V952,0,T952)</f>
        <v>0</v>
      </c>
      <c r="Z952" s="9" t="b">
        <f aca="false">AND(Y952&gt;0,K952)</f>
        <v>0</v>
      </c>
      <c r="AA952" s="9" t="b">
        <f aca="false">AND(Y952=0,J952,ISNUMBER(L952))</f>
        <v>0</v>
      </c>
      <c r="AB952" s="8" t="n">
        <f aca="false">IF(Q952,R952,AB951)</f>
        <v>0.863503444084112</v>
      </c>
      <c r="AC952" s="12" t="n">
        <f aca="false">IF(Q952,A952,AC951)</f>
        <v>45706</v>
      </c>
      <c r="AD952" s="8" t="n">
        <f aca="false">IF(Q952,B952,AD951)</f>
        <v>0.863330777928526</v>
      </c>
      <c r="AE952" s="8" t="str">
        <f aca="false">IF(AA952,L952,"")</f>
        <v/>
      </c>
      <c r="AF952" s="8" t="n">
        <f aca="false">U952</f>
        <v>0.843828396541038</v>
      </c>
      <c r="AG952" s="2" t="n">
        <f aca="false">AG951+IF(Q952,1,0)</f>
        <v>9</v>
      </c>
      <c r="AH952" s="2" t="n">
        <f aca="false">AG951</f>
        <v>9</v>
      </c>
      <c r="AI952" s="10" t="n">
        <f aca="false">X952+Y952*(E952-AB952)-Y952*AD952*Inputs!$B$13*(A952-AC952)</f>
        <v>970.40233796708</v>
      </c>
      <c r="AJ952" s="10" t="n">
        <v>0</v>
      </c>
      <c r="AK952" s="8" t="n">
        <f aca="false">IF(AND(B952&lt;=U952,NOT(Q952)),B952,U952)*(1-Inputs!$B$12)</f>
        <v>0.843659630861729</v>
      </c>
    </row>
    <row r="953" customFormat="false" ht="15" hidden="false" customHeight="false" outlineLevel="0" collapsed="false">
      <c r="A953" s="6" t="n">
        <v>45737</v>
      </c>
      <c r="B953" s="7" t="n">
        <v>0.882423869528182</v>
      </c>
      <c r="C953" s="7" t="n">
        <v>0.886826836642718</v>
      </c>
      <c r="D953" s="7" t="n">
        <v>0.880907986434563</v>
      </c>
      <c r="E953" s="7" t="n">
        <v>0.881405620222729</v>
      </c>
      <c r="F953" s="8" t="n">
        <f aca="true">IF(ROW()-2&gt;=Inputs!$B$4,AVERAGE(OFFSET(E953,1-Inputs!$B$4,0,Inputs!$B$4,1)),"")</f>
        <v>0.862518282283551</v>
      </c>
      <c r="G953" s="8" t="n">
        <f aca="true">IF(ROW()-2&gt;=Inputs!$B$5,AVERAGE(OFFSET(E953,1-Inputs!$B$5,0,Inputs!$B$5,1)),"")</f>
        <v>0.856414212624036</v>
      </c>
      <c r="H953" s="8" t="n">
        <f aca="false">MAX(C953-D953,ABS(C953-E952),ABS(D953-E952))</f>
        <v>0.00591885020815464</v>
      </c>
      <c r="I953" s="8" t="n">
        <f aca="true">IF(ROW()-2&lt;14,"",IF(ROW()-2=14,AVERAGE(OFFSET(H953,-13,0,14,1)),(I952*13+H953)/14))</f>
        <v>0.00885371398677911</v>
      </c>
      <c r="J953" s="9" t="b">
        <f aca="false">IF(AND(ISNUMBER(F953),ISNUMBER(G953),ISNUMBER(F952),ISNUMBER(G952)),AND(F953&gt;G953,F952&lt;=G952),FALSE())</f>
        <v>0</v>
      </c>
      <c r="K953" s="9" t="b">
        <f aca="false">IF(AND(ISNUMBER(F953),ISNUMBER(G953),ISNUMBER(F952),ISNUMBER(G952)),AND(F953&lt;G953,F952&gt;=G952),FALSE())</f>
        <v>0</v>
      </c>
      <c r="L953" s="8" t="n">
        <f aca="false">IF(ISNUMBER(I953),E953-Inputs!$B$6*I953,"")</f>
        <v>0.86369819224917</v>
      </c>
      <c r="M953" s="9" t="b">
        <f aca="false">AND(Y952&gt;0,Z952)</f>
        <v>0</v>
      </c>
      <c r="N953" s="8" t="n">
        <f aca="false">B953*(1-Inputs!$B$12)</f>
        <v>0.882247384754277</v>
      </c>
      <c r="O953" s="10" t="n">
        <f aca="false">IF(M953,Y952*(N953-AB952)-Inputs!$B$9-Y952*AD952*Inputs!$B$13*(A953-AC952),0)</f>
        <v>0</v>
      </c>
      <c r="P953" s="10" t="n">
        <f aca="false">X952+O953</f>
        <v>970.40233796708</v>
      </c>
      <c r="Q953" s="9" t="b">
        <f aca="false">AND(IF(M953,0,Y952)=0,AA952,IF(ISNUMBER(AE952),B953&gt;AE952,FALSE()))</f>
        <v>0</v>
      </c>
      <c r="R953" s="8" t="n">
        <f aca="false">B953*(1+Inputs!$B$12)</f>
        <v>0.882600354302088</v>
      </c>
      <c r="S953" s="11" t="n">
        <f aca="false">IF(Q953,MIN(P953*Inputs!$B$3/(R953-AE952),P953*Inputs!$B$11/R953),0)</f>
        <v>0</v>
      </c>
      <c r="T953" s="11" t="n">
        <f aca="false">IF(Q953,S953,IF(M953,0,Y952))</f>
        <v>0</v>
      </c>
      <c r="U953" s="8" t="n">
        <f aca="false">IF(Q953,AE952,AF952)</f>
        <v>0.843828396541038</v>
      </c>
      <c r="V953" s="9" t="b">
        <f aca="false">AND(T953&gt;0,D953&lt;=U953)</f>
        <v>0</v>
      </c>
      <c r="W953" s="10" t="n">
        <f aca="false">IF(V953,T953*(AK953-AB953)-Inputs!$B$9-T953*AD953*Inputs!$B$13*(A953-AC953),0)</f>
        <v>0</v>
      </c>
      <c r="X953" s="10" t="n">
        <f aca="false">P953-IF(Q953,Inputs!$B$9,0)+W953</f>
        <v>970.40233796708</v>
      </c>
      <c r="Y953" s="11" t="n">
        <f aca="false">IF(V953,0,T953)</f>
        <v>0</v>
      </c>
      <c r="Z953" s="9" t="b">
        <f aca="false">AND(Y953&gt;0,K953)</f>
        <v>0</v>
      </c>
      <c r="AA953" s="9" t="b">
        <f aca="false">AND(Y953=0,J953,ISNUMBER(L953))</f>
        <v>0</v>
      </c>
      <c r="AB953" s="8" t="n">
        <f aca="false">IF(Q953,R953,AB952)</f>
        <v>0.863503444084112</v>
      </c>
      <c r="AC953" s="12" t="n">
        <f aca="false">IF(Q953,A953,AC952)</f>
        <v>45706</v>
      </c>
      <c r="AD953" s="8" t="n">
        <f aca="false">IF(Q953,B953,AD952)</f>
        <v>0.863330777928526</v>
      </c>
      <c r="AE953" s="8" t="str">
        <f aca="false">IF(AA953,L953,"")</f>
        <v/>
      </c>
      <c r="AF953" s="8" t="n">
        <f aca="false">U953</f>
        <v>0.843828396541038</v>
      </c>
      <c r="AG953" s="2" t="n">
        <f aca="false">AG952+IF(Q953,1,0)</f>
        <v>9</v>
      </c>
      <c r="AH953" s="2" t="n">
        <f aca="false">AG952</f>
        <v>9</v>
      </c>
      <c r="AI953" s="10" t="n">
        <f aca="false">X953+Y953*(E953-AB953)-Y953*AD953*Inputs!$B$13*(A953-AC953)</f>
        <v>970.40233796708</v>
      </c>
      <c r="AJ953" s="10" t="n">
        <v>0</v>
      </c>
      <c r="AK953" s="8" t="n">
        <f aca="false">IF(AND(B953&lt;=U953,NOT(Q953)),B953,U953)*(1-Inputs!$B$12)</f>
        <v>0.843659630861729</v>
      </c>
    </row>
    <row r="954" customFormat="false" ht="15" hidden="false" customHeight="false" outlineLevel="0" collapsed="false">
      <c r="A954" s="6" t="n">
        <v>45738</v>
      </c>
      <c r="B954" s="7" t="n">
        <v>0.881405620222729</v>
      </c>
      <c r="C954" s="7" t="n">
        <v>0.88332718696551</v>
      </c>
      <c r="D954" s="7" t="n">
        <v>0.876836472856415</v>
      </c>
      <c r="E954" s="7" t="n">
        <v>0.880863555677704</v>
      </c>
      <c r="F954" s="8" t="n">
        <f aca="true">IF(ROW()-2&gt;=Inputs!$B$4,AVERAGE(OFFSET(E954,1-Inputs!$B$4,0,Inputs!$B$4,1)),"")</f>
        <v>0.863710618941587</v>
      </c>
      <c r="G954" s="8" t="n">
        <f aca="true">IF(ROW()-2&gt;=Inputs!$B$5,AVERAGE(OFFSET(E954,1-Inputs!$B$5,0,Inputs!$B$5,1)),"")</f>
        <v>0.857230914373204</v>
      </c>
      <c r="H954" s="8" t="n">
        <f aca="false">MAX(C954-D954,ABS(C954-E953),ABS(D954-E953))</f>
        <v>0.00649071410909463</v>
      </c>
      <c r="I954" s="8" t="n">
        <f aca="true">IF(ROW()-2&lt;14,"",IF(ROW()-2=14,AVERAGE(OFFSET(H954,-13,0,14,1)),(I953*13+H954)/14))</f>
        <v>0.00868492828123022</v>
      </c>
      <c r="J954" s="9" t="b">
        <f aca="false">IF(AND(ISNUMBER(F954),ISNUMBER(G954),ISNUMBER(F953),ISNUMBER(G953)),AND(F954&gt;G954,F953&lt;=G953),FALSE())</f>
        <v>0</v>
      </c>
      <c r="K954" s="9" t="b">
        <f aca="false">IF(AND(ISNUMBER(F954),ISNUMBER(G954),ISNUMBER(F953),ISNUMBER(G953)),AND(F954&lt;G954,F953&gt;=G953),FALSE())</f>
        <v>0</v>
      </c>
      <c r="L954" s="8" t="n">
        <f aca="false">IF(ISNUMBER(I954),E954-Inputs!$B$6*I954,"")</f>
        <v>0.863493699115244</v>
      </c>
      <c r="M954" s="9" t="b">
        <f aca="false">AND(Y953&gt;0,Z953)</f>
        <v>0</v>
      </c>
      <c r="N954" s="8" t="n">
        <f aca="false">B954*(1-Inputs!$B$12)</f>
        <v>0.881229339098684</v>
      </c>
      <c r="O954" s="10" t="n">
        <f aca="false">IF(M954,Y953*(N954-AB953)-Inputs!$B$9-Y953*AD953*Inputs!$B$13*(A954-AC953),0)</f>
        <v>0</v>
      </c>
      <c r="P954" s="10" t="n">
        <f aca="false">X953+O954</f>
        <v>970.40233796708</v>
      </c>
      <c r="Q954" s="9" t="b">
        <f aca="false">AND(IF(M954,0,Y953)=0,AA953,IF(ISNUMBER(AE953),B954&gt;AE953,FALSE()))</f>
        <v>0</v>
      </c>
      <c r="R954" s="8" t="n">
        <f aca="false">B954*(1+Inputs!$B$12)</f>
        <v>0.881581901346773</v>
      </c>
      <c r="S954" s="11" t="n">
        <f aca="false">IF(Q954,MIN(P954*Inputs!$B$3/(R954-AE953),P954*Inputs!$B$11/R954),0)</f>
        <v>0</v>
      </c>
      <c r="T954" s="11" t="n">
        <f aca="false">IF(Q954,S954,IF(M954,0,Y953))</f>
        <v>0</v>
      </c>
      <c r="U954" s="8" t="n">
        <f aca="false">IF(Q954,AE953,AF953)</f>
        <v>0.843828396541038</v>
      </c>
      <c r="V954" s="9" t="b">
        <f aca="false">AND(T954&gt;0,D954&lt;=U954)</f>
        <v>0</v>
      </c>
      <c r="W954" s="10" t="n">
        <f aca="false">IF(V954,T954*(AK954-AB954)-Inputs!$B$9-T954*AD954*Inputs!$B$13*(A954-AC954),0)</f>
        <v>0</v>
      </c>
      <c r="X954" s="10" t="n">
        <f aca="false">P954-IF(Q954,Inputs!$B$9,0)+W954</f>
        <v>970.40233796708</v>
      </c>
      <c r="Y954" s="11" t="n">
        <f aca="false">IF(V954,0,T954)</f>
        <v>0</v>
      </c>
      <c r="Z954" s="9" t="b">
        <f aca="false">AND(Y954&gt;0,K954)</f>
        <v>0</v>
      </c>
      <c r="AA954" s="9" t="b">
        <f aca="false">AND(Y954=0,J954,ISNUMBER(L954))</f>
        <v>0</v>
      </c>
      <c r="AB954" s="8" t="n">
        <f aca="false">IF(Q954,R954,AB953)</f>
        <v>0.863503444084112</v>
      </c>
      <c r="AC954" s="12" t="n">
        <f aca="false">IF(Q954,A954,AC953)</f>
        <v>45706</v>
      </c>
      <c r="AD954" s="8" t="n">
        <f aca="false">IF(Q954,B954,AD953)</f>
        <v>0.863330777928526</v>
      </c>
      <c r="AE954" s="8" t="str">
        <f aca="false">IF(AA954,L954,"")</f>
        <v/>
      </c>
      <c r="AF954" s="8" t="n">
        <f aca="false">U954</f>
        <v>0.843828396541038</v>
      </c>
      <c r="AG954" s="2" t="n">
        <f aca="false">AG953+IF(Q954,1,0)</f>
        <v>9</v>
      </c>
      <c r="AH954" s="2" t="n">
        <f aca="false">AG953</f>
        <v>9</v>
      </c>
      <c r="AI954" s="10" t="n">
        <f aca="false">X954+Y954*(E954-AB954)-Y954*AD954*Inputs!$B$13*(A954-AC954)</f>
        <v>970.40233796708</v>
      </c>
      <c r="AJ954" s="10" t="n">
        <v>0</v>
      </c>
      <c r="AK954" s="8" t="n">
        <f aca="false">IF(AND(B954&lt;=U954,NOT(Q954)),B954,U954)*(1-Inputs!$B$12)</f>
        <v>0.843659630861729</v>
      </c>
    </row>
    <row r="955" customFormat="false" ht="15" hidden="false" customHeight="false" outlineLevel="0" collapsed="false">
      <c r="A955" s="6" t="n">
        <v>45739</v>
      </c>
      <c r="B955" s="7" t="n">
        <v>0.880863555677704</v>
      </c>
      <c r="C955" s="7" t="n">
        <v>0.885673842173941</v>
      </c>
      <c r="D955" s="7" t="n">
        <v>0.879773281488882</v>
      </c>
      <c r="E955" s="7" t="n">
        <v>0.879994315459981</v>
      </c>
      <c r="F955" s="8" t="n">
        <f aca="true">IF(ROW()-2&gt;=Inputs!$B$4,AVERAGE(OFFSET(E955,1-Inputs!$B$4,0,Inputs!$B$4,1)),"")</f>
        <v>0.864753446096233</v>
      </c>
      <c r="G955" s="8" t="n">
        <f aca="true">IF(ROW()-2&gt;=Inputs!$B$5,AVERAGE(OFFSET(E955,1-Inputs!$B$5,0,Inputs!$B$5,1)),"")</f>
        <v>0.857994066820615</v>
      </c>
      <c r="H955" s="8" t="n">
        <f aca="false">MAX(C955-D955,ABS(C955-E954),ABS(D955-E954))</f>
        <v>0.00590056068505895</v>
      </c>
      <c r="I955" s="8" t="n">
        <f aca="true">IF(ROW()-2&lt;14,"",IF(ROW()-2=14,AVERAGE(OFFSET(H955,-13,0,14,1)),(I954*13+H955)/14))</f>
        <v>0.0084860448815037</v>
      </c>
      <c r="J955" s="9" t="b">
        <f aca="false">IF(AND(ISNUMBER(F955),ISNUMBER(G955),ISNUMBER(F954),ISNUMBER(G954)),AND(F955&gt;G955,F954&lt;=G954),FALSE())</f>
        <v>0</v>
      </c>
      <c r="K955" s="9" t="b">
        <f aca="false">IF(AND(ISNUMBER(F955),ISNUMBER(G955),ISNUMBER(F954),ISNUMBER(G954)),AND(F955&lt;G955,F954&gt;=G954),FALSE())</f>
        <v>0</v>
      </c>
      <c r="L955" s="8" t="n">
        <f aca="false">IF(ISNUMBER(I955),E955-Inputs!$B$6*I955,"")</f>
        <v>0.863022225696973</v>
      </c>
      <c r="M955" s="9" t="b">
        <f aca="false">AND(Y954&gt;0,Z954)</f>
        <v>0</v>
      </c>
      <c r="N955" s="8" t="n">
        <f aca="false">B955*(1-Inputs!$B$12)</f>
        <v>0.880687382966569</v>
      </c>
      <c r="O955" s="10" t="n">
        <f aca="false">IF(M955,Y954*(N955-AB954)-Inputs!$B$9-Y954*AD954*Inputs!$B$13*(A955-AC954),0)</f>
        <v>0</v>
      </c>
      <c r="P955" s="10" t="n">
        <f aca="false">X954+O955</f>
        <v>970.40233796708</v>
      </c>
      <c r="Q955" s="9" t="b">
        <f aca="false">AND(IF(M955,0,Y954)=0,AA954,IF(ISNUMBER(AE954),B955&gt;AE954,FALSE()))</f>
        <v>0</v>
      </c>
      <c r="R955" s="8" t="n">
        <f aca="false">B955*(1+Inputs!$B$12)</f>
        <v>0.88103972838884</v>
      </c>
      <c r="S955" s="11" t="n">
        <f aca="false">IF(Q955,MIN(P955*Inputs!$B$3/(R955-AE954),P955*Inputs!$B$11/R955),0)</f>
        <v>0</v>
      </c>
      <c r="T955" s="11" t="n">
        <f aca="false">IF(Q955,S955,IF(M955,0,Y954))</f>
        <v>0</v>
      </c>
      <c r="U955" s="8" t="n">
        <f aca="false">IF(Q955,AE954,AF954)</f>
        <v>0.843828396541038</v>
      </c>
      <c r="V955" s="9" t="b">
        <f aca="false">AND(T955&gt;0,D955&lt;=U955)</f>
        <v>0</v>
      </c>
      <c r="W955" s="10" t="n">
        <f aca="false">IF(V955,T955*(AK955-AB955)-Inputs!$B$9-T955*AD955*Inputs!$B$13*(A955-AC955),0)</f>
        <v>0</v>
      </c>
      <c r="X955" s="10" t="n">
        <f aca="false">P955-IF(Q955,Inputs!$B$9,0)+W955</f>
        <v>970.40233796708</v>
      </c>
      <c r="Y955" s="11" t="n">
        <f aca="false">IF(V955,0,T955)</f>
        <v>0</v>
      </c>
      <c r="Z955" s="9" t="b">
        <f aca="false">AND(Y955&gt;0,K955)</f>
        <v>0</v>
      </c>
      <c r="AA955" s="9" t="b">
        <f aca="false">AND(Y955=0,J955,ISNUMBER(L955))</f>
        <v>0</v>
      </c>
      <c r="AB955" s="8" t="n">
        <f aca="false">IF(Q955,R955,AB954)</f>
        <v>0.863503444084112</v>
      </c>
      <c r="AC955" s="12" t="n">
        <f aca="false">IF(Q955,A955,AC954)</f>
        <v>45706</v>
      </c>
      <c r="AD955" s="8" t="n">
        <f aca="false">IF(Q955,B955,AD954)</f>
        <v>0.863330777928526</v>
      </c>
      <c r="AE955" s="8" t="str">
        <f aca="false">IF(AA955,L955,"")</f>
        <v/>
      </c>
      <c r="AF955" s="8" t="n">
        <f aca="false">U955</f>
        <v>0.843828396541038</v>
      </c>
      <c r="AG955" s="2" t="n">
        <f aca="false">AG954+IF(Q955,1,0)</f>
        <v>9</v>
      </c>
      <c r="AH955" s="2" t="n">
        <f aca="false">AG954</f>
        <v>9</v>
      </c>
      <c r="AI955" s="10" t="n">
        <f aca="false">X955+Y955*(E955-AB955)-Y955*AD955*Inputs!$B$13*(A955-AC955)</f>
        <v>970.40233796708</v>
      </c>
      <c r="AJ955" s="10" t="n">
        <v>0</v>
      </c>
      <c r="AK955" s="8" t="n">
        <f aca="false">IF(AND(B955&lt;=U955,NOT(Q955)),B955,U955)*(1-Inputs!$B$12)</f>
        <v>0.843659630861729</v>
      </c>
    </row>
    <row r="956" customFormat="false" ht="15" hidden="false" customHeight="false" outlineLevel="0" collapsed="false">
      <c r="A956" s="6" t="n">
        <v>45740</v>
      </c>
      <c r="B956" s="7" t="n">
        <v>0.879994315459981</v>
      </c>
      <c r="C956" s="7" t="n">
        <v>0.887813505468731</v>
      </c>
      <c r="D956" s="7" t="n">
        <v>0.878588049332385</v>
      </c>
      <c r="E956" s="7" t="n">
        <v>0.88102943686409</v>
      </c>
      <c r="F956" s="8" t="n">
        <f aca="true">IF(ROW()-2&gt;=Inputs!$B$4,AVERAGE(OFFSET(E956,1-Inputs!$B$4,0,Inputs!$B$4,1)),"")</f>
        <v>0.865499580402223</v>
      </c>
      <c r="G956" s="8" t="n">
        <f aca="true">IF(ROW()-2&gt;=Inputs!$B$5,AVERAGE(OFFSET(E956,1-Inputs!$B$5,0,Inputs!$B$5,1)),"")</f>
        <v>0.858809765998159</v>
      </c>
      <c r="H956" s="8" t="n">
        <f aca="false">MAX(C956-D956,ABS(C956-E955),ABS(D956-E955))</f>
        <v>0.00922545613634629</v>
      </c>
      <c r="I956" s="8" t="n">
        <f aca="true">IF(ROW()-2&lt;14,"",IF(ROW()-2=14,AVERAGE(OFFSET(H956,-13,0,14,1)),(I955*13+H956)/14))</f>
        <v>0.00853885997113532</v>
      </c>
      <c r="J956" s="9" t="b">
        <f aca="false">IF(AND(ISNUMBER(F956),ISNUMBER(G956),ISNUMBER(F955),ISNUMBER(G955)),AND(F956&gt;G956,F955&lt;=G955),FALSE())</f>
        <v>0</v>
      </c>
      <c r="K956" s="9" t="b">
        <f aca="false">IF(AND(ISNUMBER(F956),ISNUMBER(G956),ISNUMBER(F955),ISNUMBER(G955)),AND(F956&lt;G956,F955&gt;=G955),FALSE())</f>
        <v>0</v>
      </c>
      <c r="L956" s="8" t="n">
        <f aca="false">IF(ISNUMBER(I956),E956-Inputs!$B$6*I956,"")</f>
        <v>0.863951716921819</v>
      </c>
      <c r="M956" s="9" t="b">
        <f aca="false">AND(Y955&gt;0,Z955)</f>
        <v>0</v>
      </c>
      <c r="N956" s="8" t="n">
        <f aca="false">B956*(1-Inputs!$B$12)</f>
        <v>0.879818316596889</v>
      </c>
      <c r="O956" s="10" t="n">
        <f aca="false">IF(M956,Y955*(N956-AB955)-Inputs!$B$9-Y955*AD955*Inputs!$B$13*(A956-AC955),0)</f>
        <v>0</v>
      </c>
      <c r="P956" s="10" t="n">
        <f aca="false">X955+O956</f>
        <v>970.40233796708</v>
      </c>
      <c r="Q956" s="9" t="b">
        <f aca="false">AND(IF(M956,0,Y955)=0,AA955,IF(ISNUMBER(AE955),B956&gt;AE955,FALSE()))</f>
        <v>0</v>
      </c>
      <c r="R956" s="8" t="n">
        <f aca="false">B956*(1+Inputs!$B$12)</f>
        <v>0.880170314323073</v>
      </c>
      <c r="S956" s="11" t="n">
        <f aca="false">IF(Q956,MIN(P956*Inputs!$B$3/(R956-AE955),P956*Inputs!$B$11/R956),0)</f>
        <v>0</v>
      </c>
      <c r="T956" s="11" t="n">
        <f aca="false">IF(Q956,S956,IF(M956,0,Y955))</f>
        <v>0</v>
      </c>
      <c r="U956" s="8" t="n">
        <f aca="false">IF(Q956,AE955,AF955)</f>
        <v>0.843828396541038</v>
      </c>
      <c r="V956" s="9" t="b">
        <f aca="false">AND(T956&gt;0,D956&lt;=U956)</f>
        <v>0</v>
      </c>
      <c r="W956" s="10" t="n">
        <f aca="false">IF(V956,T956*(AK956-AB956)-Inputs!$B$9-T956*AD956*Inputs!$B$13*(A956-AC956),0)</f>
        <v>0</v>
      </c>
      <c r="X956" s="10" t="n">
        <f aca="false">P956-IF(Q956,Inputs!$B$9,0)+W956</f>
        <v>970.40233796708</v>
      </c>
      <c r="Y956" s="11" t="n">
        <f aca="false">IF(V956,0,T956)</f>
        <v>0</v>
      </c>
      <c r="Z956" s="9" t="b">
        <f aca="false">AND(Y956&gt;0,K956)</f>
        <v>0</v>
      </c>
      <c r="AA956" s="9" t="b">
        <f aca="false">AND(Y956=0,J956,ISNUMBER(L956))</f>
        <v>0</v>
      </c>
      <c r="AB956" s="8" t="n">
        <f aca="false">IF(Q956,R956,AB955)</f>
        <v>0.863503444084112</v>
      </c>
      <c r="AC956" s="12" t="n">
        <f aca="false">IF(Q956,A956,AC955)</f>
        <v>45706</v>
      </c>
      <c r="AD956" s="8" t="n">
        <f aca="false">IF(Q956,B956,AD955)</f>
        <v>0.863330777928526</v>
      </c>
      <c r="AE956" s="8" t="str">
        <f aca="false">IF(AA956,L956,"")</f>
        <v/>
      </c>
      <c r="AF956" s="8" t="n">
        <f aca="false">U956</f>
        <v>0.843828396541038</v>
      </c>
      <c r="AG956" s="2" t="n">
        <f aca="false">AG955+IF(Q956,1,0)</f>
        <v>9</v>
      </c>
      <c r="AH956" s="2" t="n">
        <f aca="false">AG955</f>
        <v>9</v>
      </c>
      <c r="AI956" s="10" t="n">
        <f aca="false">X956+Y956*(E956-AB956)-Y956*AD956*Inputs!$B$13*(A956-AC956)</f>
        <v>970.40233796708</v>
      </c>
      <c r="AJ956" s="10" t="n">
        <v>0</v>
      </c>
      <c r="AK956" s="8" t="n">
        <f aca="false">IF(AND(B956&lt;=U956,NOT(Q956)),B956,U956)*(1-Inputs!$B$12)</f>
        <v>0.843659630861729</v>
      </c>
    </row>
    <row r="957" customFormat="false" ht="15" hidden="false" customHeight="false" outlineLevel="0" collapsed="false">
      <c r="A957" s="6" t="n">
        <v>45741</v>
      </c>
      <c r="B957" s="7" t="n">
        <v>0.88102943686409</v>
      </c>
      <c r="C957" s="7" t="n">
        <v>0.884942599545609</v>
      </c>
      <c r="D957" s="7" t="n">
        <v>0.869245335506008</v>
      </c>
      <c r="E957" s="7" t="n">
        <v>0.871539446886027</v>
      </c>
      <c r="F957" s="8" t="n">
        <f aca="true">IF(ROW()-2&gt;=Inputs!$B$4,AVERAGE(OFFSET(E957,1-Inputs!$B$4,0,Inputs!$B$4,1)),"")</f>
        <v>0.866025025431728</v>
      </c>
      <c r="G957" s="8" t="n">
        <f aca="true">IF(ROW()-2&gt;=Inputs!$B$5,AVERAGE(OFFSET(E957,1-Inputs!$B$5,0,Inputs!$B$5,1)),"")</f>
        <v>0.859253917181547</v>
      </c>
      <c r="H957" s="8" t="n">
        <f aca="false">MAX(C957-D957,ABS(C957-E956),ABS(D957-E956))</f>
        <v>0.0156972640396018</v>
      </c>
      <c r="I957" s="8" t="n">
        <f aca="true">IF(ROW()-2&lt;14,"",IF(ROW()-2=14,AVERAGE(OFFSET(H957,-13,0,14,1)),(I956*13+H957)/14))</f>
        <v>0.00905017454745435</v>
      </c>
      <c r="J957" s="9" t="b">
        <f aca="false">IF(AND(ISNUMBER(F957),ISNUMBER(G957),ISNUMBER(F956),ISNUMBER(G956)),AND(F957&gt;G957,F956&lt;=G956),FALSE())</f>
        <v>0</v>
      </c>
      <c r="K957" s="9" t="b">
        <f aca="false">IF(AND(ISNUMBER(F957),ISNUMBER(G957),ISNUMBER(F956),ISNUMBER(G956)),AND(F957&lt;G957,F956&gt;=G956),FALSE())</f>
        <v>0</v>
      </c>
      <c r="L957" s="8" t="n">
        <f aca="false">IF(ISNUMBER(I957),E957-Inputs!$B$6*I957,"")</f>
        <v>0.853439097791118</v>
      </c>
      <c r="M957" s="9" t="b">
        <f aca="false">AND(Y956&gt;0,Z956)</f>
        <v>0</v>
      </c>
      <c r="N957" s="8" t="n">
        <f aca="false">B957*(1-Inputs!$B$12)</f>
        <v>0.880853230976717</v>
      </c>
      <c r="O957" s="10" t="n">
        <f aca="false">IF(M957,Y956*(N957-AB956)-Inputs!$B$9-Y956*AD956*Inputs!$B$13*(A957-AC956),0)</f>
        <v>0</v>
      </c>
      <c r="P957" s="10" t="n">
        <f aca="false">X956+O957</f>
        <v>970.40233796708</v>
      </c>
      <c r="Q957" s="9" t="b">
        <f aca="false">AND(IF(M957,0,Y956)=0,AA956,IF(ISNUMBER(AE956),B957&gt;AE956,FALSE()))</f>
        <v>0</v>
      </c>
      <c r="R957" s="8" t="n">
        <f aca="false">B957*(1+Inputs!$B$12)</f>
        <v>0.881205642751462</v>
      </c>
      <c r="S957" s="11" t="n">
        <f aca="false">IF(Q957,MIN(P957*Inputs!$B$3/(R957-AE956),P957*Inputs!$B$11/R957),0)</f>
        <v>0</v>
      </c>
      <c r="T957" s="11" t="n">
        <f aca="false">IF(Q957,S957,IF(M957,0,Y956))</f>
        <v>0</v>
      </c>
      <c r="U957" s="8" t="n">
        <f aca="false">IF(Q957,AE956,AF956)</f>
        <v>0.843828396541038</v>
      </c>
      <c r="V957" s="9" t="b">
        <f aca="false">AND(T957&gt;0,D957&lt;=U957)</f>
        <v>0</v>
      </c>
      <c r="W957" s="10" t="n">
        <f aca="false">IF(V957,T957*(AK957-AB957)-Inputs!$B$9-T957*AD957*Inputs!$B$13*(A957-AC957),0)</f>
        <v>0</v>
      </c>
      <c r="X957" s="10" t="n">
        <f aca="false">P957-IF(Q957,Inputs!$B$9,0)+W957</f>
        <v>970.40233796708</v>
      </c>
      <c r="Y957" s="11" t="n">
        <f aca="false">IF(V957,0,T957)</f>
        <v>0</v>
      </c>
      <c r="Z957" s="9" t="b">
        <f aca="false">AND(Y957&gt;0,K957)</f>
        <v>0</v>
      </c>
      <c r="AA957" s="9" t="b">
        <f aca="false">AND(Y957=0,J957,ISNUMBER(L957))</f>
        <v>0</v>
      </c>
      <c r="AB957" s="8" t="n">
        <f aca="false">IF(Q957,R957,AB956)</f>
        <v>0.863503444084112</v>
      </c>
      <c r="AC957" s="12" t="n">
        <f aca="false">IF(Q957,A957,AC956)</f>
        <v>45706</v>
      </c>
      <c r="AD957" s="8" t="n">
        <f aca="false">IF(Q957,B957,AD956)</f>
        <v>0.863330777928526</v>
      </c>
      <c r="AE957" s="8" t="str">
        <f aca="false">IF(AA957,L957,"")</f>
        <v/>
      </c>
      <c r="AF957" s="8" t="n">
        <f aca="false">U957</f>
        <v>0.843828396541038</v>
      </c>
      <c r="AG957" s="2" t="n">
        <f aca="false">AG956+IF(Q957,1,0)</f>
        <v>9</v>
      </c>
      <c r="AH957" s="2" t="n">
        <f aca="false">AG956</f>
        <v>9</v>
      </c>
      <c r="AI957" s="10" t="n">
        <f aca="false">X957+Y957*(E957-AB957)-Y957*AD957*Inputs!$B$13*(A957-AC957)</f>
        <v>970.40233796708</v>
      </c>
      <c r="AJ957" s="10" t="n">
        <v>0</v>
      </c>
      <c r="AK957" s="8" t="n">
        <f aca="false">IF(AND(B957&lt;=U957,NOT(Q957)),B957,U957)*(1-Inputs!$B$12)</f>
        <v>0.843659630861729</v>
      </c>
    </row>
    <row r="958" customFormat="false" ht="15" hidden="false" customHeight="false" outlineLevel="0" collapsed="false">
      <c r="A958" s="6" t="n">
        <v>45742</v>
      </c>
      <c r="B958" s="7" t="n">
        <v>0.871539446886027</v>
      </c>
      <c r="C958" s="7" t="n">
        <v>0.876543649490256</v>
      </c>
      <c r="D958" s="7" t="n">
        <v>0.864816600716186</v>
      </c>
      <c r="E958" s="7" t="n">
        <v>0.86651050451906</v>
      </c>
      <c r="F958" s="8" t="n">
        <f aca="true">IF(ROW()-2&gt;=Inputs!$B$4,AVERAGE(OFFSET(E958,1-Inputs!$B$4,0,Inputs!$B$4,1)),"")</f>
        <v>0.866653865831056</v>
      </c>
      <c r="G958" s="8" t="n">
        <f aca="true">IF(ROW()-2&gt;=Inputs!$B$5,AVERAGE(OFFSET(E958,1-Inputs!$B$5,0,Inputs!$B$5,1)),"")</f>
        <v>0.859712651287122</v>
      </c>
      <c r="H958" s="8" t="n">
        <f aca="false">MAX(C958-D958,ABS(C958-E957),ABS(D958-E957))</f>
        <v>0.0117270487740699</v>
      </c>
      <c r="I958" s="8" t="n">
        <f aca="true">IF(ROW()-2&lt;14,"",IF(ROW()-2=14,AVERAGE(OFFSET(H958,-13,0,14,1)),(I957*13+H958)/14))</f>
        <v>0.00924137984935547</v>
      </c>
      <c r="J958" s="9" t="b">
        <f aca="false">IF(AND(ISNUMBER(F958),ISNUMBER(G958),ISNUMBER(F957),ISNUMBER(G957)),AND(F958&gt;G958,F957&lt;=G957),FALSE())</f>
        <v>0</v>
      </c>
      <c r="K958" s="9" t="b">
        <f aca="false">IF(AND(ISNUMBER(F958),ISNUMBER(G958),ISNUMBER(F957),ISNUMBER(G957)),AND(F958&lt;G958,F957&gt;=G957),FALSE())</f>
        <v>0</v>
      </c>
      <c r="L958" s="8" t="n">
        <f aca="false">IF(ISNUMBER(I958),E958-Inputs!$B$6*I958,"")</f>
        <v>0.84802774482035</v>
      </c>
      <c r="M958" s="9" t="b">
        <f aca="false">AND(Y957&gt;0,Z957)</f>
        <v>0</v>
      </c>
      <c r="N958" s="8" t="n">
        <f aca="false">B958*(1-Inputs!$B$12)</f>
        <v>0.871365138996649</v>
      </c>
      <c r="O958" s="10" t="n">
        <f aca="false">IF(M958,Y957*(N958-AB957)-Inputs!$B$9-Y957*AD957*Inputs!$B$13*(A958-AC957),0)</f>
        <v>0</v>
      </c>
      <c r="P958" s="10" t="n">
        <f aca="false">X957+O958</f>
        <v>970.40233796708</v>
      </c>
      <c r="Q958" s="9" t="b">
        <f aca="false">AND(IF(M958,0,Y957)=0,AA957,IF(ISNUMBER(AE957),B958&gt;AE957,FALSE()))</f>
        <v>0</v>
      </c>
      <c r="R958" s="8" t="n">
        <f aca="false">B958*(1+Inputs!$B$12)</f>
        <v>0.871713754775404</v>
      </c>
      <c r="S958" s="11" t="n">
        <f aca="false">IF(Q958,MIN(P958*Inputs!$B$3/(R958-AE957),P958*Inputs!$B$11/R958),0)</f>
        <v>0</v>
      </c>
      <c r="T958" s="11" t="n">
        <f aca="false">IF(Q958,S958,IF(M958,0,Y957))</f>
        <v>0</v>
      </c>
      <c r="U958" s="8" t="n">
        <f aca="false">IF(Q958,AE957,AF957)</f>
        <v>0.843828396541038</v>
      </c>
      <c r="V958" s="9" t="b">
        <f aca="false">AND(T958&gt;0,D958&lt;=U958)</f>
        <v>0</v>
      </c>
      <c r="W958" s="10" t="n">
        <f aca="false">IF(V958,T958*(AK958-AB958)-Inputs!$B$9-T958*AD958*Inputs!$B$13*(A958-AC958),0)</f>
        <v>0</v>
      </c>
      <c r="X958" s="10" t="n">
        <f aca="false">P958-IF(Q958,Inputs!$B$9,0)+W958</f>
        <v>970.40233796708</v>
      </c>
      <c r="Y958" s="11" t="n">
        <f aca="false">IF(V958,0,T958)</f>
        <v>0</v>
      </c>
      <c r="Z958" s="9" t="b">
        <f aca="false">AND(Y958&gt;0,K958)</f>
        <v>0</v>
      </c>
      <c r="AA958" s="9" t="b">
        <f aca="false">AND(Y958=0,J958,ISNUMBER(L958))</f>
        <v>0</v>
      </c>
      <c r="AB958" s="8" t="n">
        <f aca="false">IF(Q958,R958,AB957)</f>
        <v>0.863503444084112</v>
      </c>
      <c r="AC958" s="12" t="n">
        <f aca="false">IF(Q958,A958,AC957)</f>
        <v>45706</v>
      </c>
      <c r="AD958" s="8" t="n">
        <f aca="false">IF(Q958,B958,AD957)</f>
        <v>0.863330777928526</v>
      </c>
      <c r="AE958" s="8" t="str">
        <f aca="false">IF(AA958,L958,"")</f>
        <v/>
      </c>
      <c r="AF958" s="8" t="n">
        <f aca="false">U958</f>
        <v>0.843828396541038</v>
      </c>
      <c r="AG958" s="2" t="n">
        <f aca="false">AG957+IF(Q958,1,0)</f>
        <v>9</v>
      </c>
      <c r="AH958" s="2" t="n">
        <f aca="false">AG957</f>
        <v>9</v>
      </c>
      <c r="AI958" s="10" t="n">
        <f aca="false">X958+Y958*(E958-AB958)-Y958*AD958*Inputs!$B$13*(A958-AC958)</f>
        <v>970.40233796708</v>
      </c>
      <c r="AJ958" s="10" t="n">
        <v>0</v>
      </c>
      <c r="AK958" s="8" t="n">
        <f aca="false">IF(AND(B958&lt;=U958,NOT(Q958)),B958,U958)*(1-Inputs!$B$12)</f>
        <v>0.843659630861729</v>
      </c>
    </row>
    <row r="959" customFormat="false" ht="15" hidden="false" customHeight="false" outlineLevel="0" collapsed="false">
      <c r="A959" s="6" t="n">
        <v>45743</v>
      </c>
      <c r="B959" s="7" t="n">
        <v>0.86651050451906</v>
      </c>
      <c r="C959" s="7" t="n">
        <v>0.866634282442271</v>
      </c>
      <c r="D959" s="7" t="n">
        <v>0.865202999949129</v>
      </c>
      <c r="E959" s="7" t="n">
        <v>0.86589731035396</v>
      </c>
      <c r="F959" s="8" t="n">
        <f aca="true">IF(ROW()-2&gt;=Inputs!$B$4,AVERAGE(OFFSET(E959,1-Inputs!$B$4,0,Inputs!$B$4,1)),"")</f>
        <v>0.867246974312984</v>
      </c>
      <c r="G959" s="8" t="n">
        <f aca="true">IF(ROW()-2&gt;=Inputs!$B$5,AVERAGE(OFFSET(E959,1-Inputs!$B$5,0,Inputs!$B$5,1)),"")</f>
        <v>0.860041395974041</v>
      </c>
      <c r="H959" s="8" t="n">
        <f aca="false">MAX(C959-D959,ABS(C959-E958),ABS(D959-E958))</f>
        <v>0.00143128249314173</v>
      </c>
      <c r="I959" s="8" t="n">
        <f aca="true">IF(ROW()-2&lt;14,"",IF(ROW()-2=14,AVERAGE(OFFSET(H959,-13,0,14,1)),(I958*13+H959)/14))</f>
        <v>0.00868351575248306</v>
      </c>
      <c r="J959" s="9" t="b">
        <f aca="false">IF(AND(ISNUMBER(F959),ISNUMBER(G959),ISNUMBER(F958),ISNUMBER(G958)),AND(F959&gt;G959,F958&lt;=G958),FALSE())</f>
        <v>0</v>
      </c>
      <c r="K959" s="9" t="b">
        <f aca="false">IF(AND(ISNUMBER(F959),ISNUMBER(G959),ISNUMBER(F958),ISNUMBER(G958)),AND(F959&lt;G959,F958&gt;=G958),FALSE())</f>
        <v>0</v>
      </c>
      <c r="L959" s="8" t="n">
        <f aca="false">IF(ISNUMBER(I959),E959-Inputs!$B$6*I959,"")</f>
        <v>0.848530278848994</v>
      </c>
      <c r="M959" s="9" t="b">
        <f aca="false">AND(Y958&gt;0,Z958)</f>
        <v>0</v>
      </c>
      <c r="N959" s="8" t="n">
        <f aca="false">B959*(1-Inputs!$B$12)</f>
        <v>0.866337202418157</v>
      </c>
      <c r="O959" s="10" t="n">
        <f aca="false">IF(M959,Y958*(N959-AB958)-Inputs!$B$9-Y958*AD958*Inputs!$B$13*(A959-AC958),0)</f>
        <v>0</v>
      </c>
      <c r="P959" s="10" t="n">
        <f aca="false">X958+O959</f>
        <v>970.40233796708</v>
      </c>
      <c r="Q959" s="9" t="b">
        <f aca="false">AND(IF(M959,0,Y958)=0,AA958,IF(ISNUMBER(AE958),B959&gt;AE958,FALSE()))</f>
        <v>0</v>
      </c>
      <c r="R959" s="8" t="n">
        <f aca="false">B959*(1+Inputs!$B$12)</f>
        <v>0.866683806619964</v>
      </c>
      <c r="S959" s="11" t="n">
        <f aca="false">IF(Q959,MIN(P959*Inputs!$B$3/(R959-AE958),P959*Inputs!$B$11/R959),0)</f>
        <v>0</v>
      </c>
      <c r="T959" s="11" t="n">
        <f aca="false">IF(Q959,S959,IF(M959,0,Y958))</f>
        <v>0</v>
      </c>
      <c r="U959" s="8" t="n">
        <f aca="false">IF(Q959,AE958,AF958)</f>
        <v>0.843828396541038</v>
      </c>
      <c r="V959" s="9" t="b">
        <f aca="false">AND(T959&gt;0,D959&lt;=U959)</f>
        <v>0</v>
      </c>
      <c r="W959" s="10" t="n">
        <f aca="false">IF(V959,T959*(AK959-AB959)-Inputs!$B$9-T959*AD959*Inputs!$B$13*(A959-AC959),0)</f>
        <v>0</v>
      </c>
      <c r="X959" s="10" t="n">
        <f aca="false">P959-IF(Q959,Inputs!$B$9,0)+W959</f>
        <v>970.40233796708</v>
      </c>
      <c r="Y959" s="11" t="n">
        <f aca="false">IF(V959,0,T959)</f>
        <v>0</v>
      </c>
      <c r="Z959" s="9" t="b">
        <f aca="false">AND(Y959&gt;0,K959)</f>
        <v>0</v>
      </c>
      <c r="AA959" s="9" t="b">
        <f aca="false">AND(Y959=0,J959,ISNUMBER(L959))</f>
        <v>0</v>
      </c>
      <c r="AB959" s="8" t="n">
        <f aca="false">IF(Q959,R959,AB958)</f>
        <v>0.863503444084112</v>
      </c>
      <c r="AC959" s="12" t="n">
        <f aca="false">IF(Q959,A959,AC958)</f>
        <v>45706</v>
      </c>
      <c r="AD959" s="8" t="n">
        <f aca="false">IF(Q959,B959,AD958)</f>
        <v>0.863330777928526</v>
      </c>
      <c r="AE959" s="8" t="str">
        <f aca="false">IF(AA959,L959,"")</f>
        <v/>
      </c>
      <c r="AF959" s="8" t="n">
        <f aca="false">U959</f>
        <v>0.843828396541038</v>
      </c>
      <c r="AG959" s="2" t="n">
        <f aca="false">AG958+IF(Q959,1,0)</f>
        <v>9</v>
      </c>
      <c r="AH959" s="2" t="n">
        <f aca="false">AG958</f>
        <v>9</v>
      </c>
      <c r="AI959" s="10" t="n">
        <f aca="false">X959+Y959*(E959-AB959)-Y959*AD959*Inputs!$B$13*(A959-AC959)</f>
        <v>970.40233796708</v>
      </c>
      <c r="AJ959" s="10" t="n">
        <v>0</v>
      </c>
      <c r="AK959" s="8" t="n">
        <f aca="false">IF(AND(B959&lt;=U959,NOT(Q959)),B959,U959)*(1-Inputs!$B$12)</f>
        <v>0.843659630861729</v>
      </c>
    </row>
    <row r="960" customFormat="false" ht="15" hidden="false" customHeight="false" outlineLevel="0" collapsed="false">
      <c r="A960" s="6" t="n">
        <v>45744</v>
      </c>
      <c r="B960" s="7" t="n">
        <v>0.86589731035396</v>
      </c>
      <c r="C960" s="7" t="n">
        <v>0.867126888227301</v>
      </c>
      <c r="D960" s="7" t="n">
        <v>0.860393360055138</v>
      </c>
      <c r="E960" s="7" t="n">
        <v>0.866784050008291</v>
      </c>
      <c r="F960" s="8" t="n">
        <f aca="true">IF(ROW()-2&gt;=Inputs!$B$4,AVERAGE(OFFSET(E960,1-Inputs!$B$4,0,Inputs!$B$4,1)),"")</f>
        <v>0.867848636735543</v>
      </c>
      <c r="G960" s="8" t="n">
        <f aca="true">IF(ROW()-2&gt;=Inputs!$B$5,AVERAGE(OFFSET(E960,1-Inputs!$B$5,0,Inputs!$B$5,1)),"")</f>
        <v>0.860306385443021</v>
      </c>
      <c r="H960" s="8" t="n">
        <f aca="false">MAX(C960-D960,ABS(C960-E959),ABS(D960-E959))</f>
        <v>0.00673352817216277</v>
      </c>
      <c r="I960" s="8" t="n">
        <f aca="true">IF(ROW()-2&lt;14,"",IF(ROW()-2=14,AVERAGE(OFFSET(H960,-13,0,14,1)),(I959*13+H960)/14))</f>
        <v>0.00854423092531732</v>
      </c>
      <c r="J960" s="9" t="b">
        <f aca="false">IF(AND(ISNUMBER(F960),ISNUMBER(G960),ISNUMBER(F959),ISNUMBER(G959)),AND(F960&gt;G960,F959&lt;=G959),FALSE())</f>
        <v>0</v>
      </c>
      <c r="K960" s="9" t="b">
        <f aca="false">IF(AND(ISNUMBER(F960),ISNUMBER(G960),ISNUMBER(F959),ISNUMBER(G959)),AND(F960&lt;G960,F959&gt;=G959),FALSE())</f>
        <v>0</v>
      </c>
      <c r="L960" s="8" t="n">
        <f aca="false">IF(ISNUMBER(I960),E960-Inputs!$B$6*I960,"")</f>
        <v>0.849695588157657</v>
      </c>
      <c r="M960" s="9" t="b">
        <f aca="false">AND(Y959&gt;0,Z959)</f>
        <v>0</v>
      </c>
      <c r="N960" s="8" t="n">
        <f aca="false">B960*(1-Inputs!$B$12)</f>
        <v>0.865724130891889</v>
      </c>
      <c r="O960" s="10" t="n">
        <f aca="false">IF(M960,Y959*(N960-AB959)-Inputs!$B$9-Y959*AD959*Inputs!$B$13*(A960-AC959),0)</f>
        <v>0</v>
      </c>
      <c r="P960" s="10" t="n">
        <f aca="false">X959+O960</f>
        <v>970.40233796708</v>
      </c>
      <c r="Q960" s="9" t="b">
        <f aca="false">AND(IF(M960,0,Y959)=0,AA959,IF(ISNUMBER(AE959),B960&gt;AE959,FALSE()))</f>
        <v>0</v>
      </c>
      <c r="R960" s="8" t="n">
        <f aca="false">B960*(1+Inputs!$B$12)</f>
        <v>0.86607048981603</v>
      </c>
      <c r="S960" s="11" t="n">
        <f aca="false">IF(Q960,MIN(P960*Inputs!$B$3/(R960-AE959),P960*Inputs!$B$11/R960),0)</f>
        <v>0</v>
      </c>
      <c r="T960" s="11" t="n">
        <f aca="false">IF(Q960,S960,IF(M960,0,Y959))</f>
        <v>0</v>
      </c>
      <c r="U960" s="8" t="n">
        <f aca="false">IF(Q960,AE959,AF959)</f>
        <v>0.843828396541038</v>
      </c>
      <c r="V960" s="9" t="b">
        <f aca="false">AND(T960&gt;0,D960&lt;=U960)</f>
        <v>0</v>
      </c>
      <c r="W960" s="10" t="n">
        <f aca="false">IF(V960,T960*(AK960-AB960)-Inputs!$B$9-T960*AD960*Inputs!$B$13*(A960-AC960),0)</f>
        <v>0</v>
      </c>
      <c r="X960" s="10" t="n">
        <f aca="false">P960-IF(Q960,Inputs!$B$9,0)+W960</f>
        <v>970.40233796708</v>
      </c>
      <c r="Y960" s="11" t="n">
        <f aca="false">IF(V960,0,T960)</f>
        <v>0</v>
      </c>
      <c r="Z960" s="9" t="b">
        <f aca="false">AND(Y960&gt;0,K960)</f>
        <v>0</v>
      </c>
      <c r="AA960" s="9" t="b">
        <f aca="false">AND(Y960=0,J960,ISNUMBER(L960))</f>
        <v>0</v>
      </c>
      <c r="AB960" s="8" t="n">
        <f aca="false">IF(Q960,R960,AB959)</f>
        <v>0.863503444084112</v>
      </c>
      <c r="AC960" s="12" t="n">
        <f aca="false">IF(Q960,A960,AC959)</f>
        <v>45706</v>
      </c>
      <c r="AD960" s="8" t="n">
        <f aca="false">IF(Q960,B960,AD959)</f>
        <v>0.863330777928526</v>
      </c>
      <c r="AE960" s="8" t="str">
        <f aca="false">IF(AA960,L960,"")</f>
        <v/>
      </c>
      <c r="AF960" s="8" t="n">
        <f aca="false">U960</f>
        <v>0.843828396541038</v>
      </c>
      <c r="AG960" s="2" t="n">
        <f aca="false">AG959+IF(Q960,1,0)</f>
        <v>9</v>
      </c>
      <c r="AH960" s="2" t="n">
        <f aca="false">AG959</f>
        <v>9</v>
      </c>
      <c r="AI960" s="10" t="n">
        <f aca="false">X960+Y960*(E960-AB960)-Y960*AD960*Inputs!$B$13*(A960-AC960)</f>
        <v>970.40233796708</v>
      </c>
      <c r="AJ960" s="10" t="n">
        <v>0</v>
      </c>
      <c r="AK960" s="8" t="n">
        <f aca="false">IF(AND(B960&lt;=U960,NOT(Q960)),B960,U960)*(1-Inputs!$B$12)</f>
        <v>0.843659630861729</v>
      </c>
    </row>
    <row r="961" customFormat="false" ht="15" hidden="false" customHeight="false" outlineLevel="0" collapsed="false">
      <c r="A961" s="6" t="n">
        <v>45745</v>
      </c>
      <c r="B961" s="7" t="n">
        <v>0.866784050008291</v>
      </c>
      <c r="C961" s="7" t="n">
        <v>0.868380184266007</v>
      </c>
      <c r="D961" s="7" t="n">
        <v>0.864784304209514</v>
      </c>
      <c r="E961" s="7" t="n">
        <v>0.865582363788572</v>
      </c>
      <c r="F961" s="8" t="n">
        <f aca="true">IF(ROW()-2&gt;=Inputs!$B$4,AVERAGE(OFFSET(E961,1-Inputs!$B$4,0,Inputs!$B$4,1)),"")</f>
        <v>0.868708849930062</v>
      </c>
      <c r="G961" s="8" t="n">
        <f aca="true">IF(ROW()-2&gt;=Inputs!$B$5,AVERAGE(OFFSET(E961,1-Inputs!$B$5,0,Inputs!$B$5,1)),"")</f>
        <v>0.860543433936729</v>
      </c>
      <c r="H961" s="8" t="n">
        <f aca="false">MAX(C961-D961,ABS(C961-E960),ABS(D961-E960))</f>
        <v>0.00359588005649358</v>
      </c>
      <c r="I961" s="8" t="n">
        <f aca="true">IF(ROW()-2&lt;14,"",IF(ROW()-2=14,AVERAGE(OFFSET(H961,-13,0,14,1)),(I960*13+H961)/14))</f>
        <v>0.00819077729182991</v>
      </c>
      <c r="J961" s="9" t="b">
        <f aca="false">IF(AND(ISNUMBER(F961),ISNUMBER(G961),ISNUMBER(F960),ISNUMBER(G960)),AND(F961&gt;G961,F960&lt;=G960),FALSE())</f>
        <v>0</v>
      </c>
      <c r="K961" s="9" t="b">
        <f aca="false">IF(AND(ISNUMBER(F961),ISNUMBER(G961),ISNUMBER(F960),ISNUMBER(G960)),AND(F961&lt;G961,F960&gt;=G960),FALSE())</f>
        <v>0</v>
      </c>
      <c r="L961" s="8" t="n">
        <f aca="false">IF(ISNUMBER(I961),E961-Inputs!$B$6*I961,"")</f>
        <v>0.849200809204912</v>
      </c>
      <c r="M961" s="9" t="b">
        <f aca="false">AND(Y960&gt;0,Z960)</f>
        <v>0</v>
      </c>
      <c r="N961" s="8" t="n">
        <f aca="false">B961*(1-Inputs!$B$12)</f>
        <v>0.86661069319829</v>
      </c>
      <c r="O961" s="10" t="n">
        <f aca="false">IF(M961,Y960*(N961-AB960)-Inputs!$B$9-Y960*AD960*Inputs!$B$13*(A961-AC960),0)</f>
        <v>0</v>
      </c>
      <c r="P961" s="10" t="n">
        <f aca="false">X960+O961</f>
        <v>970.40233796708</v>
      </c>
      <c r="Q961" s="9" t="b">
        <f aca="false">AND(IF(M961,0,Y960)=0,AA960,IF(ISNUMBER(AE960),B961&gt;AE960,FALSE()))</f>
        <v>0</v>
      </c>
      <c r="R961" s="8" t="n">
        <f aca="false">B961*(1+Inputs!$B$12)</f>
        <v>0.866957406818293</v>
      </c>
      <c r="S961" s="11" t="n">
        <f aca="false">IF(Q961,MIN(P961*Inputs!$B$3/(R961-AE960),P961*Inputs!$B$11/R961),0)</f>
        <v>0</v>
      </c>
      <c r="T961" s="11" t="n">
        <f aca="false">IF(Q961,S961,IF(M961,0,Y960))</f>
        <v>0</v>
      </c>
      <c r="U961" s="8" t="n">
        <f aca="false">IF(Q961,AE960,AF960)</f>
        <v>0.843828396541038</v>
      </c>
      <c r="V961" s="9" t="b">
        <f aca="false">AND(T961&gt;0,D961&lt;=U961)</f>
        <v>0</v>
      </c>
      <c r="W961" s="10" t="n">
        <f aca="false">IF(V961,T961*(AK961-AB961)-Inputs!$B$9-T961*AD961*Inputs!$B$13*(A961-AC961),0)</f>
        <v>0</v>
      </c>
      <c r="X961" s="10" t="n">
        <f aca="false">P961-IF(Q961,Inputs!$B$9,0)+W961</f>
        <v>970.40233796708</v>
      </c>
      <c r="Y961" s="11" t="n">
        <f aca="false">IF(V961,0,T961)</f>
        <v>0</v>
      </c>
      <c r="Z961" s="9" t="b">
        <f aca="false">AND(Y961&gt;0,K961)</f>
        <v>0</v>
      </c>
      <c r="AA961" s="9" t="b">
        <f aca="false">AND(Y961=0,J961,ISNUMBER(L961))</f>
        <v>0</v>
      </c>
      <c r="AB961" s="8" t="n">
        <f aca="false">IF(Q961,R961,AB960)</f>
        <v>0.863503444084112</v>
      </c>
      <c r="AC961" s="12" t="n">
        <f aca="false">IF(Q961,A961,AC960)</f>
        <v>45706</v>
      </c>
      <c r="AD961" s="8" t="n">
        <f aca="false">IF(Q961,B961,AD960)</f>
        <v>0.863330777928526</v>
      </c>
      <c r="AE961" s="8" t="str">
        <f aca="false">IF(AA961,L961,"")</f>
        <v/>
      </c>
      <c r="AF961" s="8" t="n">
        <f aca="false">U961</f>
        <v>0.843828396541038</v>
      </c>
      <c r="AG961" s="2" t="n">
        <f aca="false">AG960+IF(Q961,1,0)</f>
        <v>9</v>
      </c>
      <c r="AH961" s="2" t="n">
        <f aca="false">AG960</f>
        <v>9</v>
      </c>
      <c r="AI961" s="10" t="n">
        <f aca="false">X961+Y961*(E961-AB961)-Y961*AD961*Inputs!$B$13*(A961-AC961)</f>
        <v>970.40233796708</v>
      </c>
      <c r="AJ961" s="10" t="n">
        <v>0</v>
      </c>
      <c r="AK961" s="8" t="n">
        <f aca="false">IF(AND(B961&lt;=U961,NOT(Q961)),B961,U961)*(1-Inputs!$B$12)</f>
        <v>0.843659630861729</v>
      </c>
    </row>
    <row r="962" customFormat="false" ht="15" hidden="false" customHeight="false" outlineLevel="0" collapsed="false">
      <c r="A962" s="6" t="n">
        <v>45746</v>
      </c>
      <c r="B962" s="7" t="n">
        <v>0.865582363788572</v>
      </c>
      <c r="C962" s="7" t="n">
        <v>0.870526172206636</v>
      </c>
      <c r="D962" s="7" t="n">
        <v>0.85815590560594</v>
      </c>
      <c r="E962" s="7" t="n">
        <v>0.859297513038854</v>
      </c>
      <c r="F962" s="8" t="n">
        <f aca="true">IF(ROW()-2&gt;=Inputs!$B$4,AVERAGE(OFFSET(E962,1-Inputs!$B$4,0,Inputs!$B$4,1)),"")</f>
        <v>0.869517433631415</v>
      </c>
      <c r="G962" s="8" t="n">
        <f aca="true">IF(ROW()-2&gt;=Inputs!$B$5,AVERAGE(OFFSET(E962,1-Inputs!$B$5,0,Inputs!$B$5,1)),"")</f>
        <v>0.860767298336975</v>
      </c>
      <c r="H962" s="8" t="n">
        <f aca="false">MAX(C962-D962,ABS(C962-E961),ABS(D962-E961))</f>
        <v>0.0123702666006962</v>
      </c>
      <c r="I962" s="8" t="n">
        <f aca="true">IF(ROW()-2&lt;14,"",IF(ROW()-2=14,AVERAGE(OFFSET(H962,-13,0,14,1)),(I961*13+H962)/14))</f>
        <v>0.00848931224246322</v>
      </c>
      <c r="J962" s="9" t="b">
        <f aca="false">IF(AND(ISNUMBER(F962),ISNUMBER(G962),ISNUMBER(F961),ISNUMBER(G961)),AND(F962&gt;G962,F961&lt;=G961),FALSE())</f>
        <v>0</v>
      </c>
      <c r="K962" s="9" t="b">
        <f aca="false">IF(AND(ISNUMBER(F962),ISNUMBER(G962),ISNUMBER(F961),ISNUMBER(G961)),AND(F962&lt;G962,F961&gt;=G961),FALSE())</f>
        <v>0</v>
      </c>
      <c r="L962" s="8" t="n">
        <f aca="false">IF(ISNUMBER(I962),E962-Inputs!$B$6*I962,"")</f>
        <v>0.842318888553927</v>
      </c>
      <c r="M962" s="9" t="b">
        <f aca="false">AND(Y961&gt;0,Z961)</f>
        <v>0</v>
      </c>
      <c r="N962" s="8" t="n">
        <f aca="false">B962*(1-Inputs!$B$12)</f>
        <v>0.865409247315814</v>
      </c>
      <c r="O962" s="10" t="n">
        <f aca="false">IF(M962,Y961*(N962-AB961)-Inputs!$B$9-Y961*AD961*Inputs!$B$13*(A962-AC961),0)</f>
        <v>0</v>
      </c>
      <c r="P962" s="10" t="n">
        <f aca="false">X961+O962</f>
        <v>970.40233796708</v>
      </c>
      <c r="Q962" s="9" t="b">
        <f aca="false">AND(IF(M962,0,Y961)=0,AA961,IF(ISNUMBER(AE961),B962&gt;AE961,FALSE()))</f>
        <v>0</v>
      </c>
      <c r="R962" s="8" t="n">
        <f aca="false">B962*(1+Inputs!$B$12)</f>
        <v>0.86575548026133</v>
      </c>
      <c r="S962" s="11" t="n">
        <f aca="false">IF(Q962,MIN(P962*Inputs!$B$3/(R962-AE961),P962*Inputs!$B$11/R962),0)</f>
        <v>0</v>
      </c>
      <c r="T962" s="11" t="n">
        <f aca="false">IF(Q962,S962,IF(M962,0,Y961))</f>
        <v>0</v>
      </c>
      <c r="U962" s="8" t="n">
        <f aca="false">IF(Q962,AE961,AF961)</f>
        <v>0.843828396541038</v>
      </c>
      <c r="V962" s="9" t="b">
        <f aca="false">AND(T962&gt;0,D962&lt;=U962)</f>
        <v>0</v>
      </c>
      <c r="W962" s="10" t="n">
        <f aca="false">IF(V962,T962*(AK962-AB962)-Inputs!$B$9-T962*AD962*Inputs!$B$13*(A962-AC962),0)</f>
        <v>0</v>
      </c>
      <c r="X962" s="10" t="n">
        <f aca="false">P962-IF(Q962,Inputs!$B$9,0)+W962</f>
        <v>970.40233796708</v>
      </c>
      <c r="Y962" s="11" t="n">
        <f aca="false">IF(V962,0,T962)</f>
        <v>0</v>
      </c>
      <c r="Z962" s="9" t="b">
        <f aca="false">AND(Y962&gt;0,K962)</f>
        <v>0</v>
      </c>
      <c r="AA962" s="9" t="b">
        <f aca="false">AND(Y962=0,J962,ISNUMBER(L962))</f>
        <v>0</v>
      </c>
      <c r="AB962" s="8" t="n">
        <f aca="false">IF(Q962,R962,AB961)</f>
        <v>0.863503444084112</v>
      </c>
      <c r="AC962" s="12" t="n">
        <f aca="false">IF(Q962,A962,AC961)</f>
        <v>45706</v>
      </c>
      <c r="AD962" s="8" t="n">
        <f aca="false">IF(Q962,B962,AD961)</f>
        <v>0.863330777928526</v>
      </c>
      <c r="AE962" s="8" t="str">
        <f aca="false">IF(AA962,L962,"")</f>
        <v/>
      </c>
      <c r="AF962" s="8" t="n">
        <f aca="false">U962</f>
        <v>0.843828396541038</v>
      </c>
      <c r="AG962" s="2" t="n">
        <f aca="false">AG961+IF(Q962,1,0)</f>
        <v>9</v>
      </c>
      <c r="AH962" s="2" t="n">
        <f aca="false">AG961</f>
        <v>9</v>
      </c>
      <c r="AI962" s="10" t="n">
        <f aca="false">X962+Y962*(E962-AB962)-Y962*AD962*Inputs!$B$13*(A962-AC962)</f>
        <v>970.40233796708</v>
      </c>
      <c r="AJ962" s="10" t="n">
        <v>0</v>
      </c>
      <c r="AK962" s="8" t="n">
        <f aca="false">IF(AND(B962&lt;=U962,NOT(Q962)),B962,U962)*(1-Inputs!$B$12)</f>
        <v>0.843659630861729</v>
      </c>
    </row>
    <row r="963" customFormat="false" ht="15" hidden="false" customHeight="false" outlineLevel="0" collapsed="false">
      <c r="A963" s="6" t="n">
        <v>45747</v>
      </c>
      <c r="B963" s="7" t="n">
        <v>0.859297513038854</v>
      </c>
      <c r="C963" s="7" t="n">
        <v>0.865123731891893</v>
      </c>
      <c r="D963" s="7" t="n">
        <v>0.859076598429827</v>
      </c>
      <c r="E963" s="7" t="n">
        <v>0.860996554967394</v>
      </c>
      <c r="F963" s="8" t="n">
        <f aca="true">IF(ROW()-2&gt;=Inputs!$B$4,AVERAGE(OFFSET(E963,1-Inputs!$B$4,0,Inputs!$B$4,1)),"")</f>
        <v>0.870183185358637</v>
      </c>
      <c r="G963" s="8" t="n">
        <f aca="true">IF(ROW()-2&gt;=Inputs!$B$5,AVERAGE(OFFSET(E963,1-Inputs!$B$5,0,Inputs!$B$5,1)),"")</f>
        <v>0.861093032390954</v>
      </c>
      <c r="H963" s="8" t="n">
        <f aca="false">MAX(C963-D963,ABS(C963-E962),ABS(D963-E962))</f>
        <v>0.00604713346206576</v>
      </c>
      <c r="I963" s="8" t="n">
        <f aca="true">IF(ROW()-2&lt;14,"",IF(ROW()-2=14,AVERAGE(OFFSET(H963,-13,0,14,1)),(I962*13+H963)/14))</f>
        <v>0.00831487090100625</v>
      </c>
      <c r="J963" s="9" t="b">
        <f aca="false">IF(AND(ISNUMBER(F963),ISNUMBER(G963),ISNUMBER(F962),ISNUMBER(G962)),AND(F963&gt;G963,F962&lt;=G962),FALSE())</f>
        <v>0</v>
      </c>
      <c r="K963" s="9" t="b">
        <f aca="false">IF(AND(ISNUMBER(F963),ISNUMBER(G963),ISNUMBER(F962),ISNUMBER(G962)),AND(F963&lt;G963,F962&gt;=G962),FALSE())</f>
        <v>0</v>
      </c>
      <c r="L963" s="8" t="n">
        <f aca="false">IF(ISNUMBER(I963),E963-Inputs!$B$6*I963,"")</f>
        <v>0.844366813165382</v>
      </c>
      <c r="M963" s="9" t="b">
        <f aca="false">AND(Y962&gt;0,Z962)</f>
        <v>0</v>
      </c>
      <c r="N963" s="8" t="n">
        <f aca="false">B963*(1-Inputs!$B$12)</f>
        <v>0.859125653536246</v>
      </c>
      <c r="O963" s="10" t="n">
        <f aca="false">IF(M963,Y962*(N963-AB962)-Inputs!$B$9-Y962*AD962*Inputs!$B$13*(A963-AC962),0)</f>
        <v>0</v>
      </c>
      <c r="P963" s="10" t="n">
        <f aca="false">X962+O963</f>
        <v>970.40233796708</v>
      </c>
      <c r="Q963" s="9" t="b">
        <f aca="false">AND(IF(M963,0,Y962)=0,AA962,IF(ISNUMBER(AE962),B963&gt;AE962,FALSE()))</f>
        <v>0</v>
      </c>
      <c r="R963" s="8" t="n">
        <f aca="false">B963*(1+Inputs!$B$12)</f>
        <v>0.859469372541461</v>
      </c>
      <c r="S963" s="11" t="n">
        <f aca="false">IF(Q963,MIN(P963*Inputs!$B$3/(R963-AE962),P963*Inputs!$B$11/R963),0)</f>
        <v>0</v>
      </c>
      <c r="T963" s="11" t="n">
        <f aca="false">IF(Q963,S963,IF(M963,0,Y962))</f>
        <v>0</v>
      </c>
      <c r="U963" s="8" t="n">
        <f aca="false">IF(Q963,AE962,AF962)</f>
        <v>0.843828396541038</v>
      </c>
      <c r="V963" s="9" t="b">
        <f aca="false">AND(T963&gt;0,D963&lt;=U963)</f>
        <v>0</v>
      </c>
      <c r="W963" s="10" t="n">
        <f aca="false">IF(V963,T963*(AK963-AB963)-Inputs!$B$9-T963*AD963*Inputs!$B$13*(A963-AC963),0)</f>
        <v>0</v>
      </c>
      <c r="X963" s="10" t="n">
        <f aca="false">P963-IF(Q963,Inputs!$B$9,0)+W963</f>
        <v>970.40233796708</v>
      </c>
      <c r="Y963" s="11" t="n">
        <f aca="false">IF(V963,0,T963)</f>
        <v>0</v>
      </c>
      <c r="Z963" s="9" t="b">
        <f aca="false">AND(Y963&gt;0,K963)</f>
        <v>0</v>
      </c>
      <c r="AA963" s="9" t="b">
        <f aca="false">AND(Y963=0,J963,ISNUMBER(L963))</f>
        <v>0</v>
      </c>
      <c r="AB963" s="8" t="n">
        <f aca="false">IF(Q963,R963,AB962)</f>
        <v>0.863503444084112</v>
      </c>
      <c r="AC963" s="12" t="n">
        <f aca="false">IF(Q963,A963,AC962)</f>
        <v>45706</v>
      </c>
      <c r="AD963" s="8" t="n">
        <f aca="false">IF(Q963,B963,AD962)</f>
        <v>0.863330777928526</v>
      </c>
      <c r="AE963" s="8" t="str">
        <f aca="false">IF(AA963,L963,"")</f>
        <v/>
      </c>
      <c r="AF963" s="8" t="n">
        <f aca="false">U963</f>
        <v>0.843828396541038</v>
      </c>
      <c r="AG963" s="2" t="n">
        <f aca="false">AG962+IF(Q963,1,0)</f>
        <v>9</v>
      </c>
      <c r="AH963" s="2" t="n">
        <f aca="false">AG962</f>
        <v>9</v>
      </c>
      <c r="AI963" s="10" t="n">
        <f aca="false">X963+Y963*(E963-AB963)-Y963*AD963*Inputs!$B$13*(A963-AC963)</f>
        <v>970.40233796708</v>
      </c>
      <c r="AJ963" s="10" t="n">
        <v>0</v>
      </c>
      <c r="AK963" s="8" t="n">
        <f aca="false">IF(AND(B963&lt;=U963,NOT(Q963)),B963,U963)*(1-Inputs!$B$12)</f>
        <v>0.843659630861729</v>
      </c>
    </row>
    <row r="964" customFormat="false" ht="15" hidden="false" customHeight="false" outlineLevel="0" collapsed="false">
      <c r="A964" s="6" t="n">
        <v>45748</v>
      </c>
      <c r="B964" s="7" t="n">
        <v>0.860996554967394</v>
      </c>
      <c r="C964" s="7" t="n">
        <v>0.867291988332449</v>
      </c>
      <c r="D964" s="7" t="n">
        <v>0.858518715202373</v>
      </c>
      <c r="E964" s="7" t="n">
        <v>0.861396791716712</v>
      </c>
      <c r="F964" s="8" t="n">
        <f aca="true">IF(ROW()-2&gt;=Inputs!$B$4,AVERAGE(OFFSET(E964,1-Inputs!$B$4,0,Inputs!$B$4,1)),"")</f>
        <v>0.870630776282244</v>
      </c>
      <c r="G964" s="8" t="n">
        <f aca="true">IF(ROW()-2&gt;=Inputs!$B$5,AVERAGE(OFFSET(E964,1-Inputs!$B$5,0,Inputs!$B$5,1)),"")</f>
        <v>0.861324732700332</v>
      </c>
      <c r="H964" s="8" t="n">
        <f aca="false">MAX(C964-D964,ABS(C964-E963),ABS(D964-E963))</f>
        <v>0.00877327313007648</v>
      </c>
      <c r="I964" s="8" t="n">
        <f aca="true">IF(ROW()-2&lt;14,"",IF(ROW()-2=14,AVERAGE(OFFSET(H964,-13,0,14,1)),(I963*13+H964)/14))</f>
        <v>0.00834761391736841</v>
      </c>
      <c r="J964" s="9" t="b">
        <f aca="false">IF(AND(ISNUMBER(F964),ISNUMBER(G964),ISNUMBER(F963),ISNUMBER(G963)),AND(F964&gt;G964,F963&lt;=G963),FALSE())</f>
        <v>0</v>
      </c>
      <c r="K964" s="9" t="b">
        <f aca="false">IF(AND(ISNUMBER(F964),ISNUMBER(G964),ISNUMBER(F963),ISNUMBER(G963)),AND(F964&lt;G964,F963&gt;=G963),FALSE())</f>
        <v>0</v>
      </c>
      <c r="L964" s="8" t="n">
        <f aca="false">IF(ISNUMBER(I964),E964-Inputs!$B$6*I964,"")</f>
        <v>0.844701563881975</v>
      </c>
      <c r="M964" s="9" t="b">
        <f aca="false">AND(Y963&gt;0,Z963)</f>
        <v>0</v>
      </c>
      <c r="N964" s="8" t="n">
        <f aca="false">B964*(1-Inputs!$B$12)</f>
        <v>0.860824355656401</v>
      </c>
      <c r="O964" s="10" t="n">
        <f aca="false">IF(M964,Y963*(N964-AB963)-Inputs!$B$9-Y963*AD963*Inputs!$B$13*(A964-AC963),0)</f>
        <v>0</v>
      </c>
      <c r="P964" s="10" t="n">
        <f aca="false">X963+O964</f>
        <v>970.40233796708</v>
      </c>
      <c r="Q964" s="9" t="b">
        <f aca="false">AND(IF(M964,0,Y963)=0,AA963,IF(ISNUMBER(AE963),B964&gt;AE963,FALSE()))</f>
        <v>0</v>
      </c>
      <c r="R964" s="8" t="n">
        <f aca="false">B964*(1+Inputs!$B$12)</f>
        <v>0.861168754278388</v>
      </c>
      <c r="S964" s="11" t="n">
        <f aca="false">IF(Q964,MIN(P964*Inputs!$B$3/(R964-AE963),P964*Inputs!$B$11/R964),0)</f>
        <v>0</v>
      </c>
      <c r="T964" s="11" t="n">
        <f aca="false">IF(Q964,S964,IF(M964,0,Y963))</f>
        <v>0</v>
      </c>
      <c r="U964" s="8" t="n">
        <f aca="false">IF(Q964,AE963,AF963)</f>
        <v>0.843828396541038</v>
      </c>
      <c r="V964" s="9" t="b">
        <f aca="false">AND(T964&gt;0,D964&lt;=U964)</f>
        <v>0</v>
      </c>
      <c r="W964" s="10" t="n">
        <f aca="false">IF(V964,T964*(AK964-AB964)-Inputs!$B$9-T964*AD964*Inputs!$B$13*(A964-AC964),0)</f>
        <v>0</v>
      </c>
      <c r="X964" s="10" t="n">
        <f aca="false">P964-IF(Q964,Inputs!$B$9,0)+W964</f>
        <v>970.40233796708</v>
      </c>
      <c r="Y964" s="11" t="n">
        <f aca="false">IF(V964,0,T964)</f>
        <v>0</v>
      </c>
      <c r="Z964" s="9" t="b">
        <f aca="false">AND(Y964&gt;0,K964)</f>
        <v>0</v>
      </c>
      <c r="AA964" s="9" t="b">
        <f aca="false">AND(Y964=0,J964,ISNUMBER(L964))</f>
        <v>0</v>
      </c>
      <c r="AB964" s="8" t="n">
        <f aca="false">IF(Q964,R964,AB963)</f>
        <v>0.863503444084112</v>
      </c>
      <c r="AC964" s="12" t="n">
        <f aca="false">IF(Q964,A964,AC963)</f>
        <v>45706</v>
      </c>
      <c r="AD964" s="8" t="n">
        <f aca="false">IF(Q964,B964,AD963)</f>
        <v>0.863330777928526</v>
      </c>
      <c r="AE964" s="8" t="str">
        <f aca="false">IF(AA964,L964,"")</f>
        <v/>
      </c>
      <c r="AF964" s="8" t="n">
        <f aca="false">U964</f>
        <v>0.843828396541038</v>
      </c>
      <c r="AG964" s="2" t="n">
        <f aca="false">AG963+IF(Q964,1,0)</f>
        <v>9</v>
      </c>
      <c r="AH964" s="2" t="n">
        <f aca="false">AG963</f>
        <v>9</v>
      </c>
      <c r="AI964" s="10" t="n">
        <f aca="false">X964+Y964*(E964-AB964)-Y964*AD964*Inputs!$B$13*(A964-AC964)</f>
        <v>970.40233796708</v>
      </c>
      <c r="AJ964" s="10" t="n">
        <v>0</v>
      </c>
      <c r="AK964" s="8" t="n">
        <f aca="false">IF(AND(B964&lt;=U964,NOT(Q964)),B964,U964)*(1-Inputs!$B$12)</f>
        <v>0.843659630861729</v>
      </c>
    </row>
    <row r="965" customFormat="false" ht="15" hidden="false" customHeight="false" outlineLevel="0" collapsed="false">
      <c r="A965" s="6" t="n">
        <v>45749</v>
      </c>
      <c r="B965" s="7" t="n">
        <v>0.861396791716712</v>
      </c>
      <c r="C965" s="7" t="n">
        <v>0.86247895782963</v>
      </c>
      <c r="D965" s="7" t="n">
        <v>0.859597992970949</v>
      </c>
      <c r="E965" s="7" t="n">
        <v>0.862418909332375</v>
      </c>
      <c r="F965" s="8" t="n">
        <f aca="true">IF(ROW()-2&gt;=Inputs!$B$4,AVERAGE(OFFSET(E965,1-Inputs!$B$4,0,Inputs!$B$4,1)),"")</f>
        <v>0.871043054895834</v>
      </c>
      <c r="G965" s="8" t="n">
        <f aca="true">IF(ROW()-2&gt;=Inputs!$B$5,AVERAGE(OFFSET(E965,1-Inputs!$B$5,0,Inputs!$B$5,1)),"")</f>
        <v>0.861636291394697</v>
      </c>
      <c r="H965" s="8" t="n">
        <f aca="false">MAX(C965-D965,ABS(C965-E964),ABS(D965-E964))</f>
        <v>0.00288096485868095</v>
      </c>
      <c r="I965" s="8" t="n">
        <f aca="true">IF(ROW()-2&lt;14,"",IF(ROW()-2=14,AVERAGE(OFFSET(H965,-13,0,14,1)),(I964*13+H965)/14))</f>
        <v>0.00795713898460502</v>
      </c>
      <c r="J965" s="9" t="b">
        <f aca="false">IF(AND(ISNUMBER(F965),ISNUMBER(G965),ISNUMBER(F964),ISNUMBER(G964)),AND(F965&gt;G965,F964&lt;=G964),FALSE())</f>
        <v>0</v>
      </c>
      <c r="K965" s="9" t="b">
        <f aca="false">IF(AND(ISNUMBER(F965),ISNUMBER(G965),ISNUMBER(F964),ISNUMBER(G964)),AND(F965&lt;G965,F964&gt;=G964),FALSE())</f>
        <v>0</v>
      </c>
      <c r="L965" s="8" t="n">
        <f aca="false">IF(ISNUMBER(I965),E965-Inputs!$B$6*I965,"")</f>
        <v>0.846504631363165</v>
      </c>
      <c r="M965" s="9" t="b">
        <f aca="false">AND(Y964&gt;0,Z964)</f>
        <v>0</v>
      </c>
      <c r="N965" s="8" t="n">
        <f aca="false">B965*(1-Inputs!$B$12)</f>
        <v>0.861224512358369</v>
      </c>
      <c r="O965" s="10" t="n">
        <f aca="false">IF(M965,Y964*(N965-AB964)-Inputs!$B$9-Y964*AD964*Inputs!$B$13*(A965-AC964),0)</f>
        <v>0</v>
      </c>
      <c r="P965" s="10" t="n">
        <f aca="false">X964+O965</f>
        <v>970.40233796708</v>
      </c>
      <c r="Q965" s="9" t="b">
        <f aca="false">AND(IF(M965,0,Y964)=0,AA964,IF(ISNUMBER(AE964),B965&gt;AE964,FALSE()))</f>
        <v>0</v>
      </c>
      <c r="R965" s="8" t="n">
        <f aca="false">B965*(1+Inputs!$B$12)</f>
        <v>0.861569071075055</v>
      </c>
      <c r="S965" s="11" t="n">
        <f aca="false">IF(Q965,MIN(P965*Inputs!$B$3/(R965-AE964),P965*Inputs!$B$11/R965),0)</f>
        <v>0</v>
      </c>
      <c r="T965" s="11" t="n">
        <f aca="false">IF(Q965,S965,IF(M965,0,Y964))</f>
        <v>0</v>
      </c>
      <c r="U965" s="8" t="n">
        <f aca="false">IF(Q965,AE964,AF964)</f>
        <v>0.843828396541038</v>
      </c>
      <c r="V965" s="9" t="b">
        <f aca="false">AND(T965&gt;0,D965&lt;=U965)</f>
        <v>0</v>
      </c>
      <c r="W965" s="10" t="n">
        <f aca="false">IF(V965,T965*(AK965-AB965)-Inputs!$B$9-T965*AD965*Inputs!$B$13*(A965-AC965),0)</f>
        <v>0</v>
      </c>
      <c r="X965" s="10" t="n">
        <f aca="false">P965-IF(Q965,Inputs!$B$9,0)+W965</f>
        <v>970.40233796708</v>
      </c>
      <c r="Y965" s="11" t="n">
        <f aca="false">IF(V965,0,T965)</f>
        <v>0</v>
      </c>
      <c r="Z965" s="9" t="b">
        <f aca="false">AND(Y965&gt;0,K965)</f>
        <v>0</v>
      </c>
      <c r="AA965" s="9" t="b">
        <f aca="false">AND(Y965=0,J965,ISNUMBER(L965))</f>
        <v>0</v>
      </c>
      <c r="AB965" s="8" t="n">
        <f aca="false">IF(Q965,R965,AB964)</f>
        <v>0.863503444084112</v>
      </c>
      <c r="AC965" s="12" t="n">
        <f aca="false">IF(Q965,A965,AC964)</f>
        <v>45706</v>
      </c>
      <c r="AD965" s="8" t="n">
        <f aca="false">IF(Q965,B965,AD964)</f>
        <v>0.863330777928526</v>
      </c>
      <c r="AE965" s="8" t="str">
        <f aca="false">IF(AA965,L965,"")</f>
        <v/>
      </c>
      <c r="AF965" s="8" t="n">
        <f aca="false">U965</f>
        <v>0.843828396541038</v>
      </c>
      <c r="AG965" s="2" t="n">
        <f aca="false">AG964+IF(Q965,1,0)</f>
        <v>9</v>
      </c>
      <c r="AH965" s="2" t="n">
        <f aca="false">AG964</f>
        <v>9</v>
      </c>
      <c r="AI965" s="10" t="n">
        <f aca="false">X965+Y965*(E965-AB965)-Y965*AD965*Inputs!$B$13*(A965-AC965)</f>
        <v>970.40233796708</v>
      </c>
      <c r="AJ965" s="10" t="n">
        <v>0</v>
      </c>
      <c r="AK965" s="8" t="n">
        <f aca="false">IF(AND(B965&lt;=U965,NOT(Q965)),B965,U965)*(1-Inputs!$B$12)</f>
        <v>0.843659630861729</v>
      </c>
    </row>
    <row r="966" customFormat="false" ht="15" hidden="false" customHeight="false" outlineLevel="0" collapsed="false">
      <c r="A966" s="6" t="n">
        <v>45750</v>
      </c>
      <c r="B966" s="7" t="n">
        <v>0.862418909332375</v>
      </c>
      <c r="C966" s="7" t="n">
        <v>0.866113142016779</v>
      </c>
      <c r="D966" s="7" t="n">
        <v>0.85355931149633</v>
      </c>
      <c r="E966" s="7" t="n">
        <v>0.853940464475095</v>
      </c>
      <c r="F966" s="8" t="n">
        <f aca="true">IF(ROW()-2&gt;=Inputs!$B$4,AVERAGE(OFFSET(E966,1-Inputs!$B$4,0,Inputs!$B$4,1)),"")</f>
        <v>0.870515633336581</v>
      </c>
      <c r="G966" s="8" t="n">
        <f aca="true">IF(ROW()-2&gt;=Inputs!$B$5,AVERAGE(OFFSET(E966,1-Inputs!$B$5,0,Inputs!$B$5,1)),"")</f>
        <v>0.861796661528381</v>
      </c>
      <c r="H966" s="8" t="n">
        <f aca="false">MAX(C966-D966,ABS(C966-E965),ABS(D966-E965))</f>
        <v>0.0125538305204488</v>
      </c>
      <c r="I966" s="8" t="n">
        <f aca="true">IF(ROW()-2&lt;14,"",IF(ROW()-2=14,AVERAGE(OFFSET(H966,-13,0,14,1)),(I965*13+H966)/14))</f>
        <v>0.00828547409430815</v>
      </c>
      <c r="J966" s="9" t="b">
        <f aca="false">IF(AND(ISNUMBER(F966),ISNUMBER(G966),ISNUMBER(F965),ISNUMBER(G965)),AND(F966&gt;G966,F965&lt;=G965),FALSE())</f>
        <v>0</v>
      </c>
      <c r="K966" s="9" t="b">
        <f aca="false">IF(AND(ISNUMBER(F966),ISNUMBER(G966),ISNUMBER(F965),ISNUMBER(G965)),AND(F966&lt;G966,F965&gt;=G965),FALSE())</f>
        <v>0</v>
      </c>
      <c r="L966" s="8" t="n">
        <f aca="false">IF(ISNUMBER(I966),E966-Inputs!$B$6*I966,"")</f>
        <v>0.837369516286479</v>
      </c>
      <c r="M966" s="9" t="b">
        <f aca="false">AND(Y965&gt;0,Z965)</f>
        <v>0</v>
      </c>
      <c r="N966" s="8" t="n">
        <f aca="false">B966*(1-Inputs!$B$12)</f>
        <v>0.862246425550508</v>
      </c>
      <c r="O966" s="10" t="n">
        <f aca="false">IF(M966,Y965*(N966-AB965)-Inputs!$B$9-Y965*AD965*Inputs!$B$13*(A966-AC965),0)</f>
        <v>0</v>
      </c>
      <c r="P966" s="10" t="n">
        <f aca="false">X965+O966</f>
        <v>970.40233796708</v>
      </c>
      <c r="Q966" s="9" t="b">
        <f aca="false">AND(IF(M966,0,Y965)=0,AA965,IF(ISNUMBER(AE965),B966&gt;AE965,FALSE()))</f>
        <v>0</v>
      </c>
      <c r="R966" s="8" t="n">
        <f aca="false">B966*(1+Inputs!$B$12)</f>
        <v>0.862591393114241</v>
      </c>
      <c r="S966" s="11" t="n">
        <f aca="false">IF(Q966,MIN(P966*Inputs!$B$3/(R966-AE965),P966*Inputs!$B$11/R966),0)</f>
        <v>0</v>
      </c>
      <c r="T966" s="11" t="n">
        <f aca="false">IF(Q966,S966,IF(M966,0,Y965))</f>
        <v>0</v>
      </c>
      <c r="U966" s="8" t="n">
        <f aca="false">IF(Q966,AE965,AF965)</f>
        <v>0.843828396541038</v>
      </c>
      <c r="V966" s="9" t="b">
        <f aca="false">AND(T966&gt;0,D966&lt;=U966)</f>
        <v>0</v>
      </c>
      <c r="W966" s="10" t="n">
        <f aca="false">IF(V966,T966*(AK966-AB966)-Inputs!$B$9-T966*AD966*Inputs!$B$13*(A966-AC966),0)</f>
        <v>0</v>
      </c>
      <c r="X966" s="10" t="n">
        <f aca="false">P966-IF(Q966,Inputs!$B$9,0)+W966</f>
        <v>970.40233796708</v>
      </c>
      <c r="Y966" s="11" t="n">
        <f aca="false">IF(V966,0,T966)</f>
        <v>0</v>
      </c>
      <c r="Z966" s="9" t="b">
        <f aca="false">AND(Y966&gt;0,K966)</f>
        <v>0</v>
      </c>
      <c r="AA966" s="9" t="b">
        <f aca="false">AND(Y966=0,J966,ISNUMBER(L966))</f>
        <v>0</v>
      </c>
      <c r="AB966" s="8" t="n">
        <f aca="false">IF(Q966,R966,AB965)</f>
        <v>0.863503444084112</v>
      </c>
      <c r="AC966" s="12" t="n">
        <f aca="false">IF(Q966,A966,AC965)</f>
        <v>45706</v>
      </c>
      <c r="AD966" s="8" t="n">
        <f aca="false">IF(Q966,B966,AD965)</f>
        <v>0.863330777928526</v>
      </c>
      <c r="AE966" s="8" t="str">
        <f aca="false">IF(AA966,L966,"")</f>
        <v/>
      </c>
      <c r="AF966" s="8" t="n">
        <f aca="false">U966</f>
        <v>0.843828396541038</v>
      </c>
      <c r="AG966" s="2" t="n">
        <f aca="false">AG965+IF(Q966,1,0)</f>
        <v>9</v>
      </c>
      <c r="AH966" s="2" t="n">
        <f aca="false">AG965</f>
        <v>9</v>
      </c>
      <c r="AI966" s="10" t="n">
        <f aca="false">X966+Y966*(E966-AB966)-Y966*AD966*Inputs!$B$13*(A966-AC966)</f>
        <v>970.40233796708</v>
      </c>
      <c r="AJ966" s="10" t="n">
        <v>0</v>
      </c>
      <c r="AK966" s="8" t="n">
        <f aca="false">IF(AND(B966&lt;=U966,NOT(Q966)),B966,U966)*(1-Inputs!$B$12)</f>
        <v>0.843659630861729</v>
      </c>
    </row>
    <row r="967" customFormat="false" ht="15" hidden="false" customHeight="false" outlineLevel="0" collapsed="false">
      <c r="A967" s="6" t="n">
        <v>45751</v>
      </c>
      <c r="B967" s="7" t="n">
        <v>0.853940464475095</v>
      </c>
      <c r="C967" s="7" t="n">
        <v>0.857372961676766</v>
      </c>
      <c r="D967" s="7" t="n">
        <v>0.852259591614565</v>
      </c>
      <c r="E967" s="7" t="n">
        <v>0.855445173685366</v>
      </c>
      <c r="F967" s="8" t="n">
        <f aca="true">IF(ROW()-2&gt;=Inputs!$B$4,AVERAGE(OFFSET(E967,1-Inputs!$B$4,0,Inputs!$B$4,1)),"")</f>
        <v>0.869724487201879</v>
      </c>
      <c r="G967" s="8" t="n">
        <f aca="true">IF(ROW()-2&gt;=Inputs!$B$5,AVERAGE(OFFSET(E967,1-Inputs!$B$5,0,Inputs!$B$5,1)),"")</f>
        <v>0.861845007040753</v>
      </c>
      <c r="H967" s="8" t="n">
        <f aca="false">MAX(C967-D967,ABS(C967-E966),ABS(D967-E966))</f>
        <v>0.00511337006220092</v>
      </c>
      <c r="I967" s="8" t="n">
        <f aca="true">IF(ROW()-2&lt;14,"",IF(ROW()-2=14,AVERAGE(OFFSET(H967,-13,0,14,1)),(I966*13+H967)/14))</f>
        <v>0.00805889523487192</v>
      </c>
      <c r="J967" s="9" t="b">
        <f aca="false">IF(AND(ISNUMBER(F967),ISNUMBER(G967),ISNUMBER(F966),ISNUMBER(G966)),AND(F967&gt;G967,F966&lt;=G966),FALSE())</f>
        <v>0</v>
      </c>
      <c r="K967" s="9" t="b">
        <f aca="false">IF(AND(ISNUMBER(F967),ISNUMBER(G967),ISNUMBER(F966),ISNUMBER(G966)),AND(F967&lt;G967,F966&gt;=G966),FALSE())</f>
        <v>0</v>
      </c>
      <c r="L967" s="8" t="n">
        <f aca="false">IF(ISNUMBER(I967),E967-Inputs!$B$6*I967,"")</f>
        <v>0.839327383215623</v>
      </c>
      <c r="M967" s="9" t="b">
        <f aca="false">AND(Y966&gt;0,Z966)</f>
        <v>0</v>
      </c>
      <c r="N967" s="8" t="n">
        <f aca="false">B967*(1-Inputs!$B$12)</f>
        <v>0.8537696763822</v>
      </c>
      <c r="O967" s="10" t="n">
        <f aca="false">IF(M967,Y966*(N967-AB966)-Inputs!$B$9-Y966*AD966*Inputs!$B$13*(A967-AC966),0)</f>
        <v>0</v>
      </c>
      <c r="P967" s="10" t="n">
        <f aca="false">X966+O967</f>
        <v>970.40233796708</v>
      </c>
      <c r="Q967" s="9" t="b">
        <f aca="false">AND(IF(M967,0,Y966)=0,AA966,IF(ISNUMBER(AE966),B967&gt;AE966,FALSE()))</f>
        <v>0</v>
      </c>
      <c r="R967" s="8" t="n">
        <f aca="false">B967*(1+Inputs!$B$12)</f>
        <v>0.85411125256799</v>
      </c>
      <c r="S967" s="11" t="n">
        <f aca="false">IF(Q967,MIN(P967*Inputs!$B$3/(R967-AE966),P967*Inputs!$B$11/R967),0)</f>
        <v>0</v>
      </c>
      <c r="T967" s="11" t="n">
        <f aca="false">IF(Q967,S967,IF(M967,0,Y966))</f>
        <v>0</v>
      </c>
      <c r="U967" s="8" t="n">
        <f aca="false">IF(Q967,AE966,AF966)</f>
        <v>0.843828396541038</v>
      </c>
      <c r="V967" s="9" t="b">
        <f aca="false">AND(T967&gt;0,D967&lt;=U967)</f>
        <v>0</v>
      </c>
      <c r="W967" s="10" t="n">
        <f aca="false">IF(V967,T967*(AK967-AB967)-Inputs!$B$9-T967*AD967*Inputs!$B$13*(A967-AC967),0)</f>
        <v>0</v>
      </c>
      <c r="X967" s="10" t="n">
        <f aca="false">P967-IF(Q967,Inputs!$B$9,0)+W967</f>
        <v>970.40233796708</v>
      </c>
      <c r="Y967" s="11" t="n">
        <f aca="false">IF(V967,0,T967)</f>
        <v>0</v>
      </c>
      <c r="Z967" s="9" t="b">
        <f aca="false">AND(Y967&gt;0,K967)</f>
        <v>0</v>
      </c>
      <c r="AA967" s="9" t="b">
        <f aca="false">AND(Y967=0,J967,ISNUMBER(L967))</f>
        <v>0</v>
      </c>
      <c r="AB967" s="8" t="n">
        <f aca="false">IF(Q967,R967,AB966)</f>
        <v>0.863503444084112</v>
      </c>
      <c r="AC967" s="12" t="n">
        <f aca="false">IF(Q967,A967,AC966)</f>
        <v>45706</v>
      </c>
      <c r="AD967" s="8" t="n">
        <f aca="false">IF(Q967,B967,AD966)</f>
        <v>0.863330777928526</v>
      </c>
      <c r="AE967" s="8" t="str">
        <f aca="false">IF(AA967,L967,"")</f>
        <v/>
      </c>
      <c r="AF967" s="8" t="n">
        <f aca="false">U967</f>
        <v>0.843828396541038</v>
      </c>
      <c r="AG967" s="2" t="n">
        <f aca="false">AG966+IF(Q967,1,0)</f>
        <v>9</v>
      </c>
      <c r="AH967" s="2" t="n">
        <f aca="false">AG966</f>
        <v>9</v>
      </c>
      <c r="AI967" s="10" t="n">
        <f aca="false">X967+Y967*(E967-AB967)-Y967*AD967*Inputs!$B$13*(A967-AC967)</f>
        <v>970.40233796708</v>
      </c>
      <c r="AJ967" s="10" t="n">
        <v>0</v>
      </c>
      <c r="AK967" s="8" t="n">
        <f aca="false">IF(AND(B967&lt;=U967,NOT(Q967)),B967,U967)*(1-Inputs!$B$12)</f>
        <v>0.843659630861729</v>
      </c>
    </row>
    <row r="968" customFormat="false" ht="15" hidden="false" customHeight="false" outlineLevel="0" collapsed="false">
      <c r="A968" s="6" t="n">
        <v>45752</v>
      </c>
      <c r="B968" s="7" t="n">
        <v>0.855445173685366</v>
      </c>
      <c r="C968" s="7" t="n">
        <v>0.857310303716322</v>
      </c>
      <c r="D968" s="7" t="n">
        <v>0.846545251742417</v>
      </c>
      <c r="E968" s="7" t="n">
        <v>0.85166609958439</v>
      </c>
      <c r="F968" s="8" t="n">
        <f aca="true">IF(ROW()-2&gt;=Inputs!$B$4,AVERAGE(OFFSET(E968,1-Inputs!$B$4,0,Inputs!$B$4,1)),"")</f>
        <v>0.868877928488585</v>
      </c>
      <c r="G968" s="8" t="n">
        <f aca="true">IF(ROW()-2&gt;=Inputs!$B$5,AVERAGE(OFFSET(E968,1-Inputs!$B$5,0,Inputs!$B$5,1)),"")</f>
        <v>0.861668683759474</v>
      </c>
      <c r="H968" s="8" t="n">
        <f aca="false">MAX(C968-D968,ABS(C968-E967),ABS(D968-E967))</f>
        <v>0.0107650519739052</v>
      </c>
      <c r="I968" s="8" t="n">
        <f aca="true">IF(ROW()-2&lt;14,"",IF(ROW()-2=14,AVERAGE(OFFSET(H968,-13,0,14,1)),(I967*13+H968)/14))</f>
        <v>0.00825219214480287</v>
      </c>
      <c r="J968" s="9" t="b">
        <f aca="false">IF(AND(ISNUMBER(F968),ISNUMBER(G968),ISNUMBER(F967),ISNUMBER(G967)),AND(F968&gt;G968,F967&lt;=G967),FALSE())</f>
        <v>0</v>
      </c>
      <c r="K968" s="9" t="b">
        <f aca="false">IF(AND(ISNUMBER(F968),ISNUMBER(G968),ISNUMBER(F967),ISNUMBER(G967)),AND(F968&lt;G968,F967&gt;=G967),FALSE())</f>
        <v>0</v>
      </c>
      <c r="L968" s="8" t="n">
        <f aca="false">IF(ISNUMBER(I968),E968-Inputs!$B$6*I968,"")</f>
        <v>0.835161715294785</v>
      </c>
      <c r="M968" s="9" t="b">
        <f aca="false">AND(Y967&gt;0,Z967)</f>
        <v>0</v>
      </c>
      <c r="N968" s="8" t="n">
        <f aca="false">B968*(1-Inputs!$B$12)</f>
        <v>0.855274084650629</v>
      </c>
      <c r="O968" s="10" t="n">
        <f aca="false">IF(M968,Y967*(N968-AB967)-Inputs!$B$9-Y967*AD967*Inputs!$B$13*(A968-AC967),0)</f>
        <v>0</v>
      </c>
      <c r="P968" s="10" t="n">
        <f aca="false">X967+O968</f>
        <v>970.40233796708</v>
      </c>
      <c r="Q968" s="9" t="b">
        <f aca="false">AND(IF(M968,0,Y967)=0,AA967,IF(ISNUMBER(AE967),B968&gt;AE967,FALSE()))</f>
        <v>0</v>
      </c>
      <c r="R968" s="8" t="n">
        <f aca="false">B968*(1+Inputs!$B$12)</f>
        <v>0.855616262720104</v>
      </c>
      <c r="S968" s="11" t="n">
        <f aca="false">IF(Q968,MIN(P968*Inputs!$B$3/(R968-AE967),P968*Inputs!$B$11/R968),0)</f>
        <v>0</v>
      </c>
      <c r="T968" s="11" t="n">
        <f aca="false">IF(Q968,S968,IF(M968,0,Y967))</f>
        <v>0</v>
      </c>
      <c r="U968" s="8" t="n">
        <f aca="false">IF(Q968,AE967,AF967)</f>
        <v>0.843828396541038</v>
      </c>
      <c r="V968" s="9" t="b">
        <f aca="false">AND(T968&gt;0,D968&lt;=U968)</f>
        <v>0</v>
      </c>
      <c r="W968" s="10" t="n">
        <f aca="false">IF(V968,T968*(AK968-AB968)-Inputs!$B$9-T968*AD968*Inputs!$B$13*(A968-AC968),0)</f>
        <v>0</v>
      </c>
      <c r="X968" s="10" t="n">
        <f aca="false">P968-IF(Q968,Inputs!$B$9,0)+W968</f>
        <v>970.40233796708</v>
      </c>
      <c r="Y968" s="11" t="n">
        <f aca="false">IF(V968,0,T968)</f>
        <v>0</v>
      </c>
      <c r="Z968" s="9" t="b">
        <f aca="false">AND(Y968&gt;0,K968)</f>
        <v>0</v>
      </c>
      <c r="AA968" s="9" t="b">
        <f aca="false">AND(Y968=0,J968,ISNUMBER(L968))</f>
        <v>0</v>
      </c>
      <c r="AB968" s="8" t="n">
        <f aca="false">IF(Q968,R968,AB967)</f>
        <v>0.863503444084112</v>
      </c>
      <c r="AC968" s="12" t="n">
        <f aca="false">IF(Q968,A968,AC967)</f>
        <v>45706</v>
      </c>
      <c r="AD968" s="8" t="n">
        <f aca="false">IF(Q968,B968,AD967)</f>
        <v>0.863330777928526</v>
      </c>
      <c r="AE968" s="8" t="str">
        <f aca="false">IF(AA968,L968,"")</f>
        <v/>
      </c>
      <c r="AF968" s="8" t="n">
        <f aca="false">U968</f>
        <v>0.843828396541038</v>
      </c>
      <c r="AG968" s="2" t="n">
        <f aca="false">AG967+IF(Q968,1,0)</f>
        <v>9</v>
      </c>
      <c r="AH968" s="2" t="n">
        <f aca="false">AG967</f>
        <v>9</v>
      </c>
      <c r="AI968" s="10" t="n">
        <f aca="false">X968+Y968*(E968-AB968)-Y968*AD968*Inputs!$B$13*(A968-AC968)</f>
        <v>970.40233796708</v>
      </c>
      <c r="AJ968" s="10" t="n">
        <v>0</v>
      </c>
      <c r="AK968" s="8" t="n">
        <f aca="false">IF(AND(B968&lt;=U968,NOT(Q968)),B968,U968)*(1-Inputs!$B$12)</f>
        <v>0.843659630861729</v>
      </c>
    </row>
    <row r="969" customFormat="false" ht="15" hidden="false" customHeight="false" outlineLevel="0" collapsed="false">
      <c r="A969" s="6" t="n">
        <v>45753</v>
      </c>
      <c r="B969" s="7" t="n">
        <v>0.85166609958439</v>
      </c>
      <c r="C969" s="7" t="n">
        <v>0.856176385007211</v>
      </c>
      <c r="D969" s="7" t="n">
        <v>0.848686664570884</v>
      </c>
      <c r="E969" s="7" t="n">
        <v>0.85594420524216</v>
      </c>
      <c r="F969" s="8" t="n">
        <f aca="true">IF(ROW()-2&gt;=Inputs!$B$4,AVERAGE(OFFSET(E969,1-Inputs!$B$4,0,Inputs!$B$4,1)),"")</f>
        <v>0.867873712803708</v>
      </c>
      <c r="G969" s="8" t="n">
        <f aca="true">IF(ROW()-2&gt;=Inputs!$B$5,AVERAGE(OFFSET(E969,1-Inputs!$B$5,0,Inputs!$B$5,1)),"")</f>
        <v>0.861779485915959</v>
      </c>
      <c r="H969" s="8" t="n">
        <f aca="false">MAX(C969-D969,ABS(C969-E968),ABS(D969-E968))</f>
        <v>0.00748972043632679</v>
      </c>
      <c r="I969" s="8" t="n">
        <f aca="true">IF(ROW()-2&lt;14,"",IF(ROW()-2=14,AVERAGE(OFFSET(H969,-13,0,14,1)),(I968*13+H969)/14))</f>
        <v>0.00819772987991172</v>
      </c>
      <c r="J969" s="9" t="b">
        <f aca="false">IF(AND(ISNUMBER(F969),ISNUMBER(G969),ISNUMBER(F968),ISNUMBER(G968)),AND(F969&gt;G969,F968&lt;=G968),FALSE())</f>
        <v>0</v>
      </c>
      <c r="K969" s="9" t="b">
        <f aca="false">IF(AND(ISNUMBER(F969),ISNUMBER(G969),ISNUMBER(F968),ISNUMBER(G968)),AND(F969&lt;G969,F968&gt;=G968),FALSE())</f>
        <v>0</v>
      </c>
      <c r="L969" s="8" t="n">
        <f aca="false">IF(ISNUMBER(I969),E969-Inputs!$B$6*I969,"")</f>
        <v>0.839548745482336</v>
      </c>
      <c r="M969" s="9" t="b">
        <f aca="false">AND(Y968&gt;0,Z968)</f>
        <v>0</v>
      </c>
      <c r="N969" s="8" t="n">
        <f aca="false">B969*(1-Inputs!$B$12)</f>
        <v>0.851495766364474</v>
      </c>
      <c r="O969" s="10" t="n">
        <f aca="false">IF(M969,Y968*(N969-AB968)-Inputs!$B$9-Y968*AD968*Inputs!$B$13*(A969-AC968),0)</f>
        <v>0</v>
      </c>
      <c r="P969" s="10" t="n">
        <f aca="false">X968+O969</f>
        <v>970.40233796708</v>
      </c>
      <c r="Q969" s="9" t="b">
        <f aca="false">AND(IF(M969,0,Y968)=0,AA968,IF(ISNUMBER(AE968),B969&gt;AE968,FALSE()))</f>
        <v>0</v>
      </c>
      <c r="R969" s="8" t="n">
        <f aca="false">B969*(1+Inputs!$B$12)</f>
        <v>0.851836432804307</v>
      </c>
      <c r="S969" s="11" t="n">
        <f aca="false">IF(Q969,MIN(P969*Inputs!$B$3/(R969-AE968),P969*Inputs!$B$11/R969),0)</f>
        <v>0</v>
      </c>
      <c r="T969" s="11" t="n">
        <f aca="false">IF(Q969,S969,IF(M969,0,Y968))</f>
        <v>0</v>
      </c>
      <c r="U969" s="8" t="n">
        <f aca="false">IF(Q969,AE968,AF968)</f>
        <v>0.843828396541038</v>
      </c>
      <c r="V969" s="9" t="b">
        <f aca="false">AND(T969&gt;0,D969&lt;=U969)</f>
        <v>0</v>
      </c>
      <c r="W969" s="10" t="n">
        <f aca="false">IF(V969,T969*(AK969-AB969)-Inputs!$B$9-T969*AD969*Inputs!$B$13*(A969-AC969),0)</f>
        <v>0</v>
      </c>
      <c r="X969" s="10" t="n">
        <f aca="false">P969-IF(Q969,Inputs!$B$9,0)+W969</f>
        <v>970.40233796708</v>
      </c>
      <c r="Y969" s="11" t="n">
        <f aca="false">IF(V969,0,T969)</f>
        <v>0</v>
      </c>
      <c r="Z969" s="9" t="b">
        <f aca="false">AND(Y969&gt;0,K969)</f>
        <v>0</v>
      </c>
      <c r="AA969" s="9" t="b">
        <f aca="false">AND(Y969=0,J969,ISNUMBER(L969))</f>
        <v>0</v>
      </c>
      <c r="AB969" s="8" t="n">
        <f aca="false">IF(Q969,R969,AB968)</f>
        <v>0.863503444084112</v>
      </c>
      <c r="AC969" s="12" t="n">
        <f aca="false">IF(Q969,A969,AC968)</f>
        <v>45706</v>
      </c>
      <c r="AD969" s="8" t="n">
        <f aca="false">IF(Q969,B969,AD968)</f>
        <v>0.863330777928526</v>
      </c>
      <c r="AE969" s="8" t="str">
        <f aca="false">IF(AA969,L969,"")</f>
        <v/>
      </c>
      <c r="AF969" s="8" t="n">
        <f aca="false">U969</f>
        <v>0.843828396541038</v>
      </c>
      <c r="AG969" s="2" t="n">
        <f aca="false">AG968+IF(Q969,1,0)</f>
        <v>9</v>
      </c>
      <c r="AH969" s="2" t="n">
        <f aca="false">AG968</f>
        <v>9</v>
      </c>
      <c r="AI969" s="10" t="n">
        <f aca="false">X969+Y969*(E969-AB969)-Y969*AD969*Inputs!$B$13*(A969-AC969)</f>
        <v>970.40233796708</v>
      </c>
      <c r="AJ969" s="10" t="n">
        <v>0</v>
      </c>
      <c r="AK969" s="8" t="n">
        <f aca="false">IF(AND(B969&lt;=U969,NOT(Q969)),B969,U969)*(1-Inputs!$B$12)</f>
        <v>0.843659630861729</v>
      </c>
    </row>
    <row r="970" customFormat="false" ht="15" hidden="false" customHeight="false" outlineLevel="0" collapsed="false">
      <c r="A970" s="6" t="n">
        <v>45754</v>
      </c>
      <c r="B970" s="7" t="n">
        <v>0.85594420524216</v>
      </c>
      <c r="C970" s="7" t="n">
        <v>0.8611512103585</v>
      </c>
      <c r="D970" s="7" t="n">
        <v>0.85278670017703</v>
      </c>
      <c r="E970" s="7" t="n">
        <v>0.860961522104405</v>
      </c>
      <c r="F970" s="8" t="n">
        <f aca="true">IF(ROW()-2&gt;=Inputs!$B$4,AVERAGE(OFFSET(E970,1-Inputs!$B$4,0,Inputs!$B$4,1)),"")</f>
        <v>0.867184523215829</v>
      </c>
      <c r="G970" s="8" t="n">
        <f aca="true">IF(ROW()-2&gt;=Inputs!$B$5,AVERAGE(OFFSET(E970,1-Inputs!$B$5,0,Inputs!$B$5,1)),"")</f>
        <v>0.861909420636509</v>
      </c>
      <c r="H970" s="8" t="n">
        <f aca="false">MAX(C970-D970,ABS(C970-E969),ABS(D970-E969))</f>
        <v>0.00836451018147044</v>
      </c>
      <c r="I970" s="8" t="n">
        <f aca="true">IF(ROW()-2&lt;14,"",IF(ROW()-2=14,AVERAGE(OFFSET(H970,-13,0,14,1)),(I969*13+H970)/14))</f>
        <v>0.00820964275859448</v>
      </c>
      <c r="J970" s="9" t="b">
        <f aca="false">IF(AND(ISNUMBER(F970),ISNUMBER(G970),ISNUMBER(F969),ISNUMBER(G969)),AND(F970&gt;G970,F969&lt;=G969),FALSE())</f>
        <v>0</v>
      </c>
      <c r="K970" s="9" t="b">
        <f aca="false">IF(AND(ISNUMBER(F970),ISNUMBER(G970),ISNUMBER(F969),ISNUMBER(G969)),AND(F970&lt;G970,F969&gt;=G969),FALSE())</f>
        <v>0</v>
      </c>
      <c r="L970" s="8" t="n">
        <f aca="false">IF(ISNUMBER(I970),E970-Inputs!$B$6*I970,"")</f>
        <v>0.844542236587216</v>
      </c>
      <c r="M970" s="9" t="b">
        <f aca="false">AND(Y969&gt;0,Z969)</f>
        <v>0</v>
      </c>
      <c r="N970" s="8" t="n">
        <f aca="false">B970*(1-Inputs!$B$12)</f>
        <v>0.855773016401111</v>
      </c>
      <c r="O970" s="10" t="n">
        <f aca="false">IF(M970,Y969*(N970-AB969)-Inputs!$B$9-Y969*AD969*Inputs!$B$13*(A970-AC969),0)</f>
        <v>0</v>
      </c>
      <c r="P970" s="10" t="n">
        <f aca="false">X969+O970</f>
        <v>970.40233796708</v>
      </c>
      <c r="Q970" s="9" t="b">
        <f aca="false">AND(IF(M970,0,Y969)=0,AA969,IF(ISNUMBER(AE969),B970&gt;AE969,FALSE()))</f>
        <v>0</v>
      </c>
      <c r="R970" s="8" t="n">
        <f aca="false">B970*(1+Inputs!$B$12)</f>
        <v>0.856115394083208</v>
      </c>
      <c r="S970" s="11" t="n">
        <f aca="false">IF(Q970,MIN(P970*Inputs!$B$3/(R970-AE969),P970*Inputs!$B$11/R970),0)</f>
        <v>0</v>
      </c>
      <c r="T970" s="11" t="n">
        <f aca="false">IF(Q970,S970,IF(M970,0,Y969))</f>
        <v>0</v>
      </c>
      <c r="U970" s="8" t="n">
        <f aca="false">IF(Q970,AE969,AF969)</f>
        <v>0.843828396541038</v>
      </c>
      <c r="V970" s="9" t="b">
        <f aca="false">AND(T970&gt;0,D970&lt;=U970)</f>
        <v>0</v>
      </c>
      <c r="W970" s="10" t="n">
        <f aca="false">IF(V970,T970*(AK970-AB970)-Inputs!$B$9-T970*AD970*Inputs!$B$13*(A970-AC970),0)</f>
        <v>0</v>
      </c>
      <c r="X970" s="10" t="n">
        <f aca="false">P970-IF(Q970,Inputs!$B$9,0)+W970</f>
        <v>970.40233796708</v>
      </c>
      <c r="Y970" s="11" t="n">
        <f aca="false">IF(V970,0,T970)</f>
        <v>0</v>
      </c>
      <c r="Z970" s="9" t="b">
        <f aca="false">AND(Y970&gt;0,K970)</f>
        <v>0</v>
      </c>
      <c r="AA970" s="9" t="b">
        <f aca="false">AND(Y970=0,J970,ISNUMBER(L970))</f>
        <v>0</v>
      </c>
      <c r="AB970" s="8" t="n">
        <f aca="false">IF(Q970,R970,AB969)</f>
        <v>0.863503444084112</v>
      </c>
      <c r="AC970" s="12" t="n">
        <f aca="false">IF(Q970,A970,AC969)</f>
        <v>45706</v>
      </c>
      <c r="AD970" s="8" t="n">
        <f aca="false">IF(Q970,B970,AD969)</f>
        <v>0.863330777928526</v>
      </c>
      <c r="AE970" s="8" t="str">
        <f aca="false">IF(AA970,L970,"")</f>
        <v/>
      </c>
      <c r="AF970" s="8" t="n">
        <f aca="false">U970</f>
        <v>0.843828396541038</v>
      </c>
      <c r="AG970" s="2" t="n">
        <f aca="false">AG969+IF(Q970,1,0)</f>
        <v>9</v>
      </c>
      <c r="AH970" s="2" t="n">
        <f aca="false">AG969</f>
        <v>9</v>
      </c>
      <c r="AI970" s="10" t="n">
        <f aca="false">X970+Y970*(E970-AB970)-Y970*AD970*Inputs!$B$13*(A970-AC970)</f>
        <v>970.40233796708</v>
      </c>
      <c r="AJ970" s="10" t="n">
        <v>0</v>
      </c>
      <c r="AK970" s="8" t="n">
        <f aca="false">IF(AND(B970&lt;=U970,NOT(Q970)),B970,U970)*(1-Inputs!$B$12)</f>
        <v>0.843659630861729</v>
      </c>
    </row>
    <row r="971" customFormat="false" ht="15" hidden="false" customHeight="false" outlineLevel="0" collapsed="false">
      <c r="A971" s="6" t="n">
        <v>45755</v>
      </c>
      <c r="B971" s="7" t="n">
        <v>0.860961522104405</v>
      </c>
      <c r="C971" s="7" t="n">
        <v>0.864237571323787</v>
      </c>
      <c r="D971" s="7" t="n">
        <v>0.859917526461632</v>
      </c>
      <c r="E971" s="7" t="n">
        <v>0.862379467570268</v>
      </c>
      <c r="F971" s="8" t="n">
        <f aca="true">IF(ROW()-2&gt;=Inputs!$B$4,AVERAGE(OFFSET(E971,1-Inputs!$B$4,0,Inputs!$B$4,1)),"")</f>
        <v>0.866323858751281</v>
      </c>
      <c r="G971" s="8" t="n">
        <f aca="true">IF(ROW()-2&gt;=Inputs!$B$5,AVERAGE(OFFSET(E971,1-Inputs!$B$5,0,Inputs!$B$5,1)),"")</f>
        <v>0.861890394429344</v>
      </c>
      <c r="H971" s="8" t="n">
        <f aca="false">MAX(C971-D971,ABS(C971-E970),ABS(D971-E970))</f>
        <v>0.00432004486215565</v>
      </c>
      <c r="I971" s="8" t="n">
        <f aca="true">IF(ROW()-2&lt;14,"",IF(ROW()-2=14,AVERAGE(OFFSET(H971,-13,0,14,1)),(I970*13+H971)/14))</f>
        <v>0.00793181433742028</v>
      </c>
      <c r="J971" s="9" t="b">
        <f aca="false">IF(AND(ISNUMBER(F971),ISNUMBER(G971),ISNUMBER(F970),ISNUMBER(G970)),AND(F971&gt;G971,F970&lt;=G970),FALSE())</f>
        <v>0</v>
      </c>
      <c r="K971" s="9" t="b">
        <f aca="false">IF(AND(ISNUMBER(F971),ISNUMBER(G971),ISNUMBER(F970),ISNUMBER(G970)),AND(F971&lt;G971,F970&gt;=G970),FALSE())</f>
        <v>0</v>
      </c>
      <c r="L971" s="8" t="n">
        <f aca="false">IF(ISNUMBER(I971),E971-Inputs!$B$6*I971,"")</f>
        <v>0.846515838895427</v>
      </c>
      <c r="M971" s="9" t="b">
        <f aca="false">AND(Y970&gt;0,Z970)</f>
        <v>0</v>
      </c>
      <c r="N971" s="8" t="n">
        <f aca="false">B971*(1-Inputs!$B$12)</f>
        <v>0.860789329799984</v>
      </c>
      <c r="O971" s="10" t="n">
        <f aca="false">IF(M971,Y970*(N971-AB970)-Inputs!$B$9-Y970*AD970*Inputs!$B$13*(A971-AC970),0)</f>
        <v>0</v>
      </c>
      <c r="P971" s="10" t="n">
        <f aca="false">X970+O971</f>
        <v>970.40233796708</v>
      </c>
      <c r="Q971" s="9" t="b">
        <f aca="false">AND(IF(M971,0,Y970)=0,AA970,IF(ISNUMBER(AE970),B971&gt;AE970,FALSE()))</f>
        <v>0</v>
      </c>
      <c r="R971" s="8" t="n">
        <f aca="false">B971*(1+Inputs!$B$12)</f>
        <v>0.861133714408826</v>
      </c>
      <c r="S971" s="11" t="n">
        <f aca="false">IF(Q971,MIN(P971*Inputs!$B$3/(R971-AE970),P971*Inputs!$B$11/R971),0)</f>
        <v>0</v>
      </c>
      <c r="T971" s="11" t="n">
        <f aca="false">IF(Q971,S971,IF(M971,0,Y970))</f>
        <v>0</v>
      </c>
      <c r="U971" s="8" t="n">
        <f aca="false">IF(Q971,AE970,AF970)</f>
        <v>0.843828396541038</v>
      </c>
      <c r="V971" s="9" t="b">
        <f aca="false">AND(T971&gt;0,D971&lt;=U971)</f>
        <v>0</v>
      </c>
      <c r="W971" s="10" t="n">
        <f aca="false">IF(V971,T971*(AK971-AB971)-Inputs!$B$9-T971*AD971*Inputs!$B$13*(A971-AC971),0)</f>
        <v>0</v>
      </c>
      <c r="X971" s="10" t="n">
        <f aca="false">P971-IF(Q971,Inputs!$B$9,0)+W971</f>
        <v>970.40233796708</v>
      </c>
      <c r="Y971" s="11" t="n">
        <f aca="false">IF(V971,0,T971)</f>
        <v>0</v>
      </c>
      <c r="Z971" s="9" t="b">
        <f aca="false">AND(Y971&gt;0,K971)</f>
        <v>0</v>
      </c>
      <c r="AA971" s="9" t="b">
        <f aca="false">AND(Y971=0,J971,ISNUMBER(L971))</f>
        <v>0</v>
      </c>
      <c r="AB971" s="8" t="n">
        <f aca="false">IF(Q971,R971,AB970)</f>
        <v>0.863503444084112</v>
      </c>
      <c r="AC971" s="12" t="n">
        <f aca="false">IF(Q971,A971,AC970)</f>
        <v>45706</v>
      </c>
      <c r="AD971" s="8" t="n">
        <f aca="false">IF(Q971,B971,AD970)</f>
        <v>0.863330777928526</v>
      </c>
      <c r="AE971" s="8" t="str">
        <f aca="false">IF(AA971,L971,"")</f>
        <v/>
      </c>
      <c r="AF971" s="8" t="n">
        <f aca="false">U971</f>
        <v>0.843828396541038</v>
      </c>
      <c r="AG971" s="2" t="n">
        <f aca="false">AG970+IF(Q971,1,0)</f>
        <v>9</v>
      </c>
      <c r="AH971" s="2" t="n">
        <f aca="false">AG970</f>
        <v>9</v>
      </c>
      <c r="AI971" s="10" t="n">
        <f aca="false">X971+Y971*(E971-AB971)-Y971*AD971*Inputs!$B$13*(A971-AC971)</f>
        <v>970.40233796708</v>
      </c>
      <c r="AJ971" s="10" t="n">
        <v>0</v>
      </c>
      <c r="AK971" s="8" t="n">
        <f aca="false">IF(AND(B971&lt;=U971,NOT(Q971)),B971,U971)*(1-Inputs!$B$12)</f>
        <v>0.843659630861729</v>
      </c>
    </row>
    <row r="972" customFormat="false" ht="15" hidden="false" customHeight="false" outlineLevel="0" collapsed="false">
      <c r="A972" s="6" t="n">
        <v>45756</v>
      </c>
      <c r="B972" s="7" t="n">
        <v>0.862379467570268</v>
      </c>
      <c r="C972" s="7" t="n">
        <v>0.872050156830743</v>
      </c>
      <c r="D972" s="7" t="n">
        <v>0.857219202979964</v>
      </c>
      <c r="E972" s="7" t="n">
        <v>0.870773110306884</v>
      </c>
      <c r="F972" s="8" t="n">
        <f aca="true">IF(ROW()-2&gt;=Inputs!$B$4,AVERAGE(OFFSET(E972,1-Inputs!$B$4,0,Inputs!$B$4,1)),"")</f>
        <v>0.865741320790216</v>
      </c>
      <c r="G972" s="8" t="n">
        <f aca="true">IF(ROW()-2&gt;=Inputs!$B$5,AVERAGE(OFFSET(E972,1-Inputs!$B$5,0,Inputs!$B$5,1)),"")</f>
        <v>0.862030766428063</v>
      </c>
      <c r="H972" s="8" t="n">
        <f aca="false">MAX(C972-D972,ABS(C972-E971),ABS(D972-E971))</f>
        <v>0.0148309538507793</v>
      </c>
      <c r="I972" s="8" t="n">
        <f aca="true">IF(ROW()-2&lt;14,"",IF(ROW()-2=14,AVERAGE(OFFSET(H972,-13,0,14,1)),(I971*13+H972)/14))</f>
        <v>0.00842461001694592</v>
      </c>
      <c r="J972" s="9" t="b">
        <f aca="false">IF(AND(ISNUMBER(F972),ISNUMBER(G972),ISNUMBER(F971),ISNUMBER(G971)),AND(F972&gt;G972,F971&lt;=G971),FALSE())</f>
        <v>0</v>
      </c>
      <c r="K972" s="9" t="b">
        <f aca="false">IF(AND(ISNUMBER(F972),ISNUMBER(G972),ISNUMBER(F971),ISNUMBER(G971)),AND(F972&lt;G972,F971&gt;=G971),FALSE())</f>
        <v>0</v>
      </c>
      <c r="L972" s="8" t="n">
        <f aca="false">IF(ISNUMBER(I972),E972-Inputs!$B$6*I972,"")</f>
        <v>0.853923890272992</v>
      </c>
      <c r="M972" s="9" t="b">
        <f aca="false">AND(Y971&gt;0,Z971)</f>
        <v>0</v>
      </c>
      <c r="N972" s="8" t="n">
        <f aca="false">B972*(1-Inputs!$B$12)</f>
        <v>0.862206991676754</v>
      </c>
      <c r="O972" s="10" t="n">
        <f aca="false">IF(M972,Y971*(N972-AB971)-Inputs!$B$9-Y971*AD971*Inputs!$B$13*(A972-AC971),0)</f>
        <v>0</v>
      </c>
      <c r="P972" s="10" t="n">
        <f aca="false">X971+O972</f>
        <v>970.40233796708</v>
      </c>
      <c r="Q972" s="9" t="b">
        <f aca="false">AND(IF(M972,0,Y971)=0,AA971,IF(ISNUMBER(AE971),B972&gt;AE971,FALSE()))</f>
        <v>0</v>
      </c>
      <c r="R972" s="8" t="n">
        <f aca="false">B972*(1+Inputs!$B$12)</f>
        <v>0.862551943463782</v>
      </c>
      <c r="S972" s="11" t="n">
        <f aca="false">IF(Q972,MIN(P972*Inputs!$B$3/(R972-AE971),P972*Inputs!$B$11/R972),0)</f>
        <v>0</v>
      </c>
      <c r="T972" s="11" t="n">
        <f aca="false">IF(Q972,S972,IF(M972,0,Y971))</f>
        <v>0</v>
      </c>
      <c r="U972" s="8" t="n">
        <f aca="false">IF(Q972,AE971,AF971)</f>
        <v>0.843828396541038</v>
      </c>
      <c r="V972" s="9" t="b">
        <f aca="false">AND(T972&gt;0,D972&lt;=U972)</f>
        <v>0</v>
      </c>
      <c r="W972" s="10" t="n">
        <f aca="false">IF(V972,T972*(AK972-AB972)-Inputs!$B$9-T972*AD972*Inputs!$B$13*(A972-AC972),0)</f>
        <v>0</v>
      </c>
      <c r="X972" s="10" t="n">
        <f aca="false">P972-IF(Q972,Inputs!$B$9,0)+W972</f>
        <v>970.40233796708</v>
      </c>
      <c r="Y972" s="11" t="n">
        <f aca="false">IF(V972,0,T972)</f>
        <v>0</v>
      </c>
      <c r="Z972" s="9" t="b">
        <f aca="false">AND(Y972&gt;0,K972)</f>
        <v>0</v>
      </c>
      <c r="AA972" s="9" t="b">
        <f aca="false">AND(Y972=0,J972,ISNUMBER(L972))</f>
        <v>0</v>
      </c>
      <c r="AB972" s="8" t="n">
        <f aca="false">IF(Q972,R972,AB971)</f>
        <v>0.863503444084112</v>
      </c>
      <c r="AC972" s="12" t="n">
        <f aca="false">IF(Q972,A972,AC971)</f>
        <v>45706</v>
      </c>
      <c r="AD972" s="8" t="n">
        <f aca="false">IF(Q972,B972,AD971)</f>
        <v>0.863330777928526</v>
      </c>
      <c r="AE972" s="8" t="str">
        <f aca="false">IF(AA972,L972,"")</f>
        <v/>
      </c>
      <c r="AF972" s="8" t="n">
        <f aca="false">U972</f>
        <v>0.843828396541038</v>
      </c>
      <c r="AG972" s="2" t="n">
        <f aca="false">AG971+IF(Q972,1,0)</f>
        <v>9</v>
      </c>
      <c r="AH972" s="2" t="n">
        <f aca="false">AG971</f>
        <v>9</v>
      </c>
      <c r="AI972" s="10" t="n">
        <f aca="false">X972+Y972*(E972-AB972)-Y972*AD972*Inputs!$B$13*(A972-AC972)</f>
        <v>970.40233796708</v>
      </c>
      <c r="AJ972" s="10" t="n">
        <v>0</v>
      </c>
      <c r="AK972" s="8" t="n">
        <f aca="false">IF(AND(B972&lt;=U972,NOT(Q972)),B972,U972)*(1-Inputs!$B$12)</f>
        <v>0.843659630861729</v>
      </c>
    </row>
    <row r="973" customFormat="false" ht="15" hidden="false" customHeight="false" outlineLevel="0" collapsed="false">
      <c r="A973" s="6" t="n">
        <v>45757</v>
      </c>
      <c r="B973" s="7" t="n">
        <v>0.870773110306884</v>
      </c>
      <c r="C973" s="7" t="n">
        <v>0.878624406879351</v>
      </c>
      <c r="D973" s="7" t="n">
        <v>0.868923623202993</v>
      </c>
      <c r="E973" s="7" t="n">
        <v>0.873609619742741</v>
      </c>
      <c r="F973" s="8" t="n">
        <f aca="true">IF(ROW()-2&gt;=Inputs!$B$4,AVERAGE(OFFSET(E973,1-Inputs!$B$4,0,Inputs!$B$4,1)),"")</f>
        <v>0.865351520766216</v>
      </c>
      <c r="G973" s="8" t="n">
        <f aca="true">IF(ROW()-2&gt;=Inputs!$B$5,AVERAGE(OFFSET(E973,1-Inputs!$B$5,0,Inputs!$B$5,1)),"")</f>
        <v>0.862310824589533</v>
      </c>
      <c r="H973" s="8" t="n">
        <f aca="false">MAX(C973-D973,ABS(C973-E972),ABS(D973-E972))</f>
        <v>0.00970078367635741</v>
      </c>
      <c r="I973" s="8" t="n">
        <f aca="true">IF(ROW()-2&lt;14,"",IF(ROW()-2=14,AVERAGE(OFFSET(H973,-13,0,14,1)),(I972*13+H973)/14))</f>
        <v>0.00851576527833246</v>
      </c>
      <c r="J973" s="9" t="b">
        <f aca="false">IF(AND(ISNUMBER(F973),ISNUMBER(G973),ISNUMBER(F972),ISNUMBER(G972)),AND(F973&gt;G973,F972&lt;=G972),FALSE())</f>
        <v>0</v>
      </c>
      <c r="K973" s="9" t="b">
        <f aca="false">IF(AND(ISNUMBER(F973),ISNUMBER(G973),ISNUMBER(F972),ISNUMBER(G972)),AND(F973&lt;G973,F972&gt;=G972),FALSE())</f>
        <v>0</v>
      </c>
      <c r="L973" s="8" t="n">
        <f aca="false">IF(ISNUMBER(I973),E973-Inputs!$B$6*I973,"")</f>
        <v>0.856578089186076</v>
      </c>
      <c r="M973" s="9" t="b">
        <f aca="false">AND(Y972&gt;0,Z972)</f>
        <v>0</v>
      </c>
      <c r="N973" s="8" t="n">
        <f aca="false">B973*(1-Inputs!$B$12)</f>
        <v>0.870598955684823</v>
      </c>
      <c r="O973" s="10" t="n">
        <f aca="false">IF(M973,Y972*(N973-AB972)-Inputs!$B$9-Y972*AD972*Inputs!$B$13*(A973-AC972),0)</f>
        <v>0</v>
      </c>
      <c r="P973" s="10" t="n">
        <f aca="false">X972+O973</f>
        <v>970.40233796708</v>
      </c>
      <c r="Q973" s="9" t="b">
        <f aca="false">AND(IF(M973,0,Y972)=0,AA972,IF(ISNUMBER(AE972),B973&gt;AE972,FALSE()))</f>
        <v>0</v>
      </c>
      <c r="R973" s="8" t="n">
        <f aca="false">B973*(1+Inputs!$B$12)</f>
        <v>0.870947264928946</v>
      </c>
      <c r="S973" s="11" t="n">
        <f aca="false">IF(Q973,MIN(P973*Inputs!$B$3/(R973-AE972),P973*Inputs!$B$11/R973),0)</f>
        <v>0</v>
      </c>
      <c r="T973" s="11" t="n">
        <f aca="false">IF(Q973,S973,IF(M973,0,Y972))</f>
        <v>0</v>
      </c>
      <c r="U973" s="8" t="n">
        <f aca="false">IF(Q973,AE972,AF972)</f>
        <v>0.843828396541038</v>
      </c>
      <c r="V973" s="9" t="b">
        <f aca="false">AND(T973&gt;0,D973&lt;=U973)</f>
        <v>0</v>
      </c>
      <c r="W973" s="10" t="n">
        <f aca="false">IF(V973,T973*(AK973-AB973)-Inputs!$B$9-T973*AD973*Inputs!$B$13*(A973-AC973),0)</f>
        <v>0</v>
      </c>
      <c r="X973" s="10" t="n">
        <f aca="false">P973-IF(Q973,Inputs!$B$9,0)+W973</f>
        <v>970.40233796708</v>
      </c>
      <c r="Y973" s="11" t="n">
        <f aca="false">IF(V973,0,T973)</f>
        <v>0</v>
      </c>
      <c r="Z973" s="9" t="b">
        <f aca="false">AND(Y973&gt;0,K973)</f>
        <v>0</v>
      </c>
      <c r="AA973" s="9" t="b">
        <f aca="false">AND(Y973=0,J973,ISNUMBER(L973))</f>
        <v>0</v>
      </c>
      <c r="AB973" s="8" t="n">
        <f aca="false">IF(Q973,R973,AB972)</f>
        <v>0.863503444084112</v>
      </c>
      <c r="AC973" s="12" t="n">
        <f aca="false">IF(Q973,A973,AC972)</f>
        <v>45706</v>
      </c>
      <c r="AD973" s="8" t="n">
        <f aca="false">IF(Q973,B973,AD972)</f>
        <v>0.863330777928526</v>
      </c>
      <c r="AE973" s="8" t="str">
        <f aca="false">IF(AA973,L973,"")</f>
        <v/>
      </c>
      <c r="AF973" s="8" t="n">
        <f aca="false">U973</f>
        <v>0.843828396541038</v>
      </c>
      <c r="AG973" s="2" t="n">
        <f aca="false">AG972+IF(Q973,1,0)</f>
        <v>9</v>
      </c>
      <c r="AH973" s="2" t="n">
        <f aca="false">AG972</f>
        <v>9</v>
      </c>
      <c r="AI973" s="10" t="n">
        <f aca="false">X973+Y973*(E973-AB973)-Y973*AD973*Inputs!$B$13*(A973-AC973)</f>
        <v>970.40233796708</v>
      </c>
      <c r="AJ973" s="10" t="n">
        <v>0</v>
      </c>
      <c r="AK973" s="8" t="n">
        <f aca="false">IF(AND(B973&lt;=U973,NOT(Q973)),B973,U973)*(1-Inputs!$B$12)</f>
        <v>0.843659630861729</v>
      </c>
    </row>
    <row r="974" customFormat="false" ht="15" hidden="false" customHeight="false" outlineLevel="0" collapsed="false">
      <c r="A974" s="6" t="n">
        <v>45758</v>
      </c>
      <c r="B974" s="7" t="n">
        <v>0.873609619742741</v>
      </c>
      <c r="C974" s="7" t="n">
        <v>0.881222195880728</v>
      </c>
      <c r="D974" s="7" t="n">
        <v>0.872812330071701</v>
      </c>
      <c r="E974" s="7" t="n">
        <v>0.874813497017666</v>
      </c>
      <c r="F974" s="8" t="n">
        <f aca="true">IF(ROW()-2&gt;=Inputs!$B$4,AVERAGE(OFFSET(E974,1-Inputs!$B$4,0,Inputs!$B$4,1)),"")</f>
        <v>0.865049017833215</v>
      </c>
      <c r="G974" s="8" t="n">
        <f aca="true">IF(ROW()-2&gt;=Inputs!$B$5,AVERAGE(OFFSET(E974,1-Inputs!$B$5,0,Inputs!$B$5,1)),"")</f>
        <v>0.862792685716478</v>
      </c>
      <c r="H974" s="8" t="n">
        <f aca="false">MAX(C974-D974,ABS(C974-E973),ABS(D974-E973))</f>
        <v>0.00840986580902681</v>
      </c>
      <c r="I974" s="8" t="n">
        <f aca="true">IF(ROW()-2&lt;14,"",IF(ROW()-2=14,AVERAGE(OFFSET(H974,-13,0,14,1)),(I973*13+H974)/14))</f>
        <v>0.00850820103052491</v>
      </c>
      <c r="J974" s="9" t="b">
        <f aca="false">IF(AND(ISNUMBER(F974),ISNUMBER(G974),ISNUMBER(F973),ISNUMBER(G973)),AND(F974&gt;G974,F973&lt;=G973),FALSE())</f>
        <v>0</v>
      </c>
      <c r="K974" s="9" t="b">
        <f aca="false">IF(AND(ISNUMBER(F974),ISNUMBER(G974),ISNUMBER(F973),ISNUMBER(G973)),AND(F974&lt;G974,F973&gt;=G973),FALSE())</f>
        <v>0</v>
      </c>
      <c r="L974" s="8" t="n">
        <f aca="false">IF(ISNUMBER(I974),E974-Inputs!$B$6*I974,"")</f>
        <v>0.857797094956616</v>
      </c>
      <c r="M974" s="9" t="b">
        <f aca="false">AND(Y973&gt;0,Z973)</f>
        <v>0</v>
      </c>
      <c r="N974" s="8" t="n">
        <f aca="false">B974*(1-Inputs!$B$12)</f>
        <v>0.873434897818793</v>
      </c>
      <c r="O974" s="10" t="n">
        <f aca="false">IF(M974,Y973*(N974-AB973)-Inputs!$B$9-Y973*AD973*Inputs!$B$13*(A974-AC973),0)</f>
        <v>0</v>
      </c>
      <c r="P974" s="10" t="n">
        <f aca="false">X973+O974</f>
        <v>970.40233796708</v>
      </c>
      <c r="Q974" s="9" t="b">
        <f aca="false">AND(IF(M974,0,Y973)=0,AA973,IF(ISNUMBER(AE973),B974&gt;AE973,FALSE()))</f>
        <v>0</v>
      </c>
      <c r="R974" s="8" t="n">
        <f aca="false">B974*(1+Inputs!$B$12)</f>
        <v>0.87378434166669</v>
      </c>
      <c r="S974" s="11" t="n">
        <f aca="false">IF(Q974,MIN(P974*Inputs!$B$3/(R974-AE973),P974*Inputs!$B$11/R974),0)</f>
        <v>0</v>
      </c>
      <c r="T974" s="11" t="n">
        <f aca="false">IF(Q974,S974,IF(M974,0,Y973))</f>
        <v>0</v>
      </c>
      <c r="U974" s="8" t="n">
        <f aca="false">IF(Q974,AE973,AF973)</f>
        <v>0.843828396541038</v>
      </c>
      <c r="V974" s="9" t="b">
        <f aca="false">AND(T974&gt;0,D974&lt;=U974)</f>
        <v>0</v>
      </c>
      <c r="W974" s="10" t="n">
        <f aca="false">IF(V974,T974*(AK974-AB974)-Inputs!$B$9-T974*AD974*Inputs!$B$13*(A974-AC974),0)</f>
        <v>0</v>
      </c>
      <c r="X974" s="10" t="n">
        <f aca="false">P974-IF(Q974,Inputs!$B$9,0)+W974</f>
        <v>970.40233796708</v>
      </c>
      <c r="Y974" s="11" t="n">
        <f aca="false">IF(V974,0,T974)</f>
        <v>0</v>
      </c>
      <c r="Z974" s="9" t="b">
        <f aca="false">AND(Y974&gt;0,K974)</f>
        <v>0</v>
      </c>
      <c r="AA974" s="9" t="b">
        <f aca="false">AND(Y974=0,J974,ISNUMBER(L974))</f>
        <v>0</v>
      </c>
      <c r="AB974" s="8" t="n">
        <f aca="false">IF(Q974,R974,AB973)</f>
        <v>0.863503444084112</v>
      </c>
      <c r="AC974" s="12" t="n">
        <f aca="false">IF(Q974,A974,AC973)</f>
        <v>45706</v>
      </c>
      <c r="AD974" s="8" t="n">
        <f aca="false">IF(Q974,B974,AD973)</f>
        <v>0.863330777928526</v>
      </c>
      <c r="AE974" s="8" t="str">
        <f aca="false">IF(AA974,L974,"")</f>
        <v/>
      </c>
      <c r="AF974" s="8" t="n">
        <f aca="false">U974</f>
        <v>0.843828396541038</v>
      </c>
      <c r="AG974" s="2" t="n">
        <f aca="false">AG973+IF(Q974,1,0)</f>
        <v>9</v>
      </c>
      <c r="AH974" s="2" t="n">
        <f aca="false">AG973</f>
        <v>9</v>
      </c>
      <c r="AI974" s="10" t="n">
        <f aca="false">X974+Y974*(E974-AB974)-Y974*AD974*Inputs!$B$13*(A974-AC974)</f>
        <v>970.40233796708</v>
      </c>
      <c r="AJ974" s="10" t="n">
        <v>0</v>
      </c>
      <c r="AK974" s="8" t="n">
        <f aca="false">IF(AND(B974&lt;=U974,NOT(Q974)),B974,U974)*(1-Inputs!$B$12)</f>
        <v>0.843659630861729</v>
      </c>
    </row>
    <row r="975" customFormat="false" ht="15" hidden="false" customHeight="false" outlineLevel="0" collapsed="false">
      <c r="A975" s="6" t="n">
        <v>45759</v>
      </c>
      <c r="B975" s="7" t="n">
        <v>0.874813497017666</v>
      </c>
      <c r="C975" s="7" t="n">
        <v>0.877646103855633</v>
      </c>
      <c r="D975" s="7" t="n">
        <v>0.868948915706624</v>
      </c>
      <c r="E975" s="7" t="n">
        <v>0.877503691919005</v>
      </c>
      <c r="F975" s="8" t="n">
        <f aca="true">IF(ROW()-2&gt;=Inputs!$B$4,AVERAGE(OFFSET(E975,1-Inputs!$B$4,0,Inputs!$B$4,1)),"")</f>
        <v>0.864924486656166</v>
      </c>
      <c r="G975" s="8" t="n">
        <f aca="true">IF(ROW()-2&gt;=Inputs!$B$5,AVERAGE(OFFSET(E975,1-Inputs!$B$5,0,Inputs!$B$5,1)),"")</f>
        <v>0.86314876178816</v>
      </c>
      <c r="H975" s="8" t="n">
        <f aca="false">MAX(C975-D975,ABS(C975-E974),ABS(D975-E974))</f>
        <v>0.00869718814900899</v>
      </c>
      <c r="I975" s="8" t="n">
        <f aca="true">IF(ROW()-2&lt;14,"",IF(ROW()-2=14,AVERAGE(OFFSET(H975,-13,0,14,1)),(I974*13+H975)/14))</f>
        <v>0.00852170011041663</v>
      </c>
      <c r="J975" s="9" t="b">
        <f aca="false">IF(AND(ISNUMBER(F975),ISNUMBER(G975),ISNUMBER(F974),ISNUMBER(G974)),AND(F975&gt;G975,F974&lt;=G974),FALSE())</f>
        <v>0</v>
      </c>
      <c r="K975" s="9" t="b">
        <f aca="false">IF(AND(ISNUMBER(F975),ISNUMBER(G975),ISNUMBER(F974),ISNUMBER(G974)),AND(F975&lt;G975,F974&gt;=G974),FALSE())</f>
        <v>0</v>
      </c>
      <c r="L975" s="8" t="n">
        <f aca="false">IF(ISNUMBER(I975),E975-Inputs!$B$6*I975,"")</f>
        <v>0.860460291698172</v>
      </c>
      <c r="M975" s="9" t="b">
        <f aca="false">AND(Y974&gt;0,Z974)</f>
        <v>0</v>
      </c>
      <c r="N975" s="8" t="n">
        <f aca="false">B975*(1-Inputs!$B$12)</f>
        <v>0.874638534318262</v>
      </c>
      <c r="O975" s="10" t="n">
        <f aca="false">IF(M975,Y974*(N975-AB974)-Inputs!$B$9-Y974*AD974*Inputs!$B$13*(A975-AC974),0)</f>
        <v>0</v>
      </c>
      <c r="P975" s="10" t="n">
        <f aca="false">X974+O975</f>
        <v>970.40233796708</v>
      </c>
      <c r="Q975" s="9" t="b">
        <f aca="false">AND(IF(M975,0,Y974)=0,AA974,IF(ISNUMBER(AE974),B975&gt;AE974,FALSE()))</f>
        <v>0</v>
      </c>
      <c r="R975" s="8" t="n">
        <f aca="false">B975*(1+Inputs!$B$12)</f>
        <v>0.874988459717069</v>
      </c>
      <c r="S975" s="11" t="n">
        <f aca="false">IF(Q975,MIN(P975*Inputs!$B$3/(R975-AE974),P975*Inputs!$B$11/R975),0)</f>
        <v>0</v>
      </c>
      <c r="T975" s="11" t="n">
        <f aca="false">IF(Q975,S975,IF(M975,0,Y974))</f>
        <v>0</v>
      </c>
      <c r="U975" s="8" t="n">
        <f aca="false">IF(Q975,AE974,AF974)</f>
        <v>0.843828396541038</v>
      </c>
      <c r="V975" s="9" t="b">
        <f aca="false">AND(T975&gt;0,D975&lt;=U975)</f>
        <v>0</v>
      </c>
      <c r="W975" s="10" t="n">
        <f aca="false">IF(V975,T975*(AK975-AB975)-Inputs!$B$9-T975*AD975*Inputs!$B$13*(A975-AC975),0)</f>
        <v>0</v>
      </c>
      <c r="X975" s="10" t="n">
        <f aca="false">P975-IF(Q975,Inputs!$B$9,0)+W975</f>
        <v>970.40233796708</v>
      </c>
      <c r="Y975" s="11" t="n">
        <f aca="false">IF(V975,0,T975)</f>
        <v>0</v>
      </c>
      <c r="Z975" s="9" t="b">
        <f aca="false">AND(Y975&gt;0,K975)</f>
        <v>0</v>
      </c>
      <c r="AA975" s="9" t="b">
        <f aca="false">AND(Y975=0,J975,ISNUMBER(L975))</f>
        <v>0</v>
      </c>
      <c r="AB975" s="8" t="n">
        <f aca="false">IF(Q975,R975,AB974)</f>
        <v>0.863503444084112</v>
      </c>
      <c r="AC975" s="12" t="n">
        <f aca="false">IF(Q975,A975,AC974)</f>
        <v>45706</v>
      </c>
      <c r="AD975" s="8" t="n">
        <f aca="false">IF(Q975,B975,AD974)</f>
        <v>0.863330777928526</v>
      </c>
      <c r="AE975" s="8" t="str">
        <f aca="false">IF(AA975,L975,"")</f>
        <v/>
      </c>
      <c r="AF975" s="8" t="n">
        <f aca="false">U975</f>
        <v>0.843828396541038</v>
      </c>
      <c r="AG975" s="2" t="n">
        <f aca="false">AG974+IF(Q975,1,0)</f>
        <v>9</v>
      </c>
      <c r="AH975" s="2" t="n">
        <f aca="false">AG974</f>
        <v>9</v>
      </c>
      <c r="AI975" s="10" t="n">
        <f aca="false">X975+Y975*(E975-AB975)-Y975*AD975*Inputs!$B$13*(A975-AC975)</f>
        <v>970.40233796708</v>
      </c>
      <c r="AJ975" s="10" t="n">
        <v>0</v>
      </c>
      <c r="AK975" s="8" t="n">
        <f aca="false">IF(AND(B975&lt;=U975,NOT(Q975)),B975,U975)*(1-Inputs!$B$12)</f>
        <v>0.843659630861729</v>
      </c>
    </row>
    <row r="976" customFormat="false" ht="15" hidden="false" customHeight="false" outlineLevel="0" collapsed="false">
      <c r="A976" s="6" t="n">
        <v>45760</v>
      </c>
      <c r="B976" s="7" t="n">
        <v>0.877503691919005</v>
      </c>
      <c r="C976" s="7" t="n">
        <v>0.882805637888098</v>
      </c>
      <c r="D976" s="7" t="n">
        <v>0.875625806954351</v>
      </c>
      <c r="E976" s="7" t="n">
        <v>0.880269360135596</v>
      </c>
      <c r="F976" s="8" t="n">
        <f aca="true">IF(ROW()-2&gt;=Inputs!$B$4,AVERAGE(OFFSET(E976,1-Inputs!$B$4,0,Inputs!$B$4,1)),"")</f>
        <v>0.864886482819741</v>
      </c>
      <c r="G976" s="8" t="n">
        <f aca="true">IF(ROW()-2&gt;=Inputs!$B$5,AVERAGE(OFFSET(E976,1-Inputs!$B$5,0,Inputs!$B$5,1)),"")</f>
        <v>0.863569177034653</v>
      </c>
      <c r="H976" s="8" t="n">
        <f aca="false">MAX(C976-D976,ABS(C976-E975),ABS(D976-E975))</f>
        <v>0.00717983093374675</v>
      </c>
      <c r="I976" s="8" t="n">
        <f aca="true">IF(ROW()-2&lt;14,"",IF(ROW()-2=14,AVERAGE(OFFSET(H976,-13,0,14,1)),(I975*13+H976)/14))</f>
        <v>0.00842585231208307</v>
      </c>
      <c r="J976" s="9" t="b">
        <f aca="false">IF(AND(ISNUMBER(F976),ISNUMBER(G976),ISNUMBER(F975),ISNUMBER(G975)),AND(F976&gt;G976,F975&lt;=G975),FALSE())</f>
        <v>0</v>
      </c>
      <c r="K976" s="9" t="b">
        <f aca="false">IF(AND(ISNUMBER(F976),ISNUMBER(G976),ISNUMBER(F975),ISNUMBER(G975)),AND(F976&lt;G976,F975&gt;=G975),FALSE())</f>
        <v>0</v>
      </c>
      <c r="L976" s="8" t="n">
        <f aca="false">IF(ISNUMBER(I976),E976-Inputs!$B$6*I976,"")</f>
        <v>0.86341765551143</v>
      </c>
      <c r="M976" s="9" t="b">
        <f aca="false">AND(Y975&gt;0,Z975)</f>
        <v>0</v>
      </c>
      <c r="N976" s="8" t="n">
        <f aca="false">B976*(1-Inputs!$B$12)</f>
        <v>0.877328191180621</v>
      </c>
      <c r="O976" s="10" t="n">
        <f aca="false">IF(M976,Y975*(N976-AB975)-Inputs!$B$9-Y975*AD975*Inputs!$B$13*(A976-AC975),0)</f>
        <v>0</v>
      </c>
      <c r="P976" s="10" t="n">
        <f aca="false">X975+O976</f>
        <v>970.40233796708</v>
      </c>
      <c r="Q976" s="9" t="b">
        <f aca="false">AND(IF(M976,0,Y975)=0,AA975,IF(ISNUMBER(AE975),B976&gt;AE975,FALSE()))</f>
        <v>0</v>
      </c>
      <c r="R976" s="8" t="n">
        <f aca="false">B976*(1+Inputs!$B$12)</f>
        <v>0.877679192657389</v>
      </c>
      <c r="S976" s="11" t="n">
        <f aca="false">IF(Q976,MIN(P976*Inputs!$B$3/(R976-AE975),P976*Inputs!$B$11/R976),0)</f>
        <v>0</v>
      </c>
      <c r="T976" s="11" t="n">
        <f aca="false">IF(Q976,S976,IF(M976,0,Y975))</f>
        <v>0</v>
      </c>
      <c r="U976" s="8" t="n">
        <f aca="false">IF(Q976,AE975,AF975)</f>
        <v>0.843828396541038</v>
      </c>
      <c r="V976" s="9" t="b">
        <f aca="false">AND(T976&gt;0,D976&lt;=U976)</f>
        <v>0</v>
      </c>
      <c r="W976" s="10" t="n">
        <f aca="false">IF(V976,T976*(AK976-AB976)-Inputs!$B$9-T976*AD976*Inputs!$B$13*(A976-AC976),0)</f>
        <v>0</v>
      </c>
      <c r="X976" s="10" t="n">
        <f aca="false">P976-IF(Q976,Inputs!$B$9,0)+W976</f>
        <v>970.40233796708</v>
      </c>
      <c r="Y976" s="11" t="n">
        <f aca="false">IF(V976,0,T976)</f>
        <v>0</v>
      </c>
      <c r="Z976" s="9" t="b">
        <f aca="false">AND(Y976&gt;0,K976)</f>
        <v>0</v>
      </c>
      <c r="AA976" s="9" t="b">
        <f aca="false">AND(Y976=0,J976,ISNUMBER(L976))</f>
        <v>0</v>
      </c>
      <c r="AB976" s="8" t="n">
        <f aca="false">IF(Q976,R976,AB975)</f>
        <v>0.863503444084112</v>
      </c>
      <c r="AC976" s="12" t="n">
        <f aca="false">IF(Q976,A976,AC975)</f>
        <v>45706</v>
      </c>
      <c r="AD976" s="8" t="n">
        <f aca="false">IF(Q976,B976,AD975)</f>
        <v>0.863330777928526</v>
      </c>
      <c r="AE976" s="8" t="str">
        <f aca="false">IF(AA976,L976,"")</f>
        <v/>
      </c>
      <c r="AF976" s="8" t="n">
        <f aca="false">U976</f>
        <v>0.843828396541038</v>
      </c>
      <c r="AG976" s="2" t="n">
        <f aca="false">AG975+IF(Q976,1,0)</f>
        <v>9</v>
      </c>
      <c r="AH976" s="2" t="n">
        <f aca="false">AG975</f>
        <v>9</v>
      </c>
      <c r="AI976" s="10" t="n">
        <f aca="false">X976+Y976*(E976-AB976)-Y976*AD976*Inputs!$B$13*(A976-AC976)</f>
        <v>970.40233796708</v>
      </c>
      <c r="AJ976" s="10" t="n">
        <v>0</v>
      </c>
      <c r="AK976" s="8" t="n">
        <f aca="false">IF(AND(B976&lt;=U976,NOT(Q976)),B976,U976)*(1-Inputs!$B$12)</f>
        <v>0.843659630861729</v>
      </c>
    </row>
    <row r="977" customFormat="false" ht="15" hidden="false" customHeight="false" outlineLevel="0" collapsed="false">
      <c r="A977" s="6" t="n">
        <v>45761</v>
      </c>
      <c r="B977" s="7" t="n">
        <v>0.880269360135596</v>
      </c>
      <c r="C977" s="7" t="n">
        <v>0.881117812003107</v>
      </c>
      <c r="D977" s="7" t="n">
        <v>0.874368957118254</v>
      </c>
      <c r="E977" s="7" t="n">
        <v>0.876812681871115</v>
      </c>
      <c r="F977" s="8" t="n">
        <f aca="true">IF(ROW()-2&gt;=Inputs!$B$4,AVERAGE(OFFSET(E977,1-Inputs!$B$4,0,Inputs!$B$4,1)),"")</f>
        <v>0.865150144568995</v>
      </c>
      <c r="G977" s="8" t="n">
        <f aca="true">IF(ROW()-2&gt;=Inputs!$B$5,AVERAGE(OFFSET(E977,1-Inputs!$B$5,0,Inputs!$B$5,1)),"")</f>
        <v>0.864002145355893</v>
      </c>
      <c r="H977" s="8" t="n">
        <f aca="false">MAX(C977-D977,ABS(C977-E976),ABS(D977-E976))</f>
        <v>0.00674885488485322</v>
      </c>
      <c r="I977" s="8" t="n">
        <f aca="true">IF(ROW()-2&lt;14,"",IF(ROW()-2=14,AVERAGE(OFFSET(H977,-13,0,14,1)),(I976*13+H977)/14))</f>
        <v>0.00830606678156665</v>
      </c>
      <c r="J977" s="9" t="b">
        <f aca="false">IF(AND(ISNUMBER(F977),ISNUMBER(G977),ISNUMBER(F976),ISNUMBER(G976)),AND(F977&gt;G977,F976&lt;=G976),FALSE())</f>
        <v>0</v>
      </c>
      <c r="K977" s="9" t="b">
        <f aca="false">IF(AND(ISNUMBER(F977),ISNUMBER(G977),ISNUMBER(F976),ISNUMBER(G976)),AND(F977&lt;G977,F976&gt;=G976),FALSE())</f>
        <v>0</v>
      </c>
      <c r="L977" s="8" t="n">
        <f aca="false">IF(ISNUMBER(I977),E977-Inputs!$B$6*I977,"")</f>
        <v>0.860200548307982</v>
      </c>
      <c r="M977" s="9" t="b">
        <f aca="false">AND(Y976&gt;0,Z976)</f>
        <v>0</v>
      </c>
      <c r="N977" s="8" t="n">
        <f aca="false">B977*(1-Inputs!$B$12)</f>
        <v>0.880093306263569</v>
      </c>
      <c r="O977" s="10" t="n">
        <f aca="false">IF(M977,Y976*(N977-AB976)-Inputs!$B$9-Y976*AD976*Inputs!$B$13*(A977-AC976),0)</f>
        <v>0</v>
      </c>
      <c r="P977" s="10" t="n">
        <f aca="false">X976+O977</f>
        <v>970.40233796708</v>
      </c>
      <c r="Q977" s="9" t="b">
        <f aca="false">AND(IF(M977,0,Y976)=0,AA976,IF(ISNUMBER(AE976),B977&gt;AE976,FALSE()))</f>
        <v>0</v>
      </c>
      <c r="R977" s="8" t="n">
        <f aca="false">B977*(1+Inputs!$B$12)</f>
        <v>0.880445414007623</v>
      </c>
      <c r="S977" s="11" t="n">
        <f aca="false">IF(Q977,MIN(P977*Inputs!$B$3/(R977-AE976),P977*Inputs!$B$11/R977),0)</f>
        <v>0</v>
      </c>
      <c r="T977" s="11" t="n">
        <f aca="false">IF(Q977,S977,IF(M977,0,Y976))</f>
        <v>0</v>
      </c>
      <c r="U977" s="8" t="n">
        <f aca="false">IF(Q977,AE976,AF976)</f>
        <v>0.843828396541038</v>
      </c>
      <c r="V977" s="9" t="b">
        <f aca="false">AND(T977&gt;0,D977&lt;=U977)</f>
        <v>0</v>
      </c>
      <c r="W977" s="10" t="n">
        <f aca="false">IF(V977,T977*(AK977-AB977)-Inputs!$B$9-T977*AD977*Inputs!$B$13*(A977-AC977),0)</f>
        <v>0</v>
      </c>
      <c r="X977" s="10" t="n">
        <f aca="false">P977-IF(Q977,Inputs!$B$9,0)+W977</f>
        <v>970.40233796708</v>
      </c>
      <c r="Y977" s="11" t="n">
        <f aca="false">IF(V977,0,T977)</f>
        <v>0</v>
      </c>
      <c r="Z977" s="9" t="b">
        <f aca="false">AND(Y977&gt;0,K977)</f>
        <v>0</v>
      </c>
      <c r="AA977" s="9" t="b">
        <f aca="false">AND(Y977=0,J977,ISNUMBER(L977))</f>
        <v>0</v>
      </c>
      <c r="AB977" s="8" t="n">
        <f aca="false">IF(Q977,R977,AB976)</f>
        <v>0.863503444084112</v>
      </c>
      <c r="AC977" s="12" t="n">
        <f aca="false">IF(Q977,A977,AC976)</f>
        <v>45706</v>
      </c>
      <c r="AD977" s="8" t="n">
        <f aca="false">IF(Q977,B977,AD976)</f>
        <v>0.863330777928526</v>
      </c>
      <c r="AE977" s="8" t="str">
        <f aca="false">IF(AA977,L977,"")</f>
        <v/>
      </c>
      <c r="AF977" s="8" t="n">
        <f aca="false">U977</f>
        <v>0.843828396541038</v>
      </c>
      <c r="AG977" s="2" t="n">
        <f aca="false">AG976+IF(Q977,1,0)</f>
        <v>9</v>
      </c>
      <c r="AH977" s="2" t="n">
        <f aca="false">AG976</f>
        <v>9</v>
      </c>
      <c r="AI977" s="10" t="n">
        <f aca="false">X977+Y977*(E977-AB977)-Y977*AD977*Inputs!$B$13*(A977-AC977)</f>
        <v>970.40233796708</v>
      </c>
      <c r="AJ977" s="10" t="n">
        <v>0</v>
      </c>
      <c r="AK977" s="8" t="n">
        <f aca="false">IF(AND(B977&lt;=U977,NOT(Q977)),B977,U977)*(1-Inputs!$B$12)</f>
        <v>0.843659630861729</v>
      </c>
    </row>
    <row r="978" customFormat="false" ht="15" hidden="false" customHeight="false" outlineLevel="0" collapsed="false">
      <c r="A978" s="6" t="n">
        <v>45762</v>
      </c>
      <c r="B978" s="7" t="n">
        <v>0.876812681871115</v>
      </c>
      <c r="C978" s="7" t="n">
        <v>0.880714651407767</v>
      </c>
      <c r="D978" s="7" t="n">
        <v>0.862604900734577</v>
      </c>
      <c r="E978" s="7" t="n">
        <v>0.863271459075402</v>
      </c>
      <c r="F978" s="8" t="n">
        <f aca="true">IF(ROW()-2&gt;=Inputs!$B$4,AVERAGE(OFFSET(E978,1-Inputs!$B$4,0,Inputs!$B$4,1)),"")</f>
        <v>0.864988192296813</v>
      </c>
      <c r="G978" s="8" t="n">
        <f aca="true">IF(ROW()-2&gt;=Inputs!$B$5,AVERAGE(OFFSET(E978,1-Inputs!$B$5,0,Inputs!$B$5,1)),"")</f>
        <v>0.864296009747709</v>
      </c>
      <c r="H978" s="8" t="n">
        <f aca="false">MAX(C978-D978,ABS(C978-E977),ABS(D978-E977))</f>
        <v>0.0181097506731902</v>
      </c>
      <c r="I978" s="8" t="n">
        <f aca="true">IF(ROW()-2&lt;14,"",IF(ROW()-2=14,AVERAGE(OFFSET(H978,-13,0,14,1)),(I977*13+H978)/14))</f>
        <v>0.00900632991668262</v>
      </c>
      <c r="J978" s="9" t="b">
        <f aca="false">IF(AND(ISNUMBER(F978),ISNUMBER(G978),ISNUMBER(F977),ISNUMBER(G977)),AND(F978&gt;G978,F977&lt;=G977),FALSE())</f>
        <v>0</v>
      </c>
      <c r="K978" s="9" t="b">
        <f aca="false">IF(AND(ISNUMBER(F978),ISNUMBER(G978),ISNUMBER(F977),ISNUMBER(G977)),AND(F978&lt;G978,F977&gt;=G977),FALSE())</f>
        <v>0</v>
      </c>
      <c r="L978" s="8" t="n">
        <f aca="false">IF(ISNUMBER(I978),E978-Inputs!$B$6*I978,"")</f>
        <v>0.845258799242037</v>
      </c>
      <c r="M978" s="9" t="b">
        <f aca="false">AND(Y977&gt;0,Z977)</f>
        <v>0</v>
      </c>
      <c r="N978" s="8" t="n">
        <f aca="false">B978*(1-Inputs!$B$12)</f>
        <v>0.876637319334741</v>
      </c>
      <c r="O978" s="10" t="n">
        <f aca="false">IF(M978,Y977*(N978-AB977)-Inputs!$B$9-Y977*AD977*Inputs!$B$13*(A978-AC977),0)</f>
        <v>0</v>
      </c>
      <c r="P978" s="10" t="n">
        <f aca="false">X977+O978</f>
        <v>970.40233796708</v>
      </c>
      <c r="Q978" s="9" t="b">
        <f aca="false">AND(IF(M978,0,Y977)=0,AA977,IF(ISNUMBER(AE977),B978&gt;AE977,FALSE()))</f>
        <v>0</v>
      </c>
      <c r="R978" s="8" t="n">
        <f aca="false">B978*(1+Inputs!$B$12)</f>
        <v>0.87698804440749</v>
      </c>
      <c r="S978" s="11" t="n">
        <f aca="false">IF(Q978,MIN(P978*Inputs!$B$3/(R978-AE977),P978*Inputs!$B$11/R978),0)</f>
        <v>0</v>
      </c>
      <c r="T978" s="11" t="n">
        <f aca="false">IF(Q978,S978,IF(M978,0,Y977))</f>
        <v>0</v>
      </c>
      <c r="U978" s="8" t="n">
        <f aca="false">IF(Q978,AE977,AF977)</f>
        <v>0.843828396541038</v>
      </c>
      <c r="V978" s="9" t="b">
        <f aca="false">AND(T978&gt;0,D978&lt;=U978)</f>
        <v>0</v>
      </c>
      <c r="W978" s="10" t="n">
        <f aca="false">IF(V978,T978*(AK978-AB978)-Inputs!$B$9-T978*AD978*Inputs!$B$13*(A978-AC978),0)</f>
        <v>0</v>
      </c>
      <c r="X978" s="10" t="n">
        <f aca="false">P978-IF(Q978,Inputs!$B$9,0)+W978</f>
        <v>970.40233796708</v>
      </c>
      <c r="Y978" s="11" t="n">
        <f aca="false">IF(V978,0,T978)</f>
        <v>0</v>
      </c>
      <c r="Z978" s="9" t="b">
        <f aca="false">AND(Y978&gt;0,K978)</f>
        <v>0</v>
      </c>
      <c r="AA978" s="9" t="b">
        <f aca="false">AND(Y978=0,J978,ISNUMBER(L978))</f>
        <v>0</v>
      </c>
      <c r="AB978" s="8" t="n">
        <f aca="false">IF(Q978,R978,AB977)</f>
        <v>0.863503444084112</v>
      </c>
      <c r="AC978" s="12" t="n">
        <f aca="false">IF(Q978,A978,AC977)</f>
        <v>45706</v>
      </c>
      <c r="AD978" s="8" t="n">
        <f aca="false">IF(Q978,B978,AD977)</f>
        <v>0.863330777928526</v>
      </c>
      <c r="AE978" s="8" t="str">
        <f aca="false">IF(AA978,L978,"")</f>
        <v/>
      </c>
      <c r="AF978" s="8" t="n">
        <f aca="false">U978</f>
        <v>0.843828396541038</v>
      </c>
      <c r="AG978" s="2" t="n">
        <f aca="false">AG977+IF(Q978,1,0)</f>
        <v>9</v>
      </c>
      <c r="AH978" s="2" t="n">
        <f aca="false">AG977</f>
        <v>9</v>
      </c>
      <c r="AI978" s="10" t="n">
        <f aca="false">X978+Y978*(E978-AB978)-Y978*AD978*Inputs!$B$13*(A978-AC978)</f>
        <v>970.40233796708</v>
      </c>
      <c r="AJ978" s="10" t="n">
        <v>0</v>
      </c>
      <c r="AK978" s="8" t="n">
        <f aca="false">IF(AND(B978&lt;=U978,NOT(Q978)),B978,U978)*(1-Inputs!$B$12)</f>
        <v>0.843659630861729</v>
      </c>
    </row>
    <row r="979" customFormat="false" ht="15" hidden="false" customHeight="false" outlineLevel="0" collapsed="false">
      <c r="A979" s="6" t="n">
        <v>45763</v>
      </c>
      <c r="B979" s="7" t="n">
        <v>0.863271459075402</v>
      </c>
      <c r="C979" s="7" t="n">
        <v>0.864084098953563</v>
      </c>
      <c r="D979" s="7" t="n">
        <v>0.859558486210371</v>
      </c>
      <c r="E979" s="7" t="n">
        <v>0.860529466506465</v>
      </c>
      <c r="F979" s="8" t="n">
        <f aca="true">IF(ROW()-2&gt;=Inputs!$B$4,AVERAGE(OFFSET(E979,1-Inputs!$B$4,0,Inputs!$B$4,1)),"")</f>
        <v>0.864719800104438</v>
      </c>
      <c r="G979" s="8" t="n">
        <f aca="true">IF(ROW()-2&gt;=Inputs!$B$5,AVERAGE(OFFSET(E979,1-Inputs!$B$5,0,Inputs!$B$5,1)),"")</f>
        <v>0.864475276311891</v>
      </c>
      <c r="H979" s="8" t="n">
        <f aca="false">MAX(C979-D979,ABS(C979-E978),ABS(D979-E978))</f>
        <v>0.00452561274319163</v>
      </c>
      <c r="I979" s="8" t="n">
        <f aca="true">IF(ROW()-2&lt;14,"",IF(ROW()-2=14,AVERAGE(OFFSET(H979,-13,0,14,1)),(I978*13+H979)/14))</f>
        <v>0.00868627869000469</v>
      </c>
      <c r="J979" s="9" t="b">
        <f aca="false">IF(AND(ISNUMBER(F979),ISNUMBER(G979),ISNUMBER(F978),ISNUMBER(G978)),AND(F979&gt;G979,F978&lt;=G978),FALSE())</f>
        <v>0</v>
      </c>
      <c r="K979" s="9" t="b">
        <f aca="false">IF(AND(ISNUMBER(F979),ISNUMBER(G979),ISNUMBER(F978),ISNUMBER(G978)),AND(F979&lt;G979,F978&gt;=G978),FALSE())</f>
        <v>0</v>
      </c>
      <c r="L979" s="8" t="n">
        <f aca="false">IF(ISNUMBER(I979),E979-Inputs!$B$6*I979,"")</f>
        <v>0.843156909126455</v>
      </c>
      <c r="M979" s="9" t="b">
        <f aca="false">AND(Y978&gt;0,Z978)</f>
        <v>0</v>
      </c>
      <c r="N979" s="8" t="n">
        <f aca="false">B979*(1-Inputs!$B$12)</f>
        <v>0.863098804783587</v>
      </c>
      <c r="O979" s="10" t="n">
        <f aca="false">IF(M979,Y978*(N979-AB978)-Inputs!$B$9-Y978*AD978*Inputs!$B$13*(A979-AC978),0)</f>
        <v>0</v>
      </c>
      <c r="P979" s="10" t="n">
        <f aca="false">X978+O979</f>
        <v>970.40233796708</v>
      </c>
      <c r="Q979" s="9" t="b">
        <f aca="false">AND(IF(M979,0,Y978)=0,AA978,IF(ISNUMBER(AE978),B979&gt;AE978,FALSE()))</f>
        <v>0</v>
      </c>
      <c r="R979" s="8" t="n">
        <f aca="false">B979*(1+Inputs!$B$12)</f>
        <v>0.863444113367217</v>
      </c>
      <c r="S979" s="11" t="n">
        <f aca="false">IF(Q979,MIN(P979*Inputs!$B$3/(R979-AE978),P979*Inputs!$B$11/R979),0)</f>
        <v>0</v>
      </c>
      <c r="T979" s="11" t="n">
        <f aca="false">IF(Q979,S979,IF(M979,0,Y978))</f>
        <v>0</v>
      </c>
      <c r="U979" s="8" t="n">
        <f aca="false">IF(Q979,AE978,AF978)</f>
        <v>0.843828396541038</v>
      </c>
      <c r="V979" s="9" t="b">
        <f aca="false">AND(T979&gt;0,D979&lt;=U979)</f>
        <v>0</v>
      </c>
      <c r="W979" s="10" t="n">
        <f aca="false">IF(V979,T979*(AK979-AB979)-Inputs!$B$9-T979*AD979*Inputs!$B$13*(A979-AC979),0)</f>
        <v>0</v>
      </c>
      <c r="X979" s="10" t="n">
        <f aca="false">P979-IF(Q979,Inputs!$B$9,0)+W979</f>
        <v>970.40233796708</v>
      </c>
      <c r="Y979" s="11" t="n">
        <f aca="false">IF(V979,0,T979)</f>
        <v>0</v>
      </c>
      <c r="Z979" s="9" t="b">
        <f aca="false">AND(Y979&gt;0,K979)</f>
        <v>0</v>
      </c>
      <c r="AA979" s="9" t="b">
        <f aca="false">AND(Y979=0,J979,ISNUMBER(L979))</f>
        <v>0</v>
      </c>
      <c r="AB979" s="8" t="n">
        <f aca="false">IF(Q979,R979,AB978)</f>
        <v>0.863503444084112</v>
      </c>
      <c r="AC979" s="12" t="n">
        <f aca="false">IF(Q979,A979,AC978)</f>
        <v>45706</v>
      </c>
      <c r="AD979" s="8" t="n">
        <f aca="false">IF(Q979,B979,AD978)</f>
        <v>0.863330777928526</v>
      </c>
      <c r="AE979" s="8" t="str">
        <f aca="false">IF(AA979,L979,"")</f>
        <v/>
      </c>
      <c r="AF979" s="8" t="n">
        <f aca="false">U979</f>
        <v>0.843828396541038</v>
      </c>
      <c r="AG979" s="2" t="n">
        <f aca="false">AG978+IF(Q979,1,0)</f>
        <v>9</v>
      </c>
      <c r="AH979" s="2" t="n">
        <f aca="false">AG978</f>
        <v>9</v>
      </c>
      <c r="AI979" s="10" t="n">
        <f aca="false">X979+Y979*(E979-AB979)-Y979*AD979*Inputs!$B$13*(A979-AC979)</f>
        <v>970.40233796708</v>
      </c>
      <c r="AJ979" s="10" t="n">
        <v>0</v>
      </c>
      <c r="AK979" s="8" t="n">
        <f aca="false">IF(AND(B979&lt;=U979,NOT(Q979)),B979,U979)*(1-Inputs!$B$12)</f>
        <v>0.843659630861729</v>
      </c>
    </row>
    <row r="980" customFormat="false" ht="15" hidden="false" customHeight="false" outlineLevel="0" collapsed="false">
      <c r="A980" s="6" t="n">
        <v>45764</v>
      </c>
      <c r="B980" s="7" t="n">
        <v>0.860529466506465</v>
      </c>
      <c r="C980" s="7" t="n">
        <v>0.86566111537745</v>
      </c>
      <c r="D980" s="7" t="n">
        <v>0.854604208299297</v>
      </c>
      <c r="E980" s="7" t="n">
        <v>0.8547471784228</v>
      </c>
      <c r="F980" s="8" t="n">
        <f aca="true">IF(ROW()-2&gt;=Inputs!$B$4,AVERAGE(OFFSET(E980,1-Inputs!$B$4,0,Inputs!$B$4,1)),"")</f>
        <v>0.864117956525163</v>
      </c>
      <c r="G980" s="8" t="n">
        <f aca="true">IF(ROW()-2&gt;=Inputs!$B$5,AVERAGE(OFFSET(E980,1-Inputs!$B$5,0,Inputs!$B$5,1)),"")</f>
        <v>0.864357715548463</v>
      </c>
      <c r="H980" s="8" t="n">
        <f aca="false">MAX(C980-D980,ABS(C980-E979),ABS(D980-E979))</f>
        <v>0.0110569070781535</v>
      </c>
      <c r="I980" s="8" t="n">
        <f aca="true">IF(ROW()-2&lt;14,"",IF(ROW()-2=14,AVERAGE(OFFSET(H980,-13,0,14,1)),(I979*13+H980)/14))</f>
        <v>0.00885560928915818</v>
      </c>
      <c r="J980" s="9" t="b">
        <f aca="false">IF(AND(ISNUMBER(F980),ISNUMBER(G980),ISNUMBER(F979),ISNUMBER(G979)),AND(F980&gt;G980,F979&lt;=G979),FALSE())</f>
        <v>0</v>
      </c>
      <c r="K980" s="9" t="b">
        <f aca="false">IF(AND(ISNUMBER(F980),ISNUMBER(G980),ISNUMBER(F979),ISNUMBER(G979)),AND(F980&lt;G980,F979&gt;=G979),FALSE())</f>
        <v>1</v>
      </c>
      <c r="L980" s="8" t="n">
        <f aca="false">IF(ISNUMBER(I980),E980-Inputs!$B$6*I980,"")</f>
        <v>0.837035959844483</v>
      </c>
      <c r="M980" s="9" t="b">
        <f aca="false">AND(Y979&gt;0,Z979)</f>
        <v>0</v>
      </c>
      <c r="N980" s="8" t="n">
        <f aca="false">B980*(1-Inputs!$B$12)</f>
        <v>0.860357360613164</v>
      </c>
      <c r="O980" s="10" t="n">
        <f aca="false">IF(M980,Y979*(N980-AB979)-Inputs!$B$9-Y979*AD979*Inputs!$B$13*(A980-AC979),0)</f>
        <v>0</v>
      </c>
      <c r="P980" s="10" t="n">
        <f aca="false">X979+O980</f>
        <v>970.40233796708</v>
      </c>
      <c r="Q980" s="9" t="b">
        <f aca="false">AND(IF(M980,0,Y979)=0,AA979,IF(ISNUMBER(AE979),B980&gt;AE979,FALSE()))</f>
        <v>0</v>
      </c>
      <c r="R980" s="8" t="n">
        <f aca="false">B980*(1+Inputs!$B$12)</f>
        <v>0.860701572399766</v>
      </c>
      <c r="S980" s="11" t="n">
        <f aca="false">IF(Q980,MIN(P980*Inputs!$B$3/(R980-AE979),P980*Inputs!$B$11/R980),0)</f>
        <v>0</v>
      </c>
      <c r="T980" s="11" t="n">
        <f aca="false">IF(Q980,S980,IF(M980,0,Y979))</f>
        <v>0</v>
      </c>
      <c r="U980" s="8" t="n">
        <f aca="false">IF(Q980,AE979,AF979)</f>
        <v>0.843828396541038</v>
      </c>
      <c r="V980" s="9" t="b">
        <f aca="false">AND(T980&gt;0,D980&lt;=U980)</f>
        <v>0</v>
      </c>
      <c r="W980" s="10" t="n">
        <f aca="false">IF(V980,T980*(AK980-AB980)-Inputs!$B$9-T980*AD980*Inputs!$B$13*(A980-AC980),0)</f>
        <v>0</v>
      </c>
      <c r="X980" s="10" t="n">
        <f aca="false">P980-IF(Q980,Inputs!$B$9,0)+W980</f>
        <v>970.40233796708</v>
      </c>
      <c r="Y980" s="11" t="n">
        <f aca="false">IF(V980,0,T980)</f>
        <v>0</v>
      </c>
      <c r="Z980" s="9" t="b">
        <f aca="false">AND(Y980&gt;0,K980)</f>
        <v>0</v>
      </c>
      <c r="AA980" s="9" t="b">
        <f aca="false">AND(Y980=0,J980,ISNUMBER(L980))</f>
        <v>0</v>
      </c>
      <c r="AB980" s="8" t="n">
        <f aca="false">IF(Q980,R980,AB979)</f>
        <v>0.863503444084112</v>
      </c>
      <c r="AC980" s="12" t="n">
        <f aca="false">IF(Q980,A980,AC979)</f>
        <v>45706</v>
      </c>
      <c r="AD980" s="8" t="n">
        <f aca="false">IF(Q980,B980,AD979)</f>
        <v>0.863330777928526</v>
      </c>
      <c r="AE980" s="8" t="str">
        <f aca="false">IF(AA980,L980,"")</f>
        <v/>
      </c>
      <c r="AF980" s="8" t="n">
        <f aca="false">U980</f>
        <v>0.843828396541038</v>
      </c>
      <c r="AG980" s="2" t="n">
        <f aca="false">AG979+IF(Q980,1,0)</f>
        <v>9</v>
      </c>
      <c r="AH980" s="2" t="n">
        <f aca="false">AG979</f>
        <v>9</v>
      </c>
      <c r="AI980" s="10" t="n">
        <f aca="false">X980+Y980*(E980-AB980)-Y980*AD980*Inputs!$B$13*(A980-AC980)</f>
        <v>970.40233796708</v>
      </c>
      <c r="AJ980" s="10" t="n">
        <v>0</v>
      </c>
      <c r="AK980" s="8" t="n">
        <f aca="false">IF(AND(B980&lt;=U980,NOT(Q980)),B980,U980)*(1-Inputs!$B$12)</f>
        <v>0.843659630861729</v>
      </c>
    </row>
    <row r="981" customFormat="false" ht="15" hidden="false" customHeight="false" outlineLevel="0" collapsed="false">
      <c r="A981" s="6" t="n">
        <v>45765</v>
      </c>
      <c r="B981" s="7" t="n">
        <v>0.8547471784228</v>
      </c>
      <c r="C981" s="7" t="n">
        <v>0.86180557908871</v>
      </c>
      <c r="D981" s="7" t="n">
        <v>0.853657655892143</v>
      </c>
      <c r="E981" s="7" t="n">
        <v>0.859896824245638</v>
      </c>
      <c r="F981" s="8" t="n">
        <f aca="true">IF(ROW()-2&gt;=Inputs!$B$4,AVERAGE(OFFSET(E981,1-Inputs!$B$4,0,Inputs!$B$4,1)),"")</f>
        <v>0.863833679548017</v>
      </c>
      <c r="G981" s="8" t="n">
        <f aca="true">IF(ROW()-2&gt;=Inputs!$B$5,AVERAGE(OFFSET(E981,1-Inputs!$B$5,0,Inputs!$B$5,1)),"")</f>
        <v>0.864453098073403</v>
      </c>
      <c r="H981" s="8" t="n">
        <f aca="false">MAX(C981-D981,ABS(C981-E980),ABS(D981-E980))</f>
        <v>0.00814792319656699</v>
      </c>
      <c r="I981" s="8" t="n">
        <f aca="true">IF(ROW()-2&lt;14,"",IF(ROW()-2=14,AVERAGE(OFFSET(H981,-13,0,14,1)),(I980*13+H981)/14))</f>
        <v>0.00880506028254452</v>
      </c>
      <c r="J981" s="9" t="b">
        <f aca="false">IF(AND(ISNUMBER(F981),ISNUMBER(G981),ISNUMBER(F980),ISNUMBER(G980)),AND(F981&gt;G981,F980&lt;=G980),FALSE())</f>
        <v>0</v>
      </c>
      <c r="K981" s="9" t="b">
        <f aca="false">IF(AND(ISNUMBER(F981),ISNUMBER(G981),ISNUMBER(F980),ISNUMBER(G980)),AND(F981&lt;G981,F980&gt;=G980),FALSE())</f>
        <v>0</v>
      </c>
      <c r="L981" s="8" t="n">
        <f aca="false">IF(ISNUMBER(I981),E981-Inputs!$B$6*I981,"")</f>
        <v>0.842286703680549</v>
      </c>
      <c r="M981" s="9" t="b">
        <f aca="false">AND(Y980&gt;0,Z980)</f>
        <v>0</v>
      </c>
      <c r="N981" s="8" t="n">
        <f aca="false">B981*(1-Inputs!$B$12)</f>
        <v>0.854576228987115</v>
      </c>
      <c r="O981" s="10" t="n">
        <f aca="false">IF(M981,Y980*(N981-AB980)-Inputs!$B$9-Y980*AD980*Inputs!$B$13*(A981-AC980),0)</f>
        <v>0</v>
      </c>
      <c r="P981" s="10" t="n">
        <f aca="false">X980+O981</f>
        <v>970.40233796708</v>
      </c>
      <c r="Q981" s="9" t="b">
        <f aca="false">AND(IF(M981,0,Y980)=0,AA980,IF(ISNUMBER(AE980),B981&gt;AE980,FALSE()))</f>
        <v>0</v>
      </c>
      <c r="R981" s="8" t="n">
        <f aca="false">B981*(1+Inputs!$B$12)</f>
        <v>0.854918127858484</v>
      </c>
      <c r="S981" s="11" t="n">
        <f aca="false">IF(Q981,MIN(P981*Inputs!$B$3/(R981-AE980),P981*Inputs!$B$11/R981),0)</f>
        <v>0</v>
      </c>
      <c r="T981" s="11" t="n">
        <f aca="false">IF(Q981,S981,IF(M981,0,Y980))</f>
        <v>0</v>
      </c>
      <c r="U981" s="8" t="n">
        <f aca="false">IF(Q981,AE980,AF980)</f>
        <v>0.843828396541038</v>
      </c>
      <c r="V981" s="9" t="b">
        <f aca="false">AND(T981&gt;0,D981&lt;=U981)</f>
        <v>0</v>
      </c>
      <c r="W981" s="10" t="n">
        <f aca="false">IF(V981,T981*(AK981-AB981)-Inputs!$B$9-T981*AD981*Inputs!$B$13*(A981-AC981),0)</f>
        <v>0</v>
      </c>
      <c r="X981" s="10" t="n">
        <f aca="false">P981-IF(Q981,Inputs!$B$9,0)+W981</f>
        <v>970.40233796708</v>
      </c>
      <c r="Y981" s="11" t="n">
        <f aca="false">IF(V981,0,T981)</f>
        <v>0</v>
      </c>
      <c r="Z981" s="9" t="b">
        <f aca="false">AND(Y981&gt;0,K981)</f>
        <v>0</v>
      </c>
      <c r="AA981" s="9" t="b">
        <f aca="false">AND(Y981=0,J981,ISNUMBER(L981))</f>
        <v>0</v>
      </c>
      <c r="AB981" s="8" t="n">
        <f aca="false">IF(Q981,R981,AB980)</f>
        <v>0.863503444084112</v>
      </c>
      <c r="AC981" s="12" t="n">
        <f aca="false">IF(Q981,A981,AC980)</f>
        <v>45706</v>
      </c>
      <c r="AD981" s="8" t="n">
        <f aca="false">IF(Q981,B981,AD980)</f>
        <v>0.863330777928526</v>
      </c>
      <c r="AE981" s="8" t="str">
        <f aca="false">IF(AA981,L981,"")</f>
        <v/>
      </c>
      <c r="AF981" s="8" t="n">
        <f aca="false">U981</f>
        <v>0.843828396541038</v>
      </c>
      <c r="AG981" s="2" t="n">
        <f aca="false">AG980+IF(Q981,1,0)</f>
        <v>9</v>
      </c>
      <c r="AH981" s="2" t="n">
        <f aca="false">AG980</f>
        <v>9</v>
      </c>
      <c r="AI981" s="10" t="n">
        <f aca="false">X981+Y981*(E981-AB981)-Y981*AD981*Inputs!$B$13*(A981-AC981)</f>
        <v>970.40233796708</v>
      </c>
      <c r="AJ981" s="10" t="n">
        <v>0</v>
      </c>
      <c r="AK981" s="8" t="n">
        <f aca="false">IF(AND(B981&lt;=U981,NOT(Q981)),B981,U981)*(1-Inputs!$B$12)</f>
        <v>0.843659630861729</v>
      </c>
    </row>
    <row r="982" customFormat="false" ht="15" hidden="false" customHeight="false" outlineLevel="0" collapsed="false">
      <c r="A982" s="6" t="n">
        <v>45766</v>
      </c>
      <c r="B982" s="7" t="n">
        <v>0.859896824245638</v>
      </c>
      <c r="C982" s="7" t="n">
        <v>0.865670543192495</v>
      </c>
      <c r="D982" s="7" t="n">
        <v>0.847685342562277</v>
      </c>
      <c r="E982" s="7" t="n">
        <v>0.850257655818113</v>
      </c>
      <c r="F982" s="8" t="n">
        <f aca="true">IF(ROW()-2&gt;=Inputs!$B$4,AVERAGE(OFFSET(E982,1-Inputs!$B$4,0,Inputs!$B$4,1)),"")</f>
        <v>0.86338168668698</v>
      </c>
      <c r="G982" s="8" t="n">
        <f aca="true">IF(ROW()-2&gt;=Inputs!$B$5,AVERAGE(OFFSET(E982,1-Inputs!$B$5,0,Inputs!$B$5,1)),"")</f>
        <v>0.864334350025025</v>
      </c>
      <c r="H982" s="8" t="n">
        <f aca="false">MAX(C982-D982,ABS(C982-E981),ABS(D982-E981))</f>
        <v>0.0179852006302179</v>
      </c>
      <c r="I982" s="8" t="n">
        <f aca="true">IF(ROW()-2&lt;14,"",IF(ROW()-2=14,AVERAGE(OFFSET(H982,-13,0,14,1)),(I981*13+H982)/14))</f>
        <v>0.00946078459309262</v>
      </c>
      <c r="J982" s="9" t="b">
        <f aca="false">IF(AND(ISNUMBER(F982),ISNUMBER(G982),ISNUMBER(F981),ISNUMBER(G981)),AND(F982&gt;G982,F981&lt;=G981),FALSE())</f>
        <v>0</v>
      </c>
      <c r="K982" s="9" t="b">
        <f aca="false">IF(AND(ISNUMBER(F982),ISNUMBER(G982),ISNUMBER(F981),ISNUMBER(G981)),AND(F982&lt;G982,F981&gt;=G981),FALSE())</f>
        <v>0</v>
      </c>
      <c r="L982" s="8" t="n">
        <f aca="false">IF(ISNUMBER(I982),E982-Inputs!$B$6*I982,"")</f>
        <v>0.831336086631928</v>
      </c>
      <c r="M982" s="9" t="b">
        <f aca="false">AND(Y981&gt;0,Z981)</f>
        <v>0</v>
      </c>
      <c r="N982" s="8" t="n">
        <f aca="false">B982*(1-Inputs!$B$12)</f>
        <v>0.859724844880789</v>
      </c>
      <c r="O982" s="10" t="n">
        <f aca="false">IF(M982,Y981*(N982-AB981)-Inputs!$B$9-Y981*AD981*Inputs!$B$13*(A982-AC981),0)</f>
        <v>0</v>
      </c>
      <c r="P982" s="10" t="n">
        <f aca="false">X981+O982</f>
        <v>970.40233796708</v>
      </c>
      <c r="Q982" s="9" t="b">
        <f aca="false">AND(IF(M982,0,Y981)=0,AA981,IF(ISNUMBER(AE981),B982&gt;AE981,FALSE()))</f>
        <v>0</v>
      </c>
      <c r="R982" s="8" t="n">
        <f aca="false">B982*(1+Inputs!$B$12)</f>
        <v>0.860068803610487</v>
      </c>
      <c r="S982" s="11" t="n">
        <f aca="false">IF(Q982,MIN(P982*Inputs!$B$3/(R982-AE981),P982*Inputs!$B$11/R982),0)</f>
        <v>0</v>
      </c>
      <c r="T982" s="11" t="n">
        <f aca="false">IF(Q982,S982,IF(M982,0,Y981))</f>
        <v>0</v>
      </c>
      <c r="U982" s="8" t="n">
        <f aca="false">IF(Q982,AE981,AF981)</f>
        <v>0.843828396541038</v>
      </c>
      <c r="V982" s="9" t="b">
        <f aca="false">AND(T982&gt;0,D982&lt;=U982)</f>
        <v>0</v>
      </c>
      <c r="W982" s="10" t="n">
        <f aca="false">IF(V982,T982*(AK982-AB982)-Inputs!$B$9-T982*AD982*Inputs!$B$13*(A982-AC982),0)</f>
        <v>0</v>
      </c>
      <c r="X982" s="10" t="n">
        <f aca="false">P982-IF(Q982,Inputs!$B$9,0)+W982</f>
        <v>970.40233796708</v>
      </c>
      <c r="Y982" s="11" t="n">
        <f aca="false">IF(V982,0,T982)</f>
        <v>0</v>
      </c>
      <c r="Z982" s="9" t="b">
        <f aca="false">AND(Y982&gt;0,K982)</f>
        <v>0</v>
      </c>
      <c r="AA982" s="9" t="b">
        <f aca="false">AND(Y982=0,J982,ISNUMBER(L982))</f>
        <v>0</v>
      </c>
      <c r="AB982" s="8" t="n">
        <f aca="false">IF(Q982,R982,AB981)</f>
        <v>0.863503444084112</v>
      </c>
      <c r="AC982" s="12" t="n">
        <f aca="false">IF(Q982,A982,AC981)</f>
        <v>45706</v>
      </c>
      <c r="AD982" s="8" t="n">
        <f aca="false">IF(Q982,B982,AD981)</f>
        <v>0.863330777928526</v>
      </c>
      <c r="AE982" s="8" t="str">
        <f aca="false">IF(AA982,L982,"")</f>
        <v/>
      </c>
      <c r="AF982" s="8" t="n">
        <f aca="false">U982</f>
        <v>0.843828396541038</v>
      </c>
      <c r="AG982" s="2" t="n">
        <f aca="false">AG981+IF(Q982,1,0)</f>
        <v>9</v>
      </c>
      <c r="AH982" s="2" t="n">
        <f aca="false">AG981</f>
        <v>9</v>
      </c>
      <c r="AI982" s="10" t="n">
        <f aca="false">X982+Y982*(E982-AB982)-Y982*AD982*Inputs!$B$13*(A982-AC982)</f>
        <v>970.40233796708</v>
      </c>
      <c r="AJ982" s="10" t="n">
        <v>0</v>
      </c>
      <c r="AK982" s="8" t="n">
        <f aca="false">IF(AND(B982&lt;=U982,NOT(Q982)),B982,U982)*(1-Inputs!$B$12)</f>
        <v>0.843659630861729</v>
      </c>
    </row>
    <row r="983" customFormat="false" ht="15" hidden="false" customHeight="false" outlineLevel="0" collapsed="false">
      <c r="A983" s="6" t="n">
        <v>45767</v>
      </c>
      <c r="B983" s="7" t="n">
        <v>0.850257655818113</v>
      </c>
      <c r="C983" s="7" t="n">
        <v>0.853108215235163</v>
      </c>
      <c r="D983" s="7" t="n">
        <v>0.846017086687201</v>
      </c>
      <c r="E983" s="7" t="n">
        <v>0.84723546007996</v>
      </c>
      <c r="F983" s="8" t="n">
        <f aca="true">IF(ROW()-2&gt;=Inputs!$B$4,AVERAGE(OFFSET(E983,1-Inputs!$B$4,0,Inputs!$B$4,1)),"")</f>
        <v>0.862693631942608</v>
      </c>
      <c r="G983" s="8" t="n">
        <f aca="true">IF(ROW()-2&gt;=Inputs!$B$5,AVERAGE(OFFSET(E983,1-Inputs!$B$5,0,Inputs!$B$5,1)),"")</f>
        <v>0.864054666721742</v>
      </c>
      <c r="H983" s="8" t="n">
        <f aca="false">MAX(C983-D983,ABS(C983-E982),ABS(D983-E982))</f>
        <v>0.00709112854796157</v>
      </c>
      <c r="I983" s="8" t="n">
        <f aca="true">IF(ROW()-2&lt;14,"",IF(ROW()-2=14,AVERAGE(OFFSET(H983,-13,0,14,1)),(I982*13+H983)/14))</f>
        <v>0.00929152344701183</v>
      </c>
      <c r="J983" s="9" t="b">
        <f aca="false">IF(AND(ISNUMBER(F983),ISNUMBER(G983),ISNUMBER(F982),ISNUMBER(G982)),AND(F983&gt;G983,F982&lt;=G982),FALSE())</f>
        <v>0</v>
      </c>
      <c r="K983" s="9" t="b">
        <f aca="false">IF(AND(ISNUMBER(F983),ISNUMBER(G983),ISNUMBER(F982),ISNUMBER(G982)),AND(F983&lt;G983,F982&gt;=G982),FALSE())</f>
        <v>0</v>
      </c>
      <c r="L983" s="8" t="n">
        <f aca="false">IF(ISNUMBER(I983),E983-Inputs!$B$6*I983,"")</f>
        <v>0.828652413185937</v>
      </c>
      <c r="M983" s="9" t="b">
        <f aca="false">AND(Y982&gt;0,Z982)</f>
        <v>0</v>
      </c>
      <c r="N983" s="8" t="n">
        <f aca="false">B983*(1-Inputs!$B$12)</f>
        <v>0.85008760428695</v>
      </c>
      <c r="O983" s="10" t="n">
        <f aca="false">IF(M983,Y982*(N983-AB982)-Inputs!$B$9-Y982*AD982*Inputs!$B$13*(A983-AC982),0)</f>
        <v>0</v>
      </c>
      <c r="P983" s="10" t="n">
        <f aca="false">X982+O983</f>
        <v>970.40233796708</v>
      </c>
      <c r="Q983" s="9" t="b">
        <f aca="false">AND(IF(M983,0,Y982)=0,AA982,IF(ISNUMBER(AE982),B983&gt;AE982,FALSE()))</f>
        <v>0</v>
      </c>
      <c r="R983" s="8" t="n">
        <f aca="false">B983*(1+Inputs!$B$12)</f>
        <v>0.850427707349277</v>
      </c>
      <c r="S983" s="11" t="n">
        <f aca="false">IF(Q983,MIN(P983*Inputs!$B$3/(R983-AE982),P983*Inputs!$B$11/R983),0)</f>
        <v>0</v>
      </c>
      <c r="T983" s="11" t="n">
        <f aca="false">IF(Q983,S983,IF(M983,0,Y982))</f>
        <v>0</v>
      </c>
      <c r="U983" s="8" t="n">
        <f aca="false">IF(Q983,AE982,AF982)</f>
        <v>0.843828396541038</v>
      </c>
      <c r="V983" s="9" t="b">
        <f aca="false">AND(T983&gt;0,D983&lt;=U983)</f>
        <v>0</v>
      </c>
      <c r="W983" s="10" t="n">
        <f aca="false">IF(V983,T983*(AK983-AB983)-Inputs!$B$9-T983*AD983*Inputs!$B$13*(A983-AC983),0)</f>
        <v>0</v>
      </c>
      <c r="X983" s="10" t="n">
        <f aca="false">P983-IF(Q983,Inputs!$B$9,0)+W983</f>
        <v>970.40233796708</v>
      </c>
      <c r="Y983" s="11" t="n">
        <f aca="false">IF(V983,0,T983)</f>
        <v>0</v>
      </c>
      <c r="Z983" s="9" t="b">
        <f aca="false">AND(Y983&gt;0,K983)</f>
        <v>0</v>
      </c>
      <c r="AA983" s="9" t="b">
        <f aca="false">AND(Y983=0,J983,ISNUMBER(L983))</f>
        <v>0</v>
      </c>
      <c r="AB983" s="8" t="n">
        <f aca="false">IF(Q983,R983,AB982)</f>
        <v>0.863503444084112</v>
      </c>
      <c r="AC983" s="12" t="n">
        <f aca="false">IF(Q983,A983,AC982)</f>
        <v>45706</v>
      </c>
      <c r="AD983" s="8" t="n">
        <f aca="false">IF(Q983,B983,AD982)</f>
        <v>0.863330777928526</v>
      </c>
      <c r="AE983" s="8" t="str">
        <f aca="false">IF(AA983,L983,"")</f>
        <v/>
      </c>
      <c r="AF983" s="8" t="n">
        <f aca="false">U983</f>
        <v>0.843828396541038</v>
      </c>
      <c r="AG983" s="2" t="n">
        <f aca="false">AG982+IF(Q983,1,0)</f>
        <v>9</v>
      </c>
      <c r="AH983" s="2" t="n">
        <f aca="false">AG982</f>
        <v>9</v>
      </c>
      <c r="AI983" s="10" t="n">
        <f aca="false">X983+Y983*(E983-AB983)-Y983*AD983*Inputs!$B$13*(A983-AC983)</f>
        <v>970.40233796708</v>
      </c>
      <c r="AJ983" s="10" t="n">
        <v>0</v>
      </c>
      <c r="AK983" s="8" t="n">
        <f aca="false">IF(AND(B983&lt;=U983,NOT(Q983)),B983,U983)*(1-Inputs!$B$12)</f>
        <v>0.843659630861729</v>
      </c>
    </row>
    <row r="984" customFormat="false" ht="15" hidden="false" customHeight="false" outlineLevel="0" collapsed="false">
      <c r="A984" s="6" t="n">
        <v>45768</v>
      </c>
      <c r="B984" s="7" t="n">
        <v>0.84723546007996</v>
      </c>
      <c r="C984" s="7" t="n">
        <v>0.850768772775454</v>
      </c>
      <c r="D984" s="7" t="n">
        <v>0.843219596757478</v>
      </c>
      <c r="E984" s="7" t="n">
        <v>0.84474757038399</v>
      </c>
      <c r="F984" s="8" t="n">
        <f aca="true">IF(ROW()-2&gt;=Inputs!$B$4,AVERAGE(OFFSET(E984,1-Inputs!$B$4,0,Inputs!$B$4,1)),"")</f>
        <v>0.861861170875972</v>
      </c>
      <c r="G984" s="8" t="n">
        <f aca="true">IF(ROW()-2&gt;=Inputs!$B$5,AVERAGE(OFFSET(E984,1-Inputs!$B$5,0,Inputs!$B$5,1)),"")</f>
        <v>0.863809281679082</v>
      </c>
      <c r="H984" s="8" t="n">
        <f aca="false">MAX(C984-D984,ABS(C984-E983),ABS(D984-E983))</f>
        <v>0.00754917601797567</v>
      </c>
      <c r="I984" s="8" t="n">
        <f aca="true">IF(ROW()-2&lt;14,"",IF(ROW()-2=14,AVERAGE(OFFSET(H984,-13,0,14,1)),(I983*13+H984)/14))</f>
        <v>0.00916707005922353</v>
      </c>
      <c r="J984" s="9" t="b">
        <f aca="false">IF(AND(ISNUMBER(F984),ISNUMBER(G984),ISNUMBER(F983),ISNUMBER(G983)),AND(F984&gt;G984,F983&lt;=G983),FALSE())</f>
        <v>0</v>
      </c>
      <c r="K984" s="9" t="b">
        <f aca="false">IF(AND(ISNUMBER(F984),ISNUMBER(G984),ISNUMBER(F983),ISNUMBER(G983)),AND(F984&lt;G984,F983&gt;=G983),FALSE())</f>
        <v>0</v>
      </c>
      <c r="L984" s="8" t="n">
        <f aca="false">IF(ISNUMBER(I984),E984-Inputs!$B$6*I984,"")</f>
        <v>0.826413430265543</v>
      </c>
      <c r="M984" s="9" t="b">
        <f aca="false">AND(Y983&gt;0,Z983)</f>
        <v>0</v>
      </c>
      <c r="N984" s="8" t="n">
        <f aca="false">B984*(1-Inputs!$B$12)</f>
        <v>0.847066012987945</v>
      </c>
      <c r="O984" s="10" t="n">
        <f aca="false">IF(M984,Y983*(N984-AB983)-Inputs!$B$9-Y983*AD983*Inputs!$B$13*(A984-AC983),0)</f>
        <v>0</v>
      </c>
      <c r="P984" s="10" t="n">
        <f aca="false">X983+O984</f>
        <v>970.40233796708</v>
      </c>
      <c r="Q984" s="9" t="b">
        <f aca="false">AND(IF(M984,0,Y983)=0,AA983,IF(ISNUMBER(AE983),B984&gt;AE983,FALSE()))</f>
        <v>0</v>
      </c>
      <c r="R984" s="8" t="n">
        <f aca="false">B984*(1+Inputs!$B$12)</f>
        <v>0.847404907171976</v>
      </c>
      <c r="S984" s="11" t="n">
        <f aca="false">IF(Q984,MIN(P984*Inputs!$B$3/(R984-AE983),P984*Inputs!$B$11/R984),0)</f>
        <v>0</v>
      </c>
      <c r="T984" s="11" t="n">
        <f aca="false">IF(Q984,S984,IF(M984,0,Y983))</f>
        <v>0</v>
      </c>
      <c r="U984" s="8" t="n">
        <f aca="false">IF(Q984,AE983,AF983)</f>
        <v>0.843828396541038</v>
      </c>
      <c r="V984" s="9" t="b">
        <f aca="false">AND(T984&gt;0,D984&lt;=U984)</f>
        <v>0</v>
      </c>
      <c r="W984" s="10" t="n">
        <f aca="false">IF(V984,T984*(AK984-AB984)-Inputs!$B$9-T984*AD984*Inputs!$B$13*(A984-AC984),0)</f>
        <v>0</v>
      </c>
      <c r="X984" s="10" t="n">
        <f aca="false">P984-IF(Q984,Inputs!$B$9,0)+W984</f>
        <v>970.40233796708</v>
      </c>
      <c r="Y984" s="11" t="n">
        <f aca="false">IF(V984,0,T984)</f>
        <v>0</v>
      </c>
      <c r="Z984" s="9" t="b">
        <f aca="false">AND(Y984&gt;0,K984)</f>
        <v>0</v>
      </c>
      <c r="AA984" s="9" t="b">
        <f aca="false">AND(Y984=0,J984,ISNUMBER(L984))</f>
        <v>0</v>
      </c>
      <c r="AB984" s="8" t="n">
        <f aca="false">IF(Q984,R984,AB983)</f>
        <v>0.863503444084112</v>
      </c>
      <c r="AC984" s="12" t="n">
        <f aca="false">IF(Q984,A984,AC983)</f>
        <v>45706</v>
      </c>
      <c r="AD984" s="8" t="n">
        <f aca="false">IF(Q984,B984,AD983)</f>
        <v>0.863330777928526</v>
      </c>
      <c r="AE984" s="8" t="str">
        <f aca="false">IF(AA984,L984,"")</f>
        <v/>
      </c>
      <c r="AF984" s="8" t="n">
        <f aca="false">U984</f>
        <v>0.843828396541038</v>
      </c>
      <c r="AG984" s="2" t="n">
        <f aca="false">AG983+IF(Q984,1,0)</f>
        <v>9</v>
      </c>
      <c r="AH984" s="2" t="n">
        <f aca="false">AG983</f>
        <v>9</v>
      </c>
      <c r="AI984" s="10" t="n">
        <f aca="false">X984+Y984*(E984-AB984)-Y984*AD984*Inputs!$B$13*(A984-AC984)</f>
        <v>970.40233796708</v>
      </c>
      <c r="AJ984" s="10" t="n">
        <v>0</v>
      </c>
      <c r="AK984" s="8" t="n">
        <f aca="false">IF(AND(B984&lt;=U984,NOT(Q984)),B984,U984)*(1-Inputs!$B$12)</f>
        <v>0.843659630861729</v>
      </c>
    </row>
    <row r="985" customFormat="false" ht="15" hidden="false" customHeight="false" outlineLevel="0" collapsed="false">
      <c r="A985" s="6" t="n">
        <v>45769</v>
      </c>
      <c r="B985" s="7" t="n">
        <v>0.84474757038399</v>
      </c>
      <c r="C985" s="7" t="n">
        <v>0.845262238870532</v>
      </c>
      <c r="D985" s="7" t="n">
        <v>0.83721101517953</v>
      </c>
      <c r="E985" s="7" t="n">
        <v>0.838387512311951</v>
      </c>
      <c r="F985" s="8" t="n">
        <f aca="true">IF(ROW()-2&gt;=Inputs!$B$4,AVERAGE(OFFSET(E985,1-Inputs!$B$4,0,Inputs!$B$4,1)),"")</f>
        <v>0.860659601024951</v>
      </c>
      <c r="G985" s="8" t="n">
        <f aca="true">IF(ROW()-2&gt;=Inputs!$B$5,AVERAGE(OFFSET(E985,1-Inputs!$B$5,0,Inputs!$B$5,1)),"")</f>
        <v>0.86339427647798</v>
      </c>
      <c r="H985" s="8" t="n">
        <f aca="false">MAX(C985-D985,ABS(C985-E984),ABS(D985-E984))</f>
        <v>0.0080512236910022</v>
      </c>
      <c r="I985" s="8" t="n">
        <f aca="true">IF(ROW()-2&lt;14,"",IF(ROW()-2=14,AVERAGE(OFFSET(H985,-13,0,14,1)),(I984*13+H985)/14))</f>
        <v>0.00908736674720772</v>
      </c>
      <c r="J985" s="9" t="b">
        <f aca="false">IF(AND(ISNUMBER(F985),ISNUMBER(G985),ISNUMBER(F984),ISNUMBER(G984)),AND(F985&gt;G985,F984&lt;=G984),FALSE())</f>
        <v>0</v>
      </c>
      <c r="K985" s="9" t="b">
        <f aca="false">IF(AND(ISNUMBER(F985),ISNUMBER(G985),ISNUMBER(F984),ISNUMBER(G984)),AND(F985&lt;G985,F984&gt;=G984),FALSE())</f>
        <v>0</v>
      </c>
      <c r="L985" s="8" t="n">
        <f aca="false">IF(ISNUMBER(I985),E985-Inputs!$B$6*I985,"")</f>
        <v>0.820212778817535</v>
      </c>
      <c r="M985" s="9" t="b">
        <f aca="false">AND(Y984&gt;0,Z984)</f>
        <v>0</v>
      </c>
      <c r="N985" s="8" t="n">
        <f aca="false">B985*(1-Inputs!$B$12)</f>
        <v>0.844578620869913</v>
      </c>
      <c r="O985" s="10" t="n">
        <f aca="false">IF(M985,Y984*(N985-AB984)-Inputs!$B$9-Y984*AD984*Inputs!$B$13*(A985-AC984),0)</f>
        <v>0</v>
      </c>
      <c r="P985" s="10" t="n">
        <f aca="false">X984+O985</f>
        <v>970.40233796708</v>
      </c>
      <c r="Q985" s="9" t="b">
        <f aca="false">AND(IF(M985,0,Y984)=0,AA984,IF(ISNUMBER(AE984),B985&gt;AE984,FALSE()))</f>
        <v>0</v>
      </c>
      <c r="R985" s="8" t="n">
        <f aca="false">B985*(1+Inputs!$B$12)</f>
        <v>0.844916519898067</v>
      </c>
      <c r="S985" s="11" t="n">
        <f aca="false">IF(Q985,MIN(P985*Inputs!$B$3/(R985-AE984),P985*Inputs!$B$11/R985),0)</f>
        <v>0</v>
      </c>
      <c r="T985" s="11" t="n">
        <f aca="false">IF(Q985,S985,IF(M985,0,Y984))</f>
        <v>0</v>
      </c>
      <c r="U985" s="8" t="n">
        <f aca="false">IF(Q985,AE984,AF984)</f>
        <v>0.843828396541038</v>
      </c>
      <c r="V985" s="9" t="b">
        <f aca="false">AND(T985&gt;0,D985&lt;=U985)</f>
        <v>0</v>
      </c>
      <c r="W985" s="10" t="n">
        <f aca="false">IF(V985,T985*(AK985-AB985)-Inputs!$B$9-T985*AD985*Inputs!$B$13*(A985-AC985),0)</f>
        <v>0</v>
      </c>
      <c r="X985" s="10" t="n">
        <f aca="false">P985-IF(Q985,Inputs!$B$9,0)+W985</f>
        <v>970.40233796708</v>
      </c>
      <c r="Y985" s="11" t="n">
        <f aca="false">IF(V985,0,T985)</f>
        <v>0</v>
      </c>
      <c r="Z985" s="9" t="b">
        <f aca="false">AND(Y985&gt;0,K985)</f>
        <v>0</v>
      </c>
      <c r="AA985" s="9" t="b">
        <f aca="false">AND(Y985=0,J985,ISNUMBER(L985))</f>
        <v>0</v>
      </c>
      <c r="AB985" s="8" t="n">
        <f aca="false">IF(Q985,R985,AB984)</f>
        <v>0.863503444084112</v>
      </c>
      <c r="AC985" s="12" t="n">
        <f aca="false">IF(Q985,A985,AC984)</f>
        <v>45706</v>
      </c>
      <c r="AD985" s="8" t="n">
        <f aca="false">IF(Q985,B985,AD984)</f>
        <v>0.863330777928526</v>
      </c>
      <c r="AE985" s="8" t="str">
        <f aca="false">IF(AA985,L985,"")</f>
        <v/>
      </c>
      <c r="AF985" s="8" t="n">
        <f aca="false">U985</f>
        <v>0.843828396541038</v>
      </c>
      <c r="AG985" s="2" t="n">
        <f aca="false">AG984+IF(Q985,1,0)</f>
        <v>9</v>
      </c>
      <c r="AH985" s="2" t="n">
        <f aca="false">AG984</f>
        <v>9</v>
      </c>
      <c r="AI985" s="10" t="n">
        <f aca="false">X985+Y985*(E985-AB985)-Y985*AD985*Inputs!$B$13*(A985-AC985)</f>
        <v>970.40233796708</v>
      </c>
      <c r="AJ985" s="10" t="n">
        <v>0</v>
      </c>
      <c r="AK985" s="8" t="n">
        <f aca="false">IF(AND(B985&lt;=U985,NOT(Q985)),B985,U985)*(1-Inputs!$B$12)</f>
        <v>0.843659630861729</v>
      </c>
    </row>
    <row r="986" customFormat="false" ht="15" hidden="false" customHeight="false" outlineLevel="0" collapsed="false">
      <c r="A986" s="6" t="n">
        <v>45770</v>
      </c>
      <c r="B986" s="7" t="n">
        <v>0.838387512311951</v>
      </c>
      <c r="C986" s="7" t="n">
        <v>0.839948275519931</v>
      </c>
      <c r="D986" s="7" t="n">
        <v>0.829510253217532</v>
      </c>
      <c r="E986" s="7" t="n">
        <v>0.833154135200406</v>
      </c>
      <c r="F986" s="8" t="n">
        <f aca="true">IF(ROW()-2&gt;=Inputs!$B$4,AVERAGE(OFFSET(E986,1-Inputs!$B$4,0,Inputs!$B$4,1)),"")</f>
        <v>0.859620284561216</v>
      </c>
      <c r="G986" s="8" t="n">
        <f aca="true">IF(ROW()-2&gt;=Inputs!$B$5,AVERAGE(OFFSET(E986,1-Inputs!$B$5,0,Inputs!$B$5,1)),"")</f>
        <v>0.862735224167103</v>
      </c>
      <c r="H986" s="8" t="n">
        <f aca="false">MAX(C986-D986,ABS(C986-E985),ABS(D986-E985))</f>
        <v>0.0104380223023985</v>
      </c>
      <c r="I986" s="8" t="n">
        <f aca="true">IF(ROW()-2&lt;14,"",IF(ROW()-2=14,AVERAGE(OFFSET(H986,-13,0,14,1)),(I985*13+H986)/14))</f>
        <v>0.00918384214400707</v>
      </c>
      <c r="J986" s="9" t="b">
        <f aca="false">IF(AND(ISNUMBER(F986),ISNUMBER(G986),ISNUMBER(F985),ISNUMBER(G985)),AND(F986&gt;G986,F985&lt;=G985),FALSE())</f>
        <v>0</v>
      </c>
      <c r="K986" s="9" t="b">
        <f aca="false">IF(AND(ISNUMBER(F986),ISNUMBER(G986),ISNUMBER(F985),ISNUMBER(G985)),AND(F986&lt;G986,F985&gt;=G985),FALSE())</f>
        <v>0</v>
      </c>
      <c r="L986" s="8" t="n">
        <f aca="false">IF(ISNUMBER(I986),E986-Inputs!$B$6*I986,"")</f>
        <v>0.814786450912392</v>
      </c>
      <c r="M986" s="9" t="b">
        <f aca="false">AND(Y985&gt;0,Z985)</f>
        <v>0</v>
      </c>
      <c r="N986" s="8" t="n">
        <f aca="false">B986*(1-Inputs!$B$12)</f>
        <v>0.838219834809488</v>
      </c>
      <c r="O986" s="10" t="n">
        <f aca="false">IF(M986,Y985*(N986-AB985)-Inputs!$B$9-Y985*AD985*Inputs!$B$13*(A986-AC985),0)</f>
        <v>0</v>
      </c>
      <c r="P986" s="10" t="n">
        <f aca="false">X985+O986</f>
        <v>970.40233796708</v>
      </c>
      <c r="Q986" s="9" t="b">
        <f aca="false">AND(IF(M986,0,Y985)=0,AA985,IF(ISNUMBER(AE985),B986&gt;AE985,FALSE()))</f>
        <v>0</v>
      </c>
      <c r="R986" s="8" t="n">
        <f aca="false">B986*(1+Inputs!$B$12)</f>
        <v>0.838555189814413</v>
      </c>
      <c r="S986" s="11" t="n">
        <f aca="false">IF(Q986,MIN(P986*Inputs!$B$3/(R986-AE985),P986*Inputs!$B$11/R986),0)</f>
        <v>0</v>
      </c>
      <c r="T986" s="11" t="n">
        <f aca="false">IF(Q986,S986,IF(M986,0,Y985))</f>
        <v>0</v>
      </c>
      <c r="U986" s="8" t="n">
        <f aca="false">IF(Q986,AE985,AF985)</f>
        <v>0.843828396541038</v>
      </c>
      <c r="V986" s="9" t="b">
        <f aca="false">AND(T986&gt;0,D986&lt;=U986)</f>
        <v>0</v>
      </c>
      <c r="W986" s="10" t="n">
        <f aca="false">IF(V986,T986*(AK986-AB986)-Inputs!$B$9-T986*AD986*Inputs!$B$13*(A986-AC986),0)</f>
        <v>0</v>
      </c>
      <c r="X986" s="10" t="n">
        <f aca="false">P986-IF(Q986,Inputs!$B$9,0)+W986</f>
        <v>970.40233796708</v>
      </c>
      <c r="Y986" s="11" t="n">
        <f aca="false">IF(V986,0,T986)</f>
        <v>0</v>
      </c>
      <c r="Z986" s="9" t="b">
        <f aca="false">AND(Y986&gt;0,K986)</f>
        <v>0</v>
      </c>
      <c r="AA986" s="9" t="b">
        <f aca="false">AND(Y986=0,J986,ISNUMBER(L986))</f>
        <v>0</v>
      </c>
      <c r="AB986" s="8" t="n">
        <f aca="false">IF(Q986,R986,AB985)</f>
        <v>0.863503444084112</v>
      </c>
      <c r="AC986" s="12" t="n">
        <f aca="false">IF(Q986,A986,AC985)</f>
        <v>45706</v>
      </c>
      <c r="AD986" s="8" t="n">
        <f aca="false">IF(Q986,B986,AD985)</f>
        <v>0.863330777928526</v>
      </c>
      <c r="AE986" s="8" t="str">
        <f aca="false">IF(AA986,L986,"")</f>
        <v/>
      </c>
      <c r="AF986" s="8" t="n">
        <f aca="false">U986</f>
        <v>0.843828396541038</v>
      </c>
      <c r="AG986" s="2" t="n">
        <f aca="false">AG985+IF(Q986,1,0)</f>
        <v>9</v>
      </c>
      <c r="AH986" s="2" t="n">
        <f aca="false">AG985</f>
        <v>9</v>
      </c>
      <c r="AI986" s="10" t="n">
        <f aca="false">X986+Y986*(E986-AB986)-Y986*AD986*Inputs!$B$13*(A986-AC986)</f>
        <v>970.40233796708</v>
      </c>
      <c r="AJ986" s="10" t="n">
        <v>0</v>
      </c>
      <c r="AK986" s="8" t="n">
        <f aca="false">IF(AND(B986&lt;=U986,NOT(Q986)),B986,U986)*(1-Inputs!$B$12)</f>
        <v>0.838219834809488</v>
      </c>
    </row>
    <row r="987" customFormat="false" ht="15" hidden="false" customHeight="false" outlineLevel="0" collapsed="false">
      <c r="A987" s="6" t="n">
        <v>45771</v>
      </c>
      <c r="B987" s="7" t="n">
        <v>0.833154135200406</v>
      </c>
      <c r="C987" s="7" t="n">
        <v>0.834417053736947</v>
      </c>
      <c r="D987" s="7" t="n">
        <v>0.827113937770817</v>
      </c>
      <c r="E987" s="7" t="n">
        <v>0.833469475456528</v>
      </c>
      <c r="F987" s="8" t="n">
        <f aca="true">IF(ROW()-2&gt;=Inputs!$B$4,AVERAGE(OFFSET(E987,1-Inputs!$B$4,0,Inputs!$B$4,1)),"")</f>
        <v>0.858521499649774</v>
      </c>
      <c r="G987" s="8" t="n">
        <f aca="true">IF(ROW()-2&gt;=Inputs!$B$5,AVERAGE(OFFSET(E987,1-Inputs!$B$5,0,Inputs!$B$5,1)),"")</f>
        <v>0.862184002750315</v>
      </c>
      <c r="H987" s="8" t="n">
        <f aca="false">MAX(C987-D987,ABS(C987-E986),ABS(D987-E986))</f>
        <v>0.00730311596613043</v>
      </c>
      <c r="I987" s="8" t="n">
        <f aca="true">IF(ROW()-2&lt;14,"",IF(ROW()-2=14,AVERAGE(OFFSET(H987,-13,0,14,1)),(I986*13+H987)/14))</f>
        <v>0.00904950455987302</v>
      </c>
      <c r="J987" s="9" t="b">
        <f aca="false">IF(AND(ISNUMBER(F987),ISNUMBER(G987),ISNUMBER(F986),ISNUMBER(G986)),AND(F987&gt;G987,F986&lt;=G986),FALSE())</f>
        <v>0</v>
      </c>
      <c r="K987" s="9" t="b">
        <f aca="false">IF(AND(ISNUMBER(F987),ISNUMBER(G987),ISNUMBER(F986),ISNUMBER(G986)),AND(F987&lt;G987,F986&gt;=G986),FALSE())</f>
        <v>0</v>
      </c>
      <c r="L987" s="8" t="n">
        <f aca="false">IF(ISNUMBER(I987),E987-Inputs!$B$6*I987,"")</f>
        <v>0.815370466336782</v>
      </c>
      <c r="M987" s="9" t="b">
        <f aca="false">AND(Y986&gt;0,Z986)</f>
        <v>0</v>
      </c>
      <c r="N987" s="8" t="n">
        <f aca="false">B987*(1-Inputs!$B$12)</f>
        <v>0.832987504373366</v>
      </c>
      <c r="O987" s="10" t="n">
        <f aca="false">IF(M987,Y986*(N987-AB986)-Inputs!$B$9-Y986*AD986*Inputs!$B$13*(A987-AC986),0)</f>
        <v>0</v>
      </c>
      <c r="P987" s="10" t="n">
        <f aca="false">X986+O987</f>
        <v>970.40233796708</v>
      </c>
      <c r="Q987" s="9" t="b">
        <f aca="false">AND(IF(M987,0,Y986)=0,AA986,IF(ISNUMBER(AE986),B987&gt;AE986,FALSE()))</f>
        <v>0</v>
      </c>
      <c r="R987" s="8" t="n">
        <f aca="false">B987*(1+Inputs!$B$12)</f>
        <v>0.833320766027446</v>
      </c>
      <c r="S987" s="11" t="n">
        <f aca="false">IF(Q987,MIN(P987*Inputs!$B$3/(R987-AE986),P987*Inputs!$B$11/R987),0)</f>
        <v>0</v>
      </c>
      <c r="T987" s="11" t="n">
        <f aca="false">IF(Q987,S987,IF(M987,0,Y986))</f>
        <v>0</v>
      </c>
      <c r="U987" s="8" t="n">
        <f aca="false">IF(Q987,AE986,AF986)</f>
        <v>0.843828396541038</v>
      </c>
      <c r="V987" s="9" t="b">
        <f aca="false">AND(T987&gt;0,D987&lt;=U987)</f>
        <v>0</v>
      </c>
      <c r="W987" s="10" t="n">
        <f aca="false">IF(V987,T987*(AK987-AB987)-Inputs!$B$9-T987*AD987*Inputs!$B$13*(A987-AC987),0)</f>
        <v>0</v>
      </c>
      <c r="X987" s="10" t="n">
        <f aca="false">P987-IF(Q987,Inputs!$B$9,0)+W987</f>
        <v>970.40233796708</v>
      </c>
      <c r="Y987" s="11" t="n">
        <f aca="false">IF(V987,0,T987)</f>
        <v>0</v>
      </c>
      <c r="Z987" s="9" t="b">
        <f aca="false">AND(Y987&gt;0,K987)</f>
        <v>0</v>
      </c>
      <c r="AA987" s="9" t="b">
        <f aca="false">AND(Y987=0,J987,ISNUMBER(L987))</f>
        <v>0</v>
      </c>
      <c r="AB987" s="8" t="n">
        <f aca="false">IF(Q987,R987,AB986)</f>
        <v>0.863503444084112</v>
      </c>
      <c r="AC987" s="12" t="n">
        <f aca="false">IF(Q987,A987,AC986)</f>
        <v>45706</v>
      </c>
      <c r="AD987" s="8" t="n">
        <f aca="false">IF(Q987,B987,AD986)</f>
        <v>0.863330777928526</v>
      </c>
      <c r="AE987" s="8" t="str">
        <f aca="false">IF(AA987,L987,"")</f>
        <v/>
      </c>
      <c r="AF987" s="8" t="n">
        <f aca="false">U987</f>
        <v>0.843828396541038</v>
      </c>
      <c r="AG987" s="2" t="n">
        <f aca="false">AG986+IF(Q987,1,0)</f>
        <v>9</v>
      </c>
      <c r="AH987" s="2" t="n">
        <f aca="false">AG986</f>
        <v>9</v>
      </c>
      <c r="AI987" s="10" t="n">
        <f aca="false">X987+Y987*(E987-AB987)-Y987*AD987*Inputs!$B$13*(A987-AC987)</f>
        <v>970.40233796708</v>
      </c>
      <c r="AJ987" s="10" t="n">
        <v>0</v>
      </c>
      <c r="AK987" s="8" t="n">
        <f aca="false">IF(AND(B987&lt;=U987,NOT(Q987)),B987,U987)*(1-Inputs!$B$12)</f>
        <v>0.832987504373366</v>
      </c>
    </row>
    <row r="988" customFormat="false" ht="15" hidden="false" customHeight="false" outlineLevel="0" collapsed="false">
      <c r="A988" s="6" t="n">
        <v>45772</v>
      </c>
      <c r="B988" s="7" t="n">
        <v>0.833469475456528</v>
      </c>
      <c r="C988" s="7" t="n">
        <v>0.838775668219</v>
      </c>
      <c r="D988" s="7" t="n">
        <v>0.828941118101883</v>
      </c>
      <c r="E988" s="7" t="n">
        <v>0.833622694982039</v>
      </c>
      <c r="F988" s="8" t="n">
        <f aca="true">IF(ROW()-2&gt;=Inputs!$B$4,AVERAGE(OFFSET(E988,1-Inputs!$B$4,0,Inputs!$B$4,1)),"")</f>
        <v>0.857619329419657</v>
      </c>
      <c r="G988" s="8" t="n">
        <f aca="true">IF(ROW()-2&gt;=Inputs!$B$5,AVERAGE(OFFSET(E988,1-Inputs!$B$5,0,Inputs!$B$5,1)),"")</f>
        <v>0.861777782719305</v>
      </c>
      <c r="H988" s="8" t="n">
        <f aca="false">MAX(C988-D988,ABS(C988-E987),ABS(D988-E987))</f>
        <v>0.00983455011711765</v>
      </c>
      <c r="I988" s="8" t="n">
        <f aca="true">IF(ROW()-2&lt;14,"",IF(ROW()-2=14,AVERAGE(OFFSET(H988,-13,0,14,1)),(I987*13+H988)/14))</f>
        <v>0.00910557924253335</v>
      </c>
      <c r="J988" s="9" t="b">
        <f aca="false">IF(AND(ISNUMBER(F988),ISNUMBER(G988),ISNUMBER(F987),ISNUMBER(G987)),AND(F988&gt;G988,F987&lt;=G987),FALSE())</f>
        <v>0</v>
      </c>
      <c r="K988" s="9" t="b">
        <f aca="false">IF(AND(ISNUMBER(F988),ISNUMBER(G988),ISNUMBER(F987),ISNUMBER(G987)),AND(F988&lt;G988,F987&gt;=G987),FALSE())</f>
        <v>0</v>
      </c>
      <c r="L988" s="8" t="n">
        <f aca="false">IF(ISNUMBER(I988),E988-Inputs!$B$6*I988,"")</f>
        <v>0.815411536496973</v>
      </c>
      <c r="M988" s="9" t="b">
        <f aca="false">AND(Y987&gt;0,Z987)</f>
        <v>0</v>
      </c>
      <c r="N988" s="8" t="n">
        <f aca="false">B988*(1-Inputs!$B$12)</f>
        <v>0.833302781561437</v>
      </c>
      <c r="O988" s="10" t="n">
        <f aca="false">IF(M988,Y987*(N988-AB987)-Inputs!$B$9-Y987*AD987*Inputs!$B$13*(A988-AC987),0)</f>
        <v>0</v>
      </c>
      <c r="P988" s="10" t="n">
        <f aca="false">X987+O988</f>
        <v>970.40233796708</v>
      </c>
      <c r="Q988" s="9" t="b">
        <f aca="false">AND(IF(M988,0,Y987)=0,AA987,IF(ISNUMBER(AE987),B988&gt;AE987,FALSE()))</f>
        <v>0</v>
      </c>
      <c r="R988" s="8" t="n">
        <f aca="false">B988*(1+Inputs!$B$12)</f>
        <v>0.833636169351619</v>
      </c>
      <c r="S988" s="11" t="n">
        <f aca="false">IF(Q988,MIN(P988*Inputs!$B$3/(R988-AE987),P988*Inputs!$B$11/R988),0)</f>
        <v>0</v>
      </c>
      <c r="T988" s="11" t="n">
        <f aca="false">IF(Q988,S988,IF(M988,0,Y987))</f>
        <v>0</v>
      </c>
      <c r="U988" s="8" t="n">
        <f aca="false">IF(Q988,AE987,AF987)</f>
        <v>0.843828396541038</v>
      </c>
      <c r="V988" s="9" t="b">
        <f aca="false">AND(T988&gt;0,D988&lt;=U988)</f>
        <v>0</v>
      </c>
      <c r="W988" s="10" t="n">
        <f aca="false">IF(V988,T988*(AK988-AB988)-Inputs!$B$9-T988*AD988*Inputs!$B$13*(A988-AC988),0)</f>
        <v>0</v>
      </c>
      <c r="X988" s="10" t="n">
        <f aca="false">P988-IF(Q988,Inputs!$B$9,0)+W988</f>
        <v>970.40233796708</v>
      </c>
      <c r="Y988" s="11" t="n">
        <f aca="false">IF(V988,0,T988)</f>
        <v>0</v>
      </c>
      <c r="Z988" s="9" t="b">
        <f aca="false">AND(Y988&gt;0,K988)</f>
        <v>0</v>
      </c>
      <c r="AA988" s="9" t="b">
        <f aca="false">AND(Y988=0,J988,ISNUMBER(L988))</f>
        <v>0</v>
      </c>
      <c r="AB988" s="8" t="n">
        <f aca="false">IF(Q988,R988,AB987)</f>
        <v>0.863503444084112</v>
      </c>
      <c r="AC988" s="12" t="n">
        <f aca="false">IF(Q988,A988,AC987)</f>
        <v>45706</v>
      </c>
      <c r="AD988" s="8" t="n">
        <f aca="false">IF(Q988,B988,AD987)</f>
        <v>0.863330777928526</v>
      </c>
      <c r="AE988" s="8" t="str">
        <f aca="false">IF(AA988,L988,"")</f>
        <v/>
      </c>
      <c r="AF988" s="8" t="n">
        <f aca="false">U988</f>
        <v>0.843828396541038</v>
      </c>
      <c r="AG988" s="2" t="n">
        <f aca="false">AG987+IF(Q988,1,0)</f>
        <v>9</v>
      </c>
      <c r="AH988" s="2" t="n">
        <f aca="false">AG987</f>
        <v>9</v>
      </c>
      <c r="AI988" s="10" t="n">
        <f aca="false">X988+Y988*(E988-AB988)-Y988*AD988*Inputs!$B$13*(A988-AC988)</f>
        <v>970.40233796708</v>
      </c>
      <c r="AJ988" s="10" t="n">
        <v>0</v>
      </c>
      <c r="AK988" s="8" t="n">
        <f aca="false">IF(AND(B988&lt;=U988,NOT(Q988)),B988,U988)*(1-Inputs!$B$12)</f>
        <v>0.833302781561437</v>
      </c>
    </row>
    <row r="989" customFormat="false" ht="15" hidden="false" customHeight="false" outlineLevel="0" collapsed="false">
      <c r="A989" s="6" t="n">
        <v>45773</v>
      </c>
      <c r="B989" s="7" t="n">
        <v>0.833622694982039</v>
      </c>
      <c r="C989" s="7" t="n">
        <v>0.837805193203848</v>
      </c>
      <c r="D989" s="7" t="n">
        <v>0.83269404100606</v>
      </c>
      <c r="E989" s="7" t="n">
        <v>0.836153155245025</v>
      </c>
      <c r="F989" s="8" t="n">
        <f aca="true">IF(ROW()-2&gt;=Inputs!$B$4,AVERAGE(OFFSET(E989,1-Inputs!$B$4,0,Inputs!$B$4,1)),"")</f>
        <v>0.8566297769198</v>
      </c>
      <c r="G989" s="8" t="n">
        <f aca="true">IF(ROW()-2&gt;=Inputs!$B$5,AVERAGE(OFFSET(E989,1-Inputs!$B$5,0,Inputs!$B$5,1)),"")</f>
        <v>0.861420143009898</v>
      </c>
      <c r="H989" s="8" t="n">
        <f aca="false">MAX(C989-D989,ABS(C989-E988),ABS(D989-E988))</f>
        <v>0.00511115219778757</v>
      </c>
      <c r="I989" s="8" t="n">
        <f aca="true">IF(ROW()-2&lt;14,"",IF(ROW()-2=14,AVERAGE(OFFSET(H989,-13,0,14,1)),(I988*13+H989)/14))</f>
        <v>0.00882026302505151</v>
      </c>
      <c r="J989" s="9" t="b">
        <f aca="false">IF(AND(ISNUMBER(F989),ISNUMBER(G989),ISNUMBER(F988),ISNUMBER(G988)),AND(F989&gt;G989,F988&lt;=G988),FALSE())</f>
        <v>0</v>
      </c>
      <c r="K989" s="9" t="b">
        <f aca="false">IF(AND(ISNUMBER(F989),ISNUMBER(G989),ISNUMBER(F988),ISNUMBER(G988)),AND(F989&lt;G989,F988&gt;=G988),FALSE())</f>
        <v>0</v>
      </c>
      <c r="L989" s="8" t="n">
        <f aca="false">IF(ISNUMBER(I989),E989-Inputs!$B$6*I989,"")</f>
        <v>0.818512629194922</v>
      </c>
      <c r="M989" s="9" t="b">
        <f aca="false">AND(Y988&gt;0,Z988)</f>
        <v>0</v>
      </c>
      <c r="N989" s="8" t="n">
        <f aca="false">B989*(1-Inputs!$B$12)</f>
        <v>0.833455970443043</v>
      </c>
      <c r="O989" s="10" t="n">
        <f aca="false">IF(M989,Y988*(N989-AB988)-Inputs!$B$9-Y988*AD988*Inputs!$B$13*(A989-AC988),0)</f>
        <v>0</v>
      </c>
      <c r="P989" s="10" t="n">
        <f aca="false">X988+O989</f>
        <v>970.40233796708</v>
      </c>
      <c r="Q989" s="9" t="b">
        <f aca="false">AND(IF(M989,0,Y988)=0,AA988,IF(ISNUMBER(AE988),B989&gt;AE988,FALSE()))</f>
        <v>0</v>
      </c>
      <c r="R989" s="8" t="n">
        <f aca="false">B989*(1+Inputs!$B$12)</f>
        <v>0.833789419521036</v>
      </c>
      <c r="S989" s="11" t="n">
        <f aca="false">IF(Q989,MIN(P989*Inputs!$B$3/(R989-AE988),P989*Inputs!$B$11/R989),0)</f>
        <v>0</v>
      </c>
      <c r="T989" s="11" t="n">
        <f aca="false">IF(Q989,S989,IF(M989,0,Y988))</f>
        <v>0</v>
      </c>
      <c r="U989" s="8" t="n">
        <f aca="false">IF(Q989,AE988,AF988)</f>
        <v>0.843828396541038</v>
      </c>
      <c r="V989" s="9" t="b">
        <f aca="false">AND(T989&gt;0,D989&lt;=U989)</f>
        <v>0</v>
      </c>
      <c r="W989" s="10" t="n">
        <f aca="false">IF(V989,T989*(AK989-AB989)-Inputs!$B$9-T989*AD989*Inputs!$B$13*(A989-AC989),0)</f>
        <v>0</v>
      </c>
      <c r="X989" s="10" t="n">
        <f aca="false">P989-IF(Q989,Inputs!$B$9,0)+W989</f>
        <v>970.40233796708</v>
      </c>
      <c r="Y989" s="11" t="n">
        <f aca="false">IF(V989,0,T989)</f>
        <v>0</v>
      </c>
      <c r="Z989" s="9" t="b">
        <f aca="false">AND(Y989&gt;0,K989)</f>
        <v>0</v>
      </c>
      <c r="AA989" s="9" t="b">
        <f aca="false">AND(Y989=0,J989,ISNUMBER(L989))</f>
        <v>0</v>
      </c>
      <c r="AB989" s="8" t="n">
        <f aca="false">IF(Q989,R989,AB988)</f>
        <v>0.863503444084112</v>
      </c>
      <c r="AC989" s="12" t="n">
        <f aca="false">IF(Q989,A989,AC988)</f>
        <v>45706</v>
      </c>
      <c r="AD989" s="8" t="n">
        <f aca="false">IF(Q989,B989,AD988)</f>
        <v>0.863330777928526</v>
      </c>
      <c r="AE989" s="8" t="str">
        <f aca="false">IF(AA989,L989,"")</f>
        <v/>
      </c>
      <c r="AF989" s="8" t="n">
        <f aca="false">U989</f>
        <v>0.843828396541038</v>
      </c>
      <c r="AG989" s="2" t="n">
        <f aca="false">AG988+IF(Q989,1,0)</f>
        <v>9</v>
      </c>
      <c r="AH989" s="2" t="n">
        <f aca="false">AG988</f>
        <v>9</v>
      </c>
      <c r="AI989" s="10" t="n">
        <f aca="false">X989+Y989*(E989-AB989)-Y989*AD989*Inputs!$B$13*(A989-AC989)</f>
        <v>970.40233796708</v>
      </c>
      <c r="AJ989" s="10" t="n">
        <v>0</v>
      </c>
      <c r="AK989" s="8" t="n">
        <f aca="false">IF(AND(B989&lt;=U989,NOT(Q989)),B989,U989)*(1-Inputs!$B$12)</f>
        <v>0.833455970443043</v>
      </c>
    </row>
    <row r="990" customFormat="false" ht="15" hidden="false" customHeight="false" outlineLevel="0" collapsed="false">
      <c r="A990" s="6" t="n">
        <v>45774</v>
      </c>
      <c r="B990" s="7" t="n">
        <v>0.836153155245025</v>
      </c>
      <c r="C990" s="7" t="n">
        <v>0.840356935986122</v>
      </c>
      <c r="D990" s="7" t="n">
        <v>0.831241263275153</v>
      </c>
      <c r="E990" s="7" t="n">
        <v>0.836893255310457</v>
      </c>
      <c r="F990" s="8" t="n">
        <f aca="true">IF(ROW()-2&gt;=Inputs!$B$4,AVERAGE(OFFSET(E990,1-Inputs!$B$4,0,Inputs!$B$4,1)),"")</f>
        <v>0.855426363580103</v>
      </c>
      <c r="G990" s="8" t="n">
        <f aca="true">IF(ROW()-2&gt;=Inputs!$B$5,AVERAGE(OFFSET(E990,1-Inputs!$B$5,0,Inputs!$B$5,1)),"")</f>
        <v>0.861062992084965</v>
      </c>
      <c r="H990" s="8" t="n">
        <f aca="false">MAX(C990-D990,ABS(C990-E989),ABS(D990-E989))</f>
        <v>0.00911567271096858</v>
      </c>
      <c r="I990" s="8" t="n">
        <f aca="true">IF(ROW()-2&lt;14,"",IF(ROW()-2=14,AVERAGE(OFFSET(H990,-13,0,14,1)),(I989*13+H990)/14))</f>
        <v>0.00884136371690273</v>
      </c>
      <c r="J990" s="9" t="b">
        <f aca="false">IF(AND(ISNUMBER(F990),ISNUMBER(G990),ISNUMBER(F989),ISNUMBER(G989)),AND(F990&gt;G990,F989&lt;=G989),FALSE())</f>
        <v>0</v>
      </c>
      <c r="K990" s="9" t="b">
        <f aca="false">IF(AND(ISNUMBER(F990),ISNUMBER(G990),ISNUMBER(F989),ISNUMBER(G989)),AND(F990&lt;G990,F989&gt;=G989),FALSE())</f>
        <v>0</v>
      </c>
      <c r="L990" s="8" t="n">
        <f aca="false">IF(ISNUMBER(I990),E990-Inputs!$B$6*I990,"")</f>
        <v>0.819210527876652</v>
      </c>
      <c r="M990" s="9" t="b">
        <f aca="false">AND(Y989&gt;0,Z989)</f>
        <v>0</v>
      </c>
      <c r="N990" s="8" t="n">
        <f aca="false">B990*(1-Inputs!$B$12)</f>
        <v>0.835985924613976</v>
      </c>
      <c r="O990" s="10" t="n">
        <f aca="false">IF(M990,Y989*(N990-AB989)-Inputs!$B$9-Y989*AD989*Inputs!$B$13*(A990-AC989),0)</f>
        <v>0</v>
      </c>
      <c r="P990" s="10" t="n">
        <f aca="false">X989+O990</f>
        <v>970.40233796708</v>
      </c>
      <c r="Q990" s="9" t="b">
        <f aca="false">AND(IF(M990,0,Y989)=0,AA989,IF(ISNUMBER(AE989),B990&gt;AE989,FALSE()))</f>
        <v>0</v>
      </c>
      <c r="R990" s="8" t="n">
        <f aca="false">B990*(1+Inputs!$B$12)</f>
        <v>0.836320385876074</v>
      </c>
      <c r="S990" s="11" t="n">
        <f aca="false">IF(Q990,MIN(P990*Inputs!$B$3/(R990-AE989),P990*Inputs!$B$11/R990),0)</f>
        <v>0</v>
      </c>
      <c r="T990" s="11" t="n">
        <f aca="false">IF(Q990,S990,IF(M990,0,Y989))</f>
        <v>0</v>
      </c>
      <c r="U990" s="8" t="n">
        <f aca="false">IF(Q990,AE989,AF989)</f>
        <v>0.843828396541038</v>
      </c>
      <c r="V990" s="9" t="b">
        <f aca="false">AND(T990&gt;0,D990&lt;=U990)</f>
        <v>0</v>
      </c>
      <c r="W990" s="10" t="n">
        <f aca="false">IF(V990,T990*(AK990-AB990)-Inputs!$B$9-T990*AD990*Inputs!$B$13*(A990-AC990),0)</f>
        <v>0</v>
      </c>
      <c r="X990" s="10" t="n">
        <f aca="false">P990-IF(Q990,Inputs!$B$9,0)+W990</f>
        <v>970.40233796708</v>
      </c>
      <c r="Y990" s="11" t="n">
        <f aca="false">IF(V990,0,T990)</f>
        <v>0</v>
      </c>
      <c r="Z990" s="9" t="b">
        <f aca="false">AND(Y990&gt;0,K990)</f>
        <v>0</v>
      </c>
      <c r="AA990" s="9" t="b">
        <f aca="false">AND(Y990=0,J990,ISNUMBER(L990))</f>
        <v>0</v>
      </c>
      <c r="AB990" s="8" t="n">
        <f aca="false">IF(Q990,R990,AB989)</f>
        <v>0.863503444084112</v>
      </c>
      <c r="AC990" s="12" t="n">
        <f aca="false">IF(Q990,A990,AC989)</f>
        <v>45706</v>
      </c>
      <c r="AD990" s="8" t="n">
        <f aca="false">IF(Q990,B990,AD989)</f>
        <v>0.863330777928526</v>
      </c>
      <c r="AE990" s="8" t="str">
        <f aca="false">IF(AA990,L990,"")</f>
        <v/>
      </c>
      <c r="AF990" s="8" t="n">
        <f aca="false">U990</f>
        <v>0.843828396541038</v>
      </c>
      <c r="AG990" s="2" t="n">
        <f aca="false">AG989+IF(Q990,1,0)</f>
        <v>9</v>
      </c>
      <c r="AH990" s="2" t="n">
        <f aca="false">AG989</f>
        <v>9</v>
      </c>
      <c r="AI990" s="10" t="n">
        <f aca="false">X990+Y990*(E990-AB990)-Y990*AD990*Inputs!$B$13*(A990-AC990)</f>
        <v>970.40233796708</v>
      </c>
      <c r="AJ990" s="10" t="n">
        <v>0</v>
      </c>
      <c r="AK990" s="8" t="n">
        <f aca="false">IF(AND(B990&lt;=U990,NOT(Q990)),B990,U990)*(1-Inputs!$B$12)</f>
        <v>0.835985924613976</v>
      </c>
    </row>
    <row r="991" customFormat="false" ht="15" hidden="false" customHeight="false" outlineLevel="0" collapsed="false">
      <c r="A991" s="6" t="n">
        <v>45775</v>
      </c>
      <c r="B991" s="7" t="n">
        <v>0.836893255310457</v>
      </c>
      <c r="C991" s="7" t="n">
        <v>0.840182103411404</v>
      </c>
      <c r="D991" s="7" t="n">
        <v>0.83520459204389</v>
      </c>
      <c r="E991" s="7" t="n">
        <v>0.839644879900716</v>
      </c>
      <c r="F991" s="8" t="n">
        <f aca="true">IF(ROW()-2&gt;=Inputs!$B$4,AVERAGE(OFFSET(E991,1-Inputs!$B$4,0,Inputs!$B$4,1)),"")</f>
        <v>0.854289634196625</v>
      </c>
      <c r="G991" s="8" t="n">
        <f aca="true">IF(ROW()-2&gt;=Inputs!$B$5,AVERAGE(OFFSET(E991,1-Inputs!$B$5,0,Inputs!$B$5,1)),"")</f>
        <v>0.860888327685015</v>
      </c>
      <c r="H991" s="8" t="n">
        <f aca="false">MAX(C991-D991,ABS(C991-E990),ABS(D991-E990))</f>
        <v>0.00497751136751357</v>
      </c>
      <c r="I991" s="8" t="n">
        <f aca="true">IF(ROW()-2&lt;14,"",IF(ROW()-2=14,AVERAGE(OFFSET(H991,-13,0,14,1)),(I990*13+H991)/14))</f>
        <v>0.00856537426337494</v>
      </c>
      <c r="J991" s="9" t="b">
        <f aca="false">IF(AND(ISNUMBER(F991),ISNUMBER(G991),ISNUMBER(F990),ISNUMBER(G990)),AND(F991&gt;G991,F990&lt;=G990),FALSE())</f>
        <v>0</v>
      </c>
      <c r="K991" s="9" t="b">
        <f aca="false">IF(AND(ISNUMBER(F991),ISNUMBER(G991),ISNUMBER(F990),ISNUMBER(G990)),AND(F991&lt;G991,F990&gt;=G990),FALSE())</f>
        <v>0</v>
      </c>
      <c r="L991" s="8" t="n">
        <f aca="false">IF(ISNUMBER(I991),E991-Inputs!$B$6*I991,"")</f>
        <v>0.822514131373966</v>
      </c>
      <c r="M991" s="9" t="b">
        <f aca="false">AND(Y990&gt;0,Z990)</f>
        <v>0</v>
      </c>
      <c r="N991" s="8" t="n">
        <f aca="false">B991*(1-Inputs!$B$12)</f>
        <v>0.836725876659395</v>
      </c>
      <c r="O991" s="10" t="n">
        <f aca="false">IF(M991,Y990*(N991-AB990)-Inputs!$B$9-Y990*AD990*Inputs!$B$13*(A991-AC990),0)</f>
        <v>0</v>
      </c>
      <c r="P991" s="10" t="n">
        <f aca="false">X990+O991</f>
        <v>970.40233796708</v>
      </c>
      <c r="Q991" s="9" t="b">
        <f aca="false">AND(IF(M991,0,Y990)=0,AA990,IF(ISNUMBER(AE990),B991&gt;AE990,FALSE()))</f>
        <v>0</v>
      </c>
      <c r="R991" s="8" t="n">
        <f aca="false">B991*(1+Inputs!$B$12)</f>
        <v>0.837060633961519</v>
      </c>
      <c r="S991" s="11" t="n">
        <f aca="false">IF(Q991,MIN(P991*Inputs!$B$3/(R991-AE990),P991*Inputs!$B$11/R991),0)</f>
        <v>0</v>
      </c>
      <c r="T991" s="11" t="n">
        <f aca="false">IF(Q991,S991,IF(M991,0,Y990))</f>
        <v>0</v>
      </c>
      <c r="U991" s="8" t="n">
        <f aca="false">IF(Q991,AE990,AF990)</f>
        <v>0.843828396541038</v>
      </c>
      <c r="V991" s="9" t="b">
        <f aca="false">AND(T991&gt;0,D991&lt;=U991)</f>
        <v>0</v>
      </c>
      <c r="W991" s="10" t="n">
        <f aca="false">IF(V991,T991*(AK991-AB991)-Inputs!$B$9-T991*AD991*Inputs!$B$13*(A991-AC991),0)</f>
        <v>0</v>
      </c>
      <c r="X991" s="10" t="n">
        <f aca="false">P991-IF(Q991,Inputs!$B$9,0)+W991</f>
        <v>970.40233796708</v>
      </c>
      <c r="Y991" s="11" t="n">
        <f aca="false">IF(V991,0,T991)</f>
        <v>0</v>
      </c>
      <c r="Z991" s="9" t="b">
        <f aca="false">AND(Y991&gt;0,K991)</f>
        <v>0</v>
      </c>
      <c r="AA991" s="9" t="b">
        <f aca="false">AND(Y991=0,J991,ISNUMBER(L991))</f>
        <v>0</v>
      </c>
      <c r="AB991" s="8" t="n">
        <f aca="false">IF(Q991,R991,AB990)</f>
        <v>0.863503444084112</v>
      </c>
      <c r="AC991" s="12" t="n">
        <f aca="false">IF(Q991,A991,AC990)</f>
        <v>45706</v>
      </c>
      <c r="AD991" s="8" t="n">
        <f aca="false">IF(Q991,B991,AD990)</f>
        <v>0.863330777928526</v>
      </c>
      <c r="AE991" s="8" t="str">
        <f aca="false">IF(AA991,L991,"")</f>
        <v/>
      </c>
      <c r="AF991" s="8" t="n">
        <f aca="false">U991</f>
        <v>0.843828396541038</v>
      </c>
      <c r="AG991" s="2" t="n">
        <f aca="false">AG990+IF(Q991,1,0)</f>
        <v>9</v>
      </c>
      <c r="AH991" s="2" t="n">
        <f aca="false">AG990</f>
        <v>9</v>
      </c>
      <c r="AI991" s="10" t="n">
        <f aca="false">X991+Y991*(E991-AB991)-Y991*AD991*Inputs!$B$13*(A991-AC991)</f>
        <v>970.40233796708</v>
      </c>
      <c r="AJ991" s="10" t="n">
        <v>0</v>
      </c>
      <c r="AK991" s="8" t="n">
        <f aca="false">IF(AND(B991&lt;=U991,NOT(Q991)),B991,U991)*(1-Inputs!$B$12)</f>
        <v>0.836725876659395</v>
      </c>
    </row>
    <row r="992" customFormat="false" ht="15" hidden="false" customHeight="false" outlineLevel="0" collapsed="false">
      <c r="A992" s="6" t="n">
        <v>45776</v>
      </c>
      <c r="B992" s="7" t="n">
        <v>0.839644879900716</v>
      </c>
      <c r="C992" s="7" t="n">
        <v>0.84485081123982</v>
      </c>
      <c r="D992" s="7" t="n">
        <v>0.838967765435793</v>
      </c>
      <c r="E992" s="7" t="n">
        <v>0.839892690741361</v>
      </c>
      <c r="F992" s="8" t="n">
        <f aca="true">IF(ROW()-2&gt;=Inputs!$B$4,AVERAGE(OFFSET(E992,1-Inputs!$B$4,0,Inputs!$B$4,1)),"")</f>
        <v>0.852745613218349</v>
      </c>
      <c r="G992" s="8" t="n">
        <f aca="true">IF(ROW()-2&gt;=Inputs!$B$5,AVERAGE(OFFSET(E992,1-Inputs!$B$5,0,Inputs!$B$5,1)),"")</f>
        <v>0.860823664719607</v>
      </c>
      <c r="H992" s="8" t="n">
        <f aca="false">MAX(C992-D992,ABS(C992-E991),ABS(D992-E991))</f>
        <v>0.00588304580402688</v>
      </c>
      <c r="I992" s="8" t="n">
        <f aca="true">IF(ROW()-2&lt;14,"",IF(ROW()-2=14,AVERAGE(OFFSET(H992,-13,0,14,1)),(I991*13+H992)/14))</f>
        <v>0.0083737793734215</v>
      </c>
      <c r="J992" s="9" t="b">
        <f aca="false">IF(AND(ISNUMBER(F992),ISNUMBER(G992),ISNUMBER(F991),ISNUMBER(G991)),AND(F992&gt;G992,F991&lt;=G991),FALSE())</f>
        <v>0</v>
      </c>
      <c r="K992" s="9" t="b">
        <f aca="false">IF(AND(ISNUMBER(F992),ISNUMBER(G992),ISNUMBER(F991),ISNUMBER(G991)),AND(F992&lt;G992,F991&gt;=G991),FALSE())</f>
        <v>0</v>
      </c>
      <c r="L992" s="8" t="n">
        <f aca="false">IF(ISNUMBER(I992),E992-Inputs!$B$6*I992,"")</f>
        <v>0.823145131994518</v>
      </c>
      <c r="M992" s="9" t="b">
        <f aca="false">AND(Y991&gt;0,Z991)</f>
        <v>0</v>
      </c>
      <c r="N992" s="8" t="n">
        <f aca="false">B992*(1-Inputs!$B$12)</f>
        <v>0.839476950924736</v>
      </c>
      <c r="O992" s="10" t="n">
        <f aca="false">IF(M992,Y991*(N992-AB991)-Inputs!$B$9-Y991*AD991*Inputs!$B$13*(A992-AC991),0)</f>
        <v>0</v>
      </c>
      <c r="P992" s="10" t="n">
        <f aca="false">X991+O992</f>
        <v>970.40233796708</v>
      </c>
      <c r="Q992" s="9" t="b">
        <f aca="false">AND(IF(M992,0,Y991)=0,AA991,IF(ISNUMBER(AE991),B992&gt;AE991,FALSE()))</f>
        <v>0</v>
      </c>
      <c r="R992" s="8" t="n">
        <f aca="false">B992*(1+Inputs!$B$12)</f>
        <v>0.839812808876696</v>
      </c>
      <c r="S992" s="11" t="n">
        <f aca="false">IF(Q992,MIN(P992*Inputs!$B$3/(R992-AE991),P992*Inputs!$B$11/R992),0)</f>
        <v>0</v>
      </c>
      <c r="T992" s="11" t="n">
        <f aca="false">IF(Q992,S992,IF(M992,0,Y991))</f>
        <v>0</v>
      </c>
      <c r="U992" s="8" t="n">
        <f aca="false">IF(Q992,AE991,AF991)</f>
        <v>0.843828396541038</v>
      </c>
      <c r="V992" s="9" t="b">
        <f aca="false">AND(T992&gt;0,D992&lt;=U992)</f>
        <v>0</v>
      </c>
      <c r="W992" s="10" t="n">
        <f aca="false">IF(V992,T992*(AK992-AB992)-Inputs!$B$9-T992*AD992*Inputs!$B$13*(A992-AC992),0)</f>
        <v>0</v>
      </c>
      <c r="X992" s="10" t="n">
        <f aca="false">P992-IF(Q992,Inputs!$B$9,0)+W992</f>
        <v>970.40233796708</v>
      </c>
      <c r="Y992" s="11" t="n">
        <f aca="false">IF(V992,0,T992)</f>
        <v>0</v>
      </c>
      <c r="Z992" s="9" t="b">
        <f aca="false">AND(Y992&gt;0,K992)</f>
        <v>0</v>
      </c>
      <c r="AA992" s="9" t="b">
        <f aca="false">AND(Y992=0,J992,ISNUMBER(L992))</f>
        <v>0</v>
      </c>
      <c r="AB992" s="8" t="n">
        <f aca="false">IF(Q992,R992,AB991)</f>
        <v>0.863503444084112</v>
      </c>
      <c r="AC992" s="12" t="n">
        <f aca="false">IF(Q992,A992,AC991)</f>
        <v>45706</v>
      </c>
      <c r="AD992" s="8" t="n">
        <f aca="false">IF(Q992,B992,AD991)</f>
        <v>0.863330777928526</v>
      </c>
      <c r="AE992" s="8" t="str">
        <f aca="false">IF(AA992,L992,"")</f>
        <v/>
      </c>
      <c r="AF992" s="8" t="n">
        <f aca="false">U992</f>
        <v>0.843828396541038</v>
      </c>
      <c r="AG992" s="2" t="n">
        <f aca="false">AG991+IF(Q992,1,0)</f>
        <v>9</v>
      </c>
      <c r="AH992" s="2" t="n">
        <f aca="false">AG991</f>
        <v>9</v>
      </c>
      <c r="AI992" s="10" t="n">
        <f aca="false">X992+Y992*(E992-AB992)-Y992*AD992*Inputs!$B$13*(A992-AC992)</f>
        <v>970.40233796708</v>
      </c>
      <c r="AJ992" s="10" t="n">
        <v>0</v>
      </c>
      <c r="AK992" s="8" t="n">
        <f aca="false">IF(AND(B992&lt;=U992,NOT(Q992)),B992,U992)*(1-Inputs!$B$12)</f>
        <v>0.839476950924736</v>
      </c>
    </row>
    <row r="993" customFormat="false" ht="15" hidden="false" customHeight="false" outlineLevel="0" collapsed="false">
      <c r="A993" s="6" t="n">
        <v>45777</v>
      </c>
      <c r="B993" s="7" t="n">
        <v>0.839892690741361</v>
      </c>
      <c r="C993" s="7" t="n">
        <v>0.856084427566059</v>
      </c>
      <c r="D993" s="7" t="n">
        <v>0.839649333752353</v>
      </c>
      <c r="E993" s="7" t="n">
        <v>0.847860200602354</v>
      </c>
      <c r="F993" s="8" t="n">
        <f aca="true">IF(ROW()-2&gt;=Inputs!$B$4,AVERAGE(OFFSET(E993,1-Inputs!$B$4,0,Inputs!$B$4,1)),"")</f>
        <v>0.851458142261329</v>
      </c>
      <c r="G993" s="8" t="n">
        <f aca="true">IF(ROW()-2&gt;=Inputs!$B$5,AVERAGE(OFFSET(E993,1-Inputs!$B$5,0,Inputs!$B$5,1)),"")</f>
        <v>0.860827238323195</v>
      </c>
      <c r="H993" s="8" t="n">
        <f aca="false">MAX(C993-D993,ABS(C993-E992),ABS(D993-E992))</f>
        <v>0.0164350938137057</v>
      </c>
      <c r="I993" s="8" t="n">
        <f aca="true">IF(ROW()-2&lt;14,"",IF(ROW()-2=14,AVERAGE(OFFSET(H993,-13,0,14,1)),(I992*13+H993)/14))</f>
        <v>0.00894958754772752</v>
      </c>
      <c r="J993" s="9" t="b">
        <f aca="false">IF(AND(ISNUMBER(F993),ISNUMBER(G993),ISNUMBER(F992),ISNUMBER(G992)),AND(F993&gt;G993,F992&lt;=G992),FALSE())</f>
        <v>0</v>
      </c>
      <c r="K993" s="9" t="b">
        <f aca="false">IF(AND(ISNUMBER(F993),ISNUMBER(G993),ISNUMBER(F992),ISNUMBER(G992)),AND(F993&lt;G993,F992&gt;=G992),FALSE())</f>
        <v>0</v>
      </c>
      <c r="L993" s="8" t="n">
        <f aca="false">IF(ISNUMBER(I993),E993-Inputs!$B$6*I993,"")</f>
        <v>0.829961025506898</v>
      </c>
      <c r="M993" s="9" t="b">
        <f aca="false">AND(Y992&gt;0,Z992)</f>
        <v>0</v>
      </c>
      <c r="N993" s="8" t="n">
        <f aca="false">B993*(1-Inputs!$B$12)</f>
        <v>0.839724712203213</v>
      </c>
      <c r="O993" s="10" t="n">
        <f aca="false">IF(M993,Y992*(N993-AB992)-Inputs!$B$9-Y992*AD992*Inputs!$B$13*(A993-AC992),0)</f>
        <v>0</v>
      </c>
      <c r="P993" s="10" t="n">
        <f aca="false">X992+O993</f>
        <v>970.40233796708</v>
      </c>
      <c r="Q993" s="9" t="b">
        <f aca="false">AND(IF(M993,0,Y992)=0,AA992,IF(ISNUMBER(AE992),B993&gt;AE992,FALSE()))</f>
        <v>0</v>
      </c>
      <c r="R993" s="8" t="n">
        <f aca="false">B993*(1+Inputs!$B$12)</f>
        <v>0.84006066927951</v>
      </c>
      <c r="S993" s="11" t="n">
        <f aca="false">IF(Q993,MIN(P993*Inputs!$B$3/(R993-AE992),P993*Inputs!$B$11/R993),0)</f>
        <v>0</v>
      </c>
      <c r="T993" s="11" t="n">
        <f aca="false">IF(Q993,S993,IF(M993,0,Y992))</f>
        <v>0</v>
      </c>
      <c r="U993" s="8" t="n">
        <f aca="false">IF(Q993,AE992,AF992)</f>
        <v>0.843828396541038</v>
      </c>
      <c r="V993" s="9" t="b">
        <f aca="false">AND(T993&gt;0,D993&lt;=U993)</f>
        <v>0</v>
      </c>
      <c r="W993" s="10" t="n">
        <f aca="false">IF(V993,T993*(AK993-AB993)-Inputs!$B$9-T993*AD993*Inputs!$B$13*(A993-AC993),0)</f>
        <v>0</v>
      </c>
      <c r="X993" s="10" t="n">
        <f aca="false">P993-IF(Q993,Inputs!$B$9,0)+W993</f>
        <v>970.40233796708</v>
      </c>
      <c r="Y993" s="11" t="n">
        <f aca="false">IF(V993,0,T993)</f>
        <v>0</v>
      </c>
      <c r="Z993" s="9" t="b">
        <f aca="false">AND(Y993&gt;0,K993)</f>
        <v>0</v>
      </c>
      <c r="AA993" s="9" t="b">
        <f aca="false">AND(Y993=0,J993,ISNUMBER(L993))</f>
        <v>0</v>
      </c>
      <c r="AB993" s="8" t="n">
        <f aca="false">IF(Q993,R993,AB992)</f>
        <v>0.863503444084112</v>
      </c>
      <c r="AC993" s="12" t="n">
        <f aca="false">IF(Q993,A993,AC992)</f>
        <v>45706</v>
      </c>
      <c r="AD993" s="8" t="n">
        <f aca="false">IF(Q993,B993,AD992)</f>
        <v>0.863330777928526</v>
      </c>
      <c r="AE993" s="8" t="str">
        <f aca="false">IF(AA993,L993,"")</f>
        <v/>
      </c>
      <c r="AF993" s="8" t="n">
        <f aca="false">U993</f>
        <v>0.843828396541038</v>
      </c>
      <c r="AG993" s="2" t="n">
        <f aca="false">AG992+IF(Q993,1,0)</f>
        <v>9</v>
      </c>
      <c r="AH993" s="2" t="n">
        <f aca="false">AG992</f>
        <v>9</v>
      </c>
      <c r="AI993" s="10" t="n">
        <f aca="false">X993+Y993*(E993-AB993)-Y993*AD993*Inputs!$B$13*(A993-AC993)</f>
        <v>970.40233796708</v>
      </c>
      <c r="AJ993" s="10" t="n">
        <v>0</v>
      </c>
      <c r="AK993" s="8" t="n">
        <f aca="false">IF(AND(B993&lt;=U993,NOT(Q993)),B993,U993)*(1-Inputs!$B$12)</f>
        <v>0.839724712203213</v>
      </c>
    </row>
    <row r="994" customFormat="false" ht="15" hidden="false" customHeight="false" outlineLevel="0" collapsed="false">
      <c r="A994" s="6" t="n">
        <v>45778</v>
      </c>
      <c r="B994" s="7" t="n">
        <v>0.847860200602354</v>
      </c>
      <c r="C994" s="7" t="n">
        <v>0.854375648507858</v>
      </c>
      <c r="D994" s="7" t="n">
        <v>0.838221904411077</v>
      </c>
      <c r="E994" s="7" t="n">
        <v>0.840029710329182</v>
      </c>
      <c r="F994" s="8" t="n">
        <f aca="true">IF(ROW()-2&gt;=Inputs!$B$4,AVERAGE(OFFSET(E994,1-Inputs!$B$4,0,Inputs!$B$4,1)),"")</f>
        <v>0.849718952926905</v>
      </c>
      <c r="G994" s="8" t="n">
        <f aca="true">IF(ROW()-2&gt;=Inputs!$B$5,AVERAGE(OFFSET(E994,1-Inputs!$B$5,0,Inputs!$B$5,1)),"")</f>
        <v>0.860578933064887</v>
      </c>
      <c r="H994" s="8" t="n">
        <f aca="false">MAX(C994-D994,ABS(C994-E993),ABS(D994-E993))</f>
        <v>0.0161537440967812</v>
      </c>
      <c r="I994" s="8" t="n">
        <f aca="true">IF(ROW()-2&lt;14,"",IF(ROW()-2=14,AVERAGE(OFFSET(H994,-13,0,14,1)),(I993*13+H994)/14))</f>
        <v>0.00946417015837421</v>
      </c>
      <c r="J994" s="9" t="b">
        <f aca="false">IF(AND(ISNUMBER(F994),ISNUMBER(G994),ISNUMBER(F993),ISNUMBER(G993)),AND(F994&gt;G994,F993&lt;=G993),FALSE())</f>
        <v>0</v>
      </c>
      <c r="K994" s="9" t="b">
        <f aca="false">IF(AND(ISNUMBER(F994),ISNUMBER(G994),ISNUMBER(F993),ISNUMBER(G993)),AND(F994&lt;G994,F993&gt;=G993),FALSE())</f>
        <v>0</v>
      </c>
      <c r="L994" s="8" t="n">
        <f aca="false">IF(ISNUMBER(I994),E994-Inputs!$B$6*I994,"")</f>
        <v>0.821101370012433</v>
      </c>
      <c r="M994" s="9" t="b">
        <f aca="false">AND(Y993&gt;0,Z993)</f>
        <v>0</v>
      </c>
      <c r="N994" s="8" t="n">
        <f aca="false">B994*(1-Inputs!$B$12)</f>
        <v>0.847690628562233</v>
      </c>
      <c r="O994" s="10" t="n">
        <f aca="false">IF(M994,Y993*(N994-AB993)-Inputs!$B$9-Y993*AD993*Inputs!$B$13*(A994-AC993),0)</f>
        <v>0</v>
      </c>
      <c r="P994" s="10" t="n">
        <f aca="false">X993+O994</f>
        <v>970.40233796708</v>
      </c>
      <c r="Q994" s="9" t="b">
        <f aca="false">AND(IF(M994,0,Y993)=0,AA993,IF(ISNUMBER(AE993),B994&gt;AE993,FALSE()))</f>
        <v>0</v>
      </c>
      <c r="R994" s="8" t="n">
        <f aca="false">B994*(1+Inputs!$B$12)</f>
        <v>0.848029772642474</v>
      </c>
      <c r="S994" s="11" t="n">
        <f aca="false">IF(Q994,MIN(P994*Inputs!$B$3/(R994-AE993),P994*Inputs!$B$11/R994),0)</f>
        <v>0</v>
      </c>
      <c r="T994" s="11" t="n">
        <f aca="false">IF(Q994,S994,IF(M994,0,Y993))</f>
        <v>0</v>
      </c>
      <c r="U994" s="8" t="n">
        <f aca="false">IF(Q994,AE993,AF993)</f>
        <v>0.843828396541038</v>
      </c>
      <c r="V994" s="9" t="b">
        <f aca="false">AND(T994&gt;0,D994&lt;=U994)</f>
        <v>0</v>
      </c>
      <c r="W994" s="10" t="n">
        <f aca="false">IF(V994,T994*(AK994-AB994)-Inputs!$B$9-T994*AD994*Inputs!$B$13*(A994-AC994),0)</f>
        <v>0</v>
      </c>
      <c r="X994" s="10" t="n">
        <f aca="false">P994-IF(Q994,Inputs!$B$9,0)+W994</f>
        <v>970.40233796708</v>
      </c>
      <c r="Y994" s="11" t="n">
        <f aca="false">IF(V994,0,T994)</f>
        <v>0</v>
      </c>
      <c r="Z994" s="9" t="b">
        <f aca="false">AND(Y994&gt;0,K994)</f>
        <v>0</v>
      </c>
      <c r="AA994" s="9" t="b">
        <f aca="false">AND(Y994=0,J994,ISNUMBER(L994))</f>
        <v>0</v>
      </c>
      <c r="AB994" s="8" t="n">
        <f aca="false">IF(Q994,R994,AB993)</f>
        <v>0.863503444084112</v>
      </c>
      <c r="AC994" s="12" t="n">
        <f aca="false">IF(Q994,A994,AC993)</f>
        <v>45706</v>
      </c>
      <c r="AD994" s="8" t="n">
        <f aca="false">IF(Q994,B994,AD993)</f>
        <v>0.863330777928526</v>
      </c>
      <c r="AE994" s="8" t="str">
        <f aca="false">IF(AA994,L994,"")</f>
        <v/>
      </c>
      <c r="AF994" s="8" t="n">
        <f aca="false">U994</f>
        <v>0.843828396541038</v>
      </c>
      <c r="AG994" s="2" t="n">
        <f aca="false">AG993+IF(Q994,1,0)</f>
        <v>9</v>
      </c>
      <c r="AH994" s="2" t="n">
        <f aca="false">AG993</f>
        <v>9</v>
      </c>
      <c r="AI994" s="10" t="n">
        <f aca="false">X994+Y994*(E994-AB994)-Y994*AD994*Inputs!$B$13*(A994-AC994)</f>
        <v>970.40233796708</v>
      </c>
      <c r="AJ994" s="10" t="n">
        <v>0</v>
      </c>
      <c r="AK994" s="8" t="n">
        <f aca="false">IF(AND(B994&lt;=U994,NOT(Q994)),B994,U994)*(1-Inputs!$B$12)</f>
        <v>0.843659630861729</v>
      </c>
    </row>
    <row r="995" customFormat="false" ht="15" hidden="false" customHeight="false" outlineLevel="0" collapsed="false">
      <c r="A995" s="6" t="n">
        <v>45779</v>
      </c>
      <c r="B995" s="7" t="n">
        <v>0.840029710329182</v>
      </c>
      <c r="C995" s="7" t="n">
        <v>0.844556363668623</v>
      </c>
      <c r="D995" s="7" t="n">
        <v>0.836661808235902</v>
      </c>
      <c r="E995" s="7" t="n">
        <v>0.838602572180082</v>
      </c>
      <c r="F995" s="8" t="n">
        <f aca="true">IF(ROW()-2&gt;=Inputs!$B$4,AVERAGE(OFFSET(E995,1-Inputs!$B$4,0,Inputs!$B$4,1)),"")</f>
        <v>0.847773896939959</v>
      </c>
      <c r="G995" s="8" t="n">
        <f aca="true">IF(ROW()-2&gt;=Inputs!$B$5,AVERAGE(OFFSET(E995,1-Inputs!$B$5,0,Inputs!$B$5,1)),"")</f>
        <v>0.860267517767277</v>
      </c>
      <c r="H995" s="8" t="n">
        <f aca="false">MAX(C995-D995,ABS(C995-E994),ABS(D995-E994))</f>
        <v>0.00789455543272133</v>
      </c>
      <c r="I995" s="8" t="n">
        <f aca="true">IF(ROW()-2&lt;14,"",IF(ROW()-2=14,AVERAGE(OFFSET(H995,-13,0,14,1)),(I994*13+H995)/14))</f>
        <v>0.00935205482082757</v>
      </c>
      <c r="J995" s="9" t="b">
        <f aca="false">IF(AND(ISNUMBER(F995),ISNUMBER(G995),ISNUMBER(F994),ISNUMBER(G994)),AND(F995&gt;G995,F994&lt;=G994),FALSE())</f>
        <v>0</v>
      </c>
      <c r="K995" s="9" t="b">
        <f aca="false">IF(AND(ISNUMBER(F995),ISNUMBER(G995),ISNUMBER(F994),ISNUMBER(G994)),AND(F995&lt;G995,F994&gt;=G994),FALSE())</f>
        <v>0</v>
      </c>
      <c r="L995" s="8" t="n">
        <f aca="false">IF(ISNUMBER(I995),E995-Inputs!$B$6*I995,"")</f>
        <v>0.819898462538427</v>
      </c>
      <c r="M995" s="9" t="b">
        <f aca="false">AND(Y994&gt;0,Z994)</f>
        <v>0</v>
      </c>
      <c r="N995" s="8" t="n">
        <f aca="false">B995*(1-Inputs!$B$12)</f>
        <v>0.839861704387116</v>
      </c>
      <c r="O995" s="10" t="n">
        <f aca="false">IF(M995,Y994*(N995-AB994)-Inputs!$B$9-Y994*AD994*Inputs!$B$13*(A995-AC994),0)</f>
        <v>0</v>
      </c>
      <c r="P995" s="10" t="n">
        <f aca="false">X994+O995</f>
        <v>970.40233796708</v>
      </c>
      <c r="Q995" s="9" t="b">
        <f aca="false">AND(IF(M995,0,Y994)=0,AA994,IF(ISNUMBER(AE994),B995&gt;AE994,FALSE()))</f>
        <v>0</v>
      </c>
      <c r="R995" s="8" t="n">
        <f aca="false">B995*(1+Inputs!$B$12)</f>
        <v>0.840197716271247</v>
      </c>
      <c r="S995" s="11" t="n">
        <f aca="false">IF(Q995,MIN(P995*Inputs!$B$3/(R995-AE994),P995*Inputs!$B$11/R995),0)</f>
        <v>0</v>
      </c>
      <c r="T995" s="11" t="n">
        <f aca="false">IF(Q995,S995,IF(M995,0,Y994))</f>
        <v>0</v>
      </c>
      <c r="U995" s="8" t="n">
        <f aca="false">IF(Q995,AE994,AF994)</f>
        <v>0.843828396541038</v>
      </c>
      <c r="V995" s="9" t="b">
        <f aca="false">AND(T995&gt;0,D995&lt;=U995)</f>
        <v>0</v>
      </c>
      <c r="W995" s="10" t="n">
        <f aca="false">IF(V995,T995*(AK995-AB995)-Inputs!$B$9-T995*AD995*Inputs!$B$13*(A995-AC995),0)</f>
        <v>0</v>
      </c>
      <c r="X995" s="10" t="n">
        <f aca="false">P995-IF(Q995,Inputs!$B$9,0)+W995</f>
        <v>970.40233796708</v>
      </c>
      <c r="Y995" s="11" t="n">
        <f aca="false">IF(V995,0,T995)</f>
        <v>0</v>
      </c>
      <c r="Z995" s="9" t="b">
        <f aca="false">AND(Y995&gt;0,K995)</f>
        <v>0</v>
      </c>
      <c r="AA995" s="9" t="b">
        <f aca="false">AND(Y995=0,J995,ISNUMBER(L995))</f>
        <v>0</v>
      </c>
      <c r="AB995" s="8" t="n">
        <f aca="false">IF(Q995,R995,AB994)</f>
        <v>0.863503444084112</v>
      </c>
      <c r="AC995" s="12" t="n">
        <f aca="false">IF(Q995,A995,AC994)</f>
        <v>45706</v>
      </c>
      <c r="AD995" s="8" t="n">
        <f aca="false">IF(Q995,B995,AD994)</f>
        <v>0.863330777928526</v>
      </c>
      <c r="AE995" s="8" t="str">
        <f aca="false">IF(AA995,L995,"")</f>
        <v/>
      </c>
      <c r="AF995" s="8" t="n">
        <f aca="false">U995</f>
        <v>0.843828396541038</v>
      </c>
      <c r="AG995" s="2" t="n">
        <f aca="false">AG994+IF(Q995,1,0)</f>
        <v>9</v>
      </c>
      <c r="AH995" s="2" t="n">
        <f aca="false">AG994</f>
        <v>9</v>
      </c>
      <c r="AI995" s="10" t="n">
        <f aca="false">X995+Y995*(E995-AB995)-Y995*AD995*Inputs!$B$13*(A995-AC995)</f>
        <v>970.40233796708</v>
      </c>
      <c r="AJ995" s="10" t="n">
        <v>0</v>
      </c>
      <c r="AK995" s="8" t="n">
        <f aca="false">IF(AND(B995&lt;=U995,NOT(Q995)),B995,U995)*(1-Inputs!$B$12)</f>
        <v>0.839861704387116</v>
      </c>
    </row>
    <row r="996" customFormat="false" ht="15" hidden="false" customHeight="false" outlineLevel="0" collapsed="false">
      <c r="A996" s="6" t="n">
        <v>45780</v>
      </c>
      <c r="B996" s="7" t="n">
        <v>0.838602572180082</v>
      </c>
      <c r="C996" s="7" t="n">
        <v>0.843437382902903</v>
      </c>
      <c r="D996" s="7" t="n">
        <v>0.838539022049342</v>
      </c>
      <c r="E996" s="7" t="n">
        <v>0.839784933339902</v>
      </c>
      <c r="F996" s="8" t="n">
        <f aca="true">IF(ROW()-2&gt;=Inputs!$B$4,AVERAGE(OFFSET(E996,1-Inputs!$B$4,0,Inputs!$B$4,1)),"")</f>
        <v>0.845749675600174</v>
      </c>
      <c r="G996" s="8" t="n">
        <f aca="true">IF(ROW()-2&gt;=Inputs!$B$5,AVERAGE(OFFSET(E996,1-Inputs!$B$5,0,Inputs!$B$5,1)),"")</f>
        <v>0.859773438520872</v>
      </c>
      <c r="H996" s="8" t="n">
        <f aca="false">MAX(C996-D996,ABS(C996-E995),ABS(D996-E995))</f>
        <v>0.00489836085356088</v>
      </c>
      <c r="I996" s="8" t="n">
        <f aca="true">IF(ROW()-2&lt;14,"",IF(ROW()-2=14,AVERAGE(OFFSET(H996,-13,0,14,1)),(I995*13+H996)/14))</f>
        <v>0.00903393382316567</v>
      </c>
      <c r="J996" s="9" t="b">
        <f aca="false">IF(AND(ISNUMBER(F996),ISNUMBER(G996),ISNUMBER(F995),ISNUMBER(G995)),AND(F996&gt;G996,F995&lt;=G995),FALSE())</f>
        <v>0</v>
      </c>
      <c r="K996" s="9" t="b">
        <f aca="false">IF(AND(ISNUMBER(F996),ISNUMBER(G996),ISNUMBER(F995),ISNUMBER(G995)),AND(F996&lt;G996,F995&gt;=G995),FALSE())</f>
        <v>0</v>
      </c>
      <c r="L996" s="8" t="n">
        <f aca="false">IF(ISNUMBER(I996),E996-Inputs!$B$6*I996,"")</f>
        <v>0.821717065693571</v>
      </c>
      <c r="M996" s="9" t="b">
        <f aca="false">AND(Y995&gt;0,Z995)</f>
        <v>0</v>
      </c>
      <c r="N996" s="8" t="n">
        <f aca="false">B996*(1-Inputs!$B$12)</f>
        <v>0.838434851665646</v>
      </c>
      <c r="O996" s="10" t="n">
        <f aca="false">IF(M996,Y995*(N996-AB995)-Inputs!$B$9-Y995*AD995*Inputs!$B$13*(A996-AC995),0)</f>
        <v>0</v>
      </c>
      <c r="P996" s="10" t="n">
        <f aca="false">X995+O996</f>
        <v>970.40233796708</v>
      </c>
      <c r="Q996" s="9" t="b">
        <f aca="false">AND(IF(M996,0,Y995)=0,AA995,IF(ISNUMBER(AE995),B996&gt;AE995,FALSE()))</f>
        <v>0</v>
      </c>
      <c r="R996" s="8" t="n">
        <f aca="false">B996*(1+Inputs!$B$12)</f>
        <v>0.838770292694518</v>
      </c>
      <c r="S996" s="11" t="n">
        <f aca="false">IF(Q996,MIN(P996*Inputs!$B$3/(R996-AE995),P996*Inputs!$B$11/R996),0)</f>
        <v>0</v>
      </c>
      <c r="T996" s="11" t="n">
        <f aca="false">IF(Q996,S996,IF(M996,0,Y995))</f>
        <v>0</v>
      </c>
      <c r="U996" s="8" t="n">
        <f aca="false">IF(Q996,AE995,AF995)</f>
        <v>0.843828396541038</v>
      </c>
      <c r="V996" s="9" t="b">
        <f aca="false">AND(T996&gt;0,D996&lt;=U996)</f>
        <v>0</v>
      </c>
      <c r="W996" s="10" t="n">
        <f aca="false">IF(V996,T996*(AK996-AB996)-Inputs!$B$9-T996*AD996*Inputs!$B$13*(A996-AC996),0)</f>
        <v>0</v>
      </c>
      <c r="X996" s="10" t="n">
        <f aca="false">P996-IF(Q996,Inputs!$B$9,0)+W996</f>
        <v>970.40233796708</v>
      </c>
      <c r="Y996" s="11" t="n">
        <f aca="false">IF(V996,0,T996)</f>
        <v>0</v>
      </c>
      <c r="Z996" s="9" t="b">
        <f aca="false">AND(Y996&gt;0,K996)</f>
        <v>0</v>
      </c>
      <c r="AA996" s="9" t="b">
        <f aca="false">AND(Y996=0,J996,ISNUMBER(L996))</f>
        <v>0</v>
      </c>
      <c r="AB996" s="8" t="n">
        <f aca="false">IF(Q996,R996,AB995)</f>
        <v>0.863503444084112</v>
      </c>
      <c r="AC996" s="12" t="n">
        <f aca="false">IF(Q996,A996,AC995)</f>
        <v>45706</v>
      </c>
      <c r="AD996" s="8" t="n">
        <f aca="false">IF(Q996,B996,AD995)</f>
        <v>0.863330777928526</v>
      </c>
      <c r="AE996" s="8" t="str">
        <f aca="false">IF(AA996,L996,"")</f>
        <v/>
      </c>
      <c r="AF996" s="8" t="n">
        <f aca="false">U996</f>
        <v>0.843828396541038</v>
      </c>
      <c r="AG996" s="2" t="n">
        <f aca="false">AG995+IF(Q996,1,0)</f>
        <v>9</v>
      </c>
      <c r="AH996" s="2" t="n">
        <f aca="false">AG995</f>
        <v>9</v>
      </c>
      <c r="AI996" s="10" t="n">
        <f aca="false">X996+Y996*(E996-AB996)-Y996*AD996*Inputs!$B$13*(A996-AC996)</f>
        <v>970.40233796708</v>
      </c>
      <c r="AJ996" s="10" t="n">
        <v>0</v>
      </c>
      <c r="AK996" s="8" t="n">
        <f aca="false">IF(AND(B996&lt;=U996,NOT(Q996)),B996,U996)*(1-Inputs!$B$12)</f>
        <v>0.838434851665646</v>
      </c>
    </row>
    <row r="997" customFormat="false" ht="15" hidden="false" customHeight="false" outlineLevel="0" collapsed="false">
      <c r="A997" s="6" t="n">
        <v>45781</v>
      </c>
      <c r="B997" s="7" t="n">
        <v>0.839784933339902</v>
      </c>
      <c r="C997" s="7" t="n">
        <v>0.846160857249189</v>
      </c>
      <c r="D997" s="7" t="n">
        <v>0.837040993083981</v>
      </c>
      <c r="E997" s="7" t="n">
        <v>0.840322607594979</v>
      </c>
      <c r="F997" s="8" t="n">
        <f aca="true">IF(ROW()-2&gt;=Inputs!$B$4,AVERAGE(OFFSET(E997,1-Inputs!$B$4,0,Inputs!$B$4,1)),"")</f>
        <v>0.843925171886368</v>
      </c>
      <c r="G997" s="8" t="n">
        <f aca="true">IF(ROW()-2&gt;=Inputs!$B$5,AVERAGE(OFFSET(E997,1-Inputs!$B$5,0,Inputs!$B$5,1)),"")</f>
        <v>0.859154528745183</v>
      </c>
      <c r="H997" s="8" t="n">
        <f aca="false">MAX(C997-D997,ABS(C997-E996),ABS(D997-E996))</f>
        <v>0.0091198641652076</v>
      </c>
      <c r="I997" s="8" t="n">
        <f aca="true">IF(ROW()-2&lt;14,"",IF(ROW()-2=14,AVERAGE(OFFSET(H997,-13,0,14,1)),(I996*13+H997)/14))</f>
        <v>0.00904007170474009</v>
      </c>
      <c r="J997" s="9" t="b">
        <f aca="false">IF(AND(ISNUMBER(F997),ISNUMBER(G997),ISNUMBER(F996),ISNUMBER(G996)),AND(F997&gt;G997,F996&lt;=G996),FALSE())</f>
        <v>0</v>
      </c>
      <c r="K997" s="9" t="b">
        <f aca="false">IF(AND(ISNUMBER(F997),ISNUMBER(G997),ISNUMBER(F996),ISNUMBER(G996)),AND(F997&lt;G997,F996&gt;=G996),FALSE())</f>
        <v>0</v>
      </c>
      <c r="L997" s="8" t="n">
        <f aca="false">IF(ISNUMBER(I997),E997-Inputs!$B$6*I997,"")</f>
        <v>0.822242464185499</v>
      </c>
      <c r="M997" s="9" t="b">
        <f aca="false">AND(Y996&gt;0,Z996)</f>
        <v>0</v>
      </c>
      <c r="N997" s="8" t="n">
        <f aca="false">B997*(1-Inputs!$B$12)</f>
        <v>0.839616976353234</v>
      </c>
      <c r="O997" s="10" t="n">
        <f aca="false">IF(M997,Y996*(N997-AB996)-Inputs!$B$9-Y996*AD996*Inputs!$B$13*(A997-AC996),0)</f>
        <v>0</v>
      </c>
      <c r="P997" s="10" t="n">
        <f aca="false">X996+O997</f>
        <v>970.40233796708</v>
      </c>
      <c r="Q997" s="9" t="b">
        <f aca="false">AND(IF(M997,0,Y996)=0,AA996,IF(ISNUMBER(AE996),B997&gt;AE996,FALSE()))</f>
        <v>0</v>
      </c>
      <c r="R997" s="8" t="n">
        <f aca="false">B997*(1+Inputs!$B$12)</f>
        <v>0.83995289032657</v>
      </c>
      <c r="S997" s="11" t="n">
        <f aca="false">IF(Q997,MIN(P997*Inputs!$B$3/(R997-AE996),P997*Inputs!$B$11/R997),0)</f>
        <v>0</v>
      </c>
      <c r="T997" s="11" t="n">
        <f aca="false">IF(Q997,S997,IF(M997,0,Y996))</f>
        <v>0</v>
      </c>
      <c r="U997" s="8" t="n">
        <f aca="false">IF(Q997,AE996,AF996)</f>
        <v>0.843828396541038</v>
      </c>
      <c r="V997" s="9" t="b">
        <f aca="false">AND(T997&gt;0,D997&lt;=U997)</f>
        <v>0</v>
      </c>
      <c r="W997" s="10" t="n">
        <f aca="false">IF(V997,T997*(AK997-AB997)-Inputs!$B$9-T997*AD997*Inputs!$B$13*(A997-AC997),0)</f>
        <v>0</v>
      </c>
      <c r="X997" s="10" t="n">
        <f aca="false">P997-IF(Q997,Inputs!$B$9,0)+W997</f>
        <v>970.40233796708</v>
      </c>
      <c r="Y997" s="11" t="n">
        <f aca="false">IF(V997,0,T997)</f>
        <v>0</v>
      </c>
      <c r="Z997" s="9" t="b">
        <f aca="false">AND(Y997&gt;0,K997)</f>
        <v>0</v>
      </c>
      <c r="AA997" s="9" t="b">
        <f aca="false">AND(Y997=0,J997,ISNUMBER(L997))</f>
        <v>0</v>
      </c>
      <c r="AB997" s="8" t="n">
        <f aca="false">IF(Q997,R997,AB996)</f>
        <v>0.863503444084112</v>
      </c>
      <c r="AC997" s="12" t="n">
        <f aca="false">IF(Q997,A997,AC996)</f>
        <v>45706</v>
      </c>
      <c r="AD997" s="8" t="n">
        <f aca="false">IF(Q997,B997,AD996)</f>
        <v>0.863330777928526</v>
      </c>
      <c r="AE997" s="8" t="str">
        <f aca="false">IF(AA997,L997,"")</f>
        <v/>
      </c>
      <c r="AF997" s="8" t="n">
        <f aca="false">U997</f>
        <v>0.843828396541038</v>
      </c>
      <c r="AG997" s="2" t="n">
        <f aca="false">AG996+IF(Q997,1,0)</f>
        <v>9</v>
      </c>
      <c r="AH997" s="2" t="n">
        <f aca="false">AG996</f>
        <v>9</v>
      </c>
      <c r="AI997" s="10" t="n">
        <f aca="false">X997+Y997*(E997-AB997)-Y997*AD997*Inputs!$B$13*(A997-AC997)</f>
        <v>970.40233796708</v>
      </c>
      <c r="AJ997" s="10" t="n">
        <v>0</v>
      </c>
      <c r="AK997" s="8" t="n">
        <f aca="false">IF(AND(B997&lt;=U997,NOT(Q997)),B997,U997)*(1-Inputs!$B$12)</f>
        <v>0.839616976353234</v>
      </c>
    </row>
    <row r="998" customFormat="false" ht="15" hidden="false" customHeight="false" outlineLevel="0" collapsed="false">
      <c r="A998" s="6" t="n">
        <v>45782</v>
      </c>
      <c r="B998" s="7" t="n">
        <v>0.840322607594979</v>
      </c>
      <c r="C998" s="7" t="n">
        <v>0.852900590557781</v>
      </c>
      <c r="D998" s="7" t="n">
        <v>0.83525871216249</v>
      </c>
      <c r="E998" s="7" t="n">
        <v>0.848746241375175</v>
      </c>
      <c r="F998" s="8" t="n">
        <f aca="true">IF(ROW()-2&gt;=Inputs!$B$4,AVERAGE(OFFSET(E998,1-Inputs!$B$4,0,Inputs!$B$4,1)),"")</f>
        <v>0.843198911001356</v>
      </c>
      <c r="G998" s="8" t="n">
        <f aca="true">IF(ROW()-2&gt;=Inputs!$B$5,AVERAGE(OFFSET(E998,1-Inputs!$B$5,0,Inputs!$B$5,1)),"")</f>
        <v>0.858757508095681</v>
      </c>
      <c r="H998" s="8" t="n">
        <f aca="false">MAX(C998-D998,ABS(C998-E997),ABS(D998-E997))</f>
        <v>0.0176418783952912</v>
      </c>
      <c r="I998" s="8" t="n">
        <f aca="true">IF(ROW()-2&lt;14,"",IF(ROW()-2=14,AVERAGE(OFFSET(H998,-13,0,14,1)),(I997*13+H998)/14))</f>
        <v>0.00965448646835088</v>
      </c>
      <c r="J998" s="9" t="b">
        <f aca="false">IF(AND(ISNUMBER(F998),ISNUMBER(G998),ISNUMBER(F997),ISNUMBER(G997)),AND(F998&gt;G998,F997&lt;=G997),FALSE())</f>
        <v>0</v>
      </c>
      <c r="K998" s="9" t="b">
        <f aca="false">IF(AND(ISNUMBER(F998),ISNUMBER(G998),ISNUMBER(F997),ISNUMBER(G997)),AND(F998&lt;G998,F997&gt;=G997),FALSE())</f>
        <v>0</v>
      </c>
      <c r="L998" s="8" t="n">
        <f aca="false">IF(ISNUMBER(I998),E998-Inputs!$B$6*I998,"")</f>
        <v>0.829437268438473</v>
      </c>
      <c r="M998" s="9" t="b">
        <f aca="false">AND(Y997&gt;0,Z997)</f>
        <v>0</v>
      </c>
      <c r="N998" s="8" t="n">
        <f aca="false">B998*(1-Inputs!$B$12)</f>
        <v>0.84015454307346</v>
      </c>
      <c r="O998" s="10" t="n">
        <f aca="false">IF(M998,Y997*(N998-AB997)-Inputs!$B$9-Y997*AD997*Inputs!$B$13*(A998-AC997),0)</f>
        <v>0</v>
      </c>
      <c r="P998" s="10" t="n">
        <f aca="false">X997+O998</f>
        <v>970.40233796708</v>
      </c>
      <c r="Q998" s="9" t="b">
        <f aca="false">AND(IF(M998,0,Y997)=0,AA997,IF(ISNUMBER(AE997),B998&gt;AE997,FALSE()))</f>
        <v>0</v>
      </c>
      <c r="R998" s="8" t="n">
        <f aca="false">B998*(1+Inputs!$B$12)</f>
        <v>0.840490672116498</v>
      </c>
      <c r="S998" s="11" t="n">
        <f aca="false">IF(Q998,MIN(P998*Inputs!$B$3/(R998-AE997),P998*Inputs!$B$11/R998),0)</f>
        <v>0</v>
      </c>
      <c r="T998" s="11" t="n">
        <f aca="false">IF(Q998,S998,IF(M998,0,Y997))</f>
        <v>0</v>
      </c>
      <c r="U998" s="8" t="n">
        <f aca="false">IF(Q998,AE997,AF997)</f>
        <v>0.843828396541038</v>
      </c>
      <c r="V998" s="9" t="b">
        <f aca="false">AND(T998&gt;0,D998&lt;=U998)</f>
        <v>0</v>
      </c>
      <c r="W998" s="10" t="n">
        <f aca="false">IF(V998,T998*(AK998-AB998)-Inputs!$B$9-T998*AD998*Inputs!$B$13*(A998-AC998),0)</f>
        <v>0</v>
      </c>
      <c r="X998" s="10" t="n">
        <f aca="false">P998-IF(Q998,Inputs!$B$9,0)+W998</f>
        <v>970.40233796708</v>
      </c>
      <c r="Y998" s="11" t="n">
        <f aca="false">IF(V998,0,T998)</f>
        <v>0</v>
      </c>
      <c r="Z998" s="9" t="b">
        <f aca="false">AND(Y998&gt;0,K998)</f>
        <v>0</v>
      </c>
      <c r="AA998" s="9" t="b">
        <f aca="false">AND(Y998=0,J998,ISNUMBER(L998))</f>
        <v>0</v>
      </c>
      <c r="AB998" s="8" t="n">
        <f aca="false">IF(Q998,R998,AB997)</f>
        <v>0.863503444084112</v>
      </c>
      <c r="AC998" s="12" t="n">
        <f aca="false">IF(Q998,A998,AC997)</f>
        <v>45706</v>
      </c>
      <c r="AD998" s="8" t="n">
        <f aca="false">IF(Q998,B998,AD997)</f>
        <v>0.863330777928526</v>
      </c>
      <c r="AE998" s="8" t="str">
        <f aca="false">IF(AA998,L998,"")</f>
        <v/>
      </c>
      <c r="AF998" s="8" t="n">
        <f aca="false">U998</f>
        <v>0.843828396541038</v>
      </c>
      <c r="AG998" s="2" t="n">
        <f aca="false">AG997+IF(Q998,1,0)</f>
        <v>9</v>
      </c>
      <c r="AH998" s="2" t="n">
        <f aca="false">AG997</f>
        <v>9</v>
      </c>
      <c r="AI998" s="10" t="n">
        <f aca="false">X998+Y998*(E998-AB998)-Y998*AD998*Inputs!$B$13*(A998-AC998)</f>
        <v>970.40233796708</v>
      </c>
      <c r="AJ998" s="10" t="n">
        <v>0</v>
      </c>
      <c r="AK998" s="8" t="n">
        <f aca="false">IF(AND(B998&lt;=U998,NOT(Q998)),B998,U998)*(1-Inputs!$B$12)</f>
        <v>0.84015454307346</v>
      </c>
    </row>
    <row r="999" customFormat="false" ht="15" hidden="false" customHeight="false" outlineLevel="0" collapsed="false">
      <c r="A999" s="6" t="n">
        <v>45783</v>
      </c>
      <c r="B999" s="7" t="n">
        <v>0.848746241375175</v>
      </c>
      <c r="C999" s="7" t="n">
        <v>0.849363551731698</v>
      </c>
      <c r="D999" s="7" t="n">
        <v>0.844160444627479</v>
      </c>
      <c r="E999" s="7" t="n">
        <v>0.847292437545903</v>
      </c>
      <c r="F999" s="8" t="n">
        <f aca="true">IF(ROW()-2&gt;=Inputs!$B$4,AVERAGE(OFFSET(E999,1-Inputs!$B$4,0,Inputs!$B$4,1)),"")</f>
        <v>0.842537059553328</v>
      </c>
      <c r="G999" s="8" t="n">
        <f aca="true">IF(ROW()-2&gt;=Inputs!$B$5,AVERAGE(OFFSET(E999,1-Inputs!$B$5,0,Inputs!$B$5,1)),"")</f>
        <v>0.858182786467805</v>
      </c>
      <c r="H999" s="8" t="n">
        <f aca="false">MAX(C999-D999,ABS(C999-E998),ABS(D999-E998))</f>
        <v>0.00520310710421912</v>
      </c>
      <c r="I999" s="8" t="n">
        <f aca="true">IF(ROW()-2&lt;14,"",IF(ROW()-2=14,AVERAGE(OFFSET(H999,-13,0,14,1)),(I998*13+H999)/14))</f>
        <v>0.00933653079948433</v>
      </c>
      <c r="J999" s="9" t="b">
        <f aca="false">IF(AND(ISNUMBER(F999),ISNUMBER(G999),ISNUMBER(F998),ISNUMBER(G998)),AND(F999&gt;G999,F998&lt;=G998),FALSE())</f>
        <v>0</v>
      </c>
      <c r="K999" s="9" t="b">
        <f aca="false">IF(AND(ISNUMBER(F999),ISNUMBER(G999),ISNUMBER(F998),ISNUMBER(G998)),AND(F999&lt;G999,F998&gt;=G998),FALSE())</f>
        <v>0</v>
      </c>
      <c r="L999" s="8" t="n">
        <f aca="false">IF(ISNUMBER(I999),E999-Inputs!$B$6*I999,"")</f>
        <v>0.828619375946934</v>
      </c>
      <c r="M999" s="9" t="b">
        <f aca="false">AND(Y998&gt;0,Z998)</f>
        <v>0</v>
      </c>
      <c r="N999" s="8" t="n">
        <f aca="false">B999*(1-Inputs!$B$12)</f>
        <v>0.8485764921269</v>
      </c>
      <c r="O999" s="10" t="n">
        <f aca="false">IF(M999,Y998*(N999-AB998)-Inputs!$B$9-Y998*AD998*Inputs!$B$13*(A999-AC998),0)</f>
        <v>0</v>
      </c>
      <c r="P999" s="10" t="n">
        <f aca="false">X998+O999</f>
        <v>970.40233796708</v>
      </c>
      <c r="Q999" s="9" t="b">
        <f aca="false">AND(IF(M999,0,Y998)=0,AA998,IF(ISNUMBER(AE998),B999&gt;AE998,FALSE()))</f>
        <v>0</v>
      </c>
      <c r="R999" s="8" t="n">
        <f aca="false">B999*(1+Inputs!$B$12)</f>
        <v>0.84891599062345</v>
      </c>
      <c r="S999" s="11" t="n">
        <f aca="false">IF(Q999,MIN(P999*Inputs!$B$3/(R999-AE998),P999*Inputs!$B$11/R999),0)</f>
        <v>0</v>
      </c>
      <c r="T999" s="11" t="n">
        <f aca="false">IF(Q999,S999,IF(M999,0,Y998))</f>
        <v>0</v>
      </c>
      <c r="U999" s="8" t="n">
        <f aca="false">IF(Q999,AE998,AF998)</f>
        <v>0.843828396541038</v>
      </c>
      <c r="V999" s="9" t="b">
        <f aca="false">AND(T999&gt;0,D999&lt;=U999)</f>
        <v>0</v>
      </c>
      <c r="W999" s="10" t="n">
        <f aca="false">IF(V999,T999*(AK999-AB999)-Inputs!$B$9-T999*AD999*Inputs!$B$13*(A999-AC999),0)</f>
        <v>0</v>
      </c>
      <c r="X999" s="10" t="n">
        <f aca="false">P999-IF(Q999,Inputs!$B$9,0)+W999</f>
        <v>970.40233796708</v>
      </c>
      <c r="Y999" s="11" t="n">
        <f aca="false">IF(V999,0,T999)</f>
        <v>0</v>
      </c>
      <c r="Z999" s="9" t="b">
        <f aca="false">AND(Y999&gt;0,K999)</f>
        <v>0</v>
      </c>
      <c r="AA999" s="9" t="b">
        <f aca="false">AND(Y999=0,J999,ISNUMBER(L999))</f>
        <v>0</v>
      </c>
      <c r="AB999" s="8" t="n">
        <f aca="false">IF(Q999,R999,AB998)</f>
        <v>0.863503444084112</v>
      </c>
      <c r="AC999" s="12" t="n">
        <f aca="false">IF(Q999,A999,AC998)</f>
        <v>45706</v>
      </c>
      <c r="AD999" s="8" t="n">
        <f aca="false">IF(Q999,B999,AD998)</f>
        <v>0.863330777928526</v>
      </c>
      <c r="AE999" s="8" t="str">
        <f aca="false">IF(AA999,L999,"")</f>
        <v/>
      </c>
      <c r="AF999" s="8" t="n">
        <f aca="false">U999</f>
        <v>0.843828396541038</v>
      </c>
      <c r="AG999" s="2" t="n">
        <f aca="false">AG998+IF(Q999,1,0)</f>
        <v>9</v>
      </c>
      <c r="AH999" s="2" t="n">
        <f aca="false">AG998</f>
        <v>9</v>
      </c>
      <c r="AI999" s="10" t="n">
        <f aca="false">X999+Y999*(E999-AB999)-Y999*AD999*Inputs!$B$13*(A999-AC999)</f>
        <v>970.40233796708</v>
      </c>
      <c r="AJ999" s="10" t="n">
        <v>0</v>
      </c>
      <c r="AK999" s="8" t="n">
        <f aca="false">IF(AND(B999&lt;=U999,NOT(Q999)),B999,U999)*(1-Inputs!$B$12)</f>
        <v>0.843659630861729</v>
      </c>
    </row>
    <row r="1000" customFormat="false" ht="15" hidden="false" customHeight="false" outlineLevel="0" collapsed="false">
      <c r="A1000" s="6" t="n">
        <v>45784</v>
      </c>
      <c r="B1000" s="7" t="n">
        <v>0.847292437545903</v>
      </c>
      <c r="C1000" s="7" t="n">
        <v>0.852689608056413</v>
      </c>
      <c r="D1000" s="7" t="n">
        <v>0.842455741854874</v>
      </c>
      <c r="E1000" s="7" t="n">
        <v>0.850801364843034</v>
      </c>
      <c r="F1000" s="8" t="n">
        <f aca="true">IF(ROW()-2&gt;=Inputs!$B$4,AVERAGE(OFFSET(E1000,1-Inputs!$B$4,0,Inputs!$B$4,1)),"")</f>
        <v>0.84233976887434</v>
      </c>
      <c r="G1000" s="8" t="n">
        <f aca="true">IF(ROW()-2&gt;=Inputs!$B$5,AVERAGE(OFFSET(E1000,1-Inputs!$B$5,0,Inputs!$B$5,1)),"")</f>
        <v>0.857703907487426</v>
      </c>
      <c r="H1000" s="8" t="n">
        <f aca="false">MAX(C1000-D1000,ABS(C1000-E999),ABS(D1000-E999))</f>
        <v>0.0102338662015394</v>
      </c>
      <c r="I1000" s="8" t="n">
        <f aca="true">IF(ROW()-2&lt;14,"",IF(ROW()-2=14,AVERAGE(OFFSET(H1000,-13,0,14,1)),(I999*13+H1000)/14))</f>
        <v>0.00940062618534541</v>
      </c>
      <c r="J1000" s="9" t="b">
        <f aca="false">IF(AND(ISNUMBER(F1000),ISNUMBER(G1000),ISNUMBER(F999),ISNUMBER(G999)),AND(F1000&gt;G1000,F999&lt;=G999),FALSE())</f>
        <v>0</v>
      </c>
      <c r="K1000" s="9" t="b">
        <f aca="false">IF(AND(ISNUMBER(F1000),ISNUMBER(G1000),ISNUMBER(F999),ISNUMBER(G999)),AND(F1000&lt;G1000,F999&gt;=G999),FALSE())</f>
        <v>0</v>
      </c>
      <c r="L1000" s="8" t="n">
        <f aca="false">IF(ISNUMBER(I1000),E1000-Inputs!$B$6*I1000,"")</f>
        <v>0.832000112472344</v>
      </c>
      <c r="M1000" s="9" t="b">
        <f aca="false">AND(Y999&gt;0,Z999)</f>
        <v>0</v>
      </c>
      <c r="N1000" s="8" t="n">
        <f aca="false">B1000*(1-Inputs!$B$12)</f>
        <v>0.847122979058394</v>
      </c>
      <c r="O1000" s="10" t="n">
        <f aca="false">IF(M1000,Y999*(N1000-AB999)-Inputs!$B$9-Y999*AD999*Inputs!$B$13*(A1000-AC999),0)</f>
        <v>0</v>
      </c>
      <c r="P1000" s="10" t="n">
        <f aca="false">X999+O1000</f>
        <v>970.40233796708</v>
      </c>
      <c r="Q1000" s="9" t="b">
        <f aca="false">AND(IF(M1000,0,Y999)=0,AA999,IF(ISNUMBER(AE999),B1000&gt;AE999,FALSE()))</f>
        <v>0</v>
      </c>
      <c r="R1000" s="8" t="n">
        <f aca="false">B1000*(1+Inputs!$B$12)</f>
        <v>0.847461896033412</v>
      </c>
      <c r="S1000" s="11" t="n">
        <f aca="false">IF(Q1000,MIN(P1000*Inputs!$B$3/(R1000-AE999),P1000*Inputs!$B$11/R1000),0)</f>
        <v>0</v>
      </c>
      <c r="T1000" s="11" t="n">
        <f aca="false">IF(Q1000,S1000,IF(M1000,0,Y999))</f>
        <v>0</v>
      </c>
      <c r="U1000" s="8" t="n">
        <f aca="false">IF(Q1000,AE999,AF999)</f>
        <v>0.843828396541038</v>
      </c>
      <c r="V1000" s="9" t="b">
        <f aca="false">AND(T1000&gt;0,D1000&lt;=U1000)</f>
        <v>0</v>
      </c>
      <c r="W1000" s="10" t="n">
        <f aca="false">IF(V1000,T1000*(AK1000-AB1000)-Inputs!$B$9-T1000*AD1000*Inputs!$B$13*(A1000-AC1000),0)</f>
        <v>0</v>
      </c>
      <c r="X1000" s="10" t="n">
        <f aca="false">P1000-IF(Q1000,Inputs!$B$9,0)+W1000</f>
        <v>970.40233796708</v>
      </c>
      <c r="Y1000" s="11" t="n">
        <f aca="false">IF(V1000,0,T1000)</f>
        <v>0</v>
      </c>
      <c r="Z1000" s="9" t="b">
        <f aca="false">AND(Y1000&gt;0,K1000)</f>
        <v>0</v>
      </c>
      <c r="AA1000" s="9" t="b">
        <f aca="false">AND(Y1000=0,J1000,ISNUMBER(L1000))</f>
        <v>0</v>
      </c>
      <c r="AB1000" s="8" t="n">
        <f aca="false">IF(Q1000,R1000,AB999)</f>
        <v>0.863503444084112</v>
      </c>
      <c r="AC1000" s="12" t="n">
        <f aca="false">IF(Q1000,A1000,AC999)</f>
        <v>45706</v>
      </c>
      <c r="AD1000" s="8" t="n">
        <f aca="false">IF(Q1000,B1000,AD999)</f>
        <v>0.863330777928526</v>
      </c>
      <c r="AE1000" s="8" t="str">
        <f aca="false">IF(AA1000,L1000,"")</f>
        <v/>
      </c>
      <c r="AF1000" s="8" t="n">
        <f aca="false">U1000</f>
        <v>0.843828396541038</v>
      </c>
      <c r="AG1000" s="2" t="n">
        <f aca="false">AG999+IF(Q1000,1,0)</f>
        <v>9</v>
      </c>
      <c r="AH1000" s="2" t="n">
        <f aca="false">AG999</f>
        <v>9</v>
      </c>
      <c r="AI1000" s="10" t="n">
        <f aca="false">X1000+Y1000*(E1000-AB1000)-Y1000*AD1000*Inputs!$B$13*(A1000-AC1000)</f>
        <v>970.40233796708</v>
      </c>
      <c r="AJ1000" s="10" t="n">
        <v>0</v>
      </c>
      <c r="AK1000" s="8" t="n">
        <f aca="false">IF(AND(B1000&lt;=U1000,NOT(Q1000)),B1000,U1000)*(1-Inputs!$B$12)</f>
        <v>0.843659630861729</v>
      </c>
    </row>
    <row r="1001" customFormat="false" ht="15" hidden="false" customHeight="false" outlineLevel="0" collapsed="false">
      <c r="A1001" s="6" t="n">
        <v>45785</v>
      </c>
      <c r="B1001" s="7" t="n">
        <v>0.850801364843034</v>
      </c>
      <c r="C1001" s="7" t="n">
        <v>0.860944205816399</v>
      </c>
      <c r="D1001" s="7" t="n">
        <v>0.84979517180811</v>
      </c>
      <c r="E1001" s="7" t="n">
        <v>0.859045698819456</v>
      </c>
      <c r="F1001" s="8" t="n">
        <f aca="true">IF(ROW()-2&gt;=Inputs!$B$4,AVERAGE(OFFSET(E1001,1-Inputs!$B$4,0,Inputs!$B$4,1)),"")</f>
        <v>0.842297212603031</v>
      </c>
      <c r="G1001" s="8" t="n">
        <f aca="true">IF(ROW()-2&gt;=Inputs!$B$5,AVERAGE(OFFSET(E1001,1-Inputs!$B$5,0,Inputs!$B$5,1)),"")</f>
        <v>0.857292966326591</v>
      </c>
      <c r="H1001" s="8" t="n">
        <f aca="false">MAX(C1001-D1001,ABS(C1001-E1000),ABS(D1001-E1000))</f>
        <v>0.0111490340082887</v>
      </c>
      <c r="I1001" s="8" t="n">
        <f aca="true">IF(ROW()-2&lt;14,"",IF(ROW()-2=14,AVERAGE(OFFSET(H1001,-13,0,14,1)),(I1000*13+H1001)/14))</f>
        <v>0.00952551245841279</v>
      </c>
      <c r="J1001" s="9" t="b">
        <f aca="false">IF(AND(ISNUMBER(F1001),ISNUMBER(G1001),ISNUMBER(F1000),ISNUMBER(G1000)),AND(F1001&gt;G1001,F1000&lt;=G1000),FALSE())</f>
        <v>0</v>
      </c>
      <c r="K1001" s="9" t="b">
        <f aca="false">IF(AND(ISNUMBER(F1001),ISNUMBER(G1001),ISNUMBER(F1000),ISNUMBER(G1000)),AND(F1001&lt;G1001,F1000&gt;=G1000),FALSE())</f>
        <v>0</v>
      </c>
      <c r="L1001" s="8" t="n">
        <f aca="false">IF(ISNUMBER(I1001),E1001-Inputs!$B$6*I1001,"")</f>
        <v>0.839994673902631</v>
      </c>
      <c r="M1001" s="9" t="b">
        <f aca="false">AND(Y1000&gt;0,Z1000)</f>
        <v>0</v>
      </c>
      <c r="N1001" s="8" t="n">
        <f aca="false">B1001*(1-Inputs!$B$12)</f>
        <v>0.850631204570066</v>
      </c>
      <c r="O1001" s="10" t="n">
        <f aca="false">IF(M1001,Y1000*(N1001-AB1000)-Inputs!$B$9-Y1000*AD1000*Inputs!$B$13*(A1001-AC1000),0)</f>
        <v>0</v>
      </c>
      <c r="P1001" s="10" t="n">
        <f aca="false">X1000+O1001</f>
        <v>970.40233796708</v>
      </c>
      <c r="Q1001" s="9" t="b">
        <f aca="false">AND(IF(M1001,0,Y1000)=0,AA1000,IF(ISNUMBER(AE1000),B1001&gt;AE1000,FALSE()))</f>
        <v>0</v>
      </c>
      <c r="R1001" s="8" t="n">
        <f aca="false">B1001*(1+Inputs!$B$12)</f>
        <v>0.850971525116003</v>
      </c>
      <c r="S1001" s="11" t="n">
        <f aca="false">IF(Q1001,MIN(P1001*Inputs!$B$3/(R1001-AE1000),P1001*Inputs!$B$11/R1001),0)</f>
        <v>0</v>
      </c>
      <c r="T1001" s="11" t="n">
        <f aca="false">IF(Q1001,S1001,IF(M1001,0,Y1000))</f>
        <v>0</v>
      </c>
      <c r="U1001" s="8" t="n">
        <f aca="false">IF(Q1001,AE1000,AF1000)</f>
        <v>0.843828396541038</v>
      </c>
      <c r="V1001" s="9" t="b">
        <f aca="false">AND(T1001&gt;0,D1001&lt;=U1001)</f>
        <v>0</v>
      </c>
      <c r="W1001" s="10" t="n">
        <f aca="false">IF(V1001,T1001*(AK1001-AB1001)-Inputs!$B$9-T1001*AD1001*Inputs!$B$13*(A1001-AC1001),0)</f>
        <v>0</v>
      </c>
      <c r="X1001" s="10" t="n">
        <f aca="false">P1001-IF(Q1001,Inputs!$B$9,0)+W1001</f>
        <v>970.40233796708</v>
      </c>
      <c r="Y1001" s="11" t="n">
        <f aca="false">IF(V1001,0,T1001)</f>
        <v>0</v>
      </c>
      <c r="Z1001" s="9" t="b">
        <f aca="false">AND(Y1001&gt;0,K1001)</f>
        <v>0</v>
      </c>
      <c r="AA1001" s="9" t="b">
        <f aca="false">AND(Y1001=0,J1001,ISNUMBER(L1001))</f>
        <v>0</v>
      </c>
      <c r="AB1001" s="8" t="n">
        <f aca="false">IF(Q1001,R1001,AB1000)</f>
        <v>0.863503444084112</v>
      </c>
      <c r="AC1001" s="12" t="n">
        <f aca="false">IF(Q1001,A1001,AC1000)</f>
        <v>45706</v>
      </c>
      <c r="AD1001" s="8" t="n">
        <f aca="false">IF(Q1001,B1001,AD1000)</f>
        <v>0.863330777928526</v>
      </c>
      <c r="AE1001" s="8" t="str">
        <f aca="false">IF(AA1001,L1001,"")</f>
        <v/>
      </c>
      <c r="AF1001" s="8" t="n">
        <f aca="false">U1001</f>
        <v>0.843828396541038</v>
      </c>
      <c r="AG1001" s="2" t="n">
        <f aca="false">AG1000+IF(Q1001,1,0)</f>
        <v>9</v>
      </c>
      <c r="AH1001" s="2" t="n">
        <f aca="false">AG1000</f>
        <v>9</v>
      </c>
      <c r="AI1001" s="10" t="n">
        <f aca="false">X1001+Y1001*(E1001-AB1001)-Y1001*AD1001*Inputs!$B$13*(A1001-AC1001)</f>
        <v>970.40233796708</v>
      </c>
      <c r="AJ1001" s="10" t="n">
        <v>0</v>
      </c>
      <c r="AK1001" s="8" t="n">
        <f aca="false">IF(AND(B1001&lt;=U1001,NOT(Q1001)),B1001,U1001)*(1-Inputs!$B$12)</f>
        <v>0.843659630861729</v>
      </c>
    </row>
    <row r="1002" customFormat="false" ht="15" hidden="false" customHeight="false" outlineLevel="0" collapsed="false">
      <c r="A1002" s="6" t="n">
        <v>45786</v>
      </c>
      <c r="B1002" s="7" t="n">
        <v>0.859045698819456</v>
      </c>
      <c r="C1002" s="7" t="n">
        <v>0.865874415463495</v>
      </c>
      <c r="D1002" s="7" t="n">
        <v>0.855110376980235</v>
      </c>
      <c r="E1002" s="7" t="n">
        <v>0.861928144874284</v>
      </c>
      <c r="F1002" s="8" t="n">
        <f aca="true">IF(ROW()-2&gt;=Inputs!$B$4,AVERAGE(OFFSET(E1002,1-Inputs!$B$4,0,Inputs!$B$4,1)),"")</f>
        <v>0.842880737055839</v>
      </c>
      <c r="G1002" s="8" t="n">
        <f aca="true">IF(ROW()-2&gt;=Inputs!$B$5,AVERAGE(OFFSET(E1002,1-Inputs!$B$5,0,Inputs!$B$5,1)),"")</f>
        <v>0.856883051833513</v>
      </c>
      <c r="H1002" s="8" t="n">
        <f aca="false">MAX(C1002-D1002,ABS(C1002-E1001),ABS(D1002-E1001))</f>
        <v>0.0107640384832599</v>
      </c>
      <c r="I1002" s="8" t="n">
        <f aca="true">IF(ROW()-2&lt;14,"",IF(ROW()-2=14,AVERAGE(OFFSET(H1002,-13,0,14,1)),(I1001*13+H1002)/14))</f>
        <v>0.00961397860304472</v>
      </c>
      <c r="J1002" s="9" t="b">
        <f aca="false">IF(AND(ISNUMBER(F1002),ISNUMBER(G1002),ISNUMBER(F1001),ISNUMBER(G1001)),AND(F1002&gt;G1002,F1001&lt;=G1001),FALSE())</f>
        <v>0</v>
      </c>
      <c r="K1002" s="9" t="b">
        <f aca="false">IF(AND(ISNUMBER(F1002),ISNUMBER(G1002),ISNUMBER(F1001),ISNUMBER(G1001)),AND(F1002&lt;G1002,F1001&gt;=G1001),FALSE())</f>
        <v>0</v>
      </c>
      <c r="L1002" s="8" t="n">
        <f aca="false">IF(ISNUMBER(I1002),E1002-Inputs!$B$6*I1002,"")</f>
        <v>0.842700187668195</v>
      </c>
      <c r="M1002" s="9" t="b">
        <f aca="false">AND(Y1001&gt;0,Z1001)</f>
        <v>0</v>
      </c>
      <c r="N1002" s="8" t="n">
        <f aca="false">B1002*(1-Inputs!$B$12)</f>
        <v>0.858873889679692</v>
      </c>
      <c r="O1002" s="10" t="n">
        <f aca="false">IF(M1002,Y1001*(N1002-AB1001)-Inputs!$B$9-Y1001*AD1001*Inputs!$B$13*(A1002-AC1001),0)</f>
        <v>0</v>
      </c>
      <c r="P1002" s="10" t="n">
        <f aca="false">X1001+O1002</f>
        <v>970.40233796708</v>
      </c>
      <c r="Q1002" s="9" t="b">
        <f aca="false">AND(IF(M1002,0,Y1001)=0,AA1001,IF(ISNUMBER(AE1001),B1002&gt;AE1001,FALSE()))</f>
        <v>0</v>
      </c>
      <c r="R1002" s="8" t="n">
        <f aca="false">B1002*(1+Inputs!$B$12)</f>
        <v>0.85921750795922</v>
      </c>
      <c r="S1002" s="11" t="n">
        <f aca="false">IF(Q1002,MIN(P1002*Inputs!$B$3/(R1002-AE1001),P1002*Inputs!$B$11/R1002),0)</f>
        <v>0</v>
      </c>
      <c r="T1002" s="11" t="n">
        <f aca="false">IF(Q1002,S1002,IF(M1002,0,Y1001))</f>
        <v>0</v>
      </c>
      <c r="U1002" s="8" t="n">
        <f aca="false">IF(Q1002,AE1001,AF1001)</f>
        <v>0.843828396541038</v>
      </c>
      <c r="V1002" s="9" t="b">
        <f aca="false">AND(T1002&gt;0,D1002&lt;=U1002)</f>
        <v>0</v>
      </c>
      <c r="W1002" s="10" t="n">
        <f aca="false">IF(V1002,T1002*(AK1002-AB1002)-Inputs!$B$9-T1002*AD1002*Inputs!$B$13*(A1002-AC1002),0)</f>
        <v>0</v>
      </c>
      <c r="X1002" s="10" t="n">
        <f aca="false">P1002-IF(Q1002,Inputs!$B$9,0)+W1002</f>
        <v>970.40233796708</v>
      </c>
      <c r="Y1002" s="11" t="n">
        <f aca="false">IF(V1002,0,T1002)</f>
        <v>0</v>
      </c>
      <c r="Z1002" s="9" t="b">
        <f aca="false">AND(Y1002&gt;0,K1002)</f>
        <v>0</v>
      </c>
      <c r="AA1002" s="9" t="b">
        <f aca="false">AND(Y1002=0,J1002,ISNUMBER(L1002))</f>
        <v>0</v>
      </c>
      <c r="AB1002" s="8" t="n">
        <f aca="false">IF(Q1002,R1002,AB1001)</f>
        <v>0.863503444084112</v>
      </c>
      <c r="AC1002" s="12" t="n">
        <f aca="false">IF(Q1002,A1002,AC1001)</f>
        <v>45706</v>
      </c>
      <c r="AD1002" s="8" t="n">
        <f aca="false">IF(Q1002,B1002,AD1001)</f>
        <v>0.863330777928526</v>
      </c>
      <c r="AE1002" s="8" t="str">
        <f aca="false">IF(AA1002,L1002,"")</f>
        <v/>
      </c>
      <c r="AF1002" s="8" t="n">
        <f aca="false">U1002</f>
        <v>0.843828396541038</v>
      </c>
      <c r="AG1002" s="2" t="n">
        <f aca="false">AG1001+IF(Q1002,1,0)</f>
        <v>9</v>
      </c>
      <c r="AH1002" s="2" t="n">
        <f aca="false">AG1001</f>
        <v>9</v>
      </c>
      <c r="AI1002" s="10" t="n">
        <f aca="false">X1002+Y1002*(E1002-AB1002)-Y1002*AD1002*Inputs!$B$13*(A1002-AC1002)</f>
        <v>970.40233796708</v>
      </c>
      <c r="AJ1002" s="10" t="n">
        <v>0</v>
      </c>
      <c r="AK1002" s="8" t="n">
        <f aca="false">IF(AND(B1002&lt;=U1002,NOT(Q1002)),B1002,U1002)*(1-Inputs!$B$12)</f>
        <v>0.843659630861729</v>
      </c>
    </row>
    <row r="1003" customFormat="false" ht="15" hidden="false" customHeight="false" outlineLevel="0" collapsed="false">
      <c r="A1003" s="6" t="n">
        <v>45787</v>
      </c>
      <c r="B1003" s="7" t="n">
        <v>0.861928144874284</v>
      </c>
      <c r="C1003" s="7" t="n">
        <v>0.863435643465204</v>
      </c>
      <c r="D1003" s="7" t="n">
        <v>0.859680249925981</v>
      </c>
      <c r="E1003" s="7" t="n">
        <v>0.859925761307303</v>
      </c>
      <c r="F1003" s="8" t="n">
        <f aca="true">IF(ROW()-2&gt;=Inputs!$B$4,AVERAGE(OFFSET(E1003,1-Inputs!$B$4,0,Inputs!$B$4,1)),"")</f>
        <v>0.843515252117207</v>
      </c>
      <c r="G1003" s="8" t="n">
        <f aca="true">IF(ROW()-2&gt;=Inputs!$B$5,AVERAGE(OFFSET(E1003,1-Inputs!$B$5,0,Inputs!$B$5,1)),"")</f>
        <v>0.856453454655204</v>
      </c>
      <c r="H1003" s="8" t="n">
        <f aca="false">MAX(C1003-D1003,ABS(C1003-E1002),ABS(D1003-E1002))</f>
        <v>0.0037553935392225</v>
      </c>
      <c r="I1003" s="8" t="n">
        <f aca="true">IF(ROW()-2&lt;14,"",IF(ROW()-2=14,AVERAGE(OFFSET(H1003,-13,0,14,1)),(I1002*13+H1003)/14))</f>
        <v>0.00919550824134314</v>
      </c>
      <c r="J1003" s="9" t="b">
        <f aca="false">IF(AND(ISNUMBER(F1003),ISNUMBER(G1003),ISNUMBER(F1002),ISNUMBER(G1002)),AND(F1003&gt;G1003,F1002&lt;=G1002),FALSE())</f>
        <v>0</v>
      </c>
      <c r="K1003" s="9" t="b">
        <f aca="false">IF(AND(ISNUMBER(F1003),ISNUMBER(G1003),ISNUMBER(F1002),ISNUMBER(G1002)),AND(F1003&lt;G1003,F1002&gt;=G1002),FALSE())</f>
        <v>0</v>
      </c>
      <c r="L1003" s="8" t="n">
        <f aca="false">IF(ISNUMBER(I1003),E1003-Inputs!$B$6*I1003,"")</f>
        <v>0.841534744824617</v>
      </c>
      <c r="M1003" s="9" t="b">
        <f aca="false">AND(Y1002&gt;0,Z1002)</f>
        <v>0</v>
      </c>
      <c r="N1003" s="8" t="n">
        <f aca="false">B1003*(1-Inputs!$B$12)</f>
        <v>0.861755759245309</v>
      </c>
      <c r="O1003" s="10" t="n">
        <f aca="false">IF(M1003,Y1002*(N1003-AB1002)-Inputs!$B$9-Y1002*AD1002*Inputs!$B$13*(A1003-AC1002),0)</f>
        <v>0</v>
      </c>
      <c r="P1003" s="10" t="n">
        <f aca="false">X1002+O1003</f>
        <v>970.40233796708</v>
      </c>
      <c r="Q1003" s="9" t="b">
        <f aca="false">AND(IF(M1003,0,Y1002)=0,AA1002,IF(ISNUMBER(AE1002),B1003&gt;AE1002,FALSE()))</f>
        <v>0</v>
      </c>
      <c r="R1003" s="8" t="n">
        <f aca="false">B1003*(1+Inputs!$B$12)</f>
        <v>0.862100530503259</v>
      </c>
      <c r="S1003" s="11" t="n">
        <f aca="false">IF(Q1003,MIN(P1003*Inputs!$B$3/(R1003-AE1002),P1003*Inputs!$B$11/R1003),0)</f>
        <v>0</v>
      </c>
      <c r="T1003" s="11" t="n">
        <f aca="false">IF(Q1003,S1003,IF(M1003,0,Y1002))</f>
        <v>0</v>
      </c>
      <c r="U1003" s="8" t="n">
        <f aca="false">IF(Q1003,AE1002,AF1002)</f>
        <v>0.843828396541038</v>
      </c>
      <c r="V1003" s="9" t="b">
        <f aca="false">AND(T1003&gt;0,D1003&lt;=U1003)</f>
        <v>0</v>
      </c>
      <c r="W1003" s="10" t="n">
        <f aca="false">IF(V1003,T1003*(AK1003-AB1003)-Inputs!$B$9-T1003*AD1003*Inputs!$B$13*(A1003-AC1003),0)</f>
        <v>0</v>
      </c>
      <c r="X1003" s="10" t="n">
        <f aca="false">P1003-IF(Q1003,Inputs!$B$9,0)+W1003</f>
        <v>970.40233796708</v>
      </c>
      <c r="Y1003" s="11" t="n">
        <f aca="false">IF(V1003,0,T1003)</f>
        <v>0</v>
      </c>
      <c r="Z1003" s="9" t="b">
        <f aca="false">AND(Y1003&gt;0,K1003)</f>
        <v>0</v>
      </c>
      <c r="AA1003" s="9" t="b">
        <f aca="false">AND(Y1003=0,J1003,ISNUMBER(L1003))</f>
        <v>0</v>
      </c>
      <c r="AB1003" s="8" t="n">
        <f aca="false">IF(Q1003,R1003,AB1002)</f>
        <v>0.863503444084112</v>
      </c>
      <c r="AC1003" s="12" t="n">
        <f aca="false">IF(Q1003,A1003,AC1002)</f>
        <v>45706</v>
      </c>
      <c r="AD1003" s="8" t="n">
        <f aca="false">IF(Q1003,B1003,AD1002)</f>
        <v>0.863330777928526</v>
      </c>
      <c r="AE1003" s="8" t="str">
        <f aca="false">IF(AA1003,L1003,"")</f>
        <v/>
      </c>
      <c r="AF1003" s="8" t="n">
        <f aca="false">U1003</f>
        <v>0.843828396541038</v>
      </c>
      <c r="AG1003" s="2" t="n">
        <f aca="false">AG1002+IF(Q1003,1,0)</f>
        <v>9</v>
      </c>
      <c r="AH1003" s="2" t="n">
        <f aca="false">AG1002</f>
        <v>9</v>
      </c>
      <c r="AI1003" s="10" t="n">
        <f aca="false">X1003+Y1003*(E1003-AB1003)-Y1003*AD1003*Inputs!$B$13*(A1003-AC1003)</f>
        <v>970.40233796708</v>
      </c>
      <c r="AJ1003" s="10" t="n">
        <v>0</v>
      </c>
      <c r="AK1003" s="8" t="n">
        <f aca="false">IF(AND(B1003&lt;=U1003,NOT(Q1003)),B1003,U1003)*(1-Inputs!$B$12)</f>
        <v>0.843659630861729</v>
      </c>
    </row>
    <row r="1004" customFormat="false" ht="15" hidden="false" customHeight="false" outlineLevel="0" collapsed="false">
      <c r="A1004" s="6" t="n">
        <v>45788</v>
      </c>
      <c r="B1004" s="7" t="n">
        <v>0.859925761307303</v>
      </c>
      <c r="C1004" s="7" t="n">
        <v>0.862690632421043</v>
      </c>
      <c r="D1004" s="7" t="n">
        <v>0.855435065216536</v>
      </c>
      <c r="E1004" s="7" t="n">
        <v>0.856381823359194</v>
      </c>
      <c r="F1004" s="8" t="n">
        <f aca="true">IF(ROW()-2&gt;=Inputs!$B$4,AVERAGE(OFFSET(E1004,1-Inputs!$B$4,0,Inputs!$B$4,1)),"")</f>
        <v>0.844096964765967</v>
      </c>
      <c r="G1004" s="8" t="n">
        <f aca="true">IF(ROW()-2&gt;=Inputs!$B$5,AVERAGE(OFFSET(E1004,1-Inputs!$B$5,0,Inputs!$B$5,1)),"")</f>
        <v>0.855963820008834</v>
      </c>
      <c r="H1004" s="8" t="n">
        <f aca="false">MAX(C1004-D1004,ABS(C1004-E1003),ABS(D1004-E1003))</f>
        <v>0.00725556720450693</v>
      </c>
      <c r="I1004" s="8" t="n">
        <f aca="true">IF(ROW()-2&lt;14,"",IF(ROW()-2=14,AVERAGE(OFFSET(H1004,-13,0,14,1)),(I1003*13+H1004)/14))</f>
        <v>0.00905694102442626</v>
      </c>
      <c r="J1004" s="9" t="b">
        <f aca="false">IF(AND(ISNUMBER(F1004),ISNUMBER(G1004),ISNUMBER(F1003),ISNUMBER(G1003)),AND(F1004&gt;G1004,F1003&lt;=G1003),FALSE())</f>
        <v>0</v>
      </c>
      <c r="K1004" s="9" t="b">
        <f aca="false">IF(AND(ISNUMBER(F1004),ISNUMBER(G1004),ISNUMBER(F1003),ISNUMBER(G1003)),AND(F1004&lt;G1004,F1003&gt;=G1003),FALSE())</f>
        <v>0</v>
      </c>
      <c r="L1004" s="8" t="n">
        <f aca="false">IF(ISNUMBER(I1004),E1004-Inputs!$B$6*I1004,"")</f>
        <v>0.838267941310341</v>
      </c>
      <c r="M1004" s="9" t="b">
        <f aca="false">AND(Y1003&gt;0,Z1003)</f>
        <v>0</v>
      </c>
      <c r="N1004" s="8" t="n">
        <f aca="false">B1004*(1-Inputs!$B$12)</f>
        <v>0.859753776155042</v>
      </c>
      <c r="O1004" s="10" t="n">
        <f aca="false">IF(M1004,Y1003*(N1004-AB1003)-Inputs!$B$9-Y1003*AD1003*Inputs!$B$13*(A1004-AC1003),0)</f>
        <v>0</v>
      </c>
      <c r="P1004" s="10" t="n">
        <f aca="false">X1003+O1004</f>
        <v>970.40233796708</v>
      </c>
      <c r="Q1004" s="9" t="b">
        <f aca="false">AND(IF(M1004,0,Y1003)=0,AA1003,IF(ISNUMBER(AE1003),B1004&gt;AE1003,FALSE()))</f>
        <v>0</v>
      </c>
      <c r="R1004" s="8" t="n">
        <f aca="false">B1004*(1+Inputs!$B$12)</f>
        <v>0.860097746459565</v>
      </c>
      <c r="S1004" s="11" t="n">
        <f aca="false">IF(Q1004,MIN(P1004*Inputs!$B$3/(R1004-AE1003),P1004*Inputs!$B$11/R1004),0)</f>
        <v>0</v>
      </c>
      <c r="T1004" s="11" t="n">
        <f aca="false">IF(Q1004,S1004,IF(M1004,0,Y1003))</f>
        <v>0</v>
      </c>
      <c r="U1004" s="8" t="n">
        <f aca="false">IF(Q1004,AE1003,AF1003)</f>
        <v>0.843828396541038</v>
      </c>
      <c r="V1004" s="9" t="b">
        <f aca="false">AND(T1004&gt;0,D1004&lt;=U1004)</f>
        <v>0</v>
      </c>
      <c r="W1004" s="10" t="n">
        <f aca="false">IF(V1004,T1004*(AK1004-AB1004)-Inputs!$B$9-T1004*AD1004*Inputs!$B$13*(A1004-AC1004),0)</f>
        <v>0</v>
      </c>
      <c r="X1004" s="10" t="n">
        <f aca="false">P1004-IF(Q1004,Inputs!$B$9,0)+W1004</f>
        <v>970.40233796708</v>
      </c>
      <c r="Y1004" s="11" t="n">
        <f aca="false">IF(V1004,0,T1004)</f>
        <v>0</v>
      </c>
      <c r="Z1004" s="9" t="b">
        <f aca="false">AND(Y1004&gt;0,K1004)</f>
        <v>0</v>
      </c>
      <c r="AA1004" s="9" t="b">
        <f aca="false">AND(Y1004=0,J1004,ISNUMBER(L1004))</f>
        <v>0</v>
      </c>
      <c r="AB1004" s="8" t="n">
        <f aca="false">IF(Q1004,R1004,AB1003)</f>
        <v>0.863503444084112</v>
      </c>
      <c r="AC1004" s="12" t="n">
        <f aca="false">IF(Q1004,A1004,AC1003)</f>
        <v>45706</v>
      </c>
      <c r="AD1004" s="8" t="n">
        <f aca="false">IF(Q1004,B1004,AD1003)</f>
        <v>0.863330777928526</v>
      </c>
      <c r="AE1004" s="8" t="str">
        <f aca="false">IF(AA1004,L1004,"")</f>
        <v/>
      </c>
      <c r="AF1004" s="8" t="n">
        <f aca="false">U1004</f>
        <v>0.843828396541038</v>
      </c>
      <c r="AG1004" s="2" t="n">
        <f aca="false">AG1003+IF(Q1004,1,0)</f>
        <v>9</v>
      </c>
      <c r="AH1004" s="2" t="n">
        <f aca="false">AG1003</f>
        <v>9</v>
      </c>
      <c r="AI1004" s="10" t="n">
        <f aca="false">X1004+Y1004*(E1004-AB1004)-Y1004*AD1004*Inputs!$B$13*(A1004-AC1004)</f>
        <v>970.40233796708</v>
      </c>
      <c r="AJ1004" s="10" t="n">
        <v>0</v>
      </c>
      <c r="AK1004" s="8" t="n">
        <f aca="false">IF(AND(B1004&lt;=U1004,NOT(Q1004)),B1004,U1004)*(1-Inputs!$B$12)</f>
        <v>0.843659630861729</v>
      </c>
    </row>
    <row r="1005" customFormat="false" ht="15" hidden="false" customHeight="false" outlineLevel="0" collapsed="false">
      <c r="A1005" s="6" t="n">
        <v>45789</v>
      </c>
      <c r="B1005" s="7" t="n">
        <v>0.856381823359194</v>
      </c>
      <c r="C1005" s="7" t="n">
        <v>0.859027760276373</v>
      </c>
      <c r="D1005" s="7" t="n">
        <v>0.855985158960456</v>
      </c>
      <c r="E1005" s="7" t="n">
        <v>0.857514986377077</v>
      </c>
      <c r="F1005" s="8" t="n">
        <f aca="true">IF(ROW()-2&gt;=Inputs!$B$4,AVERAGE(OFFSET(E1005,1-Inputs!$B$4,0,Inputs!$B$4,1)),"")</f>
        <v>0.845053338469223</v>
      </c>
      <c r="G1005" s="8" t="n">
        <f aca="true">IF(ROW()-2&gt;=Inputs!$B$5,AVERAGE(OFFSET(E1005,1-Inputs!$B$5,0,Inputs!$B$5,1)),"")</f>
        <v>0.855514233427176</v>
      </c>
      <c r="H1005" s="8" t="n">
        <f aca="false">MAX(C1005-D1005,ABS(C1005-E1004),ABS(D1005-E1004))</f>
        <v>0.00304260131591705</v>
      </c>
      <c r="I1005" s="8" t="n">
        <f aca="true">IF(ROW()-2&lt;14,"",IF(ROW()-2=14,AVERAGE(OFFSET(H1005,-13,0,14,1)),(I1004*13+H1005)/14))</f>
        <v>0.00862734533096132</v>
      </c>
      <c r="J1005" s="9" t="b">
        <f aca="false">IF(AND(ISNUMBER(F1005),ISNUMBER(G1005),ISNUMBER(F1004),ISNUMBER(G1004)),AND(F1005&gt;G1005,F1004&lt;=G1004),FALSE())</f>
        <v>0</v>
      </c>
      <c r="K1005" s="9" t="b">
        <f aca="false">IF(AND(ISNUMBER(F1005),ISNUMBER(G1005),ISNUMBER(F1004),ISNUMBER(G1004)),AND(F1005&lt;G1005,F1004&gt;=G1004),FALSE())</f>
        <v>0</v>
      </c>
      <c r="L1005" s="8" t="n">
        <f aca="false">IF(ISNUMBER(I1005),E1005-Inputs!$B$6*I1005,"")</f>
        <v>0.840260295715155</v>
      </c>
      <c r="M1005" s="9" t="b">
        <f aca="false">AND(Y1004&gt;0,Z1004)</f>
        <v>0</v>
      </c>
      <c r="N1005" s="8" t="n">
        <f aca="false">B1005*(1-Inputs!$B$12)</f>
        <v>0.856210546994522</v>
      </c>
      <c r="O1005" s="10" t="n">
        <f aca="false">IF(M1005,Y1004*(N1005-AB1004)-Inputs!$B$9-Y1004*AD1004*Inputs!$B$13*(A1005-AC1004),0)</f>
        <v>0</v>
      </c>
      <c r="P1005" s="10" t="n">
        <f aca="false">X1004+O1005</f>
        <v>970.40233796708</v>
      </c>
      <c r="Q1005" s="9" t="b">
        <f aca="false">AND(IF(M1005,0,Y1004)=0,AA1004,IF(ISNUMBER(AE1004),B1005&gt;AE1004,FALSE()))</f>
        <v>0</v>
      </c>
      <c r="R1005" s="8" t="n">
        <f aca="false">B1005*(1+Inputs!$B$12)</f>
        <v>0.856553099723865</v>
      </c>
      <c r="S1005" s="11" t="n">
        <f aca="false">IF(Q1005,MIN(P1005*Inputs!$B$3/(R1005-AE1004),P1005*Inputs!$B$11/R1005),0)</f>
        <v>0</v>
      </c>
      <c r="T1005" s="11" t="n">
        <f aca="false">IF(Q1005,S1005,IF(M1005,0,Y1004))</f>
        <v>0</v>
      </c>
      <c r="U1005" s="8" t="n">
        <f aca="false">IF(Q1005,AE1004,AF1004)</f>
        <v>0.843828396541038</v>
      </c>
      <c r="V1005" s="9" t="b">
        <f aca="false">AND(T1005&gt;0,D1005&lt;=U1005)</f>
        <v>0</v>
      </c>
      <c r="W1005" s="10" t="n">
        <f aca="false">IF(V1005,T1005*(AK1005-AB1005)-Inputs!$B$9-T1005*AD1005*Inputs!$B$13*(A1005-AC1005),0)</f>
        <v>0</v>
      </c>
      <c r="X1005" s="10" t="n">
        <f aca="false">P1005-IF(Q1005,Inputs!$B$9,0)+W1005</f>
        <v>970.40233796708</v>
      </c>
      <c r="Y1005" s="11" t="n">
        <f aca="false">IF(V1005,0,T1005)</f>
        <v>0</v>
      </c>
      <c r="Z1005" s="9" t="b">
        <f aca="false">AND(Y1005&gt;0,K1005)</f>
        <v>0</v>
      </c>
      <c r="AA1005" s="9" t="b">
        <f aca="false">AND(Y1005=0,J1005,ISNUMBER(L1005))</f>
        <v>0</v>
      </c>
      <c r="AB1005" s="8" t="n">
        <f aca="false">IF(Q1005,R1005,AB1004)</f>
        <v>0.863503444084112</v>
      </c>
      <c r="AC1005" s="12" t="n">
        <f aca="false">IF(Q1005,A1005,AC1004)</f>
        <v>45706</v>
      </c>
      <c r="AD1005" s="8" t="n">
        <f aca="false">IF(Q1005,B1005,AD1004)</f>
        <v>0.863330777928526</v>
      </c>
      <c r="AE1005" s="8" t="str">
        <f aca="false">IF(AA1005,L1005,"")</f>
        <v/>
      </c>
      <c r="AF1005" s="8" t="n">
        <f aca="false">U1005</f>
        <v>0.843828396541038</v>
      </c>
      <c r="AG1005" s="2" t="n">
        <f aca="false">AG1004+IF(Q1005,1,0)</f>
        <v>9</v>
      </c>
      <c r="AH1005" s="2" t="n">
        <f aca="false">AG1004</f>
        <v>9</v>
      </c>
      <c r="AI1005" s="10" t="n">
        <f aca="false">X1005+Y1005*(E1005-AB1005)-Y1005*AD1005*Inputs!$B$13*(A1005-AC1005)</f>
        <v>970.40233796708</v>
      </c>
      <c r="AJ1005" s="10" t="n">
        <v>0</v>
      </c>
      <c r="AK1005" s="8" t="n">
        <f aca="false">IF(AND(B1005&lt;=U1005,NOT(Q1005)),B1005,U1005)*(1-Inputs!$B$12)</f>
        <v>0.843659630861729</v>
      </c>
    </row>
    <row r="1006" customFormat="false" ht="15" hidden="false" customHeight="false" outlineLevel="0" collapsed="false">
      <c r="A1006" s="6" t="n">
        <v>45790</v>
      </c>
      <c r="B1006" s="7" t="n">
        <v>0.857514986377077</v>
      </c>
      <c r="C1006" s="7" t="n">
        <v>0.865886881310874</v>
      </c>
      <c r="D1006" s="7" t="n">
        <v>0.851189595851163</v>
      </c>
      <c r="E1006" s="7" t="n">
        <v>0.854253363122316</v>
      </c>
      <c r="F1006" s="8" t="n">
        <f aca="true">IF(ROW()-2&gt;=Inputs!$B$4,AVERAGE(OFFSET(E1006,1-Inputs!$B$4,0,Inputs!$B$4,1)),"")</f>
        <v>0.846108299865318</v>
      </c>
      <c r="G1006" s="8" t="n">
        <f aca="true">IF(ROW()-2&gt;=Inputs!$B$5,AVERAGE(OFFSET(E1006,1-Inputs!$B$5,0,Inputs!$B$5,1)),"")</f>
        <v>0.854978711952341</v>
      </c>
      <c r="H1006" s="8" t="n">
        <f aca="false">MAX(C1006-D1006,ABS(C1006-E1005),ABS(D1006-E1005))</f>
        <v>0.0146972854597107</v>
      </c>
      <c r="I1006" s="8" t="n">
        <f aca="true">IF(ROW()-2&lt;14,"",IF(ROW()-2=14,AVERAGE(OFFSET(H1006,-13,0,14,1)),(I1005*13+H1006)/14))</f>
        <v>0.00906091248301485</v>
      </c>
      <c r="J1006" s="9" t="b">
        <f aca="false">IF(AND(ISNUMBER(F1006),ISNUMBER(G1006),ISNUMBER(F1005),ISNUMBER(G1005)),AND(F1006&gt;G1006,F1005&lt;=G1005),FALSE())</f>
        <v>0</v>
      </c>
      <c r="K1006" s="9" t="b">
        <f aca="false">IF(AND(ISNUMBER(F1006),ISNUMBER(G1006),ISNUMBER(F1005),ISNUMBER(G1005)),AND(F1006&lt;G1006,F1005&gt;=G1005),FALSE())</f>
        <v>0</v>
      </c>
      <c r="L1006" s="8" t="n">
        <f aca="false">IF(ISNUMBER(I1006),E1006-Inputs!$B$6*I1006,"")</f>
        <v>0.836131538156287</v>
      </c>
      <c r="M1006" s="9" t="b">
        <f aca="false">AND(Y1005&gt;0,Z1005)</f>
        <v>0</v>
      </c>
      <c r="N1006" s="8" t="n">
        <f aca="false">B1006*(1-Inputs!$B$12)</f>
        <v>0.857343483379802</v>
      </c>
      <c r="O1006" s="10" t="n">
        <f aca="false">IF(M1006,Y1005*(N1006-AB1005)-Inputs!$B$9-Y1005*AD1005*Inputs!$B$13*(A1006-AC1005),0)</f>
        <v>0</v>
      </c>
      <c r="P1006" s="10" t="n">
        <f aca="false">X1005+O1006</f>
        <v>970.40233796708</v>
      </c>
      <c r="Q1006" s="9" t="b">
        <f aca="false">AND(IF(M1006,0,Y1005)=0,AA1005,IF(ISNUMBER(AE1005),B1006&gt;AE1005,FALSE()))</f>
        <v>0</v>
      </c>
      <c r="R1006" s="8" t="n">
        <f aca="false">B1006*(1+Inputs!$B$12)</f>
        <v>0.857686489374353</v>
      </c>
      <c r="S1006" s="11" t="n">
        <f aca="false">IF(Q1006,MIN(P1006*Inputs!$B$3/(R1006-AE1005),P1006*Inputs!$B$11/R1006),0)</f>
        <v>0</v>
      </c>
      <c r="T1006" s="11" t="n">
        <f aca="false">IF(Q1006,S1006,IF(M1006,0,Y1005))</f>
        <v>0</v>
      </c>
      <c r="U1006" s="8" t="n">
        <f aca="false">IF(Q1006,AE1005,AF1005)</f>
        <v>0.843828396541038</v>
      </c>
      <c r="V1006" s="9" t="b">
        <f aca="false">AND(T1006&gt;0,D1006&lt;=U1006)</f>
        <v>0</v>
      </c>
      <c r="W1006" s="10" t="n">
        <f aca="false">IF(V1006,T1006*(AK1006-AB1006)-Inputs!$B$9-T1006*AD1006*Inputs!$B$13*(A1006-AC1006),0)</f>
        <v>0</v>
      </c>
      <c r="X1006" s="10" t="n">
        <f aca="false">P1006-IF(Q1006,Inputs!$B$9,0)+W1006</f>
        <v>970.40233796708</v>
      </c>
      <c r="Y1006" s="11" t="n">
        <f aca="false">IF(V1006,0,T1006)</f>
        <v>0</v>
      </c>
      <c r="Z1006" s="9" t="b">
        <f aca="false">AND(Y1006&gt;0,K1006)</f>
        <v>0</v>
      </c>
      <c r="AA1006" s="9" t="b">
        <f aca="false">AND(Y1006=0,J1006,ISNUMBER(L1006))</f>
        <v>0</v>
      </c>
      <c r="AB1006" s="8" t="n">
        <f aca="false">IF(Q1006,R1006,AB1005)</f>
        <v>0.863503444084112</v>
      </c>
      <c r="AC1006" s="12" t="n">
        <f aca="false">IF(Q1006,A1006,AC1005)</f>
        <v>45706</v>
      </c>
      <c r="AD1006" s="8" t="n">
        <f aca="false">IF(Q1006,B1006,AD1005)</f>
        <v>0.863330777928526</v>
      </c>
      <c r="AE1006" s="8" t="str">
        <f aca="false">IF(AA1006,L1006,"")</f>
        <v/>
      </c>
      <c r="AF1006" s="8" t="n">
        <f aca="false">U1006</f>
        <v>0.843828396541038</v>
      </c>
      <c r="AG1006" s="2" t="n">
        <f aca="false">AG1005+IF(Q1006,1,0)</f>
        <v>9</v>
      </c>
      <c r="AH1006" s="2" t="n">
        <f aca="false">AG1005</f>
        <v>9</v>
      </c>
      <c r="AI1006" s="10" t="n">
        <f aca="false">X1006+Y1006*(E1006-AB1006)-Y1006*AD1006*Inputs!$B$13*(A1006-AC1006)</f>
        <v>970.40233796708</v>
      </c>
      <c r="AJ1006" s="10" t="n">
        <v>0</v>
      </c>
      <c r="AK1006" s="8" t="n">
        <f aca="false">IF(AND(B1006&lt;=U1006,NOT(Q1006)),B1006,U1006)*(1-Inputs!$B$12)</f>
        <v>0.843659630861729</v>
      </c>
    </row>
    <row r="1007" customFormat="false" ht="15" hidden="false" customHeight="false" outlineLevel="0" collapsed="false">
      <c r="A1007" s="6" t="n">
        <v>45791</v>
      </c>
      <c r="B1007" s="7" t="n">
        <v>0.854253363122316</v>
      </c>
      <c r="C1007" s="7" t="n">
        <v>0.854320432125812</v>
      </c>
      <c r="D1007" s="7" t="n">
        <v>0.840151417462931</v>
      </c>
      <c r="E1007" s="7" t="n">
        <v>0.842972198445608</v>
      </c>
      <c r="F1007" s="8" t="n">
        <f aca="true">IF(ROW()-2&gt;=Inputs!$B$4,AVERAGE(OFFSET(E1007,1-Inputs!$B$4,0,Inputs!$B$4,1)),"")</f>
        <v>0.846583436014772</v>
      </c>
      <c r="G1007" s="8" t="n">
        <f aca="true">IF(ROW()-2&gt;=Inputs!$B$5,AVERAGE(OFFSET(E1007,1-Inputs!$B$5,0,Inputs!$B$5,1)),"")</f>
        <v>0.854407366983532</v>
      </c>
      <c r="H1007" s="8" t="n">
        <f aca="false">MAX(C1007-D1007,ABS(C1007-E1006),ABS(D1007-E1006))</f>
        <v>0.0141690146628809</v>
      </c>
      <c r="I1007" s="8" t="n">
        <f aca="true">IF(ROW()-2&lt;14,"",IF(ROW()-2=14,AVERAGE(OFFSET(H1007,-13,0,14,1)),(I1006*13+H1007)/14))</f>
        <v>0.00942577692443385</v>
      </c>
      <c r="J1007" s="9" t="b">
        <f aca="false">IF(AND(ISNUMBER(F1007),ISNUMBER(G1007),ISNUMBER(F1006),ISNUMBER(G1006)),AND(F1007&gt;G1007,F1006&lt;=G1006),FALSE())</f>
        <v>0</v>
      </c>
      <c r="K1007" s="9" t="b">
        <f aca="false">IF(AND(ISNUMBER(F1007),ISNUMBER(G1007),ISNUMBER(F1006),ISNUMBER(G1006)),AND(F1007&lt;G1007,F1006&gt;=G1006),FALSE())</f>
        <v>0</v>
      </c>
      <c r="L1007" s="8" t="n">
        <f aca="false">IF(ISNUMBER(I1007),E1007-Inputs!$B$6*I1007,"")</f>
        <v>0.824120644596741</v>
      </c>
      <c r="M1007" s="9" t="b">
        <f aca="false">AND(Y1006&gt;0,Z1006)</f>
        <v>0</v>
      </c>
      <c r="N1007" s="8" t="n">
        <f aca="false">B1007*(1-Inputs!$B$12)</f>
        <v>0.854082512449692</v>
      </c>
      <c r="O1007" s="10" t="n">
        <f aca="false">IF(M1007,Y1006*(N1007-AB1006)-Inputs!$B$9-Y1006*AD1006*Inputs!$B$13*(A1007-AC1006),0)</f>
        <v>0</v>
      </c>
      <c r="P1007" s="10" t="n">
        <f aca="false">X1006+O1007</f>
        <v>970.40233796708</v>
      </c>
      <c r="Q1007" s="9" t="b">
        <f aca="false">AND(IF(M1007,0,Y1006)=0,AA1006,IF(ISNUMBER(AE1006),B1007&gt;AE1006,FALSE()))</f>
        <v>0</v>
      </c>
      <c r="R1007" s="8" t="n">
        <f aca="false">B1007*(1+Inputs!$B$12)</f>
        <v>0.854424213794941</v>
      </c>
      <c r="S1007" s="11" t="n">
        <f aca="false">IF(Q1007,MIN(P1007*Inputs!$B$3/(R1007-AE1006),P1007*Inputs!$B$11/R1007),0)</f>
        <v>0</v>
      </c>
      <c r="T1007" s="11" t="n">
        <f aca="false">IF(Q1007,S1007,IF(M1007,0,Y1006))</f>
        <v>0</v>
      </c>
      <c r="U1007" s="8" t="n">
        <f aca="false">IF(Q1007,AE1006,AF1006)</f>
        <v>0.843828396541038</v>
      </c>
      <c r="V1007" s="9" t="b">
        <f aca="false">AND(T1007&gt;0,D1007&lt;=U1007)</f>
        <v>0</v>
      </c>
      <c r="W1007" s="10" t="n">
        <f aca="false">IF(V1007,T1007*(AK1007-AB1007)-Inputs!$B$9-T1007*AD1007*Inputs!$B$13*(A1007-AC1007),0)</f>
        <v>0</v>
      </c>
      <c r="X1007" s="10" t="n">
        <f aca="false">P1007-IF(Q1007,Inputs!$B$9,0)+W1007</f>
        <v>970.40233796708</v>
      </c>
      <c r="Y1007" s="11" t="n">
        <f aca="false">IF(V1007,0,T1007)</f>
        <v>0</v>
      </c>
      <c r="Z1007" s="9" t="b">
        <f aca="false">AND(Y1007&gt;0,K1007)</f>
        <v>0</v>
      </c>
      <c r="AA1007" s="9" t="b">
        <f aca="false">AND(Y1007=0,J1007,ISNUMBER(L1007))</f>
        <v>0</v>
      </c>
      <c r="AB1007" s="8" t="n">
        <f aca="false">IF(Q1007,R1007,AB1006)</f>
        <v>0.863503444084112</v>
      </c>
      <c r="AC1007" s="12" t="n">
        <f aca="false">IF(Q1007,A1007,AC1006)</f>
        <v>45706</v>
      </c>
      <c r="AD1007" s="8" t="n">
        <f aca="false">IF(Q1007,B1007,AD1006)</f>
        <v>0.863330777928526</v>
      </c>
      <c r="AE1007" s="8" t="str">
        <f aca="false">IF(AA1007,L1007,"")</f>
        <v/>
      </c>
      <c r="AF1007" s="8" t="n">
        <f aca="false">U1007</f>
        <v>0.843828396541038</v>
      </c>
      <c r="AG1007" s="2" t="n">
        <f aca="false">AG1006+IF(Q1007,1,0)</f>
        <v>9</v>
      </c>
      <c r="AH1007" s="2" t="n">
        <f aca="false">AG1006</f>
        <v>9</v>
      </c>
      <c r="AI1007" s="10" t="n">
        <f aca="false">X1007+Y1007*(E1007-AB1007)-Y1007*AD1007*Inputs!$B$13*(A1007-AC1007)</f>
        <v>970.40233796708</v>
      </c>
      <c r="AJ1007" s="10" t="n">
        <v>0</v>
      </c>
      <c r="AK1007" s="8" t="n">
        <f aca="false">IF(AND(B1007&lt;=U1007,NOT(Q1007)),B1007,U1007)*(1-Inputs!$B$12)</f>
        <v>0.843659630861729</v>
      </c>
    </row>
    <row r="1008" customFormat="false" ht="15" hidden="false" customHeight="false" outlineLevel="0" collapsed="false">
      <c r="A1008" s="6" t="n">
        <v>45792</v>
      </c>
      <c r="B1008" s="7" t="n">
        <v>0.842972198445608</v>
      </c>
      <c r="C1008" s="7" t="n">
        <v>0.843006010860161</v>
      </c>
      <c r="D1008" s="7" t="n">
        <v>0.839244549490576</v>
      </c>
      <c r="E1008" s="7" t="n">
        <v>0.841257765688792</v>
      </c>
      <c r="F1008" s="8" t="n">
        <f aca="true">IF(ROW()-2&gt;=Inputs!$B$4,AVERAGE(OFFSET(E1008,1-Inputs!$B$4,0,Inputs!$B$4,1)),"")</f>
        <v>0.84696518955011</v>
      </c>
      <c r="G1008" s="8" t="n">
        <f aca="true">IF(ROW()-2&gt;=Inputs!$B$5,AVERAGE(OFFSET(E1008,1-Inputs!$B$5,0,Inputs!$B$5,1)),"")</f>
        <v>0.853902312206927</v>
      </c>
      <c r="H1008" s="8" t="n">
        <f aca="false">MAX(C1008-D1008,ABS(C1008-E1007),ABS(D1008-E1007))</f>
        <v>0.00376146136958466</v>
      </c>
      <c r="I1008" s="8" t="n">
        <f aca="true">IF(ROW()-2&lt;14,"",IF(ROW()-2=14,AVERAGE(OFFSET(H1008,-13,0,14,1)),(I1007*13+H1008)/14))</f>
        <v>0.00902118295623034</v>
      </c>
      <c r="J1008" s="9" t="b">
        <f aca="false">IF(AND(ISNUMBER(F1008),ISNUMBER(G1008),ISNUMBER(F1007),ISNUMBER(G1007)),AND(F1008&gt;G1008,F1007&lt;=G1007),FALSE())</f>
        <v>0</v>
      </c>
      <c r="K1008" s="9" t="b">
        <f aca="false">IF(AND(ISNUMBER(F1008),ISNUMBER(G1008),ISNUMBER(F1007),ISNUMBER(G1007)),AND(F1008&lt;G1008,F1007&gt;=G1007),FALSE())</f>
        <v>0</v>
      </c>
      <c r="L1008" s="8" t="n">
        <f aca="false">IF(ISNUMBER(I1008),E1008-Inputs!$B$6*I1008,"")</f>
        <v>0.823215399776331</v>
      </c>
      <c r="M1008" s="9" t="b">
        <f aca="false">AND(Y1007&gt;0,Z1007)</f>
        <v>0</v>
      </c>
      <c r="N1008" s="8" t="n">
        <f aca="false">B1008*(1-Inputs!$B$12)</f>
        <v>0.842803604005919</v>
      </c>
      <c r="O1008" s="10" t="n">
        <f aca="false">IF(M1008,Y1007*(N1008-AB1007)-Inputs!$B$9-Y1007*AD1007*Inputs!$B$13*(A1008-AC1007),0)</f>
        <v>0</v>
      </c>
      <c r="P1008" s="10" t="n">
        <f aca="false">X1007+O1008</f>
        <v>970.40233796708</v>
      </c>
      <c r="Q1008" s="9" t="b">
        <f aca="false">AND(IF(M1008,0,Y1007)=0,AA1007,IF(ISNUMBER(AE1007),B1008&gt;AE1007,FALSE()))</f>
        <v>0</v>
      </c>
      <c r="R1008" s="8" t="n">
        <f aca="false">B1008*(1+Inputs!$B$12)</f>
        <v>0.843140792885297</v>
      </c>
      <c r="S1008" s="11" t="n">
        <f aca="false">IF(Q1008,MIN(P1008*Inputs!$B$3/(R1008-AE1007),P1008*Inputs!$B$11/R1008),0)</f>
        <v>0</v>
      </c>
      <c r="T1008" s="11" t="n">
        <f aca="false">IF(Q1008,S1008,IF(M1008,0,Y1007))</f>
        <v>0</v>
      </c>
      <c r="U1008" s="8" t="n">
        <f aca="false">IF(Q1008,AE1007,AF1007)</f>
        <v>0.843828396541038</v>
      </c>
      <c r="V1008" s="9" t="b">
        <f aca="false">AND(T1008&gt;0,D1008&lt;=U1008)</f>
        <v>0</v>
      </c>
      <c r="W1008" s="10" t="n">
        <f aca="false">IF(V1008,T1008*(AK1008-AB1008)-Inputs!$B$9-T1008*AD1008*Inputs!$B$13*(A1008-AC1008),0)</f>
        <v>0</v>
      </c>
      <c r="X1008" s="10" t="n">
        <f aca="false">P1008-IF(Q1008,Inputs!$B$9,0)+W1008</f>
        <v>970.40233796708</v>
      </c>
      <c r="Y1008" s="11" t="n">
        <f aca="false">IF(V1008,0,T1008)</f>
        <v>0</v>
      </c>
      <c r="Z1008" s="9" t="b">
        <f aca="false">AND(Y1008&gt;0,K1008)</f>
        <v>0</v>
      </c>
      <c r="AA1008" s="9" t="b">
        <f aca="false">AND(Y1008=0,J1008,ISNUMBER(L1008))</f>
        <v>0</v>
      </c>
      <c r="AB1008" s="8" t="n">
        <f aca="false">IF(Q1008,R1008,AB1007)</f>
        <v>0.863503444084112</v>
      </c>
      <c r="AC1008" s="12" t="n">
        <f aca="false">IF(Q1008,A1008,AC1007)</f>
        <v>45706</v>
      </c>
      <c r="AD1008" s="8" t="n">
        <f aca="false">IF(Q1008,B1008,AD1007)</f>
        <v>0.863330777928526</v>
      </c>
      <c r="AE1008" s="8" t="str">
        <f aca="false">IF(AA1008,L1008,"")</f>
        <v/>
      </c>
      <c r="AF1008" s="8" t="n">
        <f aca="false">U1008</f>
        <v>0.843828396541038</v>
      </c>
      <c r="AG1008" s="2" t="n">
        <f aca="false">AG1007+IF(Q1008,1,0)</f>
        <v>9</v>
      </c>
      <c r="AH1008" s="2" t="n">
        <f aca="false">AG1007</f>
        <v>9</v>
      </c>
      <c r="AI1008" s="10" t="n">
        <f aca="false">X1008+Y1008*(E1008-AB1008)-Y1008*AD1008*Inputs!$B$13*(A1008-AC1008)</f>
        <v>970.40233796708</v>
      </c>
      <c r="AJ1008" s="10" t="n">
        <v>0</v>
      </c>
      <c r="AK1008" s="8" t="n">
        <f aca="false">IF(AND(B1008&lt;=U1008,NOT(Q1008)),B1008,U1008)*(1-Inputs!$B$12)</f>
        <v>0.842803604005919</v>
      </c>
    </row>
    <row r="1009" customFormat="false" ht="15" hidden="false" customHeight="false" outlineLevel="0" collapsed="false">
      <c r="A1009" s="6" t="n">
        <v>45793</v>
      </c>
      <c r="B1009" s="7" t="n">
        <v>0.841257765688792</v>
      </c>
      <c r="C1009" s="7" t="n">
        <v>0.851102939078838</v>
      </c>
      <c r="D1009" s="7" t="n">
        <v>0.840230328589955</v>
      </c>
      <c r="E1009" s="7" t="n">
        <v>0.848020563861011</v>
      </c>
      <c r="F1009" s="8" t="n">
        <f aca="true">IF(ROW()-2&gt;=Inputs!$B$4,AVERAGE(OFFSET(E1009,1-Inputs!$B$4,0,Inputs!$B$4,1)),"")</f>
        <v>0.847558559980909</v>
      </c>
      <c r="G1009" s="8" t="n">
        <f aca="true">IF(ROW()-2&gt;=Inputs!$B$5,AVERAGE(OFFSET(E1009,1-Inputs!$B$5,0,Inputs!$B$5,1)),"")</f>
        <v>0.853544777277068</v>
      </c>
      <c r="H1009" s="8" t="n">
        <f aca="false">MAX(C1009-D1009,ABS(C1009-E1008),ABS(D1009-E1008))</f>
        <v>0.0108726104888828</v>
      </c>
      <c r="I1009" s="8" t="n">
        <f aca="true">IF(ROW()-2&lt;14,"",IF(ROW()-2=14,AVERAGE(OFFSET(H1009,-13,0,14,1)),(I1008*13+H1009)/14))</f>
        <v>0.00915342777999123</v>
      </c>
      <c r="J1009" s="9" t="b">
        <f aca="false">IF(AND(ISNUMBER(F1009),ISNUMBER(G1009),ISNUMBER(F1008),ISNUMBER(G1008)),AND(F1009&gt;G1009,F1008&lt;=G1008),FALSE())</f>
        <v>0</v>
      </c>
      <c r="K1009" s="9" t="b">
        <f aca="false">IF(AND(ISNUMBER(F1009),ISNUMBER(G1009),ISNUMBER(F1008),ISNUMBER(G1008)),AND(F1009&lt;G1009,F1008&gt;=G1008),FALSE())</f>
        <v>0</v>
      </c>
      <c r="L1009" s="8" t="n">
        <f aca="false">IF(ISNUMBER(I1009),E1009-Inputs!$B$6*I1009,"")</f>
        <v>0.829713708301028</v>
      </c>
      <c r="M1009" s="9" t="b">
        <f aca="false">AND(Y1008&gt;0,Z1008)</f>
        <v>0</v>
      </c>
      <c r="N1009" s="8" t="n">
        <f aca="false">B1009*(1-Inputs!$B$12)</f>
        <v>0.841089514135654</v>
      </c>
      <c r="O1009" s="10" t="n">
        <f aca="false">IF(M1009,Y1008*(N1009-AB1008)-Inputs!$B$9-Y1008*AD1008*Inputs!$B$13*(A1009-AC1008),0)</f>
        <v>0</v>
      </c>
      <c r="P1009" s="10" t="n">
        <f aca="false">X1008+O1009</f>
        <v>970.40233796708</v>
      </c>
      <c r="Q1009" s="9" t="b">
        <f aca="false">AND(IF(M1009,0,Y1008)=0,AA1008,IF(ISNUMBER(AE1008),B1009&gt;AE1008,FALSE()))</f>
        <v>0</v>
      </c>
      <c r="R1009" s="8" t="n">
        <f aca="false">B1009*(1+Inputs!$B$12)</f>
        <v>0.841426017241929</v>
      </c>
      <c r="S1009" s="11" t="n">
        <f aca="false">IF(Q1009,MIN(P1009*Inputs!$B$3/(R1009-AE1008),P1009*Inputs!$B$11/R1009),0)</f>
        <v>0</v>
      </c>
      <c r="T1009" s="11" t="n">
        <f aca="false">IF(Q1009,S1009,IF(M1009,0,Y1008))</f>
        <v>0</v>
      </c>
      <c r="U1009" s="8" t="n">
        <f aca="false">IF(Q1009,AE1008,AF1008)</f>
        <v>0.843828396541038</v>
      </c>
      <c r="V1009" s="9" t="b">
        <f aca="false">AND(T1009&gt;0,D1009&lt;=U1009)</f>
        <v>0</v>
      </c>
      <c r="W1009" s="10" t="n">
        <f aca="false">IF(V1009,T1009*(AK1009-AB1009)-Inputs!$B$9-T1009*AD1009*Inputs!$B$13*(A1009-AC1009),0)</f>
        <v>0</v>
      </c>
      <c r="X1009" s="10" t="n">
        <f aca="false">P1009-IF(Q1009,Inputs!$B$9,0)+W1009</f>
        <v>970.40233796708</v>
      </c>
      <c r="Y1009" s="11" t="n">
        <f aca="false">IF(V1009,0,T1009)</f>
        <v>0</v>
      </c>
      <c r="Z1009" s="9" t="b">
        <f aca="false">AND(Y1009&gt;0,K1009)</f>
        <v>0</v>
      </c>
      <c r="AA1009" s="9" t="b">
        <f aca="false">AND(Y1009=0,J1009,ISNUMBER(L1009))</f>
        <v>0</v>
      </c>
      <c r="AB1009" s="8" t="n">
        <f aca="false">IF(Q1009,R1009,AB1008)</f>
        <v>0.863503444084112</v>
      </c>
      <c r="AC1009" s="12" t="n">
        <f aca="false">IF(Q1009,A1009,AC1008)</f>
        <v>45706</v>
      </c>
      <c r="AD1009" s="8" t="n">
        <f aca="false">IF(Q1009,B1009,AD1008)</f>
        <v>0.863330777928526</v>
      </c>
      <c r="AE1009" s="8" t="str">
        <f aca="false">IF(AA1009,L1009,"")</f>
        <v/>
      </c>
      <c r="AF1009" s="8" t="n">
        <f aca="false">U1009</f>
        <v>0.843828396541038</v>
      </c>
      <c r="AG1009" s="2" t="n">
        <f aca="false">AG1008+IF(Q1009,1,0)</f>
        <v>9</v>
      </c>
      <c r="AH1009" s="2" t="n">
        <f aca="false">AG1008</f>
        <v>9</v>
      </c>
      <c r="AI1009" s="10" t="n">
        <f aca="false">X1009+Y1009*(E1009-AB1009)-Y1009*AD1009*Inputs!$B$13*(A1009-AC1009)</f>
        <v>970.40233796708</v>
      </c>
      <c r="AJ1009" s="10" t="n">
        <v>0</v>
      </c>
      <c r="AK1009" s="8" t="n">
        <f aca="false">IF(AND(B1009&lt;=U1009,NOT(Q1009)),B1009,U1009)*(1-Inputs!$B$12)</f>
        <v>0.841089514135654</v>
      </c>
    </row>
    <row r="1010" customFormat="false" ht="15" hidden="false" customHeight="false" outlineLevel="0" collapsed="false">
      <c r="A1010" s="6" t="n">
        <v>45794</v>
      </c>
      <c r="B1010" s="7" t="n">
        <v>0.848020563861011</v>
      </c>
      <c r="C1010" s="7" t="n">
        <v>0.849809516631865</v>
      </c>
      <c r="D1010" s="7" t="n">
        <v>0.84675125081174</v>
      </c>
      <c r="E1010" s="7" t="n">
        <v>0.849441755028553</v>
      </c>
      <c r="F1010" s="8" t="n">
        <f aca="true">IF(ROW()-2&gt;=Inputs!$B$4,AVERAGE(OFFSET(E1010,1-Inputs!$B$4,0,Inputs!$B$4,1)),"")</f>
        <v>0.848185984966814</v>
      </c>
      <c r="G1010" s="8" t="n">
        <f aca="true">IF(ROW()-2&gt;=Inputs!$B$5,AVERAGE(OFFSET(E1010,1-Inputs!$B$5,0,Inputs!$B$5,1)),"")</f>
        <v>0.853197931377473</v>
      </c>
      <c r="H1010" s="8" t="n">
        <f aca="false">MAX(C1010-D1010,ABS(C1010-E1009),ABS(D1010-E1009))</f>
        <v>0.00305826582012592</v>
      </c>
      <c r="I1010" s="8" t="n">
        <f aca="true">IF(ROW()-2&lt;14,"",IF(ROW()-2=14,AVERAGE(OFFSET(H1010,-13,0,14,1)),(I1009*13+H1010)/14))</f>
        <v>0.00871805906857228</v>
      </c>
      <c r="J1010" s="9" t="b">
        <f aca="false">IF(AND(ISNUMBER(F1010),ISNUMBER(G1010),ISNUMBER(F1009),ISNUMBER(G1009)),AND(F1010&gt;G1010,F1009&lt;=G1009),FALSE())</f>
        <v>0</v>
      </c>
      <c r="K1010" s="9" t="b">
        <f aca="false">IF(AND(ISNUMBER(F1010),ISNUMBER(G1010),ISNUMBER(F1009),ISNUMBER(G1009)),AND(F1010&lt;G1010,F1009&gt;=G1009),FALSE())</f>
        <v>0</v>
      </c>
      <c r="L1010" s="8" t="n">
        <f aca="false">IF(ISNUMBER(I1010),E1010-Inputs!$B$6*I1010,"")</f>
        <v>0.832005636891409</v>
      </c>
      <c r="M1010" s="9" t="b">
        <f aca="false">AND(Y1009&gt;0,Z1009)</f>
        <v>0</v>
      </c>
      <c r="N1010" s="8" t="n">
        <f aca="false">B1010*(1-Inputs!$B$12)</f>
        <v>0.847850959748239</v>
      </c>
      <c r="O1010" s="10" t="n">
        <f aca="false">IF(M1010,Y1009*(N1010-AB1009)-Inputs!$B$9-Y1009*AD1009*Inputs!$B$13*(A1010-AC1009),0)</f>
        <v>0</v>
      </c>
      <c r="P1010" s="10" t="n">
        <f aca="false">X1009+O1010</f>
        <v>970.40233796708</v>
      </c>
      <c r="Q1010" s="9" t="b">
        <f aca="false">AND(IF(M1010,0,Y1009)=0,AA1009,IF(ISNUMBER(AE1009),B1010&gt;AE1009,FALSE()))</f>
        <v>0</v>
      </c>
      <c r="R1010" s="8" t="n">
        <f aca="false">B1010*(1+Inputs!$B$12)</f>
        <v>0.848190167973783</v>
      </c>
      <c r="S1010" s="11" t="n">
        <f aca="false">IF(Q1010,MIN(P1010*Inputs!$B$3/(R1010-AE1009),P1010*Inputs!$B$11/R1010),0)</f>
        <v>0</v>
      </c>
      <c r="T1010" s="11" t="n">
        <f aca="false">IF(Q1010,S1010,IF(M1010,0,Y1009))</f>
        <v>0</v>
      </c>
      <c r="U1010" s="8" t="n">
        <f aca="false">IF(Q1010,AE1009,AF1009)</f>
        <v>0.843828396541038</v>
      </c>
      <c r="V1010" s="9" t="b">
        <f aca="false">AND(T1010&gt;0,D1010&lt;=U1010)</f>
        <v>0</v>
      </c>
      <c r="W1010" s="10" t="n">
        <f aca="false">IF(V1010,T1010*(AK1010-AB1010)-Inputs!$B$9-T1010*AD1010*Inputs!$B$13*(A1010-AC1010),0)</f>
        <v>0</v>
      </c>
      <c r="X1010" s="10" t="n">
        <f aca="false">P1010-IF(Q1010,Inputs!$B$9,0)+W1010</f>
        <v>970.40233796708</v>
      </c>
      <c r="Y1010" s="11" t="n">
        <f aca="false">IF(V1010,0,T1010)</f>
        <v>0</v>
      </c>
      <c r="Z1010" s="9" t="b">
        <f aca="false">AND(Y1010&gt;0,K1010)</f>
        <v>0</v>
      </c>
      <c r="AA1010" s="9" t="b">
        <f aca="false">AND(Y1010=0,J1010,ISNUMBER(L1010))</f>
        <v>0</v>
      </c>
      <c r="AB1010" s="8" t="n">
        <f aca="false">IF(Q1010,R1010,AB1009)</f>
        <v>0.863503444084112</v>
      </c>
      <c r="AC1010" s="12" t="n">
        <f aca="false">IF(Q1010,A1010,AC1009)</f>
        <v>45706</v>
      </c>
      <c r="AD1010" s="8" t="n">
        <f aca="false">IF(Q1010,B1010,AD1009)</f>
        <v>0.863330777928526</v>
      </c>
      <c r="AE1010" s="8" t="str">
        <f aca="false">IF(AA1010,L1010,"")</f>
        <v/>
      </c>
      <c r="AF1010" s="8" t="n">
        <f aca="false">U1010</f>
        <v>0.843828396541038</v>
      </c>
      <c r="AG1010" s="2" t="n">
        <f aca="false">AG1009+IF(Q1010,1,0)</f>
        <v>9</v>
      </c>
      <c r="AH1010" s="2" t="n">
        <f aca="false">AG1009</f>
        <v>9</v>
      </c>
      <c r="AI1010" s="10" t="n">
        <f aca="false">X1010+Y1010*(E1010-AB1010)-Y1010*AD1010*Inputs!$B$13*(A1010-AC1010)</f>
        <v>970.40233796708</v>
      </c>
      <c r="AJ1010" s="10" t="n">
        <v>0</v>
      </c>
      <c r="AK1010" s="8" t="n">
        <f aca="false">IF(AND(B1010&lt;=U1010,NOT(Q1010)),B1010,U1010)*(1-Inputs!$B$12)</f>
        <v>0.843659630861729</v>
      </c>
    </row>
    <row r="1011" customFormat="false" ht="15" hidden="false" customHeight="false" outlineLevel="0" collapsed="false">
      <c r="A1011" s="6" t="n">
        <v>45795</v>
      </c>
      <c r="B1011" s="7" t="n">
        <v>0.849441755028553</v>
      </c>
      <c r="C1011" s="7" t="n">
        <v>0.853359794056194</v>
      </c>
      <c r="D1011" s="7" t="n">
        <v>0.844153756895284</v>
      </c>
      <c r="E1011" s="7" t="n">
        <v>0.846049668926029</v>
      </c>
      <c r="F1011" s="8" t="n">
        <f aca="true">IF(ROW()-2&gt;=Inputs!$B$4,AVERAGE(OFFSET(E1011,1-Inputs!$B$4,0,Inputs!$B$4,1)),"")</f>
        <v>0.84850622441808</v>
      </c>
      <c r="G1011" s="8" t="n">
        <f aca="true">IF(ROW()-2&gt;=Inputs!$B$5,AVERAGE(OFFSET(E1011,1-Inputs!$B$5,0,Inputs!$B$5,1)),"")</f>
        <v>0.852807277480222</v>
      </c>
      <c r="H1011" s="8" t="n">
        <f aca="false">MAX(C1011-D1011,ABS(C1011-E1010),ABS(D1011-E1010))</f>
        <v>0.00920603716091062</v>
      </c>
      <c r="I1011" s="8" t="n">
        <f aca="true">IF(ROW()-2&lt;14,"",IF(ROW()-2=14,AVERAGE(OFFSET(H1011,-13,0,14,1)),(I1010*13+H1011)/14))</f>
        <v>0.00875291464659644</v>
      </c>
      <c r="J1011" s="9" t="b">
        <f aca="false">IF(AND(ISNUMBER(F1011),ISNUMBER(G1011),ISNUMBER(F1010),ISNUMBER(G1010)),AND(F1011&gt;G1011,F1010&lt;=G1010),FALSE())</f>
        <v>0</v>
      </c>
      <c r="K1011" s="9" t="b">
        <f aca="false">IF(AND(ISNUMBER(F1011),ISNUMBER(G1011),ISNUMBER(F1010),ISNUMBER(G1010)),AND(F1011&lt;G1011,F1010&gt;=G1010),FALSE())</f>
        <v>0</v>
      </c>
      <c r="L1011" s="8" t="n">
        <f aca="false">IF(ISNUMBER(I1011),E1011-Inputs!$B$6*I1011,"")</f>
        <v>0.828543839632837</v>
      </c>
      <c r="M1011" s="9" t="b">
        <f aca="false">AND(Y1010&gt;0,Z1010)</f>
        <v>0</v>
      </c>
      <c r="N1011" s="8" t="n">
        <f aca="false">B1011*(1-Inputs!$B$12)</f>
        <v>0.849271866677548</v>
      </c>
      <c r="O1011" s="10" t="n">
        <f aca="false">IF(M1011,Y1010*(N1011-AB1010)-Inputs!$B$9-Y1010*AD1010*Inputs!$B$13*(A1011-AC1010),0)</f>
        <v>0</v>
      </c>
      <c r="P1011" s="10" t="n">
        <f aca="false">X1010+O1011</f>
        <v>970.40233796708</v>
      </c>
      <c r="Q1011" s="9" t="b">
        <f aca="false">AND(IF(M1011,0,Y1010)=0,AA1010,IF(ISNUMBER(AE1010),B1011&gt;AE1010,FALSE()))</f>
        <v>0</v>
      </c>
      <c r="R1011" s="8" t="n">
        <f aca="false">B1011*(1+Inputs!$B$12)</f>
        <v>0.849611643379559</v>
      </c>
      <c r="S1011" s="11" t="n">
        <f aca="false">IF(Q1011,MIN(P1011*Inputs!$B$3/(R1011-AE1010),P1011*Inputs!$B$11/R1011),0)</f>
        <v>0</v>
      </c>
      <c r="T1011" s="11" t="n">
        <f aca="false">IF(Q1011,S1011,IF(M1011,0,Y1010))</f>
        <v>0</v>
      </c>
      <c r="U1011" s="8" t="n">
        <f aca="false">IF(Q1011,AE1010,AF1010)</f>
        <v>0.843828396541038</v>
      </c>
      <c r="V1011" s="9" t="b">
        <f aca="false">AND(T1011&gt;0,D1011&lt;=U1011)</f>
        <v>0</v>
      </c>
      <c r="W1011" s="10" t="n">
        <f aca="false">IF(V1011,T1011*(AK1011-AB1011)-Inputs!$B$9-T1011*AD1011*Inputs!$B$13*(A1011-AC1011),0)</f>
        <v>0</v>
      </c>
      <c r="X1011" s="10" t="n">
        <f aca="false">P1011-IF(Q1011,Inputs!$B$9,0)+W1011</f>
        <v>970.40233796708</v>
      </c>
      <c r="Y1011" s="11" t="n">
        <f aca="false">IF(V1011,0,T1011)</f>
        <v>0</v>
      </c>
      <c r="Z1011" s="9" t="b">
        <f aca="false">AND(Y1011&gt;0,K1011)</f>
        <v>0</v>
      </c>
      <c r="AA1011" s="9" t="b">
        <f aca="false">AND(Y1011=0,J1011,ISNUMBER(L1011))</f>
        <v>0</v>
      </c>
      <c r="AB1011" s="8" t="n">
        <f aca="false">IF(Q1011,R1011,AB1010)</f>
        <v>0.863503444084112</v>
      </c>
      <c r="AC1011" s="12" t="n">
        <f aca="false">IF(Q1011,A1011,AC1010)</f>
        <v>45706</v>
      </c>
      <c r="AD1011" s="8" t="n">
        <f aca="false">IF(Q1011,B1011,AD1010)</f>
        <v>0.863330777928526</v>
      </c>
      <c r="AE1011" s="8" t="str">
        <f aca="false">IF(AA1011,L1011,"")</f>
        <v/>
      </c>
      <c r="AF1011" s="8" t="n">
        <f aca="false">U1011</f>
        <v>0.843828396541038</v>
      </c>
      <c r="AG1011" s="2" t="n">
        <f aca="false">AG1010+IF(Q1011,1,0)</f>
        <v>9</v>
      </c>
      <c r="AH1011" s="2" t="n">
        <f aca="false">AG1010</f>
        <v>9</v>
      </c>
      <c r="AI1011" s="10" t="n">
        <f aca="false">X1011+Y1011*(E1011-AB1011)-Y1011*AD1011*Inputs!$B$13*(A1011-AC1011)</f>
        <v>970.40233796708</v>
      </c>
      <c r="AJ1011" s="10" t="n">
        <v>0</v>
      </c>
      <c r="AK1011" s="8" t="n">
        <f aca="false">IF(AND(B1011&lt;=U1011,NOT(Q1011)),B1011,U1011)*(1-Inputs!$B$12)</f>
        <v>0.843659630861729</v>
      </c>
    </row>
    <row r="1012" customFormat="false" ht="15" hidden="false" customHeight="false" outlineLevel="0" collapsed="false">
      <c r="A1012" s="6" t="n">
        <v>45796</v>
      </c>
      <c r="B1012" s="7" t="n">
        <v>0.846049668926029</v>
      </c>
      <c r="C1012" s="7" t="n">
        <v>0.851734944326655</v>
      </c>
      <c r="D1012" s="7" t="n">
        <v>0.84065332946577</v>
      </c>
      <c r="E1012" s="7" t="n">
        <v>0.841720988848388</v>
      </c>
      <c r="F1012" s="8" t="n">
        <f aca="true">IF(ROW()-2&gt;=Inputs!$B$4,AVERAGE(OFFSET(E1012,1-Inputs!$B$4,0,Inputs!$B$4,1)),"")</f>
        <v>0.848597639323431</v>
      </c>
      <c r="G1012" s="8" t="n">
        <f aca="true">IF(ROW()-2&gt;=Inputs!$B$5,AVERAGE(OFFSET(E1012,1-Inputs!$B$5,0,Inputs!$B$5,1)),"")</f>
        <v>0.852455746996413</v>
      </c>
      <c r="H1012" s="8" t="n">
        <f aca="false">MAX(C1012-D1012,ABS(C1012-E1011),ABS(D1012-E1011))</f>
        <v>0.0110816148608852</v>
      </c>
      <c r="I1012" s="8" t="n">
        <f aca="true">IF(ROW()-2&lt;14,"",IF(ROW()-2=14,AVERAGE(OFFSET(H1012,-13,0,14,1)),(I1011*13+H1012)/14))</f>
        <v>0.0089192503761885</v>
      </c>
      <c r="J1012" s="9" t="b">
        <f aca="false">IF(AND(ISNUMBER(F1012),ISNUMBER(G1012),ISNUMBER(F1011),ISNUMBER(G1011)),AND(F1012&gt;G1012,F1011&lt;=G1011),FALSE())</f>
        <v>0</v>
      </c>
      <c r="K1012" s="9" t="b">
        <f aca="false">IF(AND(ISNUMBER(F1012),ISNUMBER(G1012),ISNUMBER(F1011),ISNUMBER(G1011)),AND(F1012&lt;G1012,F1011&gt;=G1011),FALSE())</f>
        <v>0</v>
      </c>
      <c r="L1012" s="8" t="n">
        <f aca="false">IF(ISNUMBER(I1012),E1012-Inputs!$B$6*I1012,"")</f>
        <v>0.823882488096011</v>
      </c>
      <c r="M1012" s="9" t="b">
        <f aca="false">AND(Y1011&gt;0,Z1011)</f>
        <v>0</v>
      </c>
      <c r="N1012" s="8" t="n">
        <f aca="false">B1012*(1-Inputs!$B$12)</f>
        <v>0.845880458992244</v>
      </c>
      <c r="O1012" s="10" t="n">
        <f aca="false">IF(M1012,Y1011*(N1012-AB1011)-Inputs!$B$9-Y1011*AD1011*Inputs!$B$13*(A1012-AC1011),0)</f>
        <v>0</v>
      </c>
      <c r="P1012" s="10" t="n">
        <f aca="false">X1011+O1012</f>
        <v>970.40233796708</v>
      </c>
      <c r="Q1012" s="9" t="b">
        <f aca="false">AND(IF(M1012,0,Y1011)=0,AA1011,IF(ISNUMBER(AE1011),B1012&gt;AE1011,FALSE()))</f>
        <v>0</v>
      </c>
      <c r="R1012" s="8" t="n">
        <f aca="false">B1012*(1+Inputs!$B$12)</f>
        <v>0.846218878859815</v>
      </c>
      <c r="S1012" s="11" t="n">
        <f aca="false">IF(Q1012,MIN(P1012*Inputs!$B$3/(R1012-AE1011),P1012*Inputs!$B$11/R1012),0)</f>
        <v>0</v>
      </c>
      <c r="T1012" s="11" t="n">
        <f aca="false">IF(Q1012,S1012,IF(M1012,0,Y1011))</f>
        <v>0</v>
      </c>
      <c r="U1012" s="8" t="n">
        <f aca="false">IF(Q1012,AE1011,AF1011)</f>
        <v>0.843828396541038</v>
      </c>
      <c r="V1012" s="9" t="b">
        <f aca="false">AND(T1012&gt;0,D1012&lt;=U1012)</f>
        <v>0</v>
      </c>
      <c r="W1012" s="10" t="n">
        <f aca="false">IF(V1012,T1012*(AK1012-AB1012)-Inputs!$B$9-T1012*AD1012*Inputs!$B$13*(A1012-AC1012),0)</f>
        <v>0</v>
      </c>
      <c r="X1012" s="10" t="n">
        <f aca="false">P1012-IF(Q1012,Inputs!$B$9,0)+W1012</f>
        <v>970.40233796708</v>
      </c>
      <c r="Y1012" s="11" t="n">
        <f aca="false">IF(V1012,0,T1012)</f>
        <v>0</v>
      </c>
      <c r="Z1012" s="9" t="b">
        <f aca="false">AND(Y1012&gt;0,K1012)</f>
        <v>0</v>
      </c>
      <c r="AA1012" s="9" t="b">
        <f aca="false">AND(Y1012=0,J1012,ISNUMBER(L1012))</f>
        <v>0</v>
      </c>
      <c r="AB1012" s="8" t="n">
        <f aca="false">IF(Q1012,R1012,AB1011)</f>
        <v>0.863503444084112</v>
      </c>
      <c r="AC1012" s="12" t="n">
        <f aca="false">IF(Q1012,A1012,AC1011)</f>
        <v>45706</v>
      </c>
      <c r="AD1012" s="8" t="n">
        <f aca="false">IF(Q1012,B1012,AD1011)</f>
        <v>0.863330777928526</v>
      </c>
      <c r="AE1012" s="8" t="str">
        <f aca="false">IF(AA1012,L1012,"")</f>
        <v/>
      </c>
      <c r="AF1012" s="8" t="n">
        <f aca="false">U1012</f>
        <v>0.843828396541038</v>
      </c>
      <c r="AG1012" s="2" t="n">
        <f aca="false">AG1011+IF(Q1012,1,0)</f>
        <v>9</v>
      </c>
      <c r="AH1012" s="2" t="n">
        <f aca="false">AG1011</f>
        <v>9</v>
      </c>
      <c r="AI1012" s="10" t="n">
        <f aca="false">X1012+Y1012*(E1012-AB1012)-Y1012*AD1012*Inputs!$B$13*(A1012-AC1012)</f>
        <v>970.40233796708</v>
      </c>
      <c r="AJ1012" s="10" t="n">
        <v>0</v>
      </c>
      <c r="AK1012" s="8" t="n">
        <f aca="false">IF(AND(B1012&lt;=U1012,NOT(Q1012)),B1012,U1012)*(1-Inputs!$B$12)</f>
        <v>0.843659630861729</v>
      </c>
    </row>
    <row r="1013" customFormat="false" ht="15" hidden="false" customHeight="false" outlineLevel="0" collapsed="false">
      <c r="A1013" s="6" t="n">
        <v>45797</v>
      </c>
      <c r="B1013" s="7" t="n">
        <v>0.841720988848388</v>
      </c>
      <c r="C1013" s="7" t="n">
        <v>0.845962991117964</v>
      </c>
      <c r="D1013" s="7" t="n">
        <v>0.83615299824949</v>
      </c>
      <c r="E1013" s="7" t="n">
        <v>0.837346144246091</v>
      </c>
      <c r="F1013" s="8" t="n">
        <f aca="true">IF(ROW()-2&gt;=Inputs!$B$4,AVERAGE(OFFSET(E1013,1-Inputs!$B$4,0,Inputs!$B$4,1)),"")</f>
        <v>0.848071936505618</v>
      </c>
      <c r="G1013" s="8" t="n">
        <f aca="true">IF(ROW()-2&gt;=Inputs!$B$5,AVERAGE(OFFSET(E1013,1-Inputs!$B$5,0,Inputs!$B$5,1)),"")</f>
        <v>0.851982738781987</v>
      </c>
      <c r="H1013" s="8" t="n">
        <f aca="false">MAX(C1013-D1013,ABS(C1013-E1012),ABS(D1013-E1012))</f>
        <v>0.00980999286847395</v>
      </c>
      <c r="I1013" s="8" t="n">
        <f aca="true">IF(ROW()-2&lt;14,"",IF(ROW()-2=14,AVERAGE(OFFSET(H1013,-13,0,14,1)),(I1012*13+H1013)/14))</f>
        <v>0.00898287483992317</v>
      </c>
      <c r="J1013" s="9" t="b">
        <f aca="false">IF(AND(ISNUMBER(F1013),ISNUMBER(G1013),ISNUMBER(F1012),ISNUMBER(G1012)),AND(F1013&gt;G1013,F1012&lt;=G1012),FALSE())</f>
        <v>0</v>
      </c>
      <c r="K1013" s="9" t="b">
        <f aca="false">IF(AND(ISNUMBER(F1013),ISNUMBER(G1013),ISNUMBER(F1012),ISNUMBER(G1012)),AND(F1013&lt;G1013,F1012&gt;=G1012),FALSE())</f>
        <v>0</v>
      </c>
      <c r="L1013" s="8" t="n">
        <f aca="false">IF(ISNUMBER(I1013),E1013-Inputs!$B$6*I1013,"")</f>
        <v>0.819380394566245</v>
      </c>
      <c r="M1013" s="9" t="b">
        <f aca="false">AND(Y1012&gt;0,Z1012)</f>
        <v>0</v>
      </c>
      <c r="N1013" s="8" t="n">
        <f aca="false">B1013*(1-Inputs!$B$12)</f>
        <v>0.841552644650619</v>
      </c>
      <c r="O1013" s="10" t="n">
        <f aca="false">IF(M1013,Y1012*(N1013-AB1012)-Inputs!$B$9-Y1012*AD1012*Inputs!$B$13*(A1013-AC1012),0)</f>
        <v>0</v>
      </c>
      <c r="P1013" s="10" t="n">
        <f aca="false">X1012+O1013</f>
        <v>970.40233796708</v>
      </c>
      <c r="Q1013" s="9" t="b">
        <f aca="false">AND(IF(M1013,0,Y1012)=0,AA1012,IF(ISNUMBER(AE1012),B1013&gt;AE1012,FALSE()))</f>
        <v>0</v>
      </c>
      <c r="R1013" s="8" t="n">
        <f aca="false">B1013*(1+Inputs!$B$12)</f>
        <v>0.841889333046158</v>
      </c>
      <c r="S1013" s="11" t="n">
        <f aca="false">IF(Q1013,MIN(P1013*Inputs!$B$3/(R1013-AE1012),P1013*Inputs!$B$11/R1013),0)</f>
        <v>0</v>
      </c>
      <c r="T1013" s="11" t="n">
        <f aca="false">IF(Q1013,S1013,IF(M1013,0,Y1012))</f>
        <v>0</v>
      </c>
      <c r="U1013" s="8" t="n">
        <f aca="false">IF(Q1013,AE1012,AF1012)</f>
        <v>0.843828396541038</v>
      </c>
      <c r="V1013" s="9" t="b">
        <f aca="false">AND(T1013&gt;0,D1013&lt;=U1013)</f>
        <v>0</v>
      </c>
      <c r="W1013" s="10" t="n">
        <f aca="false">IF(V1013,T1013*(AK1013-AB1013)-Inputs!$B$9-T1013*AD1013*Inputs!$B$13*(A1013-AC1013),0)</f>
        <v>0</v>
      </c>
      <c r="X1013" s="10" t="n">
        <f aca="false">P1013-IF(Q1013,Inputs!$B$9,0)+W1013</f>
        <v>970.40233796708</v>
      </c>
      <c r="Y1013" s="11" t="n">
        <f aca="false">IF(V1013,0,T1013)</f>
        <v>0</v>
      </c>
      <c r="Z1013" s="9" t="b">
        <f aca="false">AND(Y1013&gt;0,K1013)</f>
        <v>0</v>
      </c>
      <c r="AA1013" s="9" t="b">
        <f aca="false">AND(Y1013=0,J1013,ISNUMBER(L1013))</f>
        <v>0</v>
      </c>
      <c r="AB1013" s="8" t="n">
        <f aca="false">IF(Q1013,R1013,AB1012)</f>
        <v>0.863503444084112</v>
      </c>
      <c r="AC1013" s="12" t="n">
        <f aca="false">IF(Q1013,A1013,AC1012)</f>
        <v>45706</v>
      </c>
      <c r="AD1013" s="8" t="n">
        <f aca="false">IF(Q1013,B1013,AD1012)</f>
        <v>0.863330777928526</v>
      </c>
      <c r="AE1013" s="8" t="str">
        <f aca="false">IF(AA1013,L1013,"")</f>
        <v/>
      </c>
      <c r="AF1013" s="8" t="n">
        <f aca="false">U1013</f>
        <v>0.843828396541038</v>
      </c>
      <c r="AG1013" s="2" t="n">
        <f aca="false">AG1012+IF(Q1013,1,0)</f>
        <v>9</v>
      </c>
      <c r="AH1013" s="2" t="n">
        <f aca="false">AG1012</f>
        <v>9</v>
      </c>
      <c r="AI1013" s="10" t="n">
        <f aca="false">X1013+Y1013*(E1013-AB1013)-Y1013*AD1013*Inputs!$B$13*(A1013-AC1013)</f>
        <v>970.40233796708</v>
      </c>
      <c r="AJ1013" s="10" t="n">
        <v>0</v>
      </c>
      <c r="AK1013" s="8" t="n">
        <f aca="false">IF(AND(B1013&lt;=U1013,NOT(Q1013)),B1013,U1013)*(1-Inputs!$B$12)</f>
        <v>0.841552644650619</v>
      </c>
    </row>
    <row r="1014" customFormat="false" ht="15" hidden="false" customHeight="false" outlineLevel="0" collapsed="false">
      <c r="A1014" s="6" t="n">
        <v>45798</v>
      </c>
      <c r="B1014" s="7" t="n">
        <v>0.837346144246091</v>
      </c>
      <c r="C1014" s="7" t="n">
        <v>0.843359257085915</v>
      </c>
      <c r="D1014" s="7" t="n">
        <v>0.835387316631689</v>
      </c>
      <c r="E1014" s="7" t="n">
        <v>0.841430119196331</v>
      </c>
      <c r="F1014" s="8" t="n">
        <f aca="true">IF(ROW()-2&gt;=Inputs!$B$4,AVERAGE(OFFSET(E1014,1-Inputs!$B$4,0,Inputs!$B$4,1)),"")</f>
        <v>0.848141956948976</v>
      </c>
      <c r="G1014" s="8" t="n">
        <f aca="true">IF(ROW()-2&gt;=Inputs!$B$5,AVERAGE(OFFSET(E1014,1-Inputs!$B$5,0,Inputs!$B$5,1)),"")</f>
        <v>0.851583405331579</v>
      </c>
      <c r="H1014" s="8" t="n">
        <f aca="false">MAX(C1014-D1014,ABS(C1014-E1013),ABS(D1014-E1013))</f>
        <v>0.00797194045422534</v>
      </c>
      <c r="I1014" s="8" t="n">
        <f aca="true">IF(ROW()-2&lt;14,"",IF(ROW()-2=14,AVERAGE(OFFSET(H1014,-13,0,14,1)),(I1013*13+H1014)/14))</f>
        <v>0.00891066524094476</v>
      </c>
      <c r="J1014" s="9" t="b">
        <f aca="false">IF(AND(ISNUMBER(F1014),ISNUMBER(G1014),ISNUMBER(F1013),ISNUMBER(G1013)),AND(F1014&gt;G1014,F1013&lt;=G1013),FALSE())</f>
        <v>0</v>
      </c>
      <c r="K1014" s="9" t="b">
        <f aca="false">IF(AND(ISNUMBER(F1014),ISNUMBER(G1014),ISNUMBER(F1013),ISNUMBER(G1013)),AND(F1014&lt;G1014,F1013&gt;=G1013),FALSE())</f>
        <v>0</v>
      </c>
      <c r="L1014" s="8" t="n">
        <f aca="false">IF(ISNUMBER(I1014),E1014-Inputs!$B$6*I1014,"")</f>
        <v>0.823608788714442</v>
      </c>
      <c r="M1014" s="9" t="b">
        <f aca="false">AND(Y1013&gt;0,Z1013)</f>
        <v>0</v>
      </c>
      <c r="N1014" s="8" t="n">
        <f aca="false">B1014*(1-Inputs!$B$12)</f>
        <v>0.837178675017242</v>
      </c>
      <c r="O1014" s="10" t="n">
        <f aca="false">IF(M1014,Y1013*(N1014-AB1013)-Inputs!$B$9-Y1013*AD1013*Inputs!$B$13*(A1014-AC1013),0)</f>
        <v>0</v>
      </c>
      <c r="P1014" s="10" t="n">
        <f aca="false">X1013+O1014</f>
        <v>970.40233796708</v>
      </c>
      <c r="Q1014" s="9" t="b">
        <f aca="false">AND(IF(M1014,0,Y1013)=0,AA1013,IF(ISNUMBER(AE1013),B1014&gt;AE1013,FALSE()))</f>
        <v>0</v>
      </c>
      <c r="R1014" s="8" t="n">
        <f aca="false">B1014*(1+Inputs!$B$12)</f>
        <v>0.83751361347494</v>
      </c>
      <c r="S1014" s="11" t="n">
        <f aca="false">IF(Q1014,MIN(P1014*Inputs!$B$3/(R1014-AE1013),P1014*Inputs!$B$11/R1014),0)</f>
        <v>0</v>
      </c>
      <c r="T1014" s="11" t="n">
        <f aca="false">IF(Q1014,S1014,IF(M1014,0,Y1013))</f>
        <v>0</v>
      </c>
      <c r="U1014" s="8" t="n">
        <f aca="false">IF(Q1014,AE1013,AF1013)</f>
        <v>0.843828396541038</v>
      </c>
      <c r="V1014" s="9" t="b">
        <f aca="false">AND(T1014&gt;0,D1014&lt;=U1014)</f>
        <v>0</v>
      </c>
      <c r="W1014" s="10" t="n">
        <f aca="false">IF(V1014,T1014*(AK1014-AB1014)-Inputs!$B$9-T1014*AD1014*Inputs!$B$13*(A1014-AC1014),0)</f>
        <v>0</v>
      </c>
      <c r="X1014" s="10" t="n">
        <f aca="false">P1014-IF(Q1014,Inputs!$B$9,0)+W1014</f>
        <v>970.40233796708</v>
      </c>
      <c r="Y1014" s="11" t="n">
        <f aca="false">IF(V1014,0,T1014)</f>
        <v>0</v>
      </c>
      <c r="Z1014" s="9" t="b">
        <f aca="false">AND(Y1014&gt;0,K1014)</f>
        <v>0</v>
      </c>
      <c r="AA1014" s="9" t="b">
        <f aca="false">AND(Y1014=0,J1014,ISNUMBER(L1014))</f>
        <v>0</v>
      </c>
      <c r="AB1014" s="8" t="n">
        <f aca="false">IF(Q1014,R1014,AB1013)</f>
        <v>0.863503444084112</v>
      </c>
      <c r="AC1014" s="12" t="n">
        <f aca="false">IF(Q1014,A1014,AC1013)</f>
        <v>45706</v>
      </c>
      <c r="AD1014" s="8" t="n">
        <f aca="false">IF(Q1014,B1014,AD1013)</f>
        <v>0.863330777928526</v>
      </c>
      <c r="AE1014" s="8" t="str">
        <f aca="false">IF(AA1014,L1014,"")</f>
        <v/>
      </c>
      <c r="AF1014" s="8" t="n">
        <f aca="false">U1014</f>
        <v>0.843828396541038</v>
      </c>
      <c r="AG1014" s="2" t="n">
        <f aca="false">AG1013+IF(Q1014,1,0)</f>
        <v>9</v>
      </c>
      <c r="AH1014" s="2" t="n">
        <f aca="false">AG1013</f>
        <v>9</v>
      </c>
      <c r="AI1014" s="10" t="n">
        <f aca="false">X1014+Y1014*(E1014-AB1014)-Y1014*AD1014*Inputs!$B$13*(A1014-AC1014)</f>
        <v>970.40233796708</v>
      </c>
      <c r="AJ1014" s="10" t="n">
        <v>0</v>
      </c>
      <c r="AK1014" s="8" t="n">
        <f aca="false">IF(AND(B1014&lt;=U1014,NOT(Q1014)),B1014,U1014)*(1-Inputs!$B$12)</f>
        <v>0.837178675017242</v>
      </c>
    </row>
    <row r="1015" customFormat="false" ht="15" hidden="false" customHeight="false" outlineLevel="0" collapsed="false">
      <c r="A1015" s="6" t="n">
        <v>45799</v>
      </c>
      <c r="B1015" s="7" t="n">
        <v>0.841430119196331</v>
      </c>
      <c r="C1015" s="7" t="n">
        <v>0.842339908726741</v>
      </c>
      <c r="D1015" s="7" t="n">
        <v>0.838425722769853</v>
      </c>
      <c r="E1015" s="7" t="n">
        <v>0.838671939508198</v>
      </c>
      <c r="F1015" s="8" t="n">
        <f aca="true">IF(ROW()-2&gt;=Inputs!$B$4,AVERAGE(OFFSET(E1015,1-Inputs!$B$4,0,Inputs!$B$4,1)),"")</f>
        <v>0.848145425315381</v>
      </c>
      <c r="G1015" s="8" t="n">
        <f aca="true">IF(ROW()-2&gt;=Inputs!$B$5,AVERAGE(OFFSET(E1015,1-Inputs!$B$5,0,Inputs!$B$5,1)),"")</f>
        <v>0.851108465935096</v>
      </c>
      <c r="H1015" s="8" t="n">
        <f aca="false">MAX(C1015-D1015,ABS(C1015-E1014),ABS(D1015-E1014))</f>
        <v>0.00391418595688886</v>
      </c>
      <c r="I1015" s="8" t="n">
        <f aca="true">IF(ROW()-2&lt;14,"",IF(ROW()-2=14,AVERAGE(OFFSET(H1015,-13,0,14,1)),(I1014*13+H1015)/14))</f>
        <v>0.00855377386351219</v>
      </c>
      <c r="J1015" s="9" t="b">
        <f aca="false">IF(AND(ISNUMBER(F1015),ISNUMBER(G1015),ISNUMBER(F1014),ISNUMBER(G1014)),AND(F1015&gt;G1015,F1014&lt;=G1014),FALSE())</f>
        <v>0</v>
      </c>
      <c r="K1015" s="9" t="b">
        <f aca="false">IF(AND(ISNUMBER(F1015),ISNUMBER(G1015),ISNUMBER(F1014),ISNUMBER(G1014)),AND(F1015&lt;G1015,F1014&gt;=G1014),FALSE())</f>
        <v>0</v>
      </c>
      <c r="L1015" s="8" t="n">
        <f aca="false">IF(ISNUMBER(I1015),E1015-Inputs!$B$6*I1015,"")</f>
        <v>0.821564391781174</v>
      </c>
      <c r="M1015" s="9" t="b">
        <f aca="false">AND(Y1014&gt;0,Z1014)</f>
        <v>0</v>
      </c>
      <c r="N1015" s="8" t="n">
        <f aca="false">B1015*(1-Inputs!$B$12)</f>
        <v>0.841261833172492</v>
      </c>
      <c r="O1015" s="10" t="n">
        <f aca="false">IF(M1015,Y1014*(N1015-AB1014)-Inputs!$B$9-Y1014*AD1014*Inputs!$B$13*(A1015-AC1014),0)</f>
        <v>0</v>
      </c>
      <c r="P1015" s="10" t="n">
        <f aca="false">X1014+O1015</f>
        <v>970.40233796708</v>
      </c>
      <c r="Q1015" s="9" t="b">
        <f aca="false">AND(IF(M1015,0,Y1014)=0,AA1014,IF(ISNUMBER(AE1014),B1015&gt;AE1014,FALSE()))</f>
        <v>0</v>
      </c>
      <c r="R1015" s="8" t="n">
        <f aca="false">B1015*(1+Inputs!$B$12)</f>
        <v>0.84159840522017</v>
      </c>
      <c r="S1015" s="11" t="n">
        <f aca="false">IF(Q1015,MIN(P1015*Inputs!$B$3/(R1015-AE1014),P1015*Inputs!$B$11/R1015),0)</f>
        <v>0</v>
      </c>
      <c r="T1015" s="11" t="n">
        <f aca="false">IF(Q1015,S1015,IF(M1015,0,Y1014))</f>
        <v>0</v>
      </c>
      <c r="U1015" s="8" t="n">
        <f aca="false">IF(Q1015,AE1014,AF1014)</f>
        <v>0.843828396541038</v>
      </c>
      <c r="V1015" s="9" t="b">
        <f aca="false">AND(T1015&gt;0,D1015&lt;=U1015)</f>
        <v>0</v>
      </c>
      <c r="W1015" s="10" t="n">
        <f aca="false">IF(V1015,T1015*(AK1015-AB1015)-Inputs!$B$9-T1015*AD1015*Inputs!$B$13*(A1015-AC1015),0)</f>
        <v>0</v>
      </c>
      <c r="X1015" s="10" t="n">
        <f aca="false">P1015-IF(Q1015,Inputs!$B$9,0)+W1015</f>
        <v>970.40233796708</v>
      </c>
      <c r="Y1015" s="11" t="n">
        <f aca="false">IF(V1015,0,T1015)</f>
        <v>0</v>
      </c>
      <c r="Z1015" s="9" t="b">
        <f aca="false">AND(Y1015&gt;0,K1015)</f>
        <v>0</v>
      </c>
      <c r="AA1015" s="9" t="b">
        <f aca="false">AND(Y1015=0,J1015,ISNUMBER(L1015))</f>
        <v>0</v>
      </c>
      <c r="AB1015" s="8" t="n">
        <f aca="false">IF(Q1015,R1015,AB1014)</f>
        <v>0.863503444084112</v>
      </c>
      <c r="AC1015" s="12" t="n">
        <f aca="false">IF(Q1015,A1015,AC1014)</f>
        <v>45706</v>
      </c>
      <c r="AD1015" s="8" t="n">
        <f aca="false">IF(Q1015,B1015,AD1014)</f>
        <v>0.863330777928526</v>
      </c>
      <c r="AE1015" s="8" t="str">
        <f aca="false">IF(AA1015,L1015,"")</f>
        <v/>
      </c>
      <c r="AF1015" s="8" t="n">
        <f aca="false">U1015</f>
        <v>0.843828396541038</v>
      </c>
      <c r="AG1015" s="2" t="n">
        <f aca="false">AG1014+IF(Q1015,1,0)</f>
        <v>9</v>
      </c>
      <c r="AH1015" s="2" t="n">
        <f aca="false">AG1014</f>
        <v>9</v>
      </c>
      <c r="AI1015" s="10" t="n">
        <f aca="false">X1015+Y1015*(E1015-AB1015)-Y1015*AD1015*Inputs!$B$13*(A1015-AC1015)</f>
        <v>970.40233796708</v>
      </c>
      <c r="AJ1015" s="10" t="n">
        <v>0</v>
      </c>
      <c r="AK1015" s="8" t="n">
        <f aca="false">IF(AND(B1015&lt;=U1015,NOT(Q1015)),B1015,U1015)*(1-Inputs!$B$12)</f>
        <v>0.841261833172492</v>
      </c>
    </row>
    <row r="1016" customFormat="false" ht="15" hidden="false" customHeight="false" outlineLevel="0" collapsed="false">
      <c r="A1016" s="6" t="n">
        <v>45800</v>
      </c>
      <c r="B1016" s="7" t="n">
        <v>0.838671939508198</v>
      </c>
      <c r="C1016" s="7" t="n">
        <v>0.840712930460467</v>
      </c>
      <c r="D1016" s="7" t="n">
        <v>0.832360085154125</v>
      </c>
      <c r="E1016" s="7" t="n">
        <v>0.839782821031106</v>
      </c>
      <c r="F1016" s="8" t="n">
        <f aca="true">IF(ROW()-2&gt;=Inputs!$B$4,AVERAGE(OFFSET(E1016,1-Inputs!$B$4,0,Inputs!$B$4,1)),"")</f>
        <v>0.848145319699942</v>
      </c>
      <c r="G1016" s="8" t="n">
        <f aca="true">IF(ROW()-2&gt;=Inputs!$B$5,AVERAGE(OFFSET(E1016,1-Inputs!$B$5,0,Inputs!$B$5,1)),"")</f>
        <v>0.850825313066216</v>
      </c>
      <c r="H1016" s="8" t="n">
        <f aca="false">MAX(C1016-D1016,ABS(C1016-E1015),ABS(D1016-E1015))</f>
        <v>0.00835284530634139</v>
      </c>
      <c r="I1016" s="8" t="n">
        <f aca="true">IF(ROW()-2&lt;14,"",IF(ROW()-2=14,AVERAGE(OFFSET(H1016,-13,0,14,1)),(I1015*13+H1016)/14))</f>
        <v>0.00853942182371428</v>
      </c>
      <c r="J1016" s="9" t="b">
        <f aca="false">IF(AND(ISNUMBER(F1016),ISNUMBER(G1016),ISNUMBER(F1015),ISNUMBER(G1015)),AND(F1016&gt;G1016,F1015&lt;=G1015),FALSE())</f>
        <v>0</v>
      </c>
      <c r="K1016" s="9" t="b">
        <f aca="false">IF(AND(ISNUMBER(F1016),ISNUMBER(G1016),ISNUMBER(F1015),ISNUMBER(G1015)),AND(F1016&lt;G1016,F1015&gt;=G1015),FALSE())</f>
        <v>0</v>
      </c>
      <c r="L1016" s="8" t="n">
        <f aca="false">IF(ISNUMBER(I1016),E1016-Inputs!$B$6*I1016,"")</f>
        <v>0.822703977383678</v>
      </c>
      <c r="M1016" s="9" t="b">
        <f aca="false">AND(Y1015&gt;0,Z1015)</f>
        <v>0</v>
      </c>
      <c r="N1016" s="8" t="n">
        <f aca="false">B1016*(1-Inputs!$B$12)</f>
        <v>0.838504205120297</v>
      </c>
      <c r="O1016" s="10" t="n">
        <f aca="false">IF(M1016,Y1015*(N1016-AB1015)-Inputs!$B$9-Y1015*AD1015*Inputs!$B$13*(A1016-AC1015),0)</f>
        <v>0</v>
      </c>
      <c r="P1016" s="10" t="n">
        <f aca="false">X1015+O1016</f>
        <v>970.40233796708</v>
      </c>
      <c r="Q1016" s="9" t="b">
        <f aca="false">AND(IF(M1016,0,Y1015)=0,AA1015,IF(ISNUMBER(AE1015),B1016&gt;AE1015,FALSE()))</f>
        <v>0</v>
      </c>
      <c r="R1016" s="8" t="n">
        <f aca="false">B1016*(1+Inputs!$B$12)</f>
        <v>0.8388396738961</v>
      </c>
      <c r="S1016" s="11" t="n">
        <f aca="false">IF(Q1016,MIN(P1016*Inputs!$B$3/(R1016-AE1015),P1016*Inputs!$B$11/R1016),0)</f>
        <v>0</v>
      </c>
      <c r="T1016" s="11" t="n">
        <f aca="false">IF(Q1016,S1016,IF(M1016,0,Y1015))</f>
        <v>0</v>
      </c>
      <c r="U1016" s="8" t="n">
        <f aca="false">IF(Q1016,AE1015,AF1015)</f>
        <v>0.843828396541038</v>
      </c>
      <c r="V1016" s="9" t="b">
        <f aca="false">AND(T1016&gt;0,D1016&lt;=U1016)</f>
        <v>0</v>
      </c>
      <c r="W1016" s="10" t="n">
        <f aca="false">IF(V1016,T1016*(AK1016-AB1016)-Inputs!$B$9-T1016*AD1016*Inputs!$B$13*(A1016-AC1016),0)</f>
        <v>0</v>
      </c>
      <c r="X1016" s="10" t="n">
        <f aca="false">P1016-IF(Q1016,Inputs!$B$9,0)+W1016</f>
        <v>970.40233796708</v>
      </c>
      <c r="Y1016" s="11" t="n">
        <f aca="false">IF(V1016,0,T1016)</f>
        <v>0</v>
      </c>
      <c r="Z1016" s="9" t="b">
        <f aca="false">AND(Y1016&gt;0,K1016)</f>
        <v>0</v>
      </c>
      <c r="AA1016" s="9" t="b">
        <f aca="false">AND(Y1016=0,J1016,ISNUMBER(L1016))</f>
        <v>0</v>
      </c>
      <c r="AB1016" s="8" t="n">
        <f aca="false">IF(Q1016,R1016,AB1015)</f>
        <v>0.863503444084112</v>
      </c>
      <c r="AC1016" s="12" t="n">
        <f aca="false">IF(Q1016,A1016,AC1015)</f>
        <v>45706</v>
      </c>
      <c r="AD1016" s="8" t="n">
        <f aca="false">IF(Q1016,B1016,AD1015)</f>
        <v>0.863330777928526</v>
      </c>
      <c r="AE1016" s="8" t="str">
        <f aca="false">IF(AA1016,L1016,"")</f>
        <v/>
      </c>
      <c r="AF1016" s="8" t="n">
        <f aca="false">U1016</f>
        <v>0.843828396541038</v>
      </c>
      <c r="AG1016" s="2" t="n">
        <f aca="false">AG1015+IF(Q1016,1,0)</f>
        <v>9</v>
      </c>
      <c r="AH1016" s="2" t="n">
        <f aca="false">AG1015</f>
        <v>9</v>
      </c>
      <c r="AI1016" s="10" t="n">
        <f aca="false">X1016+Y1016*(E1016-AB1016)-Y1016*AD1016*Inputs!$B$13*(A1016-AC1016)</f>
        <v>970.40233796708</v>
      </c>
      <c r="AJ1016" s="10" t="n">
        <v>0</v>
      </c>
      <c r="AK1016" s="8" t="n">
        <f aca="false">IF(AND(B1016&lt;=U1016,NOT(Q1016)),B1016,U1016)*(1-Inputs!$B$12)</f>
        <v>0.838504205120297</v>
      </c>
    </row>
    <row r="1017" customFormat="false" ht="15" hidden="false" customHeight="false" outlineLevel="0" collapsed="false">
      <c r="A1017" s="6" t="n">
        <v>45801</v>
      </c>
      <c r="B1017" s="7" t="n">
        <v>0.839782821031106</v>
      </c>
      <c r="C1017" s="7" t="n">
        <v>0.846100084681372</v>
      </c>
      <c r="D1017" s="7" t="n">
        <v>0.839634086597174</v>
      </c>
      <c r="E1017" s="7" t="n">
        <v>0.844166145858786</v>
      </c>
      <c r="F1017" s="8" t="n">
        <f aca="true">IF(ROW()-2&gt;=Inputs!$B$4,AVERAGE(OFFSET(E1017,1-Inputs!$B$4,0,Inputs!$B$4,1)),"")</f>
        <v>0.848337496613132</v>
      </c>
      <c r="G1017" s="8" t="n">
        <f aca="true">IF(ROW()-2&gt;=Inputs!$B$5,AVERAGE(OFFSET(E1017,1-Inputs!$B$5,0,Inputs!$B$5,1)),"")</f>
        <v>0.850599732509684</v>
      </c>
      <c r="H1017" s="8" t="n">
        <f aca="false">MAX(C1017-D1017,ABS(C1017-E1016),ABS(D1017-E1016))</f>
        <v>0.00646599808419723</v>
      </c>
      <c r="I1017" s="8" t="n">
        <f aca="true">IF(ROW()-2&lt;14,"",IF(ROW()-2=14,AVERAGE(OFFSET(H1017,-13,0,14,1)),(I1016*13+H1017)/14))</f>
        <v>0.00839132012803449</v>
      </c>
      <c r="J1017" s="9" t="b">
        <f aca="false">IF(AND(ISNUMBER(F1017),ISNUMBER(G1017),ISNUMBER(F1016),ISNUMBER(G1016)),AND(F1017&gt;G1017,F1016&lt;=G1016),FALSE())</f>
        <v>0</v>
      </c>
      <c r="K1017" s="9" t="b">
        <f aca="false">IF(AND(ISNUMBER(F1017),ISNUMBER(G1017),ISNUMBER(F1016),ISNUMBER(G1016)),AND(F1017&lt;G1017,F1016&gt;=G1016),FALSE())</f>
        <v>0</v>
      </c>
      <c r="L1017" s="8" t="n">
        <f aca="false">IF(ISNUMBER(I1017),E1017-Inputs!$B$6*I1017,"")</f>
        <v>0.827383505602717</v>
      </c>
      <c r="M1017" s="9" t="b">
        <f aca="false">AND(Y1016&gt;0,Z1016)</f>
        <v>0</v>
      </c>
      <c r="N1017" s="8" t="n">
        <f aca="false">B1017*(1-Inputs!$B$12)</f>
        <v>0.8396148644669</v>
      </c>
      <c r="O1017" s="10" t="n">
        <f aca="false">IF(M1017,Y1016*(N1017-AB1016)-Inputs!$B$9-Y1016*AD1016*Inputs!$B$13*(A1017-AC1016),0)</f>
        <v>0</v>
      </c>
      <c r="P1017" s="10" t="n">
        <f aca="false">X1016+O1017</f>
        <v>970.40233796708</v>
      </c>
      <c r="Q1017" s="9" t="b">
        <f aca="false">AND(IF(M1017,0,Y1016)=0,AA1016,IF(ISNUMBER(AE1016),B1017&gt;AE1016,FALSE()))</f>
        <v>0</v>
      </c>
      <c r="R1017" s="8" t="n">
        <f aca="false">B1017*(1+Inputs!$B$12)</f>
        <v>0.839950777595313</v>
      </c>
      <c r="S1017" s="11" t="n">
        <f aca="false">IF(Q1017,MIN(P1017*Inputs!$B$3/(R1017-AE1016),P1017*Inputs!$B$11/R1017),0)</f>
        <v>0</v>
      </c>
      <c r="T1017" s="11" t="n">
        <f aca="false">IF(Q1017,S1017,IF(M1017,0,Y1016))</f>
        <v>0</v>
      </c>
      <c r="U1017" s="8" t="n">
        <f aca="false">IF(Q1017,AE1016,AF1016)</f>
        <v>0.843828396541038</v>
      </c>
      <c r="V1017" s="9" t="b">
        <f aca="false">AND(T1017&gt;0,D1017&lt;=U1017)</f>
        <v>0</v>
      </c>
      <c r="W1017" s="10" t="n">
        <f aca="false">IF(V1017,T1017*(AK1017-AB1017)-Inputs!$B$9-T1017*AD1017*Inputs!$B$13*(A1017-AC1017),0)</f>
        <v>0</v>
      </c>
      <c r="X1017" s="10" t="n">
        <f aca="false">P1017-IF(Q1017,Inputs!$B$9,0)+W1017</f>
        <v>970.40233796708</v>
      </c>
      <c r="Y1017" s="11" t="n">
        <f aca="false">IF(V1017,0,T1017)</f>
        <v>0</v>
      </c>
      <c r="Z1017" s="9" t="b">
        <f aca="false">AND(Y1017&gt;0,K1017)</f>
        <v>0</v>
      </c>
      <c r="AA1017" s="9" t="b">
        <f aca="false">AND(Y1017=0,J1017,ISNUMBER(L1017))</f>
        <v>0</v>
      </c>
      <c r="AB1017" s="8" t="n">
        <f aca="false">IF(Q1017,R1017,AB1016)</f>
        <v>0.863503444084112</v>
      </c>
      <c r="AC1017" s="12" t="n">
        <f aca="false">IF(Q1017,A1017,AC1016)</f>
        <v>45706</v>
      </c>
      <c r="AD1017" s="8" t="n">
        <f aca="false">IF(Q1017,B1017,AD1016)</f>
        <v>0.863330777928526</v>
      </c>
      <c r="AE1017" s="8" t="str">
        <f aca="false">IF(AA1017,L1017,"")</f>
        <v/>
      </c>
      <c r="AF1017" s="8" t="n">
        <f aca="false">U1017</f>
        <v>0.843828396541038</v>
      </c>
      <c r="AG1017" s="2" t="n">
        <f aca="false">AG1016+IF(Q1017,1,0)</f>
        <v>9</v>
      </c>
      <c r="AH1017" s="2" t="n">
        <f aca="false">AG1016</f>
        <v>9</v>
      </c>
      <c r="AI1017" s="10" t="n">
        <f aca="false">X1017+Y1017*(E1017-AB1017)-Y1017*AD1017*Inputs!$B$13*(A1017-AC1017)</f>
        <v>970.40233796708</v>
      </c>
      <c r="AJ1017" s="10" t="n">
        <v>0</v>
      </c>
      <c r="AK1017" s="8" t="n">
        <f aca="false">IF(AND(B1017&lt;=U1017,NOT(Q1017)),B1017,U1017)*(1-Inputs!$B$12)</f>
        <v>0.8396148644669</v>
      </c>
    </row>
    <row r="1018" customFormat="false" ht="15" hidden="false" customHeight="false" outlineLevel="0" collapsed="false">
      <c r="A1018" s="6" t="n">
        <v>45802</v>
      </c>
      <c r="B1018" s="7" t="n">
        <v>0.844166145858786</v>
      </c>
      <c r="C1018" s="7" t="n">
        <v>0.847262932159361</v>
      </c>
      <c r="D1018" s="7" t="n">
        <v>0.839873548830805</v>
      </c>
      <c r="E1018" s="7" t="n">
        <v>0.844056795808247</v>
      </c>
      <c r="F1018" s="8" t="n">
        <f aca="true">IF(ROW()-2&gt;=Inputs!$B$4,AVERAGE(OFFSET(E1018,1-Inputs!$B$4,0,Inputs!$B$4,1)),"")</f>
        <v>0.848103024334786</v>
      </c>
      <c r="G1018" s="8" t="n">
        <f aca="true">IF(ROW()-2&gt;=Inputs!$B$5,AVERAGE(OFFSET(E1018,1-Inputs!$B$5,0,Inputs!$B$5,1)),"")</f>
        <v>0.850447546434161</v>
      </c>
      <c r="H1018" s="8" t="n">
        <f aca="false">MAX(C1018-D1018,ABS(C1018-E1017),ABS(D1018-E1017))</f>
        <v>0.0073893833285561</v>
      </c>
      <c r="I1018" s="8" t="n">
        <f aca="true">IF(ROW()-2&lt;14,"",IF(ROW()-2=14,AVERAGE(OFFSET(H1018,-13,0,14,1)),(I1017*13+H1018)/14))</f>
        <v>0.00831975321378603</v>
      </c>
      <c r="J1018" s="9" t="b">
        <f aca="false">IF(AND(ISNUMBER(F1018),ISNUMBER(G1018),ISNUMBER(F1017),ISNUMBER(G1017)),AND(F1018&gt;G1018,F1017&lt;=G1017),FALSE())</f>
        <v>0</v>
      </c>
      <c r="K1018" s="9" t="b">
        <f aca="false">IF(AND(ISNUMBER(F1018),ISNUMBER(G1018),ISNUMBER(F1017),ISNUMBER(G1017)),AND(F1018&lt;G1018,F1017&gt;=G1017),FALSE())</f>
        <v>0</v>
      </c>
      <c r="L1018" s="8" t="n">
        <f aca="false">IF(ISNUMBER(I1018),E1018-Inputs!$B$6*I1018,"")</f>
        <v>0.827417289380675</v>
      </c>
      <c r="M1018" s="9" t="b">
        <f aca="false">AND(Y1017&gt;0,Z1017)</f>
        <v>0</v>
      </c>
      <c r="N1018" s="8" t="n">
        <f aca="false">B1018*(1-Inputs!$B$12)</f>
        <v>0.843997312629614</v>
      </c>
      <c r="O1018" s="10" t="n">
        <f aca="false">IF(M1018,Y1017*(N1018-AB1017)-Inputs!$B$9-Y1017*AD1017*Inputs!$B$13*(A1018-AC1017),0)</f>
        <v>0</v>
      </c>
      <c r="P1018" s="10" t="n">
        <f aca="false">X1017+O1018</f>
        <v>970.40233796708</v>
      </c>
      <c r="Q1018" s="9" t="b">
        <f aca="false">AND(IF(M1018,0,Y1017)=0,AA1017,IF(ISNUMBER(AE1017),B1018&gt;AE1017,FALSE()))</f>
        <v>0</v>
      </c>
      <c r="R1018" s="8" t="n">
        <f aca="false">B1018*(1+Inputs!$B$12)</f>
        <v>0.844334979087957</v>
      </c>
      <c r="S1018" s="11" t="n">
        <f aca="false">IF(Q1018,MIN(P1018*Inputs!$B$3/(R1018-AE1017),P1018*Inputs!$B$11/R1018),0)</f>
        <v>0</v>
      </c>
      <c r="T1018" s="11" t="n">
        <f aca="false">IF(Q1018,S1018,IF(M1018,0,Y1017))</f>
        <v>0</v>
      </c>
      <c r="U1018" s="8" t="n">
        <f aca="false">IF(Q1018,AE1017,AF1017)</f>
        <v>0.843828396541038</v>
      </c>
      <c r="V1018" s="9" t="b">
        <f aca="false">AND(T1018&gt;0,D1018&lt;=U1018)</f>
        <v>0</v>
      </c>
      <c r="W1018" s="10" t="n">
        <f aca="false">IF(V1018,T1018*(AK1018-AB1018)-Inputs!$B$9-T1018*AD1018*Inputs!$B$13*(A1018-AC1018),0)</f>
        <v>0</v>
      </c>
      <c r="X1018" s="10" t="n">
        <f aca="false">P1018-IF(Q1018,Inputs!$B$9,0)+W1018</f>
        <v>970.40233796708</v>
      </c>
      <c r="Y1018" s="11" t="n">
        <f aca="false">IF(V1018,0,T1018)</f>
        <v>0</v>
      </c>
      <c r="Z1018" s="9" t="b">
        <f aca="false">AND(Y1018&gt;0,K1018)</f>
        <v>0</v>
      </c>
      <c r="AA1018" s="9" t="b">
        <f aca="false">AND(Y1018=0,J1018,ISNUMBER(L1018))</f>
        <v>0</v>
      </c>
      <c r="AB1018" s="8" t="n">
        <f aca="false">IF(Q1018,R1018,AB1017)</f>
        <v>0.863503444084112</v>
      </c>
      <c r="AC1018" s="12" t="n">
        <f aca="false">IF(Q1018,A1018,AC1017)</f>
        <v>45706</v>
      </c>
      <c r="AD1018" s="8" t="n">
        <f aca="false">IF(Q1018,B1018,AD1017)</f>
        <v>0.863330777928526</v>
      </c>
      <c r="AE1018" s="8" t="str">
        <f aca="false">IF(AA1018,L1018,"")</f>
        <v/>
      </c>
      <c r="AF1018" s="8" t="n">
        <f aca="false">U1018</f>
        <v>0.843828396541038</v>
      </c>
      <c r="AG1018" s="2" t="n">
        <f aca="false">AG1017+IF(Q1018,1,0)</f>
        <v>9</v>
      </c>
      <c r="AH1018" s="2" t="n">
        <f aca="false">AG1017</f>
        <v>9</v>
      </c>
      <c r="AI1018" s="10" t="n">
        <f aca="false">X1018+Y1018*(E1018-AB1018)-Y1018*AD1018*Inputs!$B$13*(A1018-AC1018)</f>
        <v>970.40233796708</v>
      </c>
      <c r="AJ1018" s="10" t="n">
        <v>0</v>
      </c>
      <c r="AK1018" s="8" t="n">
        <f aca="false">IF(AND(B1018&lt;=U1018,NOT(Q1018)),B1018,U1018)*(1-Inputs!$B$12)</f>
        <v>0.843659630861729</v>
      </c>
    </row>
    <row r="1019" customFormat="false" ht="15" hidden="false" customHeight="false" outlineLevel="0" collapsed="false">
      <c r="A1019" s="6" t="n">
        <v>45803</v>
      </c>
      <c r="B1019" s="7" t="n">
        <v>0.844056795808247</v>
      </c>
      <c r="C1019" s="7" t="n">
        <v>0.848403156957425</v>
      </c>
      <c r="D1019" s="7" t="n">
        <v>0.84244856479814</v>
      </c>
      <c r="E1019" s="7" t="n">
        <v>0.847605618711367</v>
      </c>
      <c r="F1019" s="8" t="n">
        <f aca="true">IF(ROW()-2&gt;=Inputs!$B$4,AVERAGE(OFFSET(E1019,1-Inputs!$B$4,0,Inputs!$B$4,1)),"")</f>
        <v>0.848118683393059</v>
      </c>
      <c r="G1019" s="8" t="n">
        <f aca="true">IF(ROW()-2&gt;=Inputs!$B$5,AVERAGE(OFFSET(E1019,1-Inputs!$B$5,0,Inputs!$B$5,1)),"")</f>
        <v>0.850280774703546</v>
      </c>
      <c r="H1019" s="8" t="n">
        <f aca="false">MAX(C1019-D1019,ABS(C1019-E1018),ABS(D1019-E1018))</f>
        <v>0.00595459215928518</v>
      </c>
      <c r="I1019" s="8" t="n">
        <f aca="true">IF(ROW()-2&lt;14,"",IF(ROW()-2=14,AVERAGE(OFFSET(H1019,-13,0,14,1)),(I1018*13+H1019)/14))</f>
        <v>0.00815081313846454</v>
      </c>
      <c r="J1019" s="9" t="b">
        <f aca="false">IF(AND(ISNUMBER(F1019),ISNUMBER(G1019),ISNUMBER(F1018),ISNUMBER(G1018)),AND(F1019&gt;G1019,F1018&lt;=G1018),FALSE())</f>
        <v>0</v>
      </c>
      <c r="K1019" s="9" t="b">
        <f aca="false">IF(AND(ISNUMBER(F1019),ISNUMBER(G1019),ISNUMBER(F1018),ISNUMBER(G1018)),AND(F1019&lt;G1019,F1018&gt;=G1018),FALSE())</f>
        <v>0</v>
      </c>
      <c r="L1019" s="8" t="n">
        <f aca="false">IF(ISNUMBER(I1019),E1019-Inputs!$B$6*I1019,"")</f>
        <v>0.831303992434438</v>
      </c>
      <c r="M1019" s="9" t="b">
        <f aca="false">AND(Y1018&gt;0,Z1018)</f>
        <v>0</v>
      </c>
      <c r="N1019" s="8" t="n">
        <f aca="false">B1019*(1-Inputs!$B$12)</f>
        <v>0.843887984449085</v>
      </c>
      <c r="O1019" s="10" t="n">
        <f aca="false">IF(M1019,Y1018*(N1019-AB1018)-Inputs!$B$9-Y1018*AD1018*Inputs!$B$13*(A1019-AC1018),0)</f>
        <v>0</v>
      </c>
      <c r="P1019" s="10" t="n">
        <f aca="false">X1018+O1019</f>
        <v>970.40233796708</v>
      </c>
      <c r="Q1019" s="9" t="b">
        <f aca="false">AND(IF(M1019,0,Y1018)=0,AA1018,IF(ISNUMBER(AE1018),B1019&gt;AE1018,FALSE()))</f>
        <v>0</v>
      </c>
      <c r="R1019" s="8" t="n">
        <f aca="false">B1019*(1+Inputs!$B$12)</f>
        <v>0.844225607167408</v>
      </c>
      <c r="S1019" s="11" t="n">
        <f aca="false">IF(Q1019,MIN(P1019*Inputs!$B$3/(R1019-AE1018),P1019*Inputs!$B$11/R1019),0)</f>
        <v>0</v>
      </c>
      <c r="T1019" s="11" t="n">
        <f aca="false">IF(Q1019,S1019,IF(M1019,0,Y1018))</f>
        <v>0</v>
      </c>
      <c r="U1019" s="8" t="n">
        <f aca="false">IF(Q1019,AE1018,AF1018)</f>
        <v>0.843828396541038</v>
      </c>
      <c r="V1019" s="9" t="b">
        <f aca="false">AND(T1019&gt;0,D1019&lt;=U1019)</f>
        <v>0</v>
      </c>
      <c r="W1019" s="10" t="n">
        <f aca="false">IF(V1019,T1019*(AK1019-AB1019)-Inputs!$B$9-T1019*AD1019*Inputs!$B$13*(A1019-AC1019),0)</f>
        <v>0</v>
      </c>
      <c r="X1019" s="10" t="n">
        <f aca="false">P1019-IF(Q1019,Inputs!$B$9,0)+W1019</f>
        <v>970.40233796708</v>
      </c>
      <c r="Y1019" s="11" t="n">
        <f aca="false">IF(V1019,0,T1019)</f>
        <v>0</v>
      </c>
      <c r="Z1019" s="9" t="b">
        <f aca="false">AND(Y1019&gt;0,K1019)</f>
        <v>0</v>
      </c>
      <c r="AA1019" s="9" t="b">
        <f aca="false">AND(Y1019=0,J1019,ISNUMBER(L1019))</f>
        <v>0</v>
      </c>
      <c r="AB1019" s="8" t="n">
        <f aca="false">IF(Q1019,R1019,AB1018)</f>
        <v>0.863503444084112</v>
      </c>
      <c r="AC1019" s="12" t="n">
        <f aca="false">IF(Q1019,A1019,AC1018)</f>
        <v>45706</v>
      </c>
      <c r="AD1019" s="8" t="n">
        <f aca="false">IF(Q1019,B1019,AD1018)</f>
        <v>0.863330777928526</v>
      </c>
      <c r="AE1019" s="8" t="str">
        <f aca="false">IF(AA1019,L1019,"")</f>
        <v/>
      </c>
      <c r="AF1019" s="8" t="n">
        <f aca="false">U1019</f>
        <v>0.843828396541038</v>
      </c>
      <c r="AG1019" s="2" t="n">
        <f aca="false">AG1018+IF(Q1019,1,0)</f>
        <v>9</v>
      </c>
      <c r="AH1019" s="2" t="n">
        <f aca="false">AG1018</f>
        <v>9</v>
      </c>
      <c r="AI1019" s="10" t="n">
        <f aca="false">X1019+Y1019*(E1019-AB1019)-Y1019*AD1019*Inputs!$B$13*(A1019-AC1019)</f>
        <v>970.40233796708</v>
      </c>
      <c r="AJ1019" s="10" t="n">
        <v>0</v>
      </c>
      <c r="AK1019" s="8" t="n">
        <f aca="false">IF(AND(B1019&lt;=U1019,NOT(Q1019)),B1019,U1019)*(1-Inputs!$B$12)</f>
        <v>0.843659630861729</v>
      </c>
    </row>
    <row r="1020" customFormat="false" ht="15" hidden="false" customHeight="false" outlineLevel="0" collapsed="false">
      <c r="A1020" s="6" t="n">
        <v>45804</v>
      </c>
      <c r="B1020" s="7" t="n">
        <v>0.847605618711367</v>
      </c>
      <c r="C1020" s="7" t="n">
        <v>0.853652549403088</v>
      </c>
      <c r="D1020" s="7" t="n">
        <v>0.845119946057634</v>
      </c>
      <c r="E1020" s="7" t="n">
        <v>0.850511327932749</v>
      </c>
      <c r="F1020" s="8" t="n">
        <f aca="true">IF(ROW()-2&gt;=Inputs!$B$4,AVERAGE(OFFSET(E1020,1-Inputs!$B$4,0,Inputs!$B$4,1)),"")</f>
        <v>0.848104181547544</v>
      </c>
      <c r="G1020" s="8" t="n">
        <f aca="true">IF(ROW()-2&gt;=Inputs!$B$5,AVERAGE(OFFSET(E1020,1-Inputs!$B$5,0,Inputs!$B$5,1)),"")</f>
        <v>0.850071770820113</v>
      </c>
      <c r="H1020" s="8" t="n">
        <f aca="false">MAX(C1020-D1020,ABS(C1020-E1019),ABS(D1020-E1019))</f>
        <v>0.00853260334545436</v>
      </c>
      <c r="I1020" s="8" t="n">
        <f aca="true">IF(ROW()-2&lt;14,"",IF(ROW()-2=14,AVERAGE(OFFSET(H1020,-13,0,14,1)),(I1019*13+H1020)/14))</f>
        <v>0.00817808386753524</v>
      </c>
      <c r="J1020" s="9" t="b">
        <f aca="false">IF(AND(ISNUMBER(F1020),ISNUMBER(G1020),ISNUMBER(F1019),ISNUMBER(G1019)),AND(F1020&gt;G1020,F1019&lt;=G1019),FALSE())</f>
        <v>0</v>
      </c>
      <c r="K1020" s="9" t="b">
        <f aca="false">IF(AND(ISNUMBER(F1020),ISNUMBER(G1020),ISNUMBER(F1019),ISNUMBER(G1019)),AND(F1020&lt;G1020,F1019&gt;=G1019),FALSE())</f>
        <v>0</v>
      </c>
      <c r="L1020" s="8" t="n">
        <f aca="false">IF(ISNUMBER(I1020),E1020-Inputs!$B$6*I1020,"")</f>
        <v>0.834155160197678</v>
      </c>
      <c r="M1020" s="9" t="b">
        <f aca="false">AND(Y1019&gt;0,Z1019)</f>
        <v>0</v>
      </c>
      <c r="N1020" s="8" t="n">
        <f aca="false">B1020*(1-Inputs!$B$12)</f>
        <v>0.847436097587625</v>
      </c>
      <c r="O1020" s="10" t="n">
        <f aca="false">IF(M1020,Y1019*(N1020-AB1019)-Inputs!$B$9-Y1019*AD1019*Inputs!$B$13*(A1020-AC1019),0)</f>
        <v>0</v>
      </c>
      <c r="P1020" s="10" t="n">
        <f aca="false">X1019+O1020</f>
        <v>970.40233796708</v>
      </c>
      <c r="Q1020" s="9" t="b">
        <f aca="false">AND(IF(M1020,0,Y1019)=0,AA1019,IF(ISNUMBER(AE1019),B1020&gt;AE1019,FALSE()))</f>
        <v>0</v>
      </c>
      <c r="R1020" s="8" t="n">
        <f aca="false">B1020*(1+Inputs!$B$12)</f>
        <v>0.847775139835109</v>
      </c>
      <c r="S1020" s="11" t="n">
        <f aca="false">IF(Q1020,MIN(P1020*Inputs!$B$3/(R1020-AE1019),P1020*Inputs!$B$11/R1020),0)</f>
        <v>0</v>
      </c>
      <c r="T1020" s="11" t="n">
        <f aca="false">IF(Q1020,S1020,IF(M1020,0,Y1019))</f>
        <v>0</v>
      </c>
      <c r="U1020" s="8" t="n">
        <f aca="false">IF(Q1020,AE1019,AF1019)</f>
        <v>0.843828396541038</v>
      </c>
      <c r="V1020" s="9" t="b">
        <f aca="false">AND(T1020&gt;0,D1020&lt;=U1020)</f>
        <v>0</v>
      </c>
      <c r="W1020" s="10" t="n">
        <f aca="false">IF(V1020,T1020*(AK1020-AB1020)-Inputs!$B$9-T1020*AD1020*Inputs!$B$13*(A1020-AC1020),0)</f>
        <v>0</v>
      </c>
      <c r="X1020" s="10" t="n">
        <f aca="false">P1020-IF(Q1020,Inputs!$B$9,0)+W1020</f>
        <v>970.40233796708</v>
      </c>
      <c r="Y1020" s="11" t="n">
        <f aca="false">IF(V1020,0,T1020)</f>
        <v>0</v>
      </c>
      <c r="Z1020" s="9" t="b">
        <f aca="false">AND(Y1020&gt;0,K1020)</f>
        <v>0</v>
      </c>
      <c r="AA1020" s="9" t="b">
        <f aca="false">AND(Y1020=0,J1020,ISNUMBER(L1020))</f>
        <v>0</v>
      </c>
      <c r="AB1020" s="8" t="n">
        <f aca="false">IF(Q1020,R1020,AB1019)</f>
        <v>0.863503444084112</v>
      </c>
      <c r="AC1020" s="12" t="n">
        <f aca="false">IF(Q1020,A1020,AC1019)</f>
        <v>45706</v>
      </c>
      <c r="AD1020" s="8" t="n">
        <f aca="false">IF(Q1020,B1020,AD1019)</f>
        <v>0.863330777928526</v>
      </c>
      <c r="AE1020" s="8" t="str">
        <f aca="false">IF(AA1020,L1020,"")</f>
        <v/>
      </c>
      <c r="AF1020" s="8" t="n">
        <f aca="false">U1020</f>
        <v>0.843828396541038</v>
      </c>
      <c r="AG1020" s="2" t="n">
        <f aca="false">AG1019+IF(Q1020,1,0)</f>
        <v>9</v>
      </c>
      <c r="AH1020" s="2" t="n">
        <f aca="false">AG1019</f>
        <v>9</v>
      </c>
      <c r="AI1020" s="10" t="n">
        <f aca="false">X1020+Y1020*(E1020-AB1020)-Y1020*AD1020*Inputs!$B$13*(A1020-AC1020)</f>
        <v>970.40233796708</v>
      </c>
      <c r="AJ1020" s="10" t="n">
        <v>0</v>
      </c>
      <c r="AK1020" s="8" t="n">
        <f aca="false">IF(AND(B1020&lt;=U1020,NOT(Q1020)),B1020,U1020)*(1-Inputs!$B$12)</f>
        <v>0.843659630861729</v>
      </c>
    </row>
    <row r="1021" customFormat="false" ht="15" hidden="false" customHeight="false" outlineLevel="0" collapsed="false">
      <c r="A1021" s="6" t="n">
        <v>45805</v>
      </c>
      <c r="B1021" s="7" t="n">
        <v>0.850511327932749</v>
      </c>
      <c r="C1021" s="7" t="n">
        <v>0.857293899981501</v>
      </c>
      <c r="D1021" s="7" t="n">
        <v>0.846486626532472</v>
      </c>
      <c r="E1021" s="7" t="n">
        <v>0.848347183369858</v>
      </c>
      <c r="F1021" s="8" t="n">
        <f aca="true">IF(ROW()-2&gt;=Inputs!$B$4,AVERAGE(OFFSET(E1021,1-Inputs!$B$4,0,Inputs!$B$4,1)),"")</f>
        <v>0.847569255775065</v>
      </c>
      <c r="G1021" s="8" t="n">
        <f aca="true">IF(ROW()-2&gt;=Inputs!$B$5,AVERAGE(OFFSET(E1021,1-Inputs!$B$5,0,Inputs!$B$5,1)),"")</f>
        <v>0.849791125136104</v>
      </c>
      <c r="H1021" s="8" t="n">
        <f aca="false">MAX(C1021-D1021,ABS(C1021-E1020),ABS(D1021-E1020))</f>
        <v>0.0108072734490285</v>
      </c>
      <c r="I1021" s="8" t="n">
        <f aca="true">IF(ROW()-2&lt;14,"",IF(ROW()-2=14,AVERAGE(OFFSET(H1021,-13,0,14,1)),(I1020*13+H1021)/14))</f>
        <v>0.00836588312335619</v>
      </c>
      <c r="J1021" s="9" t="b">
        <f aca="false">IF(AND(ISNUMBER(F1021),ISNUMBER(G1021),ISNUMBER(F1020),ISNUMBER(G1020)),AND(F1021&gt;G1021,F1020&lt;=G1020),FALSE())</f>
        <v>0</v>
      </c>
      <c r="K1021" s="9" t="b">
        <f aca="false">IF(AND(ISNUMBER(F1021),ISNUMBER(G1021),ISNUMBER(F1020),ISNUMBER(G1020)),AND(F1021&lt;G1021,F1020&gt;=G1020),FALSE())</f>
        <v>0</v>
      </c>
      <c r="L1021" s="8" t="n">
        <f aca="false">IF(ISNUMBER(I1021),E1021-Inputs!$B$6*I1021,"")</f>
        <v>0.831615417123146</v>
      </c>
      <c r="M1021" s="9" t="b">
        <f aca="false">AND(Y1020&gt;0,Z1020)</f>
        <v>0</v>
      </c>
      <c r="N1021" s="8" t="n">
        <f aca="false">B1021*(1-Inputs!$B$12)</f>
        <v>0.850341225667162</v>
      </c>
      <c r="O1021" s="10" t="n">
        <f aca="false">IF(M1021,Y1020*(N1021-AB1020)-Inputs!$B$9-Y1020*AD1020*Inputs!$B$13*(A1021-AC1020),0)</f>
        <v>0</v>
      </c>
      <c r="P1021" s="10" t="n">
        <f aca="false">X1020+O1021</f>
        <v>970.40233796708</v>
      </c>
      <c r="Q1021" s="9" t="b">
        <f aca="false">AND(IF(M1021,0,Y1020)=0,AA1020,IF(ISNUMBER(AE1020),B1021&gt;AE1020,FALSE()))</f>
        <v>0</v>
      </c>
      <c r="R1021" s="8" t="n">
        <f aca="false">B1021*(1+Inputs!$B$12)</f>
        <v>0.850681430198335</v>
      </c>
      <c r="S1021" s="11" t="n">
        <f aca="false">IF(Q1021,MIN(P1021*Inputs!$B$3/(R1021-AE1020),P1021*Inputs!$B$11/R1021),0)</f>
        <v>0</v>
      </c>
      <c r="T1021" s="11" t="n">
        <f aca="false">IF(Q1021,S1021,IF(M1021,0,Y1020))</f>
        <v>0</v>
      </c>
      <c r="U1021" s="8" t="n">
        <f aca="false">IF(Q1021,AE1020,AF1020)</f>
        <v>0.843828396541038</v>
      </c>
      <c r="V1021" s="9" t="b">
        <f aca="false">AND(T1021&gt;0,D1021&lt;=U1021)</f>
        <v>0</v>
      </c>
      <c r="W1021" s="10" t="n">
        <f aca="false">IF(V1021,T1021*(AK1021-AB1021)-Inputs!$B$9-T1021*AD1021*Inputs!$B$13*(A1021-AC1021),0)</f>
        <v>0</v>
      </c>
      <c r="X1021" s="10" t="n">
        <f aca="false">P1021-IF(Q1021,Inputs!$B$9,0)+W1021</f>
        <v>970.40233796708</v>
      </c>
      <c r="Y1021" s="11" t="n">
        <f aca="false">IF(V1021,0,T1021)</f>
        <v>0</v>
      </c>
      <c r="Z1021" s="9" t="b">
        <f aca="false">AND(Y1021&gt;0,K1021)</f>
        <v>0</v>
      </c>
      <c r="AA1021" s="9" t="b">
        <f aca="false">AND(Y1021=0,J1021,ISNUMBER(L1021))</f>
        <v>0</v>
      </c>
      <c r="AB1021" s="8" t="n">
        <f aca="false">IF(Q1021,R1021,AB1020)</f>
        <v>0.863503444084112</v>
      </c>
      <c r="AC1021" s="12" t="n">
        <f aca="false">IF(Q1021,A1021,AC1020)</f>
        <v>45706</v>
      </c>
      <c r="AD1021" s="8" t="n">
        <f aca="false">IF(Q1021,B1021,AD1020)</f>
        <v>0.863330777928526</v>
      </c>
      <c r="AE1021" s="8" t="str">
        <f aca="false">IF(AA1021,L1021,"")</f>
        <v/>
      </c>
      <c r="AF1021" s="8" t="n">
        <f aca="false">U1021</f>
        <v>0.843828396541038</v>
      </c>
      <c r="AG1021" s="2" t="n">
        <f aca="false">AG1020+IF(Q1021,1,0)</f>
        <v>9</v>
      </c>
      <c r="AH1021" s="2" t="n">
        <f aca="false">AG1020</f>
        <v>9</v>
      </c>
      <c r="AI1021" s="10" t="n">
        <f aca="false">X1021+Y1021*(E1021-AB1021)-Y1021*AD1021*Inputs!$B$13*(A1021-AC1021)</f>
        <v>970.40233796708</v>
      </c>
      <c r="AJ1021" s="10" t="n">
        <v>0</v>
      </c>
      <c r="AK1021" s="8" t="n">
        <f aca="false">IF(AND(B1021&lt;=U1021,NOT(Q1021)),B1021,U1021)*(1-Inputs!$B$12)</f>
        <v>0.843659630861729</v>
      </c>
    </row>
    <row r="1022" customFormat="false" ht="15" hidden="false" customHeight="false" outlineLevel="0" collapsed="false">
      <c r="A1022" s="6" t="n">
        <v>45806</v>
      </c>
      <c r="B1022" s="7" t="n">
        <v>0.848347183369858</v>
      </c>
      <c r="C1022" s="7" t="n">
        <v>0.849107851314816</v>
      </c>
      <c r="D1022" s="7" t="n">
        <v>0.845232363171879</v>
      </c>
      <c r="E1022" s="7" t="n">
        <v>0.847017671122724</v>
      </c>
      <c r="F1022" s="8" t="n">
        <f aca="true">IF(ROW()-2&gt;=Inputs!$B$4,AVERAGE(OFFSET(E1022,1-Inputs!$B$4,0,Inputs!$B$4,1)),"")</f>
        <v>0.846823732087487</v>
      </c>
      <c r="G1022" s="8" t="n">
        <f aca="true">IF(ROW()-2&gt;=Inputs!$B$5,AVERAGE(OFFSET(E1022,1-Inputs!$B$5,0,Inputs!$B$5,1)),"")</f>
        <v>0.849316016352421</v>
      </c>
      <c r="H1022" s="8" t="n">
        <f aca="false">MAX(C1022-D1022,ABS(C1022-E1021),ABS(D1022-E1021))</f>
        <v>0.00387548814293737</v>
      </c>
      <c r="I1022" s="8" t="n">
        <f aca="true">IF(ROW()-2&lt;14,"",IF(ROW()-2=14,AVERAGE(OFFSET(H1022,-13,0,14,1)),(I1021*13+H1022)/14))</f>
        <v>0.00804514062475485</v>
      </c>
      <c r="J1022" s="9" t="b">
        <f aca="false">IF(AND(ISNUMBER(F1022),ISNUMBER(G1022),ISNUMBER(F1021),ISNUMBER(G1021)),AND(F1022&gt;G1022,F1021&lt;=G1021),FALSE())</f>
        <v>0</v>
      </c>
      <c r="K1022" s="9" t="b">
        <f aca="false">IF(AND(ISNUMBER(F1022),ISNUMBER(G1022),ISNUMBER(F1021),ISNUMBER(G1021)),AND(F1022&lt;G1022,F1021&gt;=G1021),FALSE())</f>
        <v>0</v>
      </c>
      <c r="L1022" s="8" t="n">
        <f aca="false">IF(ISNUMBER(I1022),E1022-Inputs!$B$6*I1022,"")</f>
        <v>0.830927389873214</v>
      </c>
      <c r="M1022" s="9" t="b">
        <f aca="false">AND(Y1021&gt;0,Z1021)</f>
        <v>0</v>
      </c>
      <c r="N1022" s="8" t="n">
        <f aca="false">B1022*(1-Inputs!$B$12)</f>
        <v>0.848177513933184</v>
      </c>
      <c r="O1022" s="10" t="n">
        <f aca="false">IF(M1022,Y1021*(N1022-AB1021)-Inputs!$B$9-Y1021*AD1021*Inputs!$B$13*(A1022-AC1021),0)</f>
        <v>0</v>
      </c>
      <c r="P1022" s="10" t="n">
        <f aca="false">X1021+O1022</f>
        <v>970.40233796708</v>
      </c>
      <c r="Q1022" s="9" t="b">
        <f aca="false">AND(IF(M1022,0,Y1021)=0,AA1021,IF(ISNUMBER(AE1021),B1022&gt;AE1021,FALSE()))</f>
        <v>0</v>
      </c>
      <c r="R1022" s="8" t="n">
        <f aca="false">B1022*(1+Inputs!$B$12)</f>
        <v>0.848516852806532</v>
      </c>
      <c r="S1022" s="11" t="n">
        <f aca="false">IF(Q1022,MIN(P1022*Inputs!$B$3/(R1022-AE1021),P1022*Inputs!$B$11/R1022),0)</f>
        <v>0</v>
      </c>
      <c r="T1022" s="11" t="n">
        <f aca="false">IF(Q1022,S1022,IF(M1022,0,Y1021))</f>
        <v>0</v>
      </c>
      <c r="U1022" s="8" t="n">
        <f aca="false">IF(Q1022,AE1021,AF1021)</f>
        <v>0.843828396541038</v>
      </c>
      <c r="V1022" s="9" t="b">
        <f aca="false">AND(T1022&gt;0,D1022&lt;=U1022)</f>
        <v>0</v>
      </c>
      <c r="W1022" s="10" t="n">
        <f aca="false">IF(V1022,T1022*(AK1022-AB1022)-Inputs!$B$9-T1022*AD1022*Inputs!$B$13*(A1022-AC1022),0)</f>
        <v>0</v>
      </c>
      <c r="X1022" s="10" t="n">
        <f aca="false">P1022-IF(Q1022,Inputs!$B$9,0)+W1022</f>
        <v>970.40233796708</v>
      </c>
      <c r="Y1022" s="11" t="n">
        <f aca="false">IF(V1022,0,T1022)</f>
        <v>0</v>
      </c>
      <c r="Z1022" s="9" t="b">
        <f aca="false">AND(Y1022&gt;0,K1022)</f>
        <v>0</v>
      </c>
      <c r="AA1022" s="9" t="b">
        <f aca="false">AND(Y1022=0,J1022,ISNUMBER(L1022))</f>
        <v>0</v>
      </c>
      <c r="AB1022" s="8" t="n">
        <f aca="false">IF(Q1022,R1022,AB1021)</f>
        <v>0.863503444084112</v>
      </c>
      <c r="AC1022" s="12" t="n">
        <f aca="false">IF(Q1022,A1022,AC1021)</f>
        <v>45706</v>
      </c>
      <c r="AD1022" s="8" t="n">
        <f aca="false">IF(Q1022,B1022,AD1021)</f>
        <v>0.863330777928526</v>
      </c>
      <c r="AE1022" s="8" t="str">
        <f aca="false">IF(AA1022,L1022,"")</f>
        <v/>
      </c>
      <c r="AF1022" s="8" t="n">
        <f aca="false">U1022</f>
        <v>0.843828396541038</v>
      </c>
      <c r="AG1022" s="2" t="n">
        <f aca="false">AG1021+IF(Q1022,1,0)</f>
        <v>9</v>
      </c>
      <c r="AH1022" s="2" t="n">
        <f aca="false">AG1021</f>
        <v>9</v>
      </c>
      <c r="AI1022" s="10" t="n">
        <f aca="false">X1022+Y1022*(E1022-AB1022)-Y1022*AD1022*Inputs!$B$13*(A1022-AC1022)</f>
        <v>970.40233796708</v>
      </c>
      <c r="AJ1022" s="10" t="n">
        <v>0</v>
      </c>
      <c r="AK1022" s="8" t="n">
        <f aca="false">IF(AND(B1022&lt;=U1022,NOT(Q1022)),B1022,U1022)*(1-Inputs!$B$12)</f>
        <v>0.843659630861729</v>
      </c>
    </row>
    <row r="1023" customFormat="false" ht="15" hidden="false" customHeight="false" outlineLevel="0" collapsed="false">
      <c r="A1023" s="6" t="n">
        <v>45807</v>
      </c>
      <c r="B1023" s="7" t="n">
        <v>0.847017671122724</v>
      </c>
      <c r="C1023" s="7" t="n">
        <v>0.852705862506962</v>
      </c>
      <c r="D1023" s="7" t="n">
        <v>0.842523206988723</v>
      </c>
      <c r="E1023" s="7" t="n">
        <v>0.848657081739574</v>
      </c>
      <c r="F1023" s="8" t="n">
        <f aca="true">IF(ROW()-2&gt;=Inputs!$B$4,AVERAGE(OFFSET(E1023,1-Inputs!$B$4,0,Inputs!$B$4,1)),"")</f>
        <v>0.8462602981091</v>
      </c>
      <c r="G1023" s="8" t="n">
        <f aca="true">IF(ROW()-2&gt;=Inputs!$B$5,AVERAGE(OFFSET(E1023,1-Inputs!$B$5,0,Inputs!$B$5,1)),"")</f>
        <v>0.848816965592358</v>
      </c>
      <c r="H1023" s="8" t="n">
        <f aca="false">MAX(C1023-D1023,ABS(C1023-E1022),ABS(D1023-E1022))</f>
        <v>0.010182655518239</v>
      </c>
      <c r="I1023" s="8" t="n">
        <f aca="true">IF(ROW()-2&lt;14,"",IF(ROW()-2=14,AVERAGE(OFFSET(H1023,-13,0,14,1)),(I1022*13+H1023)/14))</f>
        <v>0.00819782026000372</v>
      </c>
      <c r="J1023" s="9" t="b">
        <f aca="false">IF(AND(ISNUMBER(F1023),ISNUMBER(G1023),ISNUMBER(F1022),ISNUMBER(G1022)),AND(F1023&gt;G1023,F1022&lt;=G1022),FALSE())</f>
        <v>0</v>
      </c>
      <c r="K1023" s="9" t="b">
        <f aca="false">IF(AND(ISNUMBER(F1023),ISNUMBER(G1023),ISNUMBER(F1022),ISNUMBER(G1022)),AND(F1023&lt;G1023,F1022&gt;=G1022),FALSE())</f>
        <v>0</v>
      </c>
      <c r="L1023" s="8" t="n">
        <f aca="false">IF(ISNUMBER(I1023),E1023-Inputs!$B$6*I1023,"")</f>
        <v>0.832261441219566</v>
      </c>
      <c r="M1023" s="9" t="b">
        <f aca="false">AND(Y1022&gt;0,Z1022)</f>
        <v>0</v>
      </c>
      <c r="N1023" s="8" t="n">
        <f aca="false">B1023*(1-Inputs!$B$12)</f>
        <v>0.846848267588499</v>
      </c>
      <c r="O1023" s="10" t="n">
        <f aca="false">IF(M1023,Y1022*(N1023-AB1022)-Inputs!$B$9-Y1022*AD1022*Inputs!$B$13*(A1023-AC1022),0)</f>
        <v>0</v>
      </c>
      <c r="P1023" s="10" t="n">
        <f aca="false">X1022+O1023</f>
        <v>970.40233796708</v>
      </c>
      <c r="Q1023" s="9" t="b">
        <f aca="false">AND(IF(M1023,0,Y1022)=0,AA1022,IF(ISNUMBER(AE1022),B1023&gt;AE1022,FALSE()))</f>
        <v>0</v>
      </c>
      <c r="R1023" s="8" t="n">
        <f aca="false">B1023*(1+Inputs!$B$12)</f>
        <v>0.847187074656949</v>
      </c>
      <c r="S1023" s="11" t="n">
        <f aca="false">IF(Q1023,MIN(P1023*Inputs!$B$3/(R1023-AE1022),P1023*Inputs!$B$11/R1023),0)</f>
        <v>0</v>
      </c>
      <c r="T1023" s="11" t="n">
        <f aca="false">IF(Q1023,S1023,IF(M1023,0,Y1022))</f>
        <v>0</v>
      </c>
      <c r="U1023" s="8" t="n">
        <f aca="false">IF(Q1023,AE1022,AF1022)</f>
        <v>0.843828396541038</v>
      </c>
      <c r="V1023" s="9" t="b">
        <f aca="false">AND(T1023&gt;0,D1023&lt;=U1023)</f>
        <v>0</v>
      </c>
      <c r="W1023" s="10" t="n">
        <f aca="false">IF(V1023,T1023*(AK1023-AB1023)-Inputs!$B$9-T1023*AD1023*Inputs!$B$13*(A1023-AC1023),0)</f>
        <v>0</v>
      </c>
      <c r="X1023" s="10" t="n">
        <f aca="false">P1023-IF(Q1023,Inputs!$B$9,0)+W1023</f>
        <v>970.40233796708</v>
      </c>
      <c r="Y1023" s="11" t="n">
        <f aca="false">IF(V1023,0,T1023)</f>
        <v>0</v>
      </c>
      <c r="Z1023" s="9" t="b">
        <f aca="false">AND(Y1023&gt;0,K1023)</f>
        <v>0</v>
      </c>
      <c r="AA1023" s="9" t="b">
        <f aca="false">AND(Y1023=0,J1023,ISNUMBER(L1023))</f>
        <v>0</v>
      </c>
      <c r="AB1023" s="8" t="n">
        <f aca="false">IF(Q1023,R1023,AB1022)</f>
        <v>0.863503444084112</v>
      </c>
      <c r="AC1023" s="12" t="n">
        <f aca="false">IF(Q1023,A1023,AC1022)</f>
        <v>45706</v>
      </c>
      <c r="AD1023" s="8" t="n">
        <f aca="false">IF(Q1023,B1023,AD1022)</f>
        <v>0.863330777928526</v>
      </c>
      <c r="AE1023" s="8" t="str">
        <f aca="false">IF(AA1023,L1023,"")</f>
        <v/>
      </c>
      <c r="AF1023" s="8" t="n">
        <f aca="false">U1023</f>
        <v>0.843828396541038</v>
      </c>
      <c r="AG1023" s="2" t="n">
        <f aca="false">AG1022+IF(Q1023,1,0)</f>
        <v>9</v>
      </c>
      <c r="AH1023" s="2" t="n">
        <f aca="false">AG1022</f>
        <v>9</v>
      </c>
      <c r="AI1023" s="10" t="n">
        <f aca="false">X1023+Y1023*(E1023-AB1023)-Y1023*AD1023*Inputs!$B$13*(A1023-AC1023)</f>
        <v>970.40233796708</v>
      </c>
      <c r="AJ1023" s="10" t="n">
        <v>0</v>
      </c>
      <c r="AK1023" s="8" t="n">
        <f aca="false">IF(AND(B1023&lt;=U1023,NOT(Q1023)),B1023,U1023)*(1-Inputs!$B$12)</f>
        <v>0.843659630861729</v>
      </c>
    </row>
    <row r="1024" customFormat="false" ht="15" hidden="false" customHeight="false" outlineLevel="0" collapsed="false">
      <c r="A1024" s="6" t="n">
        <v>45808</v>
      </c>
      <c r="B1024" s="7" t="n">
        <v>0.848657081739574</v>
      </c>
      <c r="C1024" s="7" t="n">
        <v>0.861792866579504</v>
      </c>
      <c r="D1024" s="7" t="n">
        <v>0.842645574408694</v>
      </c>
      <c r="E1024" s="7" t="n">
        <v>0.855403595978397</v>
      </c>
      <c r="F1024" s="8" t="n">
        <f aca="true">IF(ROW()-2&gt;=Inputs!$B$4,AVERAGE(OFFSET(E1024,1-Inputs!$B$4,0,Inputs!$B$4,1)),"")</f>
        <v>0.84621138674006</v>
      </c>
      <c r="G1024" s="8" t="n">
        <f aca="true">IF(ROW()-2&gt;=Inputs!$B$5,AVERAGE(OFFSET(E1024,1-Inputs!$B$5,0,Inputs!$B$5,1)),"")</f>
        <v>0.848428767571572</v>
      </c>
      <c r="H1024" s="8" t="n">
        <f aca="false">MAX(C1024-D1024,ABS(C1024-E1023),ABS(D1024-E1023))</f>
        <v>0.0191472921708105</v>
      </c>
      <c r="I1024" s="8" t="n">
        <f aca="true">IF(ROW()-2&lt;14,"",IF(ROW()-2=14,AVERAGE(OFFSET(H1024,-13,0,14,1)),(I1023*13+H1024)/14))</f>
        <v>0.00897992539648992</v>
      </c>
      <c r="J1024" s="9" t="b">
        <f aca="false">IF(AND(ISNUMBER(F1024),ISNUMBER(G1024),ISNUMBER(F1023),ISNUMBER(G1023)),AND(F1024&gt;G1024,F1023&lt;=G1023),FALSE())</f>
        <v>0</v>
      </c>
      <c r="K1024" s="9" t="b">
        <f aca="false">IF(AND(ISNUMBER(F1024),ISNUMBER(G1024),ISNUMBER(F1023),ISNUMBER(G1023)),AND(F1024&lt;G1024,F1023&gt;=G1023),FALSE())</f>
        <v>0</v>
      </c>
      <c r="L1024" s="8" t="n">
        <f aca="false">IF(ISNUMBER(I1024),E1024-Inputs!$B$6*I1024,"")</f>
        <v>0.837443745185417</v>
      </c>
      <c r="M1024" s="9" t="b">
        <f aca="false">AND(Y1023&gt;0,Z1023)</f>
        <v>0</v>
      </c>
      <c r="N1024" s="8" t="n">
        <f aca="false">B1024*(1-Inputs!$B$12)</f>
        <v>0.848487350323226</v>
      </c>
      <c r="O1024" s="10" t="n">
        <f aca="false">IF(M1024,Y1023*(N1024-AB1023)-Inputs!$B$9-Y1023*AD1023*Inputs!$B$13*(A1024-AC1023),0)</f>
        <v>0</v>
      </c>
      <c r="P1024" s="10" t="n">
        <f aca="false">X1023+O1024</f>
        <v>970.40233796708</v>
      </c>
      <c r="Q1024" s="9" t="b">
        <f aca="false">AND(IF(M1024,0,Y1023)=0,AA1023,IF(ISNUMBER(AE1023),B1024&gt;AE1023,FALSE()))</f>
        <v>0</v>
      </c>
      <c r="R1024" s="8" t="n">
        <f aca="false">B1024*(1+Inputs!$B$12)</f>
        <v>0.848826813155922</v>
      </c>
      <c r="S1024" s="11" t="n">
        <f aca="false">IF(Q1024,MIN(P1024*Inputs!$B$3/(R1024-AE1023),P1024*Inputs!$B$11/R1024),0)</f>
        <v>0</v>
      </c>
      <c r="T1024" s="11" t="n">
        <f aca="false">IF(Q1024,S1024,IF(M1024,0,Y1023))</f>
        <v>0</v>
      </c>
      <c r="U1024" s="8" t="n">
        <f aca="false">IF(Q1024,AE1023,AF1023)</f>
        <v>0.843828396541038</v>
      </c>
      <c r="V1024" s="9" t="b">
        <f aca="false">AND(T1024&gt;0,D1024&lt;=U1024)</f>
        <v>0</v>
      </c>
      <c r="W1024" s="10" t="n">
        <f aca="false">IF(V1024,T1024*(AK1024-AB1024)-Inputs!$B$9-T1024*AD1024*Inputs!$B$13*(A1024-AC1024),0)</f>
        <v>0</v>
      </c>
      <c r="X1024" s="10" t="n">
        <f aca="false">P1024-IF(Q1024,Inputs!$B$9,0)+W1024</f>
        <v>970.40233796708</v>
      </c>
      <c r="Y1024" s="11" t="n">
        <f aca="false">IF(V1024,0,T1024)</f>
        <v>0</v>
      </c>
      <c r="Z1024" s="9" t="b">
        <f aca="false">AND(Y1024&gt;0,K1024)</f>
        <v>0</v>
      </c>
      <c r="AA1024" s="9" t="b">
        <f aca="false">AND(Y1024=0,J1024,ISNUMBER(L1024))</f>
        <v>0</v>
      </c>
      <c r="AB1024" s="8" t="n">
        <f aca="false">IF(Q1024,R1024,AB1023)</f>
        <v>0.863503444084112</v>
      </c>
      <c r="AC1024" s="12" t="n">
        <f aca="false">IF(Q1024,A1024,AC1023)</f>
        <v>45706</v>
      </c>
      <c r="AD1024" s="8" t="n">
        <f aca="false">IF(Q1024,B1024,AD1023)</f>
        <v>0.863330777928526</v>
      </c>
      <c r="AE1024" s="8" t="str">
        <f aca="false">IF(AA1024,L1024,"")</f>
        <v/>
      </c>
      <c r="AF1024" s="8" t="n">
        <f aca="false">U1024</f>
        <v>0.843828396541038</v>
      </c>
      <c r="AG1024" s="2" t="n">
        <f aca="false">AG1023+IF(Q1024,1,0)</f>
        <v>9</v>
      </c>
      <c r="AH1024" s="2" t="n">
        <f aca="false">AG1023</f>
        <v>9</v>
      </c>
      <c r="AI1024" s="10" t="n">
        <f aca="false">X1024+Y1024*(E1024-AB1024)-Y1024*AD1024*Inputs!$B$13*(A1024-AC1024)</f>
        <v>970.40233796708</v>
      </c>
      <c r="AJ1024" s="10" t="n">
        <v>0</v>
      </c>
      <c r="AK1024" s="8" t="n">
        <f aca="false">IF(AND(B1024&lt;=U1024,NOT(Q1024)),B1024,U1024)*(1-Inputs!$B$12)</f>
        <v>0.843659630861729</v>
      </c>
    </row>
    <row r="1025" customFormat="false" ht="15" hidden="false" customHeight="false" outlineLevel="0" collapsed="false">
      <c r="A1025" s="6" t="n">
        <v>45809</v>
      </c>
      <c r="B1025" s="7" t="n">
        <v>0.855403595978397</v>
      </c>
      <c r="C1025" s="7" t="n">
        <v>0.857158134813462</v>
      </c>
      <c r="D1025" s="7" t="n">
        <v>0.846137140688035</v>
      </c>
      <c r="E1025" s="7" t="n">
        <v>0.853156578905145</v>
      </c>
      <c r="F1025" s="8" t="n">
        <f aca="true">IF(ROW()-2&gt;=Inputs!$B$4,AVERAGE(OFFSET(E1025,1-Inputs!$B$4,0,Inputs!$B$4,1)),"")</f>
        <v>0.845993466366463</v>
      </c>
      <c r="G1025" s="8" t="n">
        <f aca="true">IF(ROW()-2&gt;=Inputs!$B$5,AVERAGE(OFFSET(E1025,1-Inputs!$B$5,0,Inputs!$B$5,1)),"")</f>
        <v>0.847941825311295</v>
      </c>
      <c r="H1025" s="8" t="n">
        <f aca="false">MAX(C1025-D1025,ABS(C1025-E1024),ABS(D1025-E1024))</f>
        <v>0.0110209941254268</v>
      </c>
      <c r="I1025" s="8" t="n">
        <f aca="true">IF(ROW()-2&lt;14,"",IF(ROW()-2=14,AVERAGE(OFFSET(H1025,-13,0,14,1)),(I1024*13+H1025)/14))</f>
        <v>0.00912571601998541</v>
      </c>
      <c r="J1025" s="9" t="b">
        <f aca="false">IF(AND(ISNUMBER(F1025),ISNUMBER(G1025),ISNUMBER(F1024),ISNUMBER(G1024)),AND(F1025&gt;G1025,F1024&lt;=G1024),FALSE())</f>
        <v>0</v>
      </c>
      <c r="K1025" s="9" t="b">
        <f aca="false">IF(AND(ISNUMBER(F1025),ISNUMBER(G1025),ISNUMBER(F1024),ISNUMBER(G1024)),AND(F1025&lt;G1025,F1024&gt;=G1024),FALSE())</f>
        <v>0</v>
      </c>
      <c r="L1025" s="8" t="n">
        <f aca="false">IF(ISNUMBER(I1025),E1025-Inputs!$B$6*I1025,"")</f>
        <v>0.834905146865174</v>
      </c>
      <c r="M1025" s="9" t="b">
        <f aca="false">AND(Y1024&gt;0,Z1024)</f>
        <v>0</v>
      </c>
      <c r="N1025" s="8" t="n">
        <f aca="false">B1025*(1-Inputs!$B$12)</f>
        <v>0.855232515259202</v>
      </c>
      <c r="O1025" s="10" t="n">
        <f aca="false">IF(M1025,Y1024*(N1025-AB1024)-Inputs!$B$9-Y1024*AD1024*Inputs!$B$13*(A1025-AC1024),0)</f>
        <v>0</v>
      </c>
      <c r="P1025" s="10" t="n">
        <f aca="false">X1024+O1025</f>
        <v>970.40233796708</v>
      </c>
      <c r="Q1025" s="9" t="b">
        <f aca="false">AND(IF(M1025,0,Y1024)=0,AA1024,IF(ISNUMBER(AE1024),B1025&gt;AE1024,FALSE()))</f>
        <v>0</v>
      </c>
      <c r="R1025" s="8" t="n">
        <f aca="false">B1025*(1+Inputs!$B$12)</f>
        <v>0.855574676697593</v>
      </c>
      <c r="S1025" s="11" t="n">
        <f aca="false">IF(Q1025,MIN(P1025*Inputs!$B$3/(R1025-AE1024),P1025*Inputs!$B$11/R1025),0)</f>
        <v>0</v>
      </c>
      <c r="T1025" s="11" t="n">
        <f aca="false">IF(Q1025,S1025,IF(M1025,0,Y1024))</f>
        <v>0</v>
      </c>
      <c r="U1025" s="8" t="n">
        <f aca="false">IF(Q1025,AE1024,AF1024)</f>
        <v>0.843828396541038</v>
      </c>
      <c r="V1025" s="9" t="b">
        <f aca="false">AND(T1025&gt;0,D1025&lt;=U1025)</f>
        <v>0</v>
      </c>
      <c r="W1025" s="10" t="n">
        <f aca="false">IF(V1025,T1025*(AK1025-AB1025)-Inputs!$B$9-T1025*AD1025*Inputs!$B$13*(A1025-AC1025),0)</f>
        <v>0</v>
      </c>
      <c r="X1025" s="10" t="n">
        <f aca="false">P1025-IF(Q1025,Inputs!$B$9,0)+W1025</f>
        <v>970.40233796708</v>
      </c>
      <c r="Y1025" s="11" t="n">
        <f aca="false">IF(V1025,0,T1025)</f>
        <v>0</v>
      </c>
      <c r="Z1025" s="9" t="b">
        <f aca="false">AND(Y1025&gt;0,K1025)</f>
        <v>0</v>
      </c>
      <c r="AA1025" s="9" t="b">
        <f aca="false">AND(Y1025=0,J1025,ISNUMBER(L1025))</f>
        <v>0</v>
      </c>
      <c r="AB1025" s="8" t="n">
        <f aca="false">IF(Q1025,R1025,AB1024)</f>
        <v>0.863503444084112</v>
      </c>
      <c r="AC1025" s="12" t="n">
        <f aca="false">IF(Q1025,A1025,AC1024)</f>
        <v>45706</v>
      </c>
      <c r="AD1025" s="8" t="n">
        <f aca="false">IF(Q1025,B1025,AD1024)</f>
        <v>0.863330777928526</v>
      </c>
      <c r="AE1025" s="8" t="str">
        <f aca="false">IF(AA1025,L1025,"")</f>
        <v/>
      </c>
      <c r="AF1025" s="8" t="n">
        <f aca="false">U1025</f>
        <v>0.843828396541038</v>
      </c>
      <c r="AG1025" s="2" t="n">
        <f aca="false">AG1024+IF(Q1025,1,0)</f>
        <v>9</v>
      </c>
      <c r="AH1025" s="2" t="n">
        <f aca="false">AG1024</f>
        <v>9</v>
      </c>
      <c r="AI1025" s="10" t="n">
        <f aca="false">X1025+Y1025*(E1025-AB1025)-Y1025*AD1025*Inputs!$B$13*(A1025-AC1025)</f>
        <v>970.40233796708</v>
      </c>
      <c r="AJ1025" s="10" t="n">
        <v>0</v>
      </c>
      <c r="AK1025" s="8" t="n">
        <f aca="false">IF(AND(B1025&lt;=U1025,NOT(Q1025)),B1025,U1025)*(1-Inputs!$B$12)</f>
        <v>0.843659630861729</v>
      </c>
    </row>
    <row r="1026" customFormat="false" ht="15" hidden="false" customHeight="false" outlineLevel="0" collapsed="false">
      <c r="A1026" s="6" t="n">
        <v>45810</v>
      </c>
      <c r="B1026" s="7" t="n">
        <v>0.853156578905145</v>
      </c>
      <c r="C1026" s="7" t="n">
        <v>0.855128682504216</v>
      </c>
      <c r="D1026" s="7" t="n">
        <v>0.84707522722738</v>
      </c>
      <c r="E1026" s="7" t="n">
        <v>0.850342668404188</v>
      </c>
      <c r="F1026" s="8" t="n">
        <f aca="true">IF(ROW()-2&gt;=Inputs!$B$4,AVERAGE(OFFSET(E1026,1-Inputs!$B$4,0,Inputs!$B$4,1)),"")</f>
        <v>0.845797931630557</v>
      </c>
      <c r="G1026" s="8" t="n">
        <f aca="true">IF(ROW()-2&gt;=Inputs!$B$5,AVERAGE(OFFSET(E1026,1-Inputs!$B$5,0,Inputs!$B$5,1)),"")</f>
        <v>0.847343291476667</v>
      </c>
      <c r="H1026" s="8" t="n">
        <f aca="false">MAX(C1026-D1026,ABS(C1026-E1025),ABS(D1026-E1025))</f>
        <v>0.00805345527683588</v>
      </c>
      <c r="I1026" s="8" t="n">
        <f aca="true">IF(ROW()-2&lt;14,"",IF(ROW()-2=14,AVERAGE(OFFSET(H1026,-13,0,14,1)),(I1025*13+H1026)/14))</f>
        <v>0.0090491259669033</v>
      </c>
      <c r="J1026" s="9" t="b">
        <f aca="false">IF(AND(ISNUMBER(F1026),ISNUMBER(G1026),ISNUMBER(F1025),ISNUMBER(G1025)),AND(F1026&gt;G1026,F1025&lt;=G1025),FALSE())</f>
        <v>0</v>
      </c>
      <c r="K1026" s="9" t="b">
        <f aca="false">IF(AND(ISNUMBER(F1026),ISNUMBER(G1026),ISNUMBER(F1025),ISNUMBER(G1025)),AND(F1026&lt;G1026,F1025&gt;=G1025),FALSE())</f>
        <v>0</v>
      </c>
      <c r="L1026" s="8" t="n">
        <f aca="false">IF(ISNUMBER(I1026),E1026-Inputs!$B$6*I1026,"")</f>
        <v>0.832244416470381</v>
      </c>
      <c r="M1026" s="9" t="b">
        <f aca="false">AND(Y1025&gt;0,Z1025)</f>
        <v>0</v>
      </c>
      <c r="N1026" s="8" t="n">
        <f aca="false">B1026*(1-Inputs!$B$12)</f>
        <v>0.852985947589364</v>
      </c>
      <c r="O1026" s="10" t="n">
        <f aca="false">IF(M1026,Y1025*(N1026-AB1025)-Inputs!$B$9-Y1025*AD1025*Inputs!$B$13*(A1026-AC1025),0)</f>
        <v>0</v>
      </c>
      <c r="P1026" s="10" t="n">
        <f aca="false">X1025+O1026</f>
        <v>970.40233796708</v>
      </c>
      <c r="Q1026" s="9" t="b">
        <f aca="false">AND(IF(M1026,0,Y1025)=0,AA1025,IF(ISNUMBER(AE1025),B1026&gt;AE1025,FALSE()))</f>
        <v>0</v>
      </c>
      <c r="R1026" s="8" t="n">
        <f aca="false">B1026*(1+Inputs!$B$12)</f>
        <v>0.853327210220926</v>
      </c>
      <c r="S1026" s="11" t="n">
        <f aca="false">IF(Q1026,MIN(P1026*Inputs!$B$3/(R1026-AE1025),P1026*Inputs!$B$11/R1026),0)</f>
        <v>0</v>
      </c>
      <c r="T1026" s="11" t="n">
        <f aca="false">IF(Q1026,S1026,IF(M1026,0,Y1025))</f>
        <v>0</v>
      </c>
      <c r="U1026" s="8" t="n">
        <f aca="false">IF(Q1026,AE1025,AF1025)</f>
        <v>0.843828396541038</v>
      </c>
      <c r="V1026" s="9" t="b">
        <f aca="false">AND(T1026&gt;0,D1026&lt;=U1026)</f>
        <v>0</v>
      </c>
      <c r="W1026" s="10" t="n">
        <f aca="false">IF(V1026,T1026*(AK1026-AB1026)-Inputs!$B$9-T1026*AD1026*Inputs!$B$13*(A1026-AC1026),0)</f>
        <v>0</v>
      </c>
      <c r="X1026" s="10" t="n">
        <f aca="false">P1026-IF(Q1026,Inputs!$B$9,0)+W1026</f>
        <v>970.40233796708</v>
      </c>
      <c r="Y1026" s="11" t="n">
        <f aca="false">IF(V1026,0,T1026)</f>
        <v>0</v>
      </c>
      <c r="Z1026" s="9" t="b">
        <f aca="false">AND(Y1026&gt;0,K1026)</f>
        <v>0</v>
      </c>
      <c r="AA1026" s="9" t="b">
        <f aca="false">AND(Y1026=0,J1026,ISNUMBER(L1026))</f>
        <v>0</v>
      </c>
      <c r="AB1026" s="8" t="n">
        <f aca="false">IF(Q1026,R1026,AB1025)</f>
        <v>0.863503444084112</v>
      </c>
      <c r="AC1026" s="12" t="n">
        <f aca="false">IF(Q1026,A1026,AC1025)</f>
        <v>45706</v>
      </c>
      <c r="AD1026" s="8" t="n">
        <f aca="false">IF(Q1026,B1026,AD1025)</f>
        <v>0.863330777928526</v>
      </c>
      <c r="AE1026" s="8" t="str">
        <f aca="false">IF(AA1026,L1026,"")</f>
        <v/>
      </c>
      <c r="AF1026" s="8" t="n">
        <f aca="false">U1026</f>
        <v>0.843828396541038</v>
      </c>
      <c r="AG1026" s="2" t="n">
        <f aca="false">AG1025+IF(Q1026,1,0)</f>
        <v>9</v>
      </c>
      <c r="AH1026" s="2" t="n">
        <f aca="false">AG1025</f>
        <v>9</v>
      </c>
      <c r="AI1026" s="10" t="n">
        <f aca="false">X1026+Y1026*(E1026-AB1026)-Y1026*AD1026*Inputs!$B$13*(A1026-AC1026)</f>
        <v>970.40233796708</v>
      </c>
      <c r="AJ1026" s="10" t="n">
        <v>0</v>
      </c>
      <c r="AK1026" s="8" t="n">
        <f aca="false">IF(AND(B1026&lt;=U1026,NOT(Q1026)),B1026,U1026)*(1-Inputs!$B$12)</f>
        <v>0.843659630861729</v>
      </c>
    </row>
    <row r="1027" customFormat="false" ht="15" hidden="false" customHeight="false" outlineLevel="0" collapsed="false">
      <c r="A1027" s="6" t="n">
        <v>45811</v>
      </c>
      <c r="B1027" s="7" t="n">
        <v>0.850342668404188</v>
      </c>
      <c r="C1027" s="7" t="n">
        <v>0.851616656497613</v>
      </c>
      <c r="D1027" s="7" t="n">
        <v>0.837131520895571</v>
      </c>
      <c r="E1027" s="7" t="n">
        <v>0.842111043896033</v>
      </c>
      <c r="F1027" s="8" t="n">
        <f aca="true">IF(ROW()-2&gt;=Inputs!$B$4,AVERAGE(OFFSET(E1027,1-Inputs!$B$4,0,Inputs!$B$4,1)),"")</f>
        <v>0.845754873903079</v>
      </c>
      <c r="G1027" s="8" t="n">
        <f aca="true">IF(ROW()-2&gt;=Inputs!$B$5,AVERAGE(OFFSET(E1027,1-Inputs!$B$5,0,Inputs!$B$5,1)),"")</f>
        <v>0.846649258717165</v>
      </c>
      <c r="H1027" s="8" t="n">
        <f aca="false">MAX(C1027-D1027,ABS(C1027-E1026),ABS(D1027-E1026))</f>
        <v>0.0144851356020419</v>
      </c>
      <c r="I1027" s="8" t="n">
        <f aca="true">IF(ROW()-2&lt;14,"",IF(ROW()-2=14,AVERAGE(OFFSET(H1027,-13,0,14,1)),(I1026*13+H1027)/14))</f>
        <v>0.0094374123694132</v>
      </c>
      <c r="J1027" s="9" t="b">
        <f aca="false">IF(AND(ISNUMBER(F1027),ISNUMBER(G1027),ISNUMBER(F1026),ISNUMBER(G1026)),AND(F1027&gt;G1027,F1026&lt;=G1026),FALSE())</f>
        <v>0</v>
      </c>
      <c r="K1027" s="9" t="b">
        <f aca="false">IF(AND(ISNUMBER(F1027),ISNUMBER(G1027),ISNUMBER(F1026),ISNUMBER(G1026)),AND(F1027&lt;G1027,F1026&gt;=G1026),FALSE())</f>
        <v>0</v>
      </c>
      <c r="L1027" s="8" t="n">
        <f aca="false">IF(ISNUMBER(I1027),E1027-Inputs!$B$6*I1027,"")</f>
        <v>0.823236219157207</v>
      </c>
      <c r="M1027" s="9" t="b">
        <f aca="false">AND(Y1026&gt;0,Z1026)</f>
        <v>0</v>
      </c>
      <c r="N1027" s="8" t="n">
        <f aca="false">B1027*(1-Inputs!$B$12)</f>
        <v>0.850172599870507</v>
      </c>
      <c r="O1027" s="10" t="n">
        <f aca="false">IF(M1027,Y1026*(N1027-AB1026)-Inputs!$B$9-Y1026*AD1026*Inputs!$B$13*(A1027-AC1026),0)</f>
        <v>0</v>
      </c>
      <c r="P1027" s="10" t="n">
        <f aca="false">X1026+O1027</f>
        <v>970.40233796708</v>
      </c>
      <c r="Q1027" s="9" t="b">
        <f aca="false">AND(IF(M1027,0,Y1026)=0,AA1026,IF(ISNUMBER(AE1026),B1027&gt;AE1026,FALSE()))</f>
        <v>0</v>
      </c>
      <c r="R1027" s="8" t="n">
        <f aca="false">B1027*(1+Inputs!$B$12)</f>
        <v>0.850512736937868</v>
      </c>
      <c r="S1027" s="11" t="n">
        <f aca="false">IF(Q1027,MIN(P1027*Inputs!$B$3/(R1027-AE1026),P1027*Inputs!$B$11/R1027),0)</f>
        <v>0</v>
      </c>
      <c r="T1027" s="11" t="n">
        <f aca="false">IF(Q1027,S1027,IF(M1027,0,Y1026))</f>
        <v>0</v>
      </c>
      <c r="U1027" s="8" t="n">
        <f aca="false">IF(Q1027,AE1026,AF1026)</f>
        <v>0.843828396541038</v>
      </c>
      <c r="V1027" s="9" t="b">
        <f aca="false">AND(T1027&gt;0,D1027&lt;=U1027)</f>
        <v>0</v>
      </c>
      <c r="W1027" s="10" t="n">
        <f aca="false">IF(V1027,T1027*(AK1027-AB1027)-Inputs!$B$9-T1027*AD1027*Inputs!$B$13*(A1027-AC1027),0)</f>
        <v>0</v>
      </c>
      <c r="X1027" s="10" t="n">
        <f aca="false">P1027-IF(Q1027,Inputs!$B$9,0)+W1027</f>
        <v>970.40233796708</v>
      </c>
      <c r="Y1027" s="11" t="n">
        <f aca="false">IF(V1027,0,T1027)</f>
        <v>0</v>
      </c>
      <c r="Z1027" s="9" t="b">
        <f aca="false">AND(Y1027&gt;0,K1027)</f>
        <v>0</v>
      </c>
      <c r="AA1027" s="9" t="b">
        <f aca="false">AND(Y1027=0,J1027,ISNUMBER(L1027))</f>
        <v>0</v>
      </c>
      <c r="AB1027" s="8" t="n">
        <f aca="false">IF(Q1027,R1027,AB1026)</f>
        <v>0.863503444084112</v>
      </c>
      <c r="AC1027" s="12" t="n">
        <f aca="false">IF(Q1027,A1027,AC1026)</f>
        <v>45706</v>
      </c>
      <c r="AD1027" s="8" t="n">
        <f aca="false">IF(Q1027,B1027,AD1026)</f>
        <v>0.863330777928526</v>
      </c>
      <c r="AE1027" s="8" t="str">
        <f aca="false">IF(AA1027,L1027,"")</f>
        <v/>
      </c>
      <c r="AF1027" s="8" t="n">
        <f aca="false">U1027</f>
        <v>0.843828396541038</v>
      </c>
      <c r="AG1027" s="2" t="n">
        <f aca="false">AG1026+IF(Q1027,1,0)</f>
        <v>9</v>
      </c>
      <c r="AH1027" s="2" t="n">
        <f aca="false">AG1026</f>
        <v>9</v>
      </c>
      <c r="AI1027" s="10" t="n">
        <f aca="false">X1027+Y1027*(E1027-AB1027)-Y1027*AD1027*Inputs!$B$13*(A1027-AC1027)</f>
        <v>970.40233796708</v>
      </c>
      <c r="AJ1027" s="10" t="n">
        <v>0</v>
      </c>
      <c r="AK1027" s="8" t="n">
        <f aca="false">IF(AND(B1027&lt;=U1027,NOT(Q1027)),B1027,U1027)*(1-Inputs!$B$12)</f>
        <v>0.843659630861729</v>
      </c>
    </row>
    <row r="1028" customFormat="false" ht="15" hidden="false" customHeight="false" outlineLevel="0" collapsed="false">
      <c r="A1028" s="6" t="n">
        <v>45812</v>
      </c>
      <c r="B1028" s="7" t="n">
        <v>0.842111043896033</v>
      </c>
      <c r="C1028" s="7" t="n">
        <v>0.848588580835005</v>
      </c>
      <c r="D1028" s="7" t="n">
        <v>0.839544832004721</v>
      </c>
      <c r="E1028" s="7" t="n">
        <v>0.845414626131685</v>
      </c>
      <c r="F1028" s="8" t="n">
        <f aca="true">IF(ROW()-2&gt;=Inputs!$B$4,AVERAGE(OFFSET(E1028,1-Inputs!$B$4,0,Inputs!$B$4,1)),"")</f>
        <v>0.845962716925223</v>
      </c>
      <c r="G1028" s="8" t="n">
        <f aca="true">IF(ROW()-2&gt;=Inputs!$B$5,AVERAGE(OFFSET(E1028,1-Inputs!$B$5,0,Inputs!$B$5,1)),"")</f>
        <v>0.846292122058291</v>
      </c>
      <c r="H1028" s="8" t="n">
        <f aca="false">MAX(C1028-D1028,ABS(C1028-E1027),ABS(D1028-E1027))</f>
        <v>0.00904374883028425</v>
      </c>
      <c r="I1028" s="8" t="n">
        <f aca="true">IF(ROW()-2&lt;14,"",IF(ROW()-2=14,AVERAGE(OFFSET(H1028,-13,0,14,1)),(I1027*13+H1028)/14))</f>
        <v>0.0094092935451897</v>
      </c>
      <c r="J1028" s="9" t="b">
        <f aca="false">IF(AND(ISNUMBER(F1028),ISNUMBER(G1028),ISNUMBER(F1027),ISNUMBER(G1027)),AND(F1028&gt;G1028,F1027&lt;=G1027),FALSE())</f>
        <v>0</v>
      </c>
      <c r="K1028" s="9" t="b">
        <f aca="false">IF(AND(ISNUMBER(F1028),ISNUMBER(G1028),ISNUMBER(F1027),ISNUMBER(G1027)),AND(F1028&lt;G1028,F1027&gt;=G1027),FALSE())</f>
        <v>0</v>
      </c>
      <c r="L1028" s="8" t="n">
        <f aca="false">IF(ISNUMBER(I1028),E1028-Inputs!$B$6*I1028,"")</f>
        <v>0.826596039041306</v>
      </c>
      <c r="M1028" s="9" t="b">
        <f aca="false">AND(Y1027&gt;0,Z1027)</f>
        <v>0</v>
      </c>
      <c r="N1028" s="8" t="n">
        <f aca="false">B1028*(1-Inputs!$B$12)</f>
        <v>0.841942621687254</v>
      </c>
      <c r="O1028" s="10" t="n">
        <f aca="false">IF(M1028,Y1027*(N1028-AB1027)-Inputs!$B$9-Y1027*AD1027*Inputs!$B$13*(A1028-AC1027),0)</f>
        <v>0</v>
      </c>
      <c r="P1028" s="10" t="n">
        <f aca="false">X1027+O1028</f>
        <v>970.40233796708</v>
      </c>
      <c r="Q1028" s="9" t="b">
        <f aca="false">AND(IF(M1028,0,Y1027)=0,AA1027,IF(ISNUMBER(AE1027),B1028&gt;AE1027,FALSE()))</f>
        <v>0</v>
      </c>
      <c r="R1028" s="8" t="n">
        <f aca="false">B1028*(1+Inputs!$B$12)</f>
        <v>0.842279466104812</v>
      </c>
      <c r="S1028" s="11" t="n">
        <f aca="false">IF(Q1028,MIN(P1028*Inputs!$B$3/(R1028-AE1027),P1028*Inputs!$B$11/R1028),0)</f>
        <v>0</v>
      </c>
      <c r="T1028" s="11" t="n">
        <f aca="false">IF(Q1028,S1028,IF(M1028,0,Y1027))</f>
        <v>0</v>
      </c>
      <c r="U1028" s="8" t="n">
        <f aca="false">IF(Q1028,AE1027,AF1027)</f>
        <v>0.843828396541038</v>
      </c>
      <c r="V1028" s="9" t="b">
        <f aca="false">AND(T1028&gt;0,D1028&lt;=U1028)</f>
        <v>0</v>
      </c>
      <c r="W1028" s="10" t="n">
        <f aca="false">IF(V1028,T1028*(AK1028-AB1028)-Inputs!$B$9-T1028*AD1028*Inputs!$B$13*(A1028-AC1028),0)</f>
        <v>0</v>
      </c>
      <c r="X1028" s="10" t="n">
        <f aca="false">P1028-IF(Q1028,Inputs!$B$9,0)+W1028</f>
        <v>970.40233796708</v>
      </c>
      <c r="Y1028" s="11" t="n">
        <f aca="false">IF(V1028,0,T1028)</f>
        <v>0</v>
      </c>
      <c r="Z1028" s="9" t="b">
        <f aca="false">AND(Y1028&gt;0,K1028)</f>
        <v>0</v>
      </c>
      <c r="AA1028" s="9" t="b">
        <f aca="false">AND(Y1028=0,J1028,ISNUMBER(L1028))</f>
        <v>0</v>
      </c>
      <c r="AB1028" s="8" t="n">
        <f aca="false">IF(Q1028,R1028,AB1027)</f>
        <v>0.863503444084112</v>
      </c>
      <c r="AC1028" s="12" t="n">
        <f aca="false">IF(Q1028,A1028,AC1027)</f>
        <v>45706</v>
      </c>
      <c r="AD1028" s="8" t="n">
        <f aca="false">IF(Q1028,B1028,AD1027)</f>
        <v>0.863330777928526</v>
      </c>
      <c r="AE1028" s="8" t="str">
        <f aca="false">IF(AA1028,L1028,"")</f>
        <v/>
      </c>
      <c r="AF1028" s="8" t="n">
        <f aca="false">U1028</f>
        <v>0.843828396541038</v>
      </c>
      <c r="AG1028" s="2" t="n">
        <f aca="false">AG1027+IF(Q1028,1,0)</f>
        <v>9</v>
      </c>
      <c r="AH1028" s="2" t="n">
        <f aca="false">AG1027</f>
        <v>9</v>
      </c>
      <c r="AI1028" s="10" t="n">
        <f aca="false">X1028+Y1028*(E1028-AB1028)-Y1028*AD1028*Inputs!$B$13*(A1028-AC1028)</f>
        <v>970.40233796708</v>
      </c>
      <c r="AJ1028" s="10" t="n">
        <v>0</v>
      </c>
      <c r="AK1028" s="8" t="n">
        <f aca="false">IF(AND(B1028&lt;=U1028,NOT(Q1028)),B1028,U1028)*(1-Inputs!$B$12)</f>
        <v>0.841942621687254</v>
      </c>
    </row>
    <row r="1029" customFormat="false" ht="15" hidden="false" customHeight="false" outlineLevel="0" collapsed="false">
      <c r="A1029" s="6" t="n">
        <v>45813</v>
      </c>
      <c r="B1029" s="7" t="n">
        <v>0.845414626131685</v>
      </c>
      <c r="C1029" s="7" t="n">
        <v>0.848158284485849</v>
      </c>
      <c r="D1029" s="7" t="n">
        <v>0.838173785756904</v>
      </c>
      <c r="E1029" s="7" t="n">
        <v>0.844312029825346</v>
      </c>
      <c r="F1029" s="8" t="n">
        <f aca="true">IF(ROW()-2&gt;=Inputs!$B$4,AVERAGE(OFFSET(E1029,1-Inputs!$B$4,0,Inputs!$B$4,1)),"")</f>
        <v>0.84577729022344</v>
      </c>
      <c r="G1029" s="8" t="n">
        <f aca="true">IF(ROW()-2&gt;=Inputs!$B$5,AVERAGE(OFFSET(E1029,1-Inputs!$B$5,0,Inputs!$B$5,1)),"")</f>
        <v>0.845967773324669</v>
      </c>
      <c r="H1029" s="8" t="n">
        <f aca="false">MAX(C1029-D1029,ABS(C1029-E1028),ABS(D1029-E1028))</f>
        <v>0.00998449872894447</v>
      </c>
      <c r="I1029" s="8" t="n">
        <f aca="true">IF(ROW()-2&lt;14,"",IF(ROW()-2=14,AVERAGE(OFFSET(H1029,-13,0,14,1)),(I1028*13+H1029)/14))</f>
        <v>0.00945037962974361</v>
      </c>
      <c r="J1029" s="9" t="b">
        <f aca="false">IF(AND(ISNUMBER(F1029),ISNUMBER(G1029),ISNUMBER(F1028),ISNUMBER(G1028)),AND(F1029&gt;G1029,F1028&lt;=G1028),FALSE())</f>
        <v>0</v>
      </c>
      <c r="K1029" s="9" t="b">
        <f aca="false">IF(AND(ISNUMBER(F1029),ISNUMBER(G1029),ISNUMBER(F1028),ISNUMBER(G1028)),AND(F1029&lt;G1029,F1028&gt;=G1028),FALSE())</f>
        <v>0</v>
      </c>
      <c r="L1029" s="8" t="n">
        <f aca="false">IF(ISNUMBER(I1029),E1029-Inputs!$B$6*I1029,"")</f>
        <v>0.825411270565859</v>
      </c>
      <c r="M1029" s="9" t="b">
        <f aca="false">AND(Y1028&gt;0,Z1028)</f>
        <v>0</v>
      </c>
      <c r="N1029" s="8" t="n">
        <f aca="false">B1029*(1-Inputs!$B$12)</f>
        <v>0.845245543206459</v>
      </c>
      <c r="O1029" s="10" t="n">
        <f aca="false">IF(M1029,Y1028*(N1029-AB1028)-Inputs!$B$9-Y1028*AD1028*Inputs!$B$13*(A1029-AC1028),0)</f>
        <v>0</v>
      </c>
      <c r="P1029" s="10" t="n">
        <f aca="false">X1028+O1029</f>
        <v>970.40233796708</v>
      </c>
      <c r="Q1029" s="9" t="b">
        <f aca="false">AND(IF(M1029,0,Y1028)=0,AA1028,IF(ISNUMBER(AE1028),B1029&gt;AE1028,FALSE()))</f>
        <v>0</v>
      </c>
      <c r="R1029" s="8" t="n">
        <f aca="false">B1029*(1+Inputs!$B$12)</f>
        <v>0.845583709056911</v>
      </c>
      <c r="S1029" s="11" t="n">
        <f aca="false">IF(Q1029,MIN(P1029*Inputs!$B$3/(R1029-AE1028),P1029*Inputs!$B$11/R1029),0)</f>
        <v>0</v>
      </c>
      <c r="T1029" s="11" t="n">
        <f aca="false">IF(Q1029,S1029,IF(M1029,0,Y1028))</f>
        <v>0</v>
      </c>
      <c r="U1029" s="8" t="n">
        <f aca="false">IF(Q1029,AE1028,AF1028)</f>
        <v>0.843828396541038</v>
      </c>
      <c r="V1029" s="9" t="b">
        <f aca="false">AND(T1029&gt;0,D1029&lt;=U1029)</f>
        <v>0</v>
      </c>
      <c r="W1029" s="10" t="n">
        <f aca="false">IF(V1029,T1029*(AK1029-AB1029)-Inputs!$B$9-T1029*AD1029*Inputs!$B$13*(A1029-AC1029),0)</f>
        <v>0</v>
      </c>
      <c r="X1029" s="10" t="n">
        <f aca="false">P1029-IF(Q1029,Inputs!$B$9,0)+W1029</f>
        <v>970.40233796708</v>
      </c>
      <c r="Y1029" s="11" t="n">
        <f aca="false">IF(V1029,0,T1029)</f>
        <v>0</v>
      </c>
      <c r="Z1029" s="9" t="b">
        <f aca="false">AND(Y1029&gt;0,K1029)</f>
        <v>0</v>
      </c>
      <c r="AA1029" s="9" t="b">
        <f aca="false">AND(Y1029=0,J1029,ISNUMBER(L1029))</f>
        <v>0</v>
      </c>
      <c r="AB1029" s="8" t="n">
        <f aca="false">IF(Q1029,R1029,AB1028)</f>
        <v>0.863503444084112</v>
      </c>
      <c r="AC1029" s="12" t="n">
        <f aca="false">IF(Q1029,A1029,AC1028)</f>
        <v>45706</v>
      </c>
      <c r="AD1029" s="8" t="n">
        <f aca="false">IF(Q1029,B1029,AD1028)</f>
        <v>0.863330777928526</v>
      </c>
      <c r="AE1029" s="8" t="str">
        <f aca="false">IF(AA1029,L1029,"")</f>
        <v/>
      </c>
      <c r="AF1029" s="8" t="n">
        <f aca="false">U1029</f>
        <v>0.843828396541038</v>
      </c>
      <c r="AG1029" s="2" t="n">
        <f aca="false">AG1028+IF(Q1029,1,0)</f>
        <v>9</v>
      </c>
      <c r="AH1029" s="2" t="n">
        <f aca="false">AG1028</f>
        <v>9</v>
      </c>
      <c r="AI1029" s="10" t="n">
        <f aca="false">X1029+Y1029*(E1029-AB1029)-Y1029*AD1029*Inputs!$B$13*(A1029-AC1029)</f>
        <v>970.40233796708</v>
      </c>
      <c r="AJ1029" s="10" t="n">
        <v>0</v>
      </c>
      <c r="AK1029" s="8" t="n">
        <f aca="false">IF(AND(B1029&lt;=U1029,NOT(Q1029)),B1029,U1029)*(1-Inputs!$B$12)</f>
        <v>0.843659630861729</v>
      </c>
    </row>
    <row r="1030" customFormat="false" ht="15" hidden="false" customHeight="false" outlineLevel="0" collapsed="false">
      <c r="A1030" s="6" t="n">
        <v>45814</v>
      </c>
      <c r="B1030" s="7" t="n">
        <v>0.844312029825346</v>
      </c>
      <c r="C1030" s="7" t="n">
        <v>0.852598804995923</v>
      </c>
      <c r="D1030" s="7" t="n">
        <v>0.841783556008613</v>
      </c>
      <c r="E1030" s="7" t="n">
        <v>0.84729364924916</v>
      </c>
      <c r="F1030" s="8" t="n">
        <f aca="true">IF(ROW()-2&gt;=Inputs!$B$4,AVERAGE(OFFSET(E1030,1-Inputs!$B$4,0,Inputs!$B$4,1)),"")</f>
        <v>0.84566988493447</v>
      </c>
      <c r="G1030" s="8" t="n">
        <f aca="true">IF(ROW()-2&gt;=Inputs!$B$5,AVERAGE(OFFSET(E1030,1-Inputs!$B$5,0,Inputs!$B$5,1)),"")</f>
        <v>0.845818702741196</v>
      </c>
      <c r="H1030" s="8" t="n">
        <f aca="false">MAX(C1030-D1030,ABS(C1030-E1029),ABS(D1030-E1029))</f>
        <v>0.0108152489873105</v>
      </c>
      <c r="I1030" s="8" t="n">
        <f aca="true">IF(ROW()-2&lt;14,"",IF(ROW()-2=14,AVERAGE(OFFSET(H1030,-13,0,14,1)),(I1029*13+H1030)/14))</f>
        <v>0.00954787029814124</v>
      </c>
      <c r="J1030" s="9" t="b">
        <f aca="false">IF(AND(ISNUMBER(F1030),ISNUMBER(G1030),ISNUMBER(F1029),ISNUMBER(G1029)),AND(F1030&gt;G1030,F1029&lt;=G1029),FALSE())</f>
        <v>0</v>
      </c>
      <c r="K1030" s="9" t="b">
        <f aca="false">IF(AND(ISNUMBER(F1030),ISNUMBER(G1030),ISNUMBER(F1029),ISNUMBER(G1029)),AND(F1030&lt;G1030,F1029&gt;=G1029),FALSE())</f>
        <v>0</v>
      </c>
      <c r="L1030" s="8" t="n">
        <f aca="false">IF(ISNUMBER(I1030),E1030-Inputs!$B$6*I1030,"")</f>
        <v>0.828197908652878</v>
      </c>
      <c r="M1030" s="9" t="b">
        <f aca="false">AND(Y1029&gt;0,Z1029)</f>
        <v>0</v>
      </c>
      <c r="N1030" s="8" t="n">
        <f aca="false">B1030*(1-Inputs!$B$12)</f>
        <v>0.844143167419381</v>
      </c>
      <c r="O1030" s="10" t="n">
        <f aca="false">IF(M1030,Y1029*(N1030-AB1029)-Inputs!$B$9-Y1029*AD1029*Inputs!$B$13*(A1030-AC1029),0)</f>
        <v>0</v>
      </c>
      <c r="P1030" s="10" t="n">
        <f aca="false">X1029+O1030</f>
        <v>970.40233796708</v>
      </c>
      <c r="Q1030" s="9" t="b">
        <f aca="false">AND(IF(M1030,0,Y1029)=0,AA1029,IF(ISNUMBER(AE1029),B1030&gt;AE1029,FALSE()))</f>
        <v>0</v>
      </c>
      <c r="R1030" s="8" t="n">
        <f aca="false">B1030*(1+Inputs!$B$12)</f>
        <v>0.844480892231311</v>
      </c>
      <c r="S1030" s="11" t="n">
        <f aca="false">IF(Q1030,MIN(P1030*Inputs!$B$3/(R1030-AE1029),P1030*Inputs!$B$11/R1030),0)</f>
        <v>0</v>
      </c>
      <c r="T1030" s="11" t="n">
        <f aca="false">IF(Q1030,S1030,IF(M1030,0,Y1029))</f>
        <v>0</v>
      </c>
      <c r="U1030" s="8" t="n">
        <f aca="false">IF(Q1030,AE1029,AF1029)</f>
        <v>0.843828396541038</v>
      </c>
      <c r="V1030" s="9" t="b">
        <f aca="false">AND(T1030&gt;0,D1030&lt;=U1030)</f>
        <v>0</v>
      </c>
      <c r="W1030" s="10" t="n">
        <f aca="false">IF(V1030,T1030*(AK1030-AB1030)-Inputs!$B$9-T1030*AD1030*Inputs!$B$13*(A1030-AC1030),0)</f>
        <v>0</v>
      </c>
      <c r="X1030" s="10" t="n">
        <f aca="false">P1030-IF(Q1030,Inputs!$B$9,0)+W1030</f>
        <v>970.40233796708</v>
      </c>
      <c r="Y1030" s="11" t="n">
        <f aca="false">IF(V1030,0,T1030)</f>
        <v>0</v>
      </c>
      <c r="Z1030" s="9" t="b">
        <f aca="false">AND(Y1030&gt;0,K1030)</f>
        <v>0</v>
      </c>
      <c r="AA1030" s="9" t="b">
        <f aca="false">AND(Y1030=0,J1030,ISNUMBER(L1030))</f>
        <v>0</v>
      </c>
      <c r="AB1030" s="8" t="n">
        <f aca="false">IF(Q1030,R1030,AB1029)</f>
        <v>0.863503444084112</v>
      </c>
      <c r="AC1030" s="12" t="n">
        <f aca="false">IF(Q1030,A1030,AC1029)</f>
        <v>45706</v>
      </c>
      <c r="AD1030" s="8" t="n">
        <f aca="false">IF(Q1030,B1030,AD1029)</f>
        <v>0.863330777928526</v>
      </c>
      <c r="AE1030" s="8" t="str">
        <f aca="false">IF(AA1030,L1030,"")</f>
        <v/>
      </c>
      <c r="AF1030" s="8" t="n">
        <f aca="false">U1030</f>
        <v>0.843828396541038</v>
      </c>
      <c r="AG1030" s="2" t="n">
        <f aca="false">AG1029+IF(Q1030,1,0)</f>
        <v>9</v>
      </c>
      <c r="AH1030" s="2" t="n">
        <f aca="false">AG1029</f>
        <v>9</v>
      </c>
      <c r="AI1030" s="10" t="n">
        <f aca="false">X1030+Y1030*(E1030-AB1030)-Y1030*AD1030*Inputs!$B$13*(A1030-AC1030)</f>
        <v>970.40233796708</v>
      </c>
      <c r="AJ1030" s="10" t="n">
        <v>0</v>
      </c>
      <c r="AK1030" s="8" t="n">
        <f aca="false">IF(AND(B1030&lt;=U1030,NOT(Q1030)),B1030,U1030)*(1-Inputs!$B$12)</f>
        <v>0.843659630861729</v>
      </c>
    </row>
    <row r="1031" customFormat="false" ht="15" hidden="false" customHeight="false" outlineLevel="0" collapsed="false">
      <c r="A1031" s="6" t="n">
        <v>45815</v>
      </c>
      <c r="B1031" s="7" t="n">
        <v>0.84729364924916</v>
      </c>
      <c r="C1031" s="7" t="n">
        <v>0.848557260578209</v>
      </c>
      <c r="D1031" s="7" t="n">
        <v>0.846554092742491</v>
      </c>
      <c r="E1031" s="7" t="n">
        <v>0.846636827775943</v>
      </c>
      <c r="F1031" s="8" t="n">
        <f aca="true">IF(ROW()-2&gt;=Inputs!$B$4,AVERAGE(OFFSET(E1031,1-Inputs!$B$4,0,Inputs!$B$4,1)),"")</f>
        <v>0.845699242876966</v>
      </c>
      <c r="G1031" s="8" t="n">
        <f aca="true">IF(ROW()-2&gt;=Inputs!$B$5,AVERAGE(OFFSET(E1031,1-Inputs!$B$5,0,Inputs!$B$5,1)),"")</f>
        <v>0.845553502811802</v>
      </c>
      <c r="H1031" s="8" t="n">
        <f aca="false">MAX(C1031-D1031,ABS(C1031-E1030),ABS(D1031-E1030))</f>
        <v>0.00200316783571797</v>
      </c>
      <c r="I1031" s="8" t="n">
        <f aca="true">IF(ROW()-2&lt;14,"",IF(ROW()-2=14,AVERAGE(OFFSET(H1031,-13,0,14,1)),(I1030*13+H1031)/14))</f>
        <v>0.00900896297939672</v>
      </c>
      <c r="J1031" s="9" t="b">
        <f aca="false">IF(AND(ISNUMBER(F1031),ISNUMBER(G1031),ISNUMBER(F1030),ISNUMBER(G1030)),AND(F1031&gt;G1031,F1030&lt;=G1030),FALSE())</f>
        <v>1</v>
      </c>
      <c r="K1031" s="9" t="b">
        <f aca="false">IF(AND(ISNUMBER(F1031),ISNUMBER(G1031),ISNUMBER(F1030),ISNUMBER(G1030)),AND(F1031&lt;G1031,F1030&gt;=G1030),FALSE())</f>
        <v>0</v>
      </c>
      <c r="L1031" s="8" t="n">
        <f aca="false">IF(ISNUMBER(I1031),E1031-Inputs!$B$6*I1031,"")</f>
        <v>0.82861890181715</v>
      </c>
      <c r="M1031" s="9" t="b">
        <f aca="false">AND(Y1030&gt;0,Z1030)</f>
        <v>0</v>
      </c>
      <c r="N1031" s="8" t="n">
        <f aca="false">B1031*(1-Inputs!$B$12)</f>
        <v>0.84712419051931</v>
      </c>
      <c r="O1031" s="10" t="n">
        <f aca="false">IF(M1031,Y1030*(N1031-AB1030)-Inputs!$B$9-Y1030*AD1030*Inputs!$B$13*(A1031-AC1030),0)</f>
        <v>0</v>
      </c>
      <c r="P1031" s="10" t="n">
        <f aca="false">X1030+O1031</f>
        <v>970.40233796708</v>
      </c>
      <c r="Q1031" s="9" t="b">
        <f aca="false">AND(IF(M1031,0,Y1030)=0,AA1030,IF(ISNUMBER(AE1030),B1031&gt;AE1030,FALSE()))</f>
        <v>0</v>
      </c>
      <c r="R1031" s="8" t="n">
        <f aca="false">B1031*(1+Inputs!$B$12)</f>
        <v>0.84746310797901</v>
      </c>
      <c r="S1031" s="11" t="n">
        <f aca="false">IF(Q1031,MIN(P1031*Inputs!$B$3/(R1031-AE1030),P1031*Inputs!$B$11/R1031),0)</f>
        <v>0</v>
      </c>
      <c r="T1031" s="11" t="n">
        <f aca="false">IF(Q1031,S1031,IF(M1031,0,Y1030))</f>
        <v>0</v>
      </c>
      <c r="U1031" s="8" t="n">
        <f aca="false">IF(Q1031,AE1030,AF1030)</f>
        <v>0.843828396541038</v>
      </c>
      <c r="V1031" s="9" t="b">
        <f aca="false">AND(T1031&gt;0,D1031&lt;=U1031)</f>
        <v>0</v>
      </c>
      <c r="W1031" s="10" t="n">
        <f aca="false">IF(V1031,T1031*(AK1031-AB1031)-Inputs!$B$9-T1031*AD1031*Inputs!$B$13*(A1031-AC1031),0)</f>
        <v>0</v>
      </c>
      <c r="X1031" s="10" t="n">
        <f aca="false">P1031-IF(Q1031,Inputs!$B$9,0)+W1031</f>
        <v>970.40233796708</v>
      </c>
      <c r="Y1031" s="11" t="n">
        <f aca="false">IF(V1031,0,T1031)</f>
        <v>0</v>
      </c>
      <c r="Z1031" s="9" t="b">
        <f aca="false">AND(Y1031&gt;0,K1031)</f>
        <v>0</v>
      </c>
      <c r="AA1031" s="9" t="b">
        <f aca="false">AND(Y1031=0,J1031,ISNUMBER(L1031))</f>
        <v>1</v>
      </c>
      <c r="AB1031" s="8" t="n">
        <f aca="false">IF(Q1031,R1031,AB1030)</f>
        <v>0.863503444084112</v>
      </c>
      <c r="AC1031" s="12" t="n">
        <f aca="false">IF(Q1031,A1031,AC1030)</f>
        <v>45706</v>
      </c>
      <c r="AD1031" s="8" t="n">
        <f aca="false">IF(Q1031,B1031,AD1030)</f>
        <v>0.863330777928526</v>
      </c>
      <c r="AE1031" s="8" t="n">
        <f aca="false">IF(AA1031,L1031,"")</f>
        <v>0.82861890181715</v>
      </c>
      <c r="AF1031" s="8" t="n">
        <f aca="false">U1031</f>
        <v>0.843828396541038</v>
      </c>
      <c r="AG1031" s="2" t="n">
        <f aca="false">AG1030+IF(Q1031,1,0)</f>
        <v>9</v>
      </c>
      <c r="AH1031" s="2" t="n">
        <f aca="false">AG1030</f>
        <v>9</v>
      </c>
      <c r="AI1031" s="10" t="n">
        <f aca="false">X1031+Y1031*(E1031-AB1031)-Y1031*AD1031*Inputs!$B$13*(A1031-AC1031)</f>
        <v>970.40233796708</v>
      </c>
      <c r="AJ1031" s="10" t="n">
        <v>0</v>
      </c>
      <c r="AK1031" s="8" t="n">
        <f aca="false">IF(AND(B1031&lt;=U1031,NOT(Q1031)),B1031,U1031)*(1-Inputs!$B$12)</f>
        <v>0.843659630861729</v>
      </c>
    </row>
    <row r="1032" customFormat="false" ht="15" hidden="false" customHeight="false" outlineLevel="0" collapsed="false">
      <c r="A1032" s="6" t="n">
        <v>45816</v>
      </c>
      <c r="B1032" s="7" t="n">
        <v>0.846636827775943</v>
      </c>
      <c r="C1032" s="7" t="n">
        <v>0.861496300406409</v>
      </c>
      <c r="D1032" s="7" t="n">
        <v>0.844282726033612</v>
      </c>
      <c r="E1032" s="7" t="n">
        <v>0.857209820006759</v>
      </c>
      <c r="F1032" s="8" t="n">
        <f aca="true">IF(ROW()-2&gt;=Inputs!$B$4,AVERAGE(OFFSET(E1032,1-Inputs!$B$4,0,Inputs!$B$4,1)),"")</f>
        <v>0.846473684434884</v>
      </c>
      <c r="G1032" s="8" t="n">
        <f aca="true">IF(ROW()-2&gt;=Inputs!$B$5,AVERAGE(OFFSET(E1032,1-Inputs!$B$5,0,Inputs!$B$5,1)),"")</f>
        <v>0.845692546095575</v>
      </c>
      <c r="H1032" s="8" t="n">
        <f aca="false">MAX(C1032-D1032,ABS(C1032-E1031),ABS(D1032-E1031))</f>
        <v>0.0172135743727968</v>
      </c>
      <c r="I1032" s="8" t="n">
        <f aca="true">IF(ROW()-2&lt;14,"",IF(ROW()-2=14,AVERAGE(OFFSET(H1032,-13,0,14,1)),(I1031*13+H1032)/14))</f>
        <v>0.00959500665035387</v>
      </c>
      <c r="J1032" s="9" t="b">
        <f aca="false">IF(AND(ISNUMBER(F1032),ISNUMBER(G1032),ISNUMBER(F1031),ISNUMBER(G1031)),AND(F1032&gt;G1032,F1031&lt;=G1031),FALSE())</f>
        <v>0</v>
      </c>
      <c r="K1032" s="9" t="b">
        <f aca="false">IF(AND(ISNUMBER(F1032),ISNUMBER(G1032),ISNUMBER(F1031),ISNUMBER(G1031)),AND(F1032&lt;G1032,F1031&gt;=G1031),FALSE())</f>
        <v>0</v>
      </c>
      <c r="L1032" s="8" t="n">
        <f aca="false">IF(ISNUMBER(I1032),E1032-Inputs!$B$6*I1032,"")</f>
        <v>0.838019806706051</v>
      </c>
      <c r="M1032" s="9" t="b">
        <f aca="false">AND(Y1031&gt;0,Z1031)</f>
        <v>0</v>
      </c>
      <c r="N1032" s="8" t="n">
        <f aca="false">B1032*(1-Inputs!$B$12)</f>
        <v>0.846467500410388</v>
      </c>
      <c r="O1032" s="10" t="n">
        <f aca="false">IF(M1032,Y1031*(N1032-AB1031)-Inputs!$B$9-Y1031*AD1031*Inputs!$B$13*(A1032-AC1031),0)</f>
        <v>0</v>
      </c>
      <c r="P1032" s="10" t="n">
        <f aca="false">X1031+O1032</f>
        <v>970.40233796708</v>
      </c>
      <c r="Q1032" s="9" t="b">
        <f aca="false">AND(IF(M1032,0,Y1031)=0,AA1031,IF(ISNUMBER(AE1031),B1032&gt;AE1031,FALSE()))</f>
        <v>1</v>
      </c>
      <c r="R1032" s="8" t="n">
        <f aca="false">B1032*(1+Inputs!$B$12)</f>
        <v>0.846806155141499</v>
      </c>
      <c r="S1032" s="11" t="n">
        <f aca="false">IF(Q1032,MIN(P1032*Inputs!$B$3/(R1032-AE1031),P1032*Inputs!$B$11/R1032),0)</f>
        <v>533.561786742107</v>
      </c>
      <c r="T1032" s="11" t="n">
        <f aca="false">IF(Q1032,S1032,IF(M1032,0,Y1031))</f>
        <v>533.561786742107</v>
      </c>
      <c r="U1032" s="8" t="n">
        <f aca="false">IF(Q1032,AE1031,AF1031)</f>
        <v>0.82861890181715</v>
      </c>
      <c r="V1032" s="9" t="b">
        <f aca="false">AND(T1032&gt;0,D1032&lt;=U1032)</f>
        <v>0</v>
      </c>
      <c r="W1032" s="10" t="n">
        <f aca="false">IF(V1032,T1032*(AK1032-AB1032)-Inputs!$B$9-T1032*AD1032*Inputs!$B$13*(A1032-AC1032),0)</f>
        <v>0</v>
      </c>
      <c r="X1032" s="10" t="n">
        <f aca="false">P1032-IF(Q1032,Inputs!$B$9,0)+W1032</f>
        <v>969.40233796708</v>
      </c>
      <c r="Y1032" s="11" t="n">
        <f aca="false">IF(V1032,0,T1032)</f>
        <v>533.561786742107</v>
      </c>
      <c r="Z1032" s="9" t="b">
        <f aca="false">AND(Y1032&gt;0,K1032)</f>
        <v>0</v>
      </c>
      <c r="AA1032" s="9" t="b">
        <f aca="false">AND(Y1032=0,J1032,ISNUMBER(L1032))</f>
        <v>0</v>
      </c>
      <c r="AB1032" s="8" t="n">
        <f aca="false">IF(Q1032,R1032,AB1031)</f>
        <v>0.846806155141499</v>
      </c>
      <c r="AC1032" s="12" t="n">
        <f aca="false">IF(Q1032,A1032,AC1031)</f>
        <v>45816</v>
      </c>
      <c r="AD1032" s="8" t="n">
        <f aca="false">IF(Q1032,B1032,AD1031)</f>
        <v>0.846636827775943</v>
      </c>
      <c r="AE1032" s="8" t="str">
        <f aca="false">IF(AA1032,L1032,"")</f>
        <v/>
      </c>
      <c r="AF1032" s="8" t="n">
        <f aca="false">U1032</f>
        <v>0.82861890181715</v>
      </c>
      <c r="AG1032" s="2" t="n">
        <f aca="false">AG1031+IF(Q1032,1,0)</f>
        <v>10</v>
      </c>
      <c r="AH1032" s="2" t="n">
        <f aca="false">AG1031</f>
        <v>9</v>
      </c>
      <c r="AI1032" s="10" t="n">
        <f aca="false">X1032+Y1032*(E1032-AB1032)-Y1032*AD1032*Inputs!$B$13*(A1032-AC1032)</f>
        <v>974.953335981254</v>
      </c>
      <c r="AJ1032" s="10" t="n">
        <v>0</v>
      </c>
      <c r="AK1032" s="8" t="n">
        <f aca="false">IF(AND(B1032&lt;=U1032,NOT(Q1032)),B1032,U1032)*(1-Inputs!$B$12)</f>
        <v>0.828453178036787</v>
      </c>
    </row>
    <row r="1033" customFormat="false" ht="15" hidden="false" customHeight="false" outlineLevel="0" collapsed="false">
      <c r="A1033" s="6" t="n">
        <v>45817</v>
      </c>
      <c r="B1033" s="7" t="n">
        <v>0.857209820006759</v>
      </c>
      <c r="C1033" s="7" t="n">
        <v>0.85742576809329</v>
      </c>
      <c r="D1033" s="7" t="n">
        <v>0.850631426989203</v>
      </c>
      <c r="E1033" s="7" t="n">
        <v>0.851572270968998</v>
      </c>
      <c r="F1033" s="8" t="n">
        <f aca="true">IF(ROW()-2&gt;=Inputs!$B$4,AVERAGE(OFFSET(E1033,1-Inputs!$B$4,0,Inputs!$B$4,1)),"")</f>
        <v>0.84718499077103</v>
      </c>
      <c r="G1033" s="8" t="n">
        <f aca="true">IF(ROW()-2&gt;=Inputs!$B$5,AVERAGE(OFFSET(E1033,1-Inputs!$B$5,0,Inputs!$B$5,1)),"")</f>
        <v>0.845779282313356</v>
      </c>
      <c r="H1033" s="8" t="n">
        <f aca="false">MAX(C1033-D1033,ABS(C1033-E1032),ABS(D1033-E1032))</f>
        <v>0.00679434110408717</v>
      </c>
      <c r="I1033" s="8" t="n">
        <f aca="true">IF(ROW()-2&lt;14,"",IF(ROW()-2=14,AVERAGE(OFFSET(H1033,-13,0,14,1)),(I1032*13+H1033)/14))</f>
        <v>0.00939495911133482</v>
      </c>
      <c r="J1033" s="9" t="b">
        <f aca="false">IF(AND(ISNUMBER(F1033),ISNUMBER(G1033),ISNUMBER(F1032),ISNUMBER(G1032)),AND(F1033&gt;G1033,F1032&lt;=G1032),FALSE())</f>
        <v>0</v>
      </c>
      <c r="K1033" s="9" t="b">
        <f aca="false">IF(AND(ISNUMBER(F1033),ISNUMBER(G1033),ISNUMBER(F1032),ISNUMBER(G1032)),AND(F1033&lt;G1033,F1032&gt;=G1032),FALSE())</f>
        <v>0</v>
      </c>
      <c r="L1033" s="8" t="n">
        <f aca="false">IF(ISNUMBER(I1033),E1033-Inputs!$B$6*I1033,"")</f>
        <v>0.832782352746329</v>
      </c>
      <c r="M1033" s="9" t="b">
        <f aca="false">AND(Y1032&gt;0,Z1032)</f>
        <v>0</v>
      </c>
      <c r="N1033" s="8" t="n">
        <f aca="false">B1033*(1-Inputs!$B$12)</f>
        <v>0.857038378042757</v>
      </c>
      <c r="O1033" s="10" t="n">
        <f aca="false">IF(M1033,Y1032*(N1033-AB1032)-Inputs!$B$9-Y1032*AD1032*Inputs!$B$13*(A1033-AC1032),0)</f>
        <v>0</v>
      </c>
      <c r="P1033" s="10" t="n">
        <f aca="false">X1032+O1033</f>
        <v>969.40233796708</v>
      </c>
      <c r="Q1033" s="9" t="b">
        <f aca="false">AND(IF(M1033,0,Y1032)=0,AA1032,IF(ISNUMBER(AE1032),B1033&gt;AE1032,FALSE()))</f>
        <v>0</v>
      </c>
      <c r="R1033" s="8" t="n">
        <f aca="false">B1033*(1+Inputs!$B$12)</f>
        <v>0.85738126197076</v>
      </c>
      <c r="S1033" s="11" t="n">
        <f aca="false">IF(Q1033,MIN(P1033*Inputs!$B$3/(R1033-AE1032),P1033*Inputs!$B$11/R1033),0)</f>
        <v>0</v>
      </c>
      <c r="T1033" s="11" t="n">
        <f aca="false">IF(Q1033,S1033,IF(M1033,0,Y1032))</f>
        <v>533.561786742107</v>
      </c>
      <c r="U1033" s="8" t="n">
        <f aca="false">IF(Q1033,AE1032,AF1032)</f>
        <v>0.82861890181715</v>
      </c>
      <c r="V1033" s="9" t="b">
        <f aca="false">AND(T1033&gt;0,D1033&lt;=U1033)</f>
        <v>0</v>
      </c>
      <c r="W1033" s="10" t="n">
        <f aca="false">IF(V1033,T1033*(AK1033-AB1033)-Inputs!$B$9-T1033*AD1033*Inputs!$B$13*(A1033-AC1033),0)</f>
        <v>0</v>
      </c>
      <c r="X1033" s="10" t="n">
        <f aca="false">P1033-IF(Q1033,Inputs!$B$9,0)+W1033</f>
        <v>969.40233796708</v>
      </c>
      <c r="Y1033" s="11" t="n">
        <f aca="false">IF(V1033,0,T1033)</f>
        <v>533.561786742107</v>
      </c>
      <c r="Z1033" s="9" t="b">
        <f aca="false">AND(Y1033&gt;0,K1033)</f>
        <v>0</v>
      </c>
      <c r="AA1033" s="9" t="b">
        <f aca="false">AND(Y1033=0,J1033,ISNUMBER(L1033))</f>
        <v>0</v>
      </c>
      <c r="AB1033" s="8" t="n">
        <f aca="false">IF(Q1033,R1033,AB1032)</f>
        <v>0.846806155141499</v>
      </c>
      <c r="AC1033" s="12" t="n">
        <f aca="false">IF(Q1033,A1033,AC1032)</f>
        <v>45816</v>
      </c>
      <c r="AD1033" s="8" t="n">
        <f aca="false">IF(Q1033,B1033,AD1032)</f>
        <v>0.846636827775943</v>
      </c>
      <c r="AE1033" s="8" t="str">
        <f aca="false">IF(AA1033,L1033,"")</f>
        <v/>
      </c>
      <c r="AF1033" s="8" t="n">
        <f aca="false">U1033</f>
        <v>0.82861890181715</v>
      </c>
      <c r="AG1033" s="2" t="n">
        <f aca="false">AG1032+IF(Q1033,1,0)</f>
        <v>10</v>
      </c>
      <c r="AH1033" s="2" t="n">
        <f aca="false">AG1032</f>
        <v>10</v>
      </c>
      <c r="AI1033" s="10" t="n">
        <f aca="false">X1033+Y1033*(E1033-AB1033)-Y1033*AD1033*Inputs!$B$13*(A1033-AC1033)</f>
        <v>971.864909630654</v>
      </c>
      <c r="AJ1033" s="10" t="n">
        <v>0</v>
      </c>
      <c r="AK1033" s="8" t="n">
        <f aca="false">IF(AND(B1033&lt;=U1033,NOT(Q1033)),B1033,U1033)*(1-Inputs!$B$12)</f>
        <v>0.828453178036787</v>
      </c>
    </row>
    <row r="1034" customFormat="false" ht="15" hidden="false" customHeight="false" outlineLevel="0" collapsed="false">
      <c r="A1034" s="6" t="n">
        <v>45818</v>
      </c>
      <c r="B1034" s="7" t="n">
        <v>0.851572270968998</v>
      </c>
      <c r="C1034" s="7" t="n">
        <v>0.855623228114138</v>
      </c>
      <c r="D1034" s="7" t="n">
        <v>0.849240451084183</v>
      </c>
      <c r="E1034" s="7" t="n">
        <v>0.853330127475361</v>
      </c>
      <c r="F1034" s="8" t="n">
        <f aca="true">IF(ROW()-2&gt;=Inputs!$B$4,AVERAGE(OFFSET(E1034,1-Inputs!$B$4,0,Inputs!$B$4,1)),"")</f>
        <v>0.847779991184981</v>
      </c>
      <c r="G1034" s="8" t="n">
        <f aca="true">IF(ROW()-2&gt;=Inputs!$B$5,AVERAGE(OFFSET(E1034,1-Inputs!$B$5,0,Inputs!$B$5,1)),"")</f>
        <v>0.845950933455183</v>
      </c>
      <c r="H1034" s="8" t="n">
        <f aca="false">MAX(C1034-D1034,ABS(C1034-E1033),ABS(D1034-E1033))</f>
        <v>0.00638277702995438</v>
      </c>
      <c r="I1034" s="8" t="n">
        <f aca="true">IF(ROW()-2&lt;14,"",IF(ROW()-2=14,AVERAGE(OFFSET(H1034,-13,0,14,1)),(I1033*13+H1034)/14))</f>
        <v>0.00917980324837908</v>
      </c>
      <c r="J1034" s="9" t="b">
        <f aca="false">IF(AND(ISNUMBER(F1034),ISNUMBER(G1034),ISNUMBER(F1033),ISNUMBER(G1033)),AND(F1034&gt;G1034,F1033&lt;=G1033),FALSE())</f>
        <v>0</v>
      </c>
      <c r="K1034" s="9" t="b">
        <f aca="false">IF(AND(ISNUMBER(F1034),ISNUMBER(G1034),ISNUMBER(F1033),ISNUMBER(G1033)),AND(F1034&lt;G1034,F1033&gt;=G1033),FALSE())</f>
        <v>0</v>
      </c>
      <c r="L1034" s="8" t="n">
        <f aca="false">IF(ISNUMBER(I1034),E1034-Inputs!$B$6*I1034,"")</f>
        <v>0.834970520978603</v>
      </c>
      <c r="M1034" s="9" t="b">
        <f aca="false">AND(Y1033&gt;0,Z1033)</f>
        <v>0</v>
      </c>
      <c r="N1034" s="8" t="n">
        <f aca="false">B1034*(1-Inputs!$B$12)</f>
        <v>0.851401956514804</v>
      </c>
      <c r="O1034" s="10" t="n">
        <f aca="false">IF(M1034,Y1033*(N1034-AB1033)-Inputs!$B$9-Y1033*AD1033*Inputs!$B$13*(A1034-AC1033),0)</f>
        <v>0</v>
      </c>
      <c r="P1034" s="10" t="n">
        <f aca="false">X1033+O1034</f>
        <v>969.40233796708</v>
      </c>
      <c r="Q1034" s="9" t="b">
        <f aca="false">AND(IF(M1034,0,Y1033)=0,AA1033,IF(ISNUMBER(AE1033),B1034&gt;AE1033,FALSE()))</f>
        <v>0</v>
      </c>
      <c r="R1034" s="8" t="n">
        <f aca="false">B1034*(1+Inputs!$B$12)</f>
        <v>0.851742585423192</v>
      </c>
      <c r="S1034" s="11" t="n">
        <f aca="false">IF(Q1034,MIN(P1034*Inputs!$B$3/(R1034-AE1033),P1034*Inputs!$B$11/R1034),0)</f>
        <v>0</v>
      </c>
      <c r="T1034" s="11" t="n">
        <f aca="false">IF(Q1034,S1034,IF(M1034,0,Y1033))</f>
        <v>533.561786742107</v>
      </c>
      <c r="U1034" s="8" t="n">
        <f aca="false">IF(Q1034,AE1033,AF1033)</f>
        <v>0.82861890181715</v>
      </c>
      <c r="V1034" s="9" t="b">
        <f aca="false">AND(T1034&gt;0,D1034&lt;=U1034)</f>
        <v>0</v>
      </c>
      <c r="W1034" s="10" t="n">
        <f aca="false">IF(V1034,T1034*(AK1034-AB1034)-Inputs!$B$9-T1034*AD1034*Inputs!$B$13*(A1034-AC1034),0)</f>
        <v>0</v>
      </c>
      <c r="X1034" s="10" t="n">
        <f aca="false">P1034-IF(Q1034,Inputs!$B$9,0)+W1034</f>
        <v>969.40233796708</v>
      </c>
      <c r="Y1034" s="11" t="n">
        <f aca="false">IF(V1034,0,T1034)</f>
        <v>533.561786742107</v>
      </c>
      <c r="Z1034" s="9" t="b">
        <f aca="false">AND(Y1034&gt;0,K1034)</f>
        <v>0</v>
      </c>
      <c r="AA1034" s="9" t="b">
        <f aca="false">AND(Y1034=0,J1034,ISNUMBER(L1034))</f>
        <v>0</v>
      </c>
      <c r="AB1034" s="8" t="n">
        <f aca="false">IF(Q1034,R1034,AB1033)</f>
        <v>0.846806155141499</v>
      </c>
      <c r="AC1034" s="12" t="n">
        <f aca="false">IF(Q1034,A1034,AC1033)</f>
        <v>45816</v>
      </c>
      <c r="AD1034" s="8" t="n">
        <f aca="false">IF(Q1034,B1034,AD1033)</f>
        <v>0.846636827775943</v>
      </c>
      <c r="AE1034" s="8" t="str">
        <f aca="false">IF(AA1034,L1034,"")</f>
        <v/>
      </c>
      <c r="AF1034" s="8" t="n">
        <f aca="false">U1034</f>
        <v>0.82861890181715</v>
      </c>
      <c r="AG1034" s="2" t="n">
        <f aca="false">AG1033+IF(Q1034,1,0)</f>
        <v>10</v>
      </c>
      <c r="AH1034" s="2" t="n">
        <f aca="false">AG1033</f>
        <v>10</v>
      </c>
      <c r="AI1034" s="10" t="n">
        <f aca="false">X1034+Y1034*(E1034-AB1034)-Y1034*AD1034*Inputs!$B$13*(A1034-AC1034)</f>
        <v>972.722389075859</v>
      </c>
      <c r="AJ1034" s="10" t="n">
        <v>0</v>
      </c>
      <c r="AK1034" s="8" t="n">
        <f aca="false">IF(AND(B1034&lt;=U1034,NOT(Q1034)),B1034,U1034)*(1-Inputs!$B$12)</f>
        <v>0.828453178036787</v>
      </c>
    </row>
    <row r="1035" customFormat="false" ht="15" hidden="false" customHeight="false" outlineLevel="0" collapsed="false">
      <c r="A1035" s="6" t="n">
        <v>45819</v>
      </c>
      <c r="B1035" s="7" t="n">
        <v>0.853330127475361</v>
      </c>
      <c r="C1035" s="7" t="n">
        <v>0.860122493496854</v>
      </c>
      <c r="D1035" s="7" t="n">
        <v>0.846757257610719</v>
      </c>
      <c r="E1035" s="7" t="n">
        <v>0.850718737026573</v>
      </c>
      <c r="F1035" s="8" t="n">
        <f aca="true">IF(ROW()-2&gt;=Inputs!$B$4,AVERAGE(OFFSET(E1035,1-Inputs!$B$4,0,Inputs!$B$4,1)),"")</f>
        <v>0.8483823310609</v>
      </c>
      <c r="G1035" s="8" t="n">
        <f aca="true">IF(ROW()-2&gt;=Inputs!$B$5,AVERAGE(OFFSET(E1035,1-Inputs!$B$5,0,Inputs!$B$5,1)),"")</f>
        <v>0.846197557949476</v>
      </c>
      <c r="H1035" s="8" t="n">
        <f aca="false">MAX(C1035-D1035,ABS(C1035-E1034),ABS(D1035-E1034))</f>
        <v>0.0133652358861354</v>
      </c>
      <c r="I1035" s="8" t="n">
        <f aca="true">IF(ROW()-2&lt;14,"",IF(ROW()-2=14,AVERAGE(OFFSET(H1035,-13,0,14,1)),(I1034*13+H1035)/14))</f>
        <v>0.00947876272250453</v>
      </c>
      <c r="J1035" s="9" t="b">
        <f aca="false">IF(AND(ISNUMBER(F1035),ISNUMBER(G1035),ISNUMBER(F1034),ISNUMBER(G1034)),AND(F1035&gt;G1035,F1034&lt;=G1034),FALSE())</f>
        <v>0</v>
      </c>
      <c r="K1035" s="9" t="b">
        <f aca="false">IF(AND(ISNUMBER(F1035),ISNUMBER(G1035),ISNUMBER(F1034),ISNUMBER(G1034)),AND(F1035&lt;G1035,F1034&gt;=G1034),FALSE())</f>
        <v>0</v>
      </c>
      <c r="L1035" s="8" t="n">
        <f aca="false">IF(ISNUMBER(I1035),E1035-Inputs!$B$6*I1035,"")</f>
        <v>0.831761211581564</v>
      </c>
      <c r="M1035" s="9" t="b">
        <f aca="false">AND(Y1034&gt;0,Z1034)</f>
        <v>0</v>
      </c>
      <c r="N1035" s="8" t="n">
        <f aca="false">B1035*(1-Inputs!$B$12)</f>
        <v>0.853159461449866</v>
      </c>
      <c r="O1035" s="10" t="n">
        <f aca="false">IF(M1035,Y1034*(N1035-AB1034)-Inputs!$B$9-Y1034*AD1034*Inputs!$B$13*(A1035-AC1034),0)</f>
        <v>0</v>
      </c>
      <c r="P1035" s="10" t="n">
        <f aca="false">X1034+O1035</f>
        <v>969.40233796708</v>
      </c>
      <c r="Q1035" s="9" t="b">
        <f aca="false">AND(IF(M1035,0,Y1034)=0,AA1034,IF(ISNUMBER(AE1034),B1035&gt;AE1034,FALSE()))</f>
        <v>0</v>
      </c>
      <c r="R1035" s="8" t="n">
        <f aca="false">B1035*(1+Inputs!$B$12)</f>
        <v>0.853500793500857</v>
      </c>
      <c r="S1035" s="11" t="n">
        <f aca="false">IF(Q1035,MIN(P1035*Inputs!$B$3/(R1035-AE1034),P1035*Inputs!$B$11/R1035),0)</f>
        <v>0</v>
      </c>
      <c r="T1035" s="11" t="n">
        <f aca="false">IF(Q1035,S1035,IF(M1035,0,Y1034))</f>
        <v>533.561786742107</v>
      </c>
      <c r="U1035" s="8" t="n">
        <f aca="false">IF(Q1035,AE1034,AF1034)</f>
        <v>0.82861890181715</v>
      </c>
      <c r="V1035" s="9" t="b">
        <f aca="false">AND(T1035&gt;0,D1035&lt;=U1035)</f>
        <v>0</v>
      </c>
      <c r="W1035" s="10" t="n">
        <f aca="false">IF(V1035,T1035*(AK1035-AB1035)-Inputs!$B$9-T1035*AD1035*Inputs!$B$13*(A1035-AC1035),0)</f>
        <v>0</v>
      </c>
      <c r="X1035" s="10" t="n">
        <f aca="false">P1035-IF(Q1035,Inputs!$B$9,0)+W1035</f>
        <v>969.40233796708</v>
      </c>
      <c r="Y1035" s="11" t="n">
        <f aca="false">IF(V1035,0,T1035)</f>
        <v>533.561786742107</v>
      </c>
      <c r="Z1035" s="9" t="b">
        <f aca="false">AND(Y1035&gt;0,K1035)</f>
        <v>0</v>
      </c>
      <c r="AA1035" s="9" t="b">
        <f aca="false">AND(Y1035=0,J1035,ISNUMBER(L1035))</f>
        <v>0</v>
      </c>
      <c r="AB1035" s="8" t="n">
        <f aca="false">IF(Q1035,R1035,AB1034)</f>
        <v>0.846806155141499</v>
      </c>
      <c r="AC1035" s="12" t="n">
        <f aca="false">IF(Q1035,A1035,AC1034)</f>
        <v>45816</v>
      </c>
      <c r="AD1035" s="8" t="n">
        <f aca="false">IF(Q1035,B1035,AD1034)</f>
        <v>0.846636827775943</v>
      </c>
      <c r="AE1035" s="8" t="str">
        <f aca="false">IF(AA1035,L1035,"")</f>
        <v/>
      </c>
      <c r="AF1035" s="8" t="n">
        <f aca="false">U1035</f>
        <v>0.82861890181715</v>
      </c>
      <c r="AG1035" s="2" t="n">
        <f aca="false">AG1034+IF(Q1035,1,0)</f>
        <v>10</v>
      </c>
      <c r="AH1035" s="2" t="n">
        <f aca="false">AG1034</f>
        <v>10</v>
      </c>
      <c r="AI1035" s="10" t="n">
        <f aca="false">X1035+Y1035*(E1035-AB1035)-Y1035*AD1035*Inputs!$B$13*(A1035-AC1035)</f>
        <v>971.248605308956</v>
      </c>
      <c r="AJ1035" s="10" t="n">
        <v>0</v>
      </c>
      <c r="AK1035" s="8" t="n">
        <f aca="false">IF(AND(B1035&lt;=U1035,NOT(Q1035)),B1035,U1035)*(1-Inputs!$B$12)</f>
        <v>0.828453178036787</v>
      </c>
    </row>
    <row r="1036" customFormat="false" ht="15" hidden="false" customHeight="false" outlineLevel="0" collapsed="false">
      <c r="A1036" s="6" t="n">
        <v>45820</v>
      </c>
      <c r="B1036" s="7" t="n">
        <v>0.850718737026573</v>
      </c>
      <c r="C1036" s="7" t="n">
        <v>0.85355218895661</v>
      </c>
      <c r="D1036" s="7" t="n">
        <v>0.845088338755878</v>
      </c>
      <c r="E1036" s="7" t="n">
        <v>0.85137769705954</v>
      </c>
      <c r="F1036" s="8" t="n">
        <f aca="true">IF(ROW()-2&gt;=Inputs!$B$4,AVERAGE(OFFSET(E1036,1-Inputs!$B$4,0,Inputs!$B$4,1)),"")</f>
        <v>0.848962074862322</v>
      </c>
      <c r="G1036" s="8" t="n">
        <f aca="true">IF(ROW()-2&gt;=Inputs!$B$5,AVERAGE(OFFSET(E1036,1-Inputs!$B$5,0,Inputs!$B$5,1)),"")</f>
        <v>0.846562029186658</v>
      </c>
      <c r="H1036" s="8" t="n">
        <f aca="false">MAX(C1036-D1036,ABS(C1036-E1035),ABS(D1036-E1035))</f>
        <v>0.00846385020073248</v>
      </c>
      <c r="I1036" s="8" t="n">
        <f aca="true">IF(ROW()-2&lt;14,"",IF(ROW()-2=14,AVERAGE(OFFSET(H1036,-13,0,14,1)),(I1035*13+H1036)/14))</f>
        <v>0.00940626897094938</v>
      </c>
      <c r="J1036" s="9" t="b">
        <f aca="false">IF(AND(ISNUMBER(F1036),ISNUMBER(G1036),ISNUMBER(F1035),ISNUMBER(G1035)),AND(F1036&gt;G1036,F1035&lt;=G1035),FALSE())</f>
        <v>0</v>
      </c>
      <c r="K1036" s="9" t="b">
        <f aca="false">IF(AND(ISNUMBER(F1036),ISNUMBER(G1036),ISNUMBER(F1035),ISNUMBER(G1035)),AND(F1036&lt;G1036,F1035&gt;=G1035),FALSE())</f>
        <v>0</v>
      </c>
      <c r="L1036" s="8" t="n">
        <f aca="false">IF(ISNUMBER(I1036),E1036-Inputs!$B$6*I1036,"")</f>
        <v>0.832565159117641</v>
      </c>
      <c r="M1036" s="9" t="b">
        <f aca="false">AND(Y1035&gt;0,Z1035)</f>
        <v>0</v>
      </c>
      <c r="N1036" s="8" t="n">
        <f aca="false">B1036*(1-Inputs!$B$12)</f>
        <v>0.850548593279167</v>
      </c>
      <c r="O1036" s="10" t="n">
        <f aca="false">IF(M1036,Y1035*(N1036-AB1035)-Inputs!$B$9-Y1035*AD1035*Inputs!$B$13*(A1036-AC1035),0)</f>
        <v>0</v>
      </c>
      <c r="P1036" s="10" t="n">
        <f aca="false">X1035+O1036</f>
        <v>969.40233796708</v>
      </c>
      <c r="Q1036" s="9" t="b">
        <f aca="false">AND(IF(M1036,0,Y1035)=0,AA1035,IF(ISNUMBER(AE1035),B1036&gt;AE1035,FALSE()))</f>
        <v>0</v>
      </c>
      <c r="R1036" s="8" t="n">
        <f aca="false">B1036*(1+Inputs!$B$12)</f>
        <v>0.850888880773978</v>
      </c>
      <c r="S1036" s="11" t="n">
        <f aca="false">IF(Q1036,MIN(P1036*Inputs!$B$3/(R1036-AE1035),P1036*Inputs!$B$11/R1036),0)</f>
        <v>0</v>
      </c>
      <c r="T1036" s="11" t="n">
        <f aca="false">IF(Q1036,S1036,IF(M1036,0,Y1035))</f>
        <v>533.561786742107</v>
      </c>
      <c r="U1036" s="8" t="n">
        <f aca="false">IF(Q1036,AE1035,AF1035)</f>
        <v>0.82861890181715</v>
      </c>
      <c r="V1036" s="9" t="b">
        <f aca="false">AND(T1036&gt;0,D1036&lt;=U1036)</f>
        <v>0</v>
      </c>
      <c r="W1036" s="10" t="n">
        <f aca="false">IF(V1036,T1036*(AK1036-AB1036)-Inputs!$B$9-T1036*AD1036*Inputs!$B$13*(A1036-AC1036),0)</f>
        <v>0</v>
      </c>
      <c r="X1036" s="10" t="n">
        <f aca="false">P1036-IF(Q1036,Inputs!$B$9,0)+W1036</f>
        <v>969.40233796708</v>
      </c>
      <c r="Y1036" s="11" t="n">
        <f aca="false">IF(V1036,0,T1036)</f>
        <v>533.561786742107</v>
      </c>
      <c r="Z1036" s="9" t="b">
        <f aca="false">AND(Y1036&gt;0,K1036)</f>
        <v>0</v>
      </c>
      <c r="AA1036" s="9" t="b">
        <f aca="false">AND(Y1036=0,J1036,ISNUMBER(L1036))</f>
        <v>0</v>
      </c>
      <c r="AB1036" s="8" t="n">
        <f aca="false">IF(Q1036,R1036,AB1035)</f>
        <v>0.846806155141499</v>
      </c>
      <c r="AC1036" s="12" t="n">
        <f aca="false">IF(Q1036,A1036,AC1035)</f>
        <v>45816</v>
      </c>
      <c r="AD1036" s="8" t="n">
        <f aca="false">IF(Q1036,B1036,AD1035)</f>
        <v>0.846636827775943</v>
      </c>
      <c r="AE1036" s="8" t="str">
        <f aca="false">IF(AA1036,L1036,"")</f>
        <v/>
      </c>
      <c r="AF1036" s="8" t="n">
        <f aca="false">U1036</f>
        <v>0.82861890181715</v>
      </c>
      <c r="AG1036" s="2" t="n">
        <f aca="false">AG1035+IF(Q1036,1,0)</f>
        <v>10</v>
      </c>
      <c r="AH1036" s="2" t="n">
        <f aca="false">AG1035</f>
        <v>10</v>
      </c>
      <c r="AI1036" s="10" t="n">
        <f aca="false">X1036+Y1036*(E1036-AB1036)-Y1036*AD1036*Inputs!$B$13*(A1036-AC1036)</f>
        <v>971.519755588371</v>
      </c>
      <c r="AJ1036" s="10" t="n">
        <v>0</v>
      </c>
      <c r="AK1036" s="8" t="n">
        <f aca="false">IF(AND(B1036&lt;=U1036,NOT(Q1036)),B1036,U1036)*(1-Inputs!$B$12)</f>
        <v>0.828453178036787</v>
      </c>
    </row>
    <row r="1037" customFormat="false" ht="15" hidden="false" customHeight="false" outlineLevel="0" collapsed="false">
      <c r="A1037" s="6" t="n">
        <v>45821</v>
      </c>
      <c r="B1037" s="7" t="n">
        <v>0.85137769705954</v>
      </c>
      <c r="C1037" s="7" t="n">
        <v>0.855616291642043</v>
      </c>
      <c r="D1037" s="7" t="n">
        <v>0.841702420803548</v>
      </c>
      <c r="E1037" s="7" t="n">
        <v>0.844970423490214</v>
      </c>
      <c r="F1037" s="8" t="n">
        <f aca="true">IF(ROW()-2&gt;=Inputs!$B$4,AVERAGE(OFFSET(E1037,1-Inputs!$B$4,0,Inputs!$B$4,1)),"")</f>
        <v>0.849002288743893</v>
      </c>
      <c r="G1037" s="8" t="n">
        <f aca="true">IF(ROW()-2&gt;=Inputs!$B$5,AVERAGE(OFFSET(E1037,1-Inputs!$B$5,0,Inputs!$B$5,1)),"")</f>
        <v>0.846792048147332</v>
      </c>
      <c r="H1037" s="8" t="n">
        <f aca="false">MAX(C1037-D1037,ABS(C1037-E1036),ABS(D1037-E1036))</f>
        <v>0.0139138708384949</v>
      </c>
      <c r="I1037" s="8" t="n">
        <f aca="true">IF(ROW()-2&lt;14,"",IF(ROW()-2=14,AVERAGE(OFFSET(H1037,-13,0,14,1)),(I1036*13+H1037)/14))</f>
        <v>0.00972824053291692</v>
      </c>
      <c r="J1037" s="9" t="b">
        <f aca="false">IF(AND(ISNUMBER(F1037),ISNUMBER(G1037),ISNUMBER(F1036),ISNUMBER(G1036)),AND(F1037&gt;G1037,F1036&lt;=G1036),FALSE())</f>
        <v>0</v>
      </c>
      <c r="K1037" s="9" t="b">
        <f aca="false">IF(AND(ISNUMBER(F1037),ISNUMBER(G1037),ISNUMBER(F1036),ISNUMBER(G1036)),AND(F1037&lt;G1037,F1036&gt;=G1036),FALSE())</f>
        <v>0</v>
      </c>
      <c r="L1037" s="8" t="n">
        <f aca="false">IF(ISNUMBER(I1037),E1037-Inputs!$B$6*I1037,"")</f>
        <v>0.825513942424381</v>
      </c>
      <c r="M1037" s="9" t="b">
        <f aca="false">AND(Y1036&gt;0,Z1036)</f>
        <v>0</v>
      </c>
      <c r="N1037" s="8" t="n">
        <f aca="false">B1037*(1-Inputs!$B$12)</f>
        <v>0.851207421520128</v>
      </c>
      <c r="O1037" s="10" t="n">
        <f aca="false">IF(M1037,Y1036*(N1037-AB1036)-Inputs!$B$9-Y1036*AD1036*Inputs!$B$13*(A1037-AC1036),0)</f>
        <v>0</v>
      </c>
      <c r="P1037" s="10" t="n">
        <f aca="false">X1036+O1037</f>
        <v>969.40233796708</v>
      </c>
      <c r="Q1037" s="9" t="b">
        <f aca="false">AND(IF(M1037,0,Y1036)=0,AA1036,IF(ISNUMBER(AE1036),B1037&gt;AE1036,FALSE()))</f>
        <v>0</v>
      </c>
      <c r="R1037" s="8" t="n">
        <f aca="false">B1037*(1+Inputs!$B$12)</f>
        <v>0.851547972598952</v>
      </c>
      <c r="S1037" s="11" t="n">
        <f aca="false">IF(Q1037,MIN(P1037*Inputs!$B$3/(R1037-AE1036),P1037*Inputs!$B$11/R1037),0)</f>
        <v>0</v>
      </c>
      <c r="T1037" s="11" t="n">
        <f aca="false">IF(Q1037,S1037,IF(M1037,0,Y1036))</f>
        <v>533.561786742107</v>
      </c>
      <c r="U1037" s="8" t="n">
        <f aca="false">IF(Q1037,AE1036,AF1036)</f>
        <v>0.82861890181715</v>
      </c>
      <c r="V1037" s="9" t="b">
        <f aca="false">AND(T1037&gt;0,D1037&lt;=U1037)</f>
        <v>0</v>
      </c>
      <c r="W1037" s="10" t="n">
        <f aca="false">IF(V1037,T1037*(AK1037-AB1037)-Inputs!$B$9-T1037*AD1037*Inputs!$B$13*(A1037-AC1037),0)</f>
        <v>0</v>
      </c>
      <c r="X1037" s="10" t="n">
        <f aca="false">P1037-IF(Q1037,Inputs!$B$9,0)+W1037</f>
        <v>969.40233796708</v>
      </c>
      <c r="Y1037" s="11" t="n">
        <f aca="false">IF(V1037,0,T1037)</f>
        <v>533.561786742107</v>
      </c>
      <c r="Z1037" s="9" t="b">
        <f aca="false">AND(Y1037&gt;0,K1037)</f>
        <v>0</v>
      </c>
      <c r="AA1037" s="9" t="b">
        <f aca="false">AND(Y1037=0,J1037,ISNUMBER(L1037))</f>
        <v>0</v>
      </c>
      <c r="AB1037" s="8" t="n">
        <f aca="false">IF(Q1037,R1037,AB1036)</f>
        <v>0.846806155141499</v>
      </c>
      <c r="AC1037" s="12" t="n">
        <f aca="false">IF(Q1037,A1037,AC1036)</f>
        <v>45816</v>
      </c>
      <c r="AD1037" s="8" t="n">
        <f aca="false">IF(Q1037,B1037,AD1036)</f>
        <v>0.846636827775943</v>
      </c>
      <c r="AE1037" s="8" t="str">
        <f aca="false">IF(AA1037,L1037,"")</f>
        <v/>
      </c>
      <c r="AF1037" s="8" t="n">
        <f aca="false">U1037</f>
        <v>0.82861890181715</v>
      </c>
      <c r="AG1037" s="2" t="n">
        <f aca="false">AG1036+IF(Q1037,1,0)</f>
        <v>10</v>
      </c>
      <c r="AH1037" s="2" t="n">
        <f aca="false">AG1036</f>
        <v>10</v>
      </c>
      <c r="AI1037" s="10" t="n">
        <f aca="false">X1037+Y1037*(E1037-AB1037)-Y1037*AD1037*Inputs!$B$13*(A1037-AC1037)</f>
        <v>968.02063364141</v>
      </c>
      <c r="AJ1037" s="10" t="n">
        <v>0</v>
      </c>
      <c r="AK1037" s="8" t="n">
        <f aca="false">IF(AND(B1037&lt;=U1037,NOT(Q1037)),B1037,U1037)*(1-Inputs!$B$12)</f>
        <v>0.828453178036787</v>
      </c>
    </row>
    <row r="1038" customFormat="false" ht="15" hidden="false" customHeight="false" outlineLevel="0" collapsed="false">
      <c r="A1038" s="6" t="n">
        <v>45822</v>
      </c>
      <c r="B1038" s="7" t="n">
        <v>0.844970423490214</v>
      </c>
      <c r="C1038" s="7" t="n">
        <v>0.851070308919956</v>
      </c>
      <c r="D1038" s="7" t="n">
        <v>0.843444820056503</v>
      </c>
      <c r="E1038" s="7" t="n">
        <v>0.846992066794812</v>
      </c>
      <c r="F1038" s="8" t="n">
        <f aca="true">IF(ROW()-2&gt;=Inputs!$B$4,AVERAGE(OFFSET(E1038,1-Inputs!$B$4,0,Inputs!$B$4,1)),"")</f>
        <v>0.849149052293221</v>
      </c>
      <c r="G1038" s="8" t="n">
        <f aca="true">IF(ROW()-2&gt;=Inputs!$B$5,AVERAGE(OFFSET(E1038,1-Inputs!$B$5,0,Inputs!$B$5,1)),"")</f>
        <v>0.847059435583587</v>
      </c>
      <c r="H1038" s="8" t="n">
        <f aca="false">MAX(C1038-D1038,ABS(C1038-E1037),ABS(D1038-E1037))</f>
        <v>0.00762548886345305</v>
      </c>
      <c r="I1038" s="8" t="n">
        <f aca="true">IF(ROW()-2&lt;14,"",IF(ROW()-2=14,AVERAGE(OFFSET(H1038,-13,0,14,1)),(I1037*13+H1038)/14))</f>
        <v>0.00957804398509807</v>
      </c>
      <c r="J1038" s="9" t="b">
        <f aca="false">IF(AND(ISNUMBER(F1038),ISNUMBER(G1038),ISNUMBER(F1037),ISNUMBER(G1037)),AND(F1038&gt;G1038,F1037&lt;=G1037),FALSE())</f>
        <v>0</v>
      </c>
      <c r="K1038" s="9" t="b">
        <f aca="false">IF(AND(ISNUMBER(F1038),ISNUMBER(G1038),ISNUMBER(F1037),ISNUMBER(G1037)),AND(F1038&lt;G1038,F1037&gt;=G1037),FALSE())</f>
        <v>0</v>
      </c>
      <c r="L1038" s="8" t="n">
        <f aca="false">IF(ISNUMBER(I1038),E1038-Inputs!$B$6*I1038,"")</f>
        <v>0.827835978824616</v>
      </c>
      <c r="M1038" s="9" t="b">
        <f aca="false">AND(Y1037&gt;0,Z1037)</f>
        <v>0</v>
      </c>
      <c r="N1038" s="8" t="n">
        <f aca="false">B1038*(1-Inputs!$B$12)</f>
        <v>0.844801429405516</v>
      </c>
      <c r="O1038" s="10" t="n">
        <f aca="false">IF(M1038,Y1037*(N1038-AB1037)-Inputs!$B$9-Y1037*AD1037*Inputs!$B$13*(A1038-AC1037),0)</f>
        <v>0</v>
      </c>
      <c r="P1038" s="10" t="n">
        <f aca="false">X1037+O1038</f>
        <v>969.40233796708</v>
      </c>
      <c r="Q1038" s="9" t="b">
        <f aca="false">AND(IF(M1038,0,Y1037)=0,AA1037,IF(ISNUMBER(AE1037),B1038&gt;AE1037,FALSE()))</f>
        <v>0</v>
      </c>
      <c r="R1038" s="8" t="n">
        <f aca="false">B1038*(1+Inputs!$B$12)</f>
        <v>0.845139417574912</v>
      </c>
      <c r="S1038" s="11" t="n">
        <f aca="false">IF(Q1038,MIN(P1038*Inputs!$B$3/(R1038-AE1037),P1038*Inputs!$B$11/R1038),0)</f>
        <v>0</v>
      </c>
      <c r="T1038" s="11" t="n">
        <f aca="false">IF(Q1038,S1038,IF(M1038,0,Y1037))</f>
        <v>533.561786742107</v>
      </c>
      <c r="U1038" s="8" t="n">
        <f aca="false">IF(Q1038,AE1037,AF1037)</f>
        <v>0.82861890181715</v>
      </c>
      <c r="V1038" s="9" t="b">
        <f aca="false">AND(T1038&gt;0,D1038&lt;=U1038)</f>
        <v>0</v>
      </c>
      <c r="W1038" s="10" t="n">
        <f aca="false">IF(V1038,T1038*(AK1038-AB1038)-Inputs!$B$9-T1038*AD1038*Inputs!$B$13*(A1038-AC1038),0)</f>
        <v>0</v>
      </c>
      <c r="X1038" s="10" t="n">
        <f aca="false">P1038-IF(Q1038,Inputs!$B$9,0)+W1038</f>
        <v>969.40233796708</v>
      </c>
      <c r="Y1038" s="11" t="n">
        <f aca="false">IF(V1038,0,T1038)</f>
        <v>533.561786742107</v>
      </c>
      <c r="Z1038" s="9" t="b">
        <f aca="false">AND(Y1038&gt;0,K1038)</f>
        <v>0</v>
      </c>
      <c r="AA1038" s="9" t="b">
        <f aca="false">AND(Y1038=0,J1038,ISNUMBER(L1038))</f>
        <v>0</v>
      </c>
      <c r="AB1038" s="8" t="n">
        <f aca="false">IF(Q1038,R1038,AB1037)</f>
        <v>0.846806155141499</v>
      </c>
      <c r="AC1038" s="12" t="n">
        <f aca="false">IF(Q1038,A1038,AC1037)</f>
        <v>45816</v>
      </c>
      <c r="AD1038" s="8" t="n">
        <f aca="false">IF(Q1038,B1038,AD1037)</f>
        <v>0.846636827775943</v>
      </c>
      <c r="AE1038" s="8" t="str">
        <f aca="false">IF(AA1038,L1038,"")</f>
        <v/>
      </c>
      <c r="AF1038" s="8" t="n">
        <f aca="false">U1038</f>
        <v>0.82861890181715</v>
      </c>
      <c r="AG1038" s="2" t="n">
        <f aca="false">AG1037+IF(Q1038,1,0)</f>
        <v>10</v>
      </c>
      <c r="AH1038" s="2" t="n">
        <f aca="false">AG1037</f>
        <v>10</v>
      </c>
      <c r="AI1038" s="10" t="n">
        <f aca="false">X1038+Y1038*(E1038-AB1038)-Y1038*AD1038*Inputs!$B$13*(A1038-AC1038)</f>
        <v>969.018859642</v>
      </c>
      <c r="AJ1038" s="10" t="n">
        <v>0</v>
      </c>
      <c r="AK1038" s="8" t="n">
        <f aca="false">IF(AND(B1038&lt;=U1038,NOT(Q1038)),B1038,U1038)*(1-Inputs!$B$12)</f>
        <v>0.828453178036787</v>
      </c>
    </row>
    <row r="1039" customFormat="false" ht="15" hidden="false" customHeight="false" outlineLevel="0" collapsed="false">
      <c r="A1039" s="6" t="n">
        <v>45823</v>
      </c>
      <c r="B1039" s="7" t="n">
        <v>0.846992066794812</v>
      </c>
      <c r="C1039" s="7" t="n">
        <v>0.850442113213543</v>
      </c>
      <c r="D1039" s="7" t="n">
        <v>0.841682402217297</v>
      </c>
      <c r="E1039" s="7" t="n">
        <v>0.841907715324461</v>
      </c>
      <c r="F1039" s="8" t="n">
        <f aca="true">IF(ROW()-2&gt;=Inputs!$B$4,AVERAGE(OFFSET(E1039,1-Inputs!$B$4,0,Inputs!$B$4,1)),"")</f>
        <v>0.848864157123876</v>
      </c>
      <c r="G1039" s="8" t="n">
        <f aca="true">IF(ROW()-2&gt;=Inputs!$B$5,AVERAGE(OFFSET(E1039,1-Inputs!$B$5,0,Inputs!$B$5,1)),"")</f>
        <v>0.847174526785176</v>
      </c>
      <c r="H1039" s="8" t="n">
        <f aca="false">MAX(C1039-D1039,ABS(C1039-E1038),ABS(D1039-E1038))</f>
        <v>0.00875971099624628</v>
      </c>
      <c r="I1039" s="8" t="n">
        <f aca="true">IF(ROW()-2&lt;14,"",IF(ROW()-2=14,AVERAGE(OFFSET(H1039,-13,0,14,1)),(I1038*13+H1039)/14))</f>
        <v>0.00951959162875151</v>
      </c>
      <c r="J1039" s="9" t="b">
        <f aca="false">IF(AND(ISNUMBER(F1039),ISNUMBER(G1039),ISNUMBER(F1038),ISNUMBER(G1038)),AND(F1039&gt;G1039,F1038&lt;=G1038),FALSE())</f>
        <v>0</v>
      </c>
      <c r="K1039" s="9" t="b">
        <f aca="false">IF(AND(ISNUMBER(F1039),ISNUMBER(G1039),ISNUMBER(F1038),ISNUMBER(G1038)),AND(F1039&lt;G1039,F1038&gt;=G1038),FALSE())</f>
        <v>0</v>
      </c>
      <c r="L1039" s="8" t="n">
        <f aca="false">IF(ISNUMBER(I1039),E1039-Inputs!$B$6*I1039,"")</f>
        <v>0.822868532066958</v>
      </c>
      <c r="M1039" s="9" t="b">
        <f aca="false">AND(Y1038&gt;0,Z1038)</f>
        <v>0</v>
      </c>
      <c r="N1039" s="8" t="n">
        <f aca="false">B1039*(1-Inputs!$B$12)</f>
        <v>0.846822668381453</v>
      </c>
      <c r="O1039" s="10" t="n">
        <f aca="false">IF(M1039,Y1038*(N1039-AB1038)-Inputs!$B$9-Y1038*AD1038*Inputs!$B$13*(A1039-AC1038),0)</f>
        <v>0</v>
      </c>
      <c r="P1039" s="10" t="n">
        <f aca="false">X1038+O1039</f>
        <v>969.40233796708</v>
      </c>
      <c r="Q1039" s="9" t="b">
        <f aca="false">AND(IF(M1039,0,Y1038)=0,AA1038,IF(ISNUMBER(AE1038),B1039&gt;AE1038,FALSE()))</f>
        <v>0</v>
      </c>
      <c r="R1039" s="8" t="n">
        <f aca="false">B1039*(1+Inputs!$B$12)</f>
        <v>0.847161465208171</v>
      </c>
      <c r="S1039" s="11" t="n">
        <f aca="false">IF(Q1039,MIN(P1039*Inputs!$B$3/(R1039-AE1038),P1039*Inputs!$B$11/R1039),0)</f>
        <v>0</v>
      </c>
      <c r="T1039" s="11" t="n">
        <f aca="false">IF(Q1039,S1039,IF(M1039,0,Y1038))</f>
        <v>533.561786742107</v>
      </c>
      <c r="U1039" s="8" t="n">
        <f aca="false">IF(Q1039,AE1038,AF1038)</f>
        <v>0.82861890181715</v>
      </c>
      <c r="V1039" s="9" t="b">
        <f aca="false">AND(T1039&gt;0,D1039&lt;=U1039)</f>
        <v>0</v>
      </c>
      <c r="W1039" s="10" t="n">
        <f aca="false">IF(V1039,T1039*(AK1039-AB1039)-Inputs!$B$9-T1039*AD1039*Inputs!$B$13*(A1039-AC1039),0)</f>
        <v>0</v>
      </c>
      <c r="X1039" s="10" t="n">
        <f aca="false">P1039-IF(Q1039,Inputs!$B$9,0)+W1039</f>
        <v>969.40233796708</v>
      </c>
      <c r="Y1039" s="11" t="n">
        <f aca="false">IF(V1039,0,T1039)</f>
        <v>533.561786742107</v>
      </c>
      <c r="Z1039" s="9" t="b">
        <f aca="false">AND(Y1039&gt;0,K1039)</f>
        <v>0</v>
      </c>
      <c r="AA1039" s="9" t="b">
        <f aca="false">AND(Y1039=0,J1039,ISNUMBER(L1039))</f>
        <v>0</v>
      </c>
      <c r="AB1039" s="8" t="n">
        <f aca="false">IF(Q1039,R1039,AB1038)</f>
        <v>0.846806155141499</v>
      </c>
      <c r="AC1039" s="12" t="n">
        <f aca="false">IF(Q1039,A1039,AC1038)</f>
        <v>45816</v>
      </c>
      <c r="AD1039" s="8" t="n">
        <f aca="false">IF(Q1039,B1039,AD1038)</f>
        <v>0.846636827775943</v>
      </c>
      <c r="AE1039" s="8" t="str">
        <f aca="false">IF(AA1039,L1039,"")</f>
        <v/>
      </c>
      <c r="AF1039" s="8" t="n">
        <f aca="false">U1039</f>
        <v>0.82861890181715</v>
      </c>
      <c r="AG1039" s="2" t="n">
        <f aca="false">AG1038+IF(Q1039,1,0)</f>
        <v>10</v>
      </c>
      <c r="AH1039" s="2" t="n">
        <f aca="false">AG1038</f>
        <v>10</v>
      </c>
      <c r="AI1039" s="10" t="n">
        <f aca="false">X1039+Y1039*(E1039-AB1039)-Y1039*AD1039*Inputs!$B$13*(A1039-AC1039)</f>
        <v>966.225598373888</v>
      </c>
      <c r="AJ1039" s="10" t="n">
        <v>0</v>
      </c>
      <c r="AK1039" s="8" t="n">
        <f aca="false">IF(AND(B1039&lt;=U1039,NOT(Q1039)),B1039,U1039)*(1-Inputs!$B$12)</f>
        <v>0.828453178036787</v>
      </c>
    </row>
    <row r="1040" customFormat="false" ht="15" hidden="false" customHeight="false" outlineLevel="0" collapsed="false">
      <c r="A1040" s="6" t="n">
        <v>45824</v>
      </c>
      <c r="B1040" s="7" t="n">
        <v>0.841907715324461</v>
      </c>
      <c r="C1040" s="7" t="n">
        <v>0.844030419602857</v>
      </c>
      <c r="D1040" s="7" t="n">
        <v>0.833533448479572</v>
      </c>
      <c r="E1040" s="7" t="n">
        <v>0.836785596526141</v>
      </c>
      <c r="F1040" s="8" t="n">
        <f aca="true">IF(ROW()-2&gt;=Inputs!$B$4,AVERAGE(OFFSET(E1040,1-Inputs!$B$4,0,Inputs!$B$4,1)),"")</f>
        <v>0.848177870553546</v>
      </c>
      <c r="G1040" s="8" t="n">
        <f aca="true">IF(ROW()-2&gt;=Inputs!$B$5,AVERAGE(OFFSET(E1040,1-Inputs!$B$5,0,Inputs!$B$5,1)),"")</f>
        <v>0.84717237360949</v>
      </c>
      <c r="H1040" s="8" t="n">
        <f aca="false">MAX(C1040-D1040,ABS(C1040-E1039),ABS(D1040-E1039))</f>
        <v>0.0104969711232848</v>
      </c>
      <c r="I1040" s="8" t="n">
        <f aca="true">IF(ROW()-2&lt;14,"",IF(ROW()-2=14,AVERAGE(OFFSET(H1040,-13,0,14,1)),(I1039*13+H1040)/14))</f>
        <v>0.00958940444978961</v>
      </c>
      <c r="J1040" s="9" t="b">
        <f aca="false">IF(AND(ISNUMBER(F1040),ISNUMBER(G1040),ISNUMBER(F1039),ISNUMBER(G1039)),AND(F1040&gt;G1040,F1039&lt;=G1039),FALSE())</f>
        <v>0</v>
      </c>
      <c r="K1040" s="9" t="b">
        <f aca="false">IF(AND(ISNUMBER(F1040),ISNUMBER(G1040),ISNUMBER(F1039),ISNUMBER(G1039)),AND(F1040&lt;G1040,F1039&gt;=G1039),FALSE())</f>
        <v>0</v>
      </c>
      <c r="L1040" s="8" t="n">
        <f aca="false">IF(ISNUMBER(I1040),E1040-Inputs!$B$6*I1040,"")</f>
        <v>0.817606787626562</v>
      </c>
      <c r="M1040" s="9" t="b">
        <f aca="false">AND(Y1039&gt;0,Z1039)</f>
        <v>0</v>
      </c>
      <c r="N1040" s="8" t="n">
        <f aca="false">B1040*(1-Inputs!$B$12)</f>
        <v>0.841739333781396</v>
      </c>
      <c r="O1040" s="10" t="n">
        <f aca="false">IF(M1040,Y1039*(N1040-AB1039)-Inputs!$B$9-Y1039*AD1039*Inputs!$B$13*(A1040-AC1039),0)</f>
        <v>0</v>
      </c>
      <c r="P1040" s="10" t="n">
        <f aca="false">X1039+O1040</f>
        <v>969.40233796708</v>
      </c>
      <c r="Q1040" s="9" t="b">
        <f aca="false">AND(IF(M1040,0,Y1039)=0,AA1039,IF(ISNUMBER(AE1039),B1040&gt;AE1039,FALSE()))</f>
        <v>0</v>
      </c>
      <c r="R1040" s="8" t="n">
        <f aca="false">B1040*(1+Inputs!$B$12)</f>
        <v>0.842076096867526</v>
      </c>
      <c r="S1040" s="11" t="n">
        <f aca="false">IF(Q1040,MIN(P1040*Inputs!$B$3/(R1040-AE1039),P1040*Inputs!$B$11/R1040),0)</f>
        <v>0</v>
      </c>
      <c r="T1040" s="11" t="n">
        <f aca="false">IF(Q1040,S1040,IF(M1040,0,Y1039))</f>
        <v>533.561786742107</v>
      </c>
      <c r="U1040" s="8" t="n">
        <f aca="false">IF(Q1040,AE1039,AF1039)</f>
        <v>0.82861890181715</v>
      </c>
      <c r="V1040" s="9" t="b">
        <f aca="false">AND(T1040&gt;0,D1040&lt;=U1040)</f>
        <v>0</v>
      </c>
      <c r="W1040" s="10" t="n">
        <f aca="false">IF(V1040,T1040*(AK1040-AB1040)-Inputs!$B$9-T1040*AD1040*Inputs!$B$13*(A1040-AC1040),0)</f>
        <v>0</v>
      </c>
      <c r="X1040" s="10" t="n">
        <f aca="false">P1040-IF(Q1040,Inputs!$B$9,0)+W1040</f>
        <v>969.40233796708</v>
      </c>
      <c r="Y1040" s="11" t="n">
        <f aca="false">IF(V1040,0,T1040)</f>
        <v>533.561786742107</v>
      </c>
      <c r="Z1040" s="9" t="b">
        <f aca="false">AND(Y1040&gt;0,K1040)</f>
        <v>0</v>
      </c>
      <c r="AA1040" s="9" t="b">
        <f aca="false">AND(Y1040=0,J1040,ISNUMBER(L1040))</f>
        <v>0</v>
      </c>
      <c r="AB1040" s="8" t="n">
        <f aca="false">IF(Q1040,R1040,AB1039)</f>
        <v>0.846806155141499</v>
      </c>
      <c r="AC1040" s="12" t="n">
        <f aca="false">IF(Q1040,A1040,AC1039)</f>
        <v>45816</v>
      </c>
      <c r="AD1040" s="8" t="n">
        <f aca="false">IF(Q1040,B1040,AD1039)</f>
        <v>0.846636827775943</v>
      </c>
      <c r="AE1040" s="8" t="str">
        <f aca="false">IF(AA1040,L1040,"")</f>
        <v/>
      </c>
      <c r="AF1040" s="8" t="n">
        <f aca="false">U1040</f>
        <v>0.82861890181715</v>
      </c>
      <c r="AG1040" s="2" t="n">
        <f aca="false">AG1039+IF(Q1040,1,0)</f>
        <v>10</v>
      </c>
      <c r="AH1040" s="2" t="n">
        <f aca="false">AG1039</f>
        <v>10</v>
      </c>
      <c r="AI1040" s="10" t="n">
        <f aca="false">X1040+Y1040*(E1040-AB1040)-Y1040*AD1040*Inputs!$B$13*(A1040-AC1040)</f>
        <v>963.412185902785</v>
      </c>
      <c r="AJ1040" s="10" t="n">
        <v>0</v>
      </c>
      <c r="AK1040" s="8" t="n">
        <f aca="false">IF(AND(B1040&lt;=U1040,NOT(Q1040)),B1040,U1040)*(1-Inputs!$B$12)</f>
        <v>0.828453178036787</v>
      </c>
    </row>
    <row r="1041" customFormat="false" ht="15" hidden="false" customHeight="false" outlineLevel="0" collapsed="false">
      <c r="A1041" s="6" t="n">
        <v>45825</v>
      </c>
      <c r="B1041" s="7" t="n">
        <v>0.836785596526141</v>
      </c>
      <c r="C1041" s="7" t="n">
        <v>0.84580747201474</v>
      </c>
      <c r="D1041" s="7" t="n">
        <v>0.827694008256234</v>
      </c>
      <c r="E1041" s="7" t="n">
        <v>0.839683166422347</v>
      </c>
      <c r="F1041" s="8" t="n">
        <f aca="true">IF(ROW()-2&gt;=Inputs!$B$4,AVERAGE(OFFSET(E1041,1-Inputs!$B$4,0,Inputs!$B$4,1)),"")</f>
        <v>0.84774466970617</v>
      </c>
      <c r="G1041" s="8" t="n">
        <f aca="true">IF(ROW()-2&gt;=Inputs!$B$5,AVERAGE(OFFSET(E1041,1-Inputs!$B$5,0,Inputs!$B$5,1)),"")</f>
        <v>0.847173139339922</v>
      </c>
      <c r="H1041" s="8" t="n">
        <f aca="false">MAX(C1041-D1041,ABS(C1041-E1040),ABS(D1041-E1040))</f>
        <v>0.0181134637585061</v>
      </c>
      <c r="I1041" s="8" t="n">
        <f aca="true">IF(ROW()-2&lt;14,"",IF(ROW()-2=14,AVERAGE(OFFSET(H1041,-13,0,14,1)),(I1040*13+H1041)/14))</f>
        <v>0.0101982658289836</v>
      </c>
      <c r="J1041" s="9" t="b">
        <f aca="false">IF(AND(ISNUMBER(F1041),ISNUMBER(G1041),ISNUMBER(F1040),ISNUMBER(G1040)),AND(F1041&gt;G1041,F1040&lt;=G1040),FALSE())</f>
        <v>0</v>
      </c>
      <c r="K1041" s="9" t="b">
        <f aca="false">IF(AND(ISNUMBER(F1041),ISNUMBER(G1041),ISNUMBER(F1040),ISNUMBER(G1040)),AND(F1041&lt;G1041,F1040&gt;=G1040),FALSE())</f>
        <v>0</v>
      </c>
      <c r="L1041" s="8" t="n">
        <f aca="false">IF(ISNUMBER(I1041),E1041-Inputs!$B$6*I1041,"")</f>
        <v>0.81928663476438</v>
      </c>
      <c r="M1041" s="9" t="b">
        <f aca="false">AND(Y1040&gt;0,Z1040)</f>
        <v>0</v>
      </c>
      <c r="N1041" s="8" t="n">
        <f aca="false">B1041*(1-Inputs!$B$12)</f>
        <v>0.836618239406836</v>
      </c>
      <c r="O1041" s="10" t="n">
        <f aca="false">IF(M1041,Y1040*(N1041-AB1040)-Inputs!$B$9-Y1040*AD1040*Inputs!$B$13*(A1041-AC1040),0)</f>
        <v>0</v>
      </c>
      <c r="P1041" s="10" t="n">
        <f aca="false">X1040+O1041</f>
        <v>969.40233796708</v>
      </c>
      <c r="Q1041" s="9" t="b">
        <f aca="false">AND(IF(M1041,0,Y1040)=0,AA1040,IF(ISNUMBER(AE1040),B1041&gt;AE1040,FALSE()))</f>
        <v>0</v>
      </c>
      <c r="R1041" s="8" t="n">
        <f aca="false">B1041*(1+Inputs!$B$12)</f>
        <v>0.836952953645447</v>
      </c>
      <c r="S1041" s="11" t="n">
        <f aca="false">IF(Q1041,MIN(P1041*Inputs!$B$3/(R1041-AE1040),P1041*Inputs!$B$11/R1041),0)</f>
        <v>0</v>
      </c>
      <c r="T1041" s="11" t="n">
        <f aca="false">IF(Q1041,S1041,IF(M1041,0,Y1040))</f>
        <v>533.561786742107</v>
      </c>
      <c r="U1041" s="8" t="n">
        <f aca="false">IF(Q1041,AE1040,AF1040)</f>
        <v>0.82861890181715</v>
      </c>
      <c r="V1041" s="9" t="b">
        <f aca="false">AND(T1041&gt;0,D1041&lt;=U1041)</f>
        <v>1</v>
      </c>
      <c r="W1041" s="10" t="n">
        <f aca="false">IF(V1041,T1041*(AK1041-AB1041)-Inputs!$B$9-T1041*AD1041*Inputs!$B$13*(A1041-AC1041),0)</f>
        <v>-11.5164577745248</v>
      </c>
      <c r="X1041" s="10" t="n">
        <f aca="false">P1041-IF(Q1041,Inputs!$B$9,0)+W1041</f>
        <v>957.885880192555</v>
      </c>
      <c r="Y1041" s="11" t="n">
        <f aca="false">IF(V1041,0,T1041)</f>
        <v>0</v>
      </c>
      <c r="Z1041" s="9" t="b">
        <f aca="false">AND(Y1041&gt;0,K1041)</f>
        <v>0</v>
      </c>
      <c r="AA1041" s="9" t="b">
        <f aca="false">AND(Y1041=0,J1041,ISNUMBER(L1041))</f>
        <v>0</v>
      </c>
      <c r="AB1041" s="8" t="n">
        <f aca="false">IF(Q1041,R1041,AB1040)</f>
        <v>0.846806155141499</v>
      </c>
      <c r="AC1041" s="12" t="n">
        <f aca="false">IF(Q1041,A1041,AC1040)</f>
        <v>45816</v>
      </c>
      <c r="AD1041" s="8" t="n">
        <f aca="false">IF(Q1041,B1041,AD1040)</f>
        <v>0.846636827775943</v>
      </c>
      <c r="AE1041" s="8" t="str">
        <f aca="false">IF(AA1041,L1041,"")</f>
        <v/>
      </c>
      <c r="AF1041" s="8" t="n">
        <f aca="false">U1041</f>
        <v>0.82861890181715</v>
      </c>
      <c r="AG1041" s="2" t="n">
        <f aca="false">AG1040+IF(Q1041,1,0)</f>
        <v>10</v>
      </c>
      <c r="AH1041" s="2" t="n">
        <f aca="false">AG1040</f>
        <v>10</v>
      </c>
      <c r="AI1041" s="10" t="n">
        <f aca="false">X1041+Y1041*(E1041-AB1041)-Y1041*AD1041*Inputs!$B$13*(A1041-AC1041)</f>
        <v>957.885880192555</v>
      </c>
      <c r="AJ1041" s="10" t="n">
        <v>0</v>
      </c>
      <c r="AK1041" s="8" t="n">
        <f aca="false">IF(AND(B1041&lt;=U1041,NOT(Q1041)),B1041,U1041)*(1-Inputs!$B$12)</f>
        <v>0.828453178036787</v>
      </c>
    </row>
    <row r="1042" customFormat="false" ht="15" hidden="false" customHeight="false" outlineLevel="0" collapsed="false">
      <c r="A1042" s="6" t="n">
        <v>45826</v>
      </c>
      <c r="B1042" s="7" t="n">
        <v>0.839683166422347</v>
      </c>
      <c r="C1042" s="7" t="n">
        <v>0.840390230585873</v>
      </c>
      <c r="D1042" s="7" t="n">
        <v>0.837411773558209</v>
      </c>
      <c r="E1042" s="7" t="n">
        <v>0.837703304881149</v>
      </c>
      <c r="F1042" s="8" t="n">
        <f aca="true">IF(ROW()-2&gt;=Inputs!$B$4,AVERAGE(OFFSET(E1042,1-Inputs!$B$4,0,Inputs!$B$4,1)),"")</f>
        <v>0.847278951394091</v>
      </c>
      <c r="G1042" s="8" t="n">
        <f aca="true">IF(ROW()-2&gt;=Inputs!$B$5,AVERAGE(OFFSET(E1042,1-Inputs!$B$5,0,Inputs!$B$5,1)),"")</f>
        <v>0.847129351622718</v>
      </c>
      <c r="H1042" s="8" t="n">
        <f aca="false">MAX(C1042-D1042,ABS(C1042-E1041),ABS(D1042-E1041))</f>
        <v>0.00297845702766419</v>
      </c>
      <c r="I1042" s="8" t="n">
        <f aca="true">IF(ROW()-2&lt;14,"",IF(ROW()-2=14,AVERAGE(OFFSET(H1042,-13,0,14,1)),(I1041*13+H1042)/14))</f>
        <v>0.00968256520031797</v>
      </c>
      <c r="J1042" s="9" t="b">
        <f aca="false">IF(AND(ISNUMBER(F1042),ISNUMBER(G1042),ISNUMBER(F1041),ISNUMBER(G1041)),AND(F1042&gt;G1042,F1041&lt;=G1041),FALSE())</f>
        <v>0</v>
      </c>
      <c r="K1042" s="9" t="b">
        <f aca="false">IF(AND(ISNUMBER(F1042),ISNUMBER(G1042),ISNUMBER(F1041),ISNUMBER(G1041)),AND(F1042&lt;G1042,F1041&gt;=G1041),FALSE())</f>
        <v>0</v>
      </c>
      <c r="L1042" s="8" t="n">
        <f aca="false">IF(ISNUMBER(I1042),E1042-Inputs!$B$6*I1042,"")</f>
        <v>0.818338174480513</v>
      </c>
      <c r="M1042" s="9" t="b">
        <f aca="false">AND(Y1041&gt;0,Z1041)</f>
        <v>0</v>
      </c>
      <c r="N1042" s="8" t="n">
        <f aca="false">B1042*(1-Inputs!$B$12)</f>
        <v>0.839515229789063</v>
      </c>
      <c r="O1042" s="10" t="n">
        <f aca="false">IF(M1042,Y1041*(N1042-AB1041)-Inputs!$B$9-Y1041*AD1041*Inputs!$B$13*(A1042-AC1041),0)</f>
        <v>0</v>
      </c>
      <c r="P1042" s="10" t="n">
        <f aca="false">X1041+O1042</f>
        <v>957.885880192555</v>
      </c>
      <c r="Q1042" s="9" t="b">
        <f aca="false">AND(IF(M1042,0,Y1041)=0,AA1041,IF(ISNUMBER(AE1041),B1042&gt;AE1041,FALSE()))</f>
        <v>0</v>
      </c>
      <c r="R1042" s="8" t="n">
        <f aca="false">B1042*(1+Inputs!$B$12)</f>
        <v>0.839851103055631</v>
      </c>
      <c r="S1042" s="11" t="n">
        <f aca="false">IF(Q1042,MIN(P1042*Inputs!$B$3/(R1042-AE1041),P1042*Inputs!$B$11/R1042),0)</f>
        <v>0</v>
      </c>
      <c r="T1042" s="11" t="n">
        <f aca="false">IF(Q1042,S1042,IF(M1042,0,Y1041))</f>
        <v>0</v>
      </c>
      <c r="U1042" s="8" t="n">
        <f aca="false">IF(Q1042,AE1041,AF1041)</f>
        <v>0.82861890181715</v>
      </c>
      <c r="V1042" s="9" t="b">
        <f aca="false">AND(T1042&gt;0,D1042&lt;=U1042)</f>
        <v>0</v>
      </c>
      <c r="W1042" s="10" t="n">
        <f aca="false">IF(V1042,T1042*(AK1042-AB1042)-Inputs!$B$9-T1042*AD1042*Inputs!$B$13*(A1042-AC1042),0)</f>
        <v>0</v>
      </c>
      <c r="X1042" s="10" t="n">
        <f aca="false">P1042-IF(Q1042,Inputs!$B$9,0)+W1042</f>
        <v>957.885880192555</v>
      </c>
      <c r="Y1042" s="11" t="n">
        <f aca="false">IF(V1042,0,T1042)</f>
        <v>0</v>
      </c>
      <c r="Z1042" s="9" t="b">
        <f aca="false">AND(Y1042&gt;0,K1042)</f>
        <v>0</v>
      </c>
      <c r="AA1042" s="9" t="b">
        <f aca="false">AND(Y1042=0,J1042,ISNUMBER(L1042))</f>
        <v>0</v>
      </c>
      <c r="AB1042" s="8" t="n">
        <f aca="false">IF(Q1042,R1042,AB1041)</f>
        <v>0.846806155141499</v>
      </c>
      <c r="AC1042" s="12" t="n">
        <f aca="false">IF(Q1042,A1042,AC1041)</f>
        <v>45816</v>
      </c>
      <c r="AD1042" s="8" t="n">
        <f aca="false">IF(Q1042,B1042,AD1041)</f>
        <v>0.846636827775943</v>
      </c>
      <c r="AE1042" s="8" t="str">
        <f aca="false">IF(AA1042,L1042,"")</f>
        <v/>
      </c>
      <c r="AF1042" s="8" t="n">
        <f aca="false">U1042</f>
        <v>0.82861890181715</v>
      </c>
      <c r="AG1042" s="2" t="n">
        <f aca="false">AG1041+IF(Q1042,1,0)</f>
        <v>10</v>
      </c>
      <c r="AH1042" s="2" t="n">
        <f aca="false">AG1041</f>
        <v>10</v>
      </c>
      <c r="AI1042" s="10" t="n">
        <f aca="false">X1042+Y1042*(E1042-AB1042)-Y1042*AD1042*Inputs!$B$13*(A1042-AC1042)</f>
        <v>957.885880192555</v>
      </c>
      <c r="AJ1042" s="10" t="n">
        <v>0</v>
      </c>
      <c r="AK1042" s="8" t="n">
        <f aca="false">IF(AND(B1042&lt;=U1042,NOT(Q1042)),B1042,U1042)*(1-Inputs!$B$12)</f>
        <v>0.828453178036787</v>
      </c>
    </row>
    <row r="1043" customFormat="false" ht="15" hidden="false" customHeight="false" outlineLevel="0" collapsed="false">
      <c r="A1043" s="6" t="n">
        <v>45827</v>
      </c>
      <c r="B1043" s="7" t="n">
        <v>0.837703304881149</v>
      </c>
      <c r="C1043" s="7" t="n">
        <v>0.851291366291283</v>
      </c>
      <c r="D1043" s="7" t="n">
        <v>0.83717082193265</v>
      </c>
      <c r="E1043" s="7" t="n">
        <v>0.84239826352259</v>
      </c>
      <c r="F1043" s="8" t="n">
        <f aca="true">IF(ROW()-2&gt;=Inputs!$B$4,AVERAGE(OFFSET(E1043,1-Inputs!$B$4,0,Inputs!$B$4,1)),"")</f>
        <v>0.846966010483242</v>
      </c>
      <c r="G1043" s="8" t="n">
        <f aca="true">IF(ROW()-2&gt;=Inputs!$B$5,AVERAGE(OFFSET(E1043,1-Inputs!$B$5,0,Inputs!$B$5,1)),"")</f>
        <v>0.847020112881123</v>
      </c>
      <c r="H1043" s="8" t="n">
        <f aca="false">MAX(C1043-D1043,ABS(C1043-E1042),ABS(D1043-E1042))</f>
        <v>0.0141205443586331</v>
      </c>
      <c r="I1043" s="8" t="n">
        <f aca="true">IF(ROW()-2&lt;14,"",IF(ROW()-2=14,AVERAGE(OFFSET(H1043,-13,0,14,1)),(I1042*13+H1043)/14))</f>
        <v>0.00999956371162619</v>
      </c>
      <c r="J1043" s="9" t="b">
        <f aca="false">IF(AND(ISNUMBER(F1043),ISNUMBER(G1043),ISNUMBER(F1042),ISNUMBER(G1042)),AND(F1043&gt;G1043,F1042&lt;=G1042),FALSE())</f>
        <v>0</v>
      </c>
      <c r="K1043" s="9" t="b">
        <f aca="false">IF(AND(ISNUMBER(F1043),ISNUMBER(G1043),ISNUMBER(F1042),ISNUMBER(G1042)),AND(F1043&lt;G1043,F1042&gt;=G1042),FALSE())</f>
        <v>1</v>
      </c>
      <c r="L1043" s="8" t="n">
        <f aca="false">IF(ISNUMBER(I1043),E1043-Inputs!$B$6*I1043,"")</f>
        <v>0.822399136099337</v>
      </c>
      <c r="M1043" s="9" t="b">
        <f aca="false">AND(Y1042&gt;0,Z1042)</f>
        <v>0</v>
      </c>
      <c r="N1043" s="8" t="n">
        <f aca="false">B1043*(1-Inputs!$B$12)</f>
        <v>0.837535764220173</v>
      </c>
      <c r="O1043" s="10" t="n">
        <f aca="false">IF(M1043,Y1042*(N1043-AB1042)-Inputs!$B$9-Y1042*AD1042*Inputs!$B$13*(A1043-AC1042),0)</f>
        <v>0</v>
      </c>
      <c r="P1043" s="10" t="n">
        <f aca="false">X1042+O1043</f>
        <v>957.885880192555</v>
      </c>
      <c r="Q1043" s="9" t="b">
        <f aca="false">AND(IF(M1043,0,Y1042)=0,AA1042,IF(ISNUMBER(AE1042),B1043&gt;AE1042,FALSE()))</f>
        <v>0</v>
      </c>
      <c r="R1043" s="8" t="n">
        <f aca="false">B1043*(1+Inputs!$B$12)</f>
        <v>0.837870845542125</v>
      </c>
      <c r="S1043" s="11" t="n">
        <f aca="false">IF(Q1043,MIN(P1043*Inputs!$B$3/(R1043-AE1042),P1043*Inputs!$B$11/R1043),0)</f>
        <v>0</v>
      </c>
      <c r="T1043" s="11" t="n">
        <f aca="false">IF(Q1043,S1043,IF(M1043,0,Y1042))</f>
        <v>0</v>
      </c>
      <c r="U1043" s="8" t="n">
        <f aca="false">IF(Q1043,AE1042,AF1042)</f>
        <v>0.82861890181715</v>
      </c>
      <c r="V1043" s="9" t="b">
        <f aca="false">AND(T1043&gt;0,D1043&lt;=U1043)</f>
        <v>0</v>
      </c>
      <c r="W1043" s="10" t="n">
        <f aca="false">IF(V1043,T1043*(AK1043-AB1043)-Inputs!$B$9-T1043*AD1043*Inputs!$B$13*(A1043-AC1043),0)</f>
        <v>0</v>
      </c>
      <c r="X1043" s="10" t="n">
        <f aca="false">P1043-IF(Q1043,Inputs!$B$9,0)+W1043</f>
        <v>957.885880192555</v>
      </c>
      <c r="Y1043" s="11" t="n">
        <f aca="false">IF(V1043,0,T1043)</f>
        <v>0</v>
      </c>
      <c r="Z1043" s="9" t="b">
        <f aca="false">AND(Y1043&gt;0,K1043)</f>
        <v>0</v>
      </c>
      <c r="AA1043" s="9" t="b">
        <f aca="false">AND(Y1043=0,J1043,ISNUMBER(L1043))</f>
        <v>0</v>
      </c>
      <c r="AB1043" s="8" t="n">
        <f aca="false">IF(Q1043,R1043,AB1042)</f>
        <v>0.846806155141499</v>
      </c>
      <c r="AC1043" s="12" t="n">
        <f aca="false">IF(Q1043,A1043,AC1042)</f>
        <v>45816</v>
      </c>
      <c r="AD1043" s="8" t="n">
        <f aca="false">IF(Q1043,B1043,AD1042)</f>
        <v>0.846636827775943</v>
      </c>
      <c r="AE1043" s="8" t="str">
        <f aca="false">IF(AA1043,L1043,"")</f>
        <v/>
      </c>
      <c r="AF1043" s="8" t="n">
        <f aca="false">U1043</f>
        <v>0.82861890181715</v>
      </c>
      <c r="AG1043" s="2" t="n">
        <f aca="false">AG1042+IF(Q1043,1,0)</f>
        <v>10</v>
      </c>
      <c r="AH1043" s="2" t="n">
        <f aca="false">AG1042</f>
        <v>10</v>
      </c>
      <c r="AI1043" s="10" t="n">
        <f aca="false">X1043+Y1043*(E1043-AB1043)-Y1043*AD1043*Inputs!$B$13*(A1043-AC1043)</f>
        <v>957.885880192555</v>
      </c>
      <c r="AJ1043" s="10" t="n">
        <v>0</v>
      </c>
      <c r="AK1043" s="8" t="n">
        <f aca="false">IF(AND(B1043&lt;=U1043,NOT(Q1043)),B1043,U1043)*(1-Inputs!$B$12)</f>
        <v>0.828453178036787</v>
      </c>
    </row>
    <row r="1044" customFormat="false" ht="15" hidden="false" customHeight="false" outlineLevel="0" collapsed="false">
      <c r="A1044" s="6" t="n">
        <v>45828</v>
      </c>
      <c r="B1044" s="7" t="n">
        <v>0.84239826352259</v>
      </c>
      <c r="C1044" s="7" t="n">
        <v>0.844685480383546</v>
      </c>
      <c r="D1044" s="7" t="n">
        <v>0.840726312529106</v>
      </c>
      <c r="E1044" s="7" t="n">
        <v>0.843044046798267</v>
      </c>
      <c r="F1044" s="8" t="n">
        <f aca="true">IF(ROW()-2&gt;=Inputs!$B$4,AVERAGE(OFFSET(E1044,1-Inputs!$B$4,0,Inputs!$B$4,1)),"")</f>
        <v>0.846348033024236</v>
      </c>
      <c r="G1044" s="8" t="n">
        <f aca="true">IF(ROW()-2&gt;=Inputs!$B$5,AVERAGE(OFFSET(E1044,1-Inputs!$B$5,0,Inputs!$B$5,1)),"")</f>
        <v>0.847080399610505</v>
      </c>
      <c r="H1044" s="8" t="n">
        <f aca="false">MAX(C1044-D1044,ABS(C1044-E1043),ABS(D1044-E1043))</f>
        <v>0.00395916785443951</v>
      </c>
      <c r="I1044" s="8" t="n">
        <f aca="true">IF(ROW()-2&lt;14,"",IF(ROW()-2=14,AVERAGE(OFFSET(H1044,-13,0,14,1)),(I1043*13+H1044)/14))</f>
        <v>0.00956810686468429</v>
      </c>
      <c r="J1044" s="9" t="b">
        <f aca="false">IF(AND(ISNUMBER(F1044),ISNUMBER(G1044),ISNUMBER(F1043),ISNUMBER(G1043)),AND(F1044&gt;G1044,F1043&lt;=G1043),FALSE())</f>
        <v>0</v>
      </c>
      <c r="K1044" s="9" t="b">
        <f aca="false">IF(AND(ISNUMBER(F1044),ISNUMBER(G1044),ISNUMBER(F1043),ISNUMBER(G1043)),AND(F1044&lt;G1044,F1043&gt;=G1043),FALSE())</f>
        <v>0</v>
      </c>
      <c r="L1044" s="8" t="n">
        <f aca="false">IF(ISNUMBER(I1044),E1044-Inputs!$B$6*I1044,"")</f>
        <v>0.823907833068899</v>
      </c>
      <c r="M1044" s="9" t="b">
        <f aca="false">AND(Y1043&gt;0,Z1043)</f>
        <v>0</v>
      </c>
      <c r="N1044" s="8" t="n">
        <f aca="false">B1044*(1-Inputs!$B$12)</f>
        <v>0.842229783869885</v>
      </c>
      <c r="O1044" s="10" t="n">
        <f aca="false">IF(M1044,Y1043*(N1044-AB1043)-Inputs!$B$9-Y1043*AD1043*Inputs!$B$13*(A1044-AC1043),0)</f>
        <v>0</v>
      </c>
      <c r="P1044" s="10" t="n">
        <f aca="false">X1043+O1044</f>
        <v>957.885880192555</v>
      </c>
      <c r="Q1044" s="9" t="b">
        <f aca="false">AND(IF(M1044,0,Y1043)=0,AA1043,IF(ISNUMBER(AE1043),B1044&gt;AE1043,FALSE()))</f>
        <v>0</v>
      </c>
      <c r="R1044" s="8" t="n">
        <f aca="false">B1044*(1+Inputs!$B$12)</f>
        <v>0.842566743175294</v>
      </c>
      <c r="S1044" s="11" t="n">
        <f aca="false">IF(Q1044,MIN(P1044*Inputs!$B$3/(R1044-AE1043),P1044*Inputs!$B$11/R1044),0)</f>
        <v>0</v>
      </c>
      <c r="T1044" s="11" t="n">
        <f aca="false">IF(Q1044,S1044,IF(M1044,0,Y1043))</f>
        <v>0</v>
      </c>
      <c r="U1044" s="8" t="n">
        <f aca="false">IF(Q1044,AE1043,AF1043)</f>
        <v>0.82861890181715</v>
      </c>
      <c r="V1044" s="9" t="b">
        <f aca="false">AND(T1044&gt;0,D1044&lt;=U1044)</f>
        <v>0</v>
      </c>
      <c r="W1044" s="10" t="n">
        <f aca="false">IF(V1044,T1044*(AK1044-AB1044)-Inputs!$B$9-T1044*AD1044*Inputs!$B$13*(A1044-AC1044),0)</f>
        <v>0</v>
      </c>
      <c r="X1044" s="10" t="n">
        <f aca="false">P1044-IF(Q1044,Inputs!$B$9,0)+W1044</f>
        <v>957.885880192555</v>
      </c>
      <c r="Y1044" s="11" t="n">
        <f aca="false">IF(V1044,0,T1044)</f>
        <v>0</v>
      </c>
      <c r="Z1044" s="9" t="b">
        <f aca="false">AND(Y1044&gt;0,K1044)</f>
        <v>0</v>
      </c>
      <c r="AA1044" s="9" t="b">
        <f aca="false">AND(Y1044=0,J1044,ISNUMBER(L1044))</f>
        <v>0</v>
      </c>
      <c r="AB1044" s="8" t="n">
        <f aca="false">IF(Q1044,R1044,AB1043)</f>
        <v>0.846806155141499</v>
      </c>
      <c r="AC1044" s="12" t="n">
        <f aca="false">IF(Q1044,A1044,AC1043)</f>
        <v>45816</v>
      </c>
      <c r="AD1044" s="8" t="n">
        <f aca="false">IF(Q1044,B1044,AD1043)</f>
        <v>0.846636827775943</v>
      </c>
      <c r="AE1044" s="8" t="str">
        <f aca="false">IF(AA1044,L1044,"")</f>
        <v/>
      </c>
      <c r="AF1044" s="8" t="n">
        <f aca="false">U1044</f>
        <v>0.82861890181715</v>
      </c>
      <c r="AG1044" s="2" t="n">
        <f aca="false">AG1043+IF(Q1044,1,0)</f>
        <v>10</v>
      </c>
      <c r="AH1044" s="2" t="n">
        <f aca="false">AG1043</f>
        <v>10</v>
      </c>
      <c r="AI1044" s="10" t="n">
        <f aca="false">X1044+Y1044*(E1044-AB1044)-Y1044*AD1044*Inputs!$B$13*(A1044-AC1044)</f>
        <v>957.885880192555</v>
      </c>
      <c r="AJ1044" s="10" t="n">
        <v>0</v>
      </c>
      <c r="AK1044" s="8" t="n">
        <f aca="false">IF(AND(B1044&lt;=U1044,NOT(Q1044)),B1044,U1044)*(1-Inputs!$B$12)</f>
        <v>0.828453178036787</v>
      </c>
    </row>
    <row r="1045" customFormat="false" ht="15" hidden="false" customHeight="false" outlineLevel="0" collapsed="false">
      <c r="A1045" s="6" t="n">
        <v>45829</v>
      </c>
      <c r="B1045" s="7" t="n">
        <v>0.843044046798267</v>
      </c>
      <c r="C1045" s="7" t="n">
        <v>0.849756295487836</v>
      </c>
      <c r="D1045" s="7" t="n">
        <v>0.841958088297629</v>
      </c>
      <c r="E1045" s="7" t="n">
        <v>0.849015716400212</v>
      </c>
      <c r="F1045" s="8" t="n">
        <f aca="true">IF(ROW()-2&gt;=Inputs!$B$4,AVERAGE(OFFSET(E1045,1-Inputs!$B$4,0,Inputs!$B$4,1)),"")</f>
        <v>0.846140989898989</v>
      </c>
      <c r="G1045" s="8" t="n">
        <f aca="true">IF(ROW()-2&gt;=Inputs!$B$5,AVERAGE(OFFSET(E1045,1-Inputs!$B$5,0,Inputs!$B$5,1)),"")</f>
        <v>0.847288662494907</v>
      </c>
      <c r="H1045" s="8" t="n">
        <f aca="false">MAX(C1045-D1045,ABS(C1045-E1044),ABS(D1045-E1044))</f>
        <v>0.00779820719020696</v>
      </c>
      <c r="I1045" s="8" t="n">
        <f aca="true">IF(ROW()-2&lt;14,"",IF(ROW()-2=14,AVERAGE(OFFSET(H1045,-13,0,14,1)),(I1044*13+H1045)/14))</f>
        <v>0.00944168545936448</v>
      </c>
      <c r="J1045" s="9" t="b">
        <f aca="false">IF(AND(ISNUMBER(F1045),ISNUMBER(G1045),ISNUMBER(F1044),ISNUMBER(G1044)),AND(F1045&gt;G1045,F1044&lt;=G1044),FALSE())</f>
        <v>0</v>
      </c>
      <c r="K1045" s="9" t="b">
        <f aca="false">IF(AND(ISNUMBER(F1045),ISNUMBER(G1045),ISNUMBER(F1044),ISNUMBER(G1044)),AND(F1045&lt;G1045,F1044&gt;=G1044),FALSE())</f>
        <v>0</v>
      </c>
      <c r="L1045" s="8" t="n">
        <f aca="false">IF(ISNUMBER(I1045),E1045-Inputs!$B$6*I1045,"")</f>
        <v>0.830132345481483</v>
      </c>
      <c r="M1045" s="9" t="b">
        <f aca="false">AND(Y1044&gt;0,Z1044)</f>
        <v>0</v>
      </c>
      <c r="N1045" s="8" t="n">
        <f aca="false">B1045*(1-Inputs!$B$12)</f>
        <v>0.842875437988908</v>
      </c>
      <c r="O1045" s="10" t="n">
        <f aca="false">IF(M1045,Y1044*(N1045-AB1044)-Inputs!$B$9-Y1044*AD1044*Inputs!$B$13*(A1045-AC1044),0)</f>
        <v>0</v>
      </c>
      <c r="P1045" s="10" t="n">
        <f aca="false">X1044+O1045</f>
        <v>957.885880192555</v>
      </c>
      <c r="Q1045" s="9" t="b">
        <f aca="false">AND(IF(M1045,0,Y1044)=0,AA1044,IF(ISNUMBER(AE1044),B1045&gt;AE1044,FALSE()))</f>
        <v>0</v>
      </c>
      <c r="R1045" s="8" t="n">
        <f aca="false">B1045*(1+Inputs!$B$12)</f>
        <v>0.843212655607627</v>
      </c>
      <c r="S1045" s="11" t="n">
        <f aca="false">IF(Q1045,MIN(P1045*Inputs!$B$3/(R1045-AE1044),P1045*Inputs!$B$11/R1045),0)</f>
        <v>0</v>
      </c>
      <c r="T1045" s="11" t="n">
        <f aca="false">IF(Q1045,S1045,IF(M1045,0,Y1044))</f>
        <v>0</v>
      </c>
      <c r="U1045" s="8" t="n">
        <f aca="false">IF(Q1045,AE1044,AF1044)</f>
        <v>0.82861890181715</v>
      </c>
      <c r="V1045" s="9" t="b">
        <f aca="false">AND(T1045&gt;0,D1045&lt;=U1045)</f>
        <v>0</v>
      </c>
      <c r="W1045" s="10" t="n">
        <f aca="false">IF(V1045,T1045*(AK1045-AB1045)-Inputs!$B$9-T1045*AD1045*Inputs!$B$13*(A1045-AC1045),0)</f>
        <v>0</v>
      </c>
      <c r="X1045" s="10" t="n">
        <f aca="false">P1045-IF(Q1045,Inputs!$B$9,0)+W1045</f>
        <v>957.885880192555</v>
      </c>
      <c r="Y1045" s="11" t="n">
        <f aca="false">IF(V1045,0,T1045)</f>
        <v>0</v>
      </c>
      <c r="Z1045" s="9" t="b">
        <f aca="false">AND(Y1045&gt;0,K1045)</f>
        <v>0</v>
      </c>
      <c r="AA1045" s="9" t="b">
        <f aca="false">AND(Y1045=0,J1045,ISNUMBER(L1045))</f>
        <v>0</v>
      </c>
      <c r="AB1045" s="8" t="n">
        <f aca="false">IF(Q1045,R1045,AB1044)</f>
        <v>0.846806155141499</v>
      </c>
      <c r="AC1045" s="12" t="n">
        <f aca="false">IF(Q1045,A1045,AC1044)</f>
        <v>45816</v>
      </c>
      <c r="AD1045" s="8" t="n">
        <f aca="false">IF(Q1045,B1045,AD1044)</f>
        <v>0.846636827775943</v>
      </c>
      <c r="AE1045" s="8" t="str">
        <f aca="false">IF(AA1045,L1045,"")</f>
        <v/>
      </c>
      <c r="AF1045" s="8" t="n">
        <f aca="false">U1045</f>
        <v>0.82861890181715</v>
      </c>
      <c r="AG1045" s="2" t="n">
        <f aca="false">AG1044+IF(Q1045,1,0)</f>
        <v>10</v>
      </c>
      <c r="AH1045" s="2" t="n">
        <f aca="false">AG1044</f>
        <v>10</v>
      </c>
      <c r="AI1045" s="10" t="n">
        <f aca="false">X1045+Y1045*(E1045-AB1045)-Y1045*AD1045*Inputs!$B$13*(A1045-AC1045)</f>
        <v>957.885880192555</v>
      </c>
      <c r="AJ1045" s="10" t="n">
        <v>0</v>
      </c>
      <c r="AK1045" s="8" t="n">
        <f aca="false">IF(AND(B1045&lt;=U1045,NOT(Q1045)),B1045,U1045)*(1-Inputs!$B$12)</f>
        <v>0.828453178036787</v>
      </c>
    </row>
    <row r="1046" customFormat="false" ht="15" hidden="false" customHeight="false" outlineLevel="0" collapsed="false">
      <c r="A1046" s="6" t="n">
        <v>45830</v>
      </c>
      <c r="B1046" s="7" t="n">
        <v>0.849015716400212</v>
      </c>
      <c r="C1046" s="7" t="n">
        <v>0.856736291601665</v>
      </c>
      <c r="D1046" s="7" t="n">
        <v>0.845963623391049</v>
      </c>
      <c r="E1046" s="7" t="n">
        <v>0.85656082028243</v>
      </c>
      <c r="F1046" s="8" t="n">
        <f aca="true">IF(ROW()-2&gt;=Inputs!$B$4,AVERAGE(OFFSET(E1046,1-Inputs!$B$4,0,Inputs!$B$4,1)),"")</f>
        <v>0.846451897492901</v>
      </c>
      <c r="G1046" s="8" t="n">
        <f aca="true">IF(ROW()-2&gt;=Inputs!$B$5,AVERAGE(OFFSET(E1046,1-Inputs!$B$5,0,Inputs!$B$5,1)),"")</f>
        <v>0.847624180233758</v>
      </c>
      <c r="H1046" s="8" t="n">
        <f aca="false">MAX(C1046-D1046,ABS(C1046-E1045),ABS(D1046-E1045))</f>
        <v>0.010772668210616</v>
      </c>
      <c r="I1046" s="8" t="n">
        <f aca="true">IF(ROW()-2&lt;14,"",IF(ROW()-2=14,AVERAGE(OFFSET(H1046,-13,0,14,1)),(I1045*13+H1046)/14))</f>
        <v>0.00953675565588244</v>
      </c>
      <c r="J1046" s="9" t="b">
        <f aca="false">IF(AND(ISNUMBER(F1046),ISNUMBER(G1046),ISNUMBER(F1045),ISNUMBER(G1045)),AND(F1046&gt;G1046,F1045&lt;=G1045),FALSE())</f>
        <v>0</v>
      </c>
      <c r="K1046" s="9" t="b">
        <f aca="false">IF(AND(ISNUMBER(F1046),ISNUMBER(G1046),ISNUMBER(F1045),ISNUMBER(G1045)),AND(F1046&lt;G1046,F1045&gt;=G1045),FALSE())</f>
        <v>0</v>
      </c>
      <c r="L1046" s="8" t="n">
        <f aca="false">IF(ISNUMBER(I1046),E1046-Inputs!$B$6*I1046,"")</f>
        <v>0.837487308970665</v>
      </c>
      <c r="M1046" s="9" t="b">
        <f aca="false">AND(Y1045&gt;0,Z1045)</f>
        <v>0</v>
      </c>
      <c r="N1046" s="8" t="n">
        <f aca="false">B1046*(1-Inputs!$B$12)</f>
        <v>0.848845913256932</v>
      </c>
      <c r="O1046" s="10" t="n">
        <f aca="false">IF(M1046,Y1045*(N1046-AB1045)-Inputs!$B$9-Y1045*AD1045*Inputs!$B$13*(A1046-AC1045),0)</f>
        <v>0</v>
      </c>
      <c r="P1046" s="10" t="n">
        <f aca="false">X1045+O1046</f>
        <v>957.885880192555</v>
      </c>
      <c r="Q1046" s="9" t="b">
        <f aca="false">AND(IF(M1046,0,Y1045)=0,AA1045,IF(ISNUMBER(AE1045),B1046&gt;AE1045,FALSE()))</f>
        <v>0</v>
      </c>
      <c r="R1046" s="8" t="n">
        <f aca="false">B1046*(1+Inputs!$B$12)</f>
        <v>0.849185519543492</v>
      </c>
      <c r="S1046" s="11" t="n">
        <f aca="false">IF(Q1046,MIN(P1046*Inputs!$B$3/(R1046-AE1045),P1046*Inputs!$B$11/R1046),0)</f>
        <v>0</v>
      </c>
      <c r="T1046" s="11" t="n">
        <f aca="false">IF(Q1046,S1046,IF(M1046,0,Y1045))</f>
        <v>0</v>
      </c>
      <c r="U1046" s="8" t="n">
        <f aca="false">IF(Q1046,AE1045,AF1045)</f>
        <v>0.82861890181715</v>
      </c>
      <c r="V1046" s="9" t="b">
        <f aca="false">AND(T1046&gt;0,D1046&lt;=U1046)</f>
        <v>0</v>
      </c>
      <c r="W1046" s="10" t="n">
        <f aca="false">IF(V1046,T1046*(AK1046-AB1046)-Inputs!$B$9-T1046*AD1046*Inputs!$B$13*(A1046-AC1046),0)</f>
        <v>0</v>
      </c>
      <c r="X1046" s="10" t="n">
        <f aca="false">P1046-IF(Q1046,Inputs!$B$9,0)+W1046</f>
        <v>957.885880192555</v>
      </c>
      <c r="Y1046" s="11" t="n">
        <f aca="false">IF(V1046,0,T1046)</f>
        <v>0</v>
      </c>
      <c r="Z1046" s="9" t="b">
        <f aca="false">AND(Y1046&gt;0,K1046)</f>
        <v>0</v>
      </c>
      <c r="AA1046" s="9" t="b">
        <f aca="false">AND(Y1046=0,J1046,ISNUMBER(L1046))</f>
        <v>0</v>
      </c>
      <c r="AB1046" s="8" t="n">
        <f aca="false">IF(Q1046,R1046,AB1045)</f>
        <v>0.846806155141499</v>
      </c>
      <c r="AC1046" s="12" t="n">
        <f aca="false">IF(Q1046,A1046,AC1045)</f>
        <v>45816</v>
      </c>
      <c r="AD1046" s="8" t="n">
        <f aca="false">IF(Q1046,B1046,AD1045)</f>
        <v>0.846636827775943</v>
      </c>
      <c r="AE1046" s="8" t="str">
        <f aca="false">IF(AA1046,L1046,"")</f>
        <v/>
      </c>
      <c r="AF1046" s="8" t="n">
        <f aca="false">U1046</f>
        <v>0.82861890181715</v>
      </c>
      <c r="AG1046" s="2" t="n">
        <f aca="false">AG1045+IF(Q1046,1,0)</f>
        <v>10</v>
      </c>
      <c r="AH1046" s="2" t="n">
        <f aca="false">AG1045</f>
        <v>10</v>
      </c>
      <c r="AI1046" s="10" t="n">
        <f aca="false">X1046+Y1046*(E1046-AB1046)-Y1046*AD1046*Inputs!$B$13*(A1046-AC1046)</f>
        <v>957.885880192555</v>
      </c>
      <c r="AJ1046" s="10" t="n">
        <v>0</v>
      </c>
      <c r="AK1046" s="8" t="n">
        <f aca="false">IF(AND(B1046&lt;=U1046,NOT(Q1046)),B1046,U1046)*(1-Inputs!$B$12)</f>
        <v>0.828453178036787</v>
      </c>
    </row>
    <row r="1047" customFormat="false" ht="15" hidden="false" customHeight="false" outlineLevel="0" collapsed="false">
      <c r="A1047" s="6" t="n">
        <v>45831</v>
      </c>
      <c r="B1047" s="7" t="n">
        <v>0.85656082028243</v>
      </c>
      <c r="C1047" s="7" t="n">
        <v>0.857483823474178</v>
      </c>
      <c r="D1047" s="7" t="n">
        <v>0.854647727238981</v>
      </c>
      <c r="E1047" s="7" t="n">
        <v>0.856427351083255</v>
      </c>
      <c r="F1047" s="8" t="n">
        <f aca="true">IF(ROW()-2&gt;=Inputs!$B$4,AVERAGE(OFFSET(E1047,1-Inputs!$B$4,0,Inputs!$B$4,1)),"")</f>
        <v>0.847167712852262</v>
      </c>
      <c r="G1047" s="8" t="n">
        <f aca="true">IF(ROW()-2&gt;=Inputs!$B$5,AVERAGE(OFFSET(E1047,1-Inputs!$B$5,0,Inputs!$B$5,1)),"")</f>
        <v>0.847946275103523</v>
      </c>
      <c r="H1047" s="8" t="n">
        <f aca="false">MAX(C1047-D1047,ABS(C1047-E1046),ABS(D1047-E1046))</f>
        <v>0.00283609623519698</v>
      </c>
      <c r="I1047" s="8" t="n">
        <f aca="true">IF(ROW()-2&lt;14,"",IF(ROW()-2=14,AVERAGE(OFFSET(H1047,-13,0,14,1)),(I1046*13+H1047)/14))</f>
        <v>0.00905813712583348</v>
      </c>
      <c r="J1047" s="9" t="b">
        <f aca="false">IF(AND(ISNUMBER(F1047),ISNUMBER(G1047),ISNUMBER(F1046),ISNUMBER(G1046)),AND(F1047&gt;G1047,F1046&lt;=G1046),FALSE())</f>
        <v>0</v>
      </c>
      <c r="K1047" s="9" t="b">
        <f aca="false">IF(AND(ISNUMBER(F1047),ISNUMBER(G1047),ISNUMBER(F1046),ISNUMBER(G1046)),AND(F1047&lt;G1047,F1046&gt;=G1046),FALSE())</f>
        <v>0</v>
      </c>
      <c r="L1047" s="8" t="n">
        <f aca="false">IF(ISNUMBER(I1047),E1047-Inputs!$B$6*I1047,"")</f>
        <v>0.838311076831588</v>
      </c>
      <c r="M1047" s="9" t="b">
        <f aca="false">AND(Y1046&gt;0,Z1046)</f>
        <v>0</v>
      </c>
      <c r="N1047" s="8" t="n">
        <f aca="false">B1047*(1-Inputs!$B$12)</f>
        <v>0.856389508118373</v>
      </c>
      <c r="O1047" s="10" t="n">
        <f aca="false">IF(M1047,Y1046*(N1047-AB1046)-Inputs!$B$9-Y1046*AD1046*Inputs!$B$13*(A1047-AC1046),0)</f>
        <v>0</v>
      </c>
      <c r="P1047" s="10" t="n">
        <f aca="false">X1046+O1047</f>
        <v>957.885880192555</v>
      </c>
      <c r="Q1047" s="9" t="b">
        <f aca="false">AND(IF(M1047,0,Y1046)=0,AA1046,IF(ISNUMBER(AE1046),B1047&gt;AE1046,FALSE()))</f>
        <v>0</v>
      </c>
      <c r="R1047" s="8" t="n">
        <f aca="false">B1047*(1+Inputs!$B$12)</f>
        <v>0.856732132446486</v>
      </c>
      <c r="S1047" s="11" t="n">
        <f aca="false">IF(Q1047,MIN(P1047*Inputs!$B$3/(R1047-AE1046),P1047*Inputs!$B$11/R1047),0)</f>
        <v>0</v>
      </c>
      <c r="T1047" s="11" t="n">
        <f aca="false">IF(Q1047,S1047,IF(M1047,0,Y1046))</f>
        <v>0</v>
      </c>
      <c r="U1047" s="8" t="n">
        <f aca="false">IF(Q1047,AE1046,AF1046)</f>
        <v>0.82861890181715</v>
      </c>
      <c r="V1047" s="9" t="b">
        <f aca="false">AND(T1047&gt;0,D1047&lt;=U1047)</f>
        <v>0</v>
      </c>
      <c r="W1047" s="10" t="n">
        <f aca="false">IF(V1047,T1047*(AK1047-AB1047)-Inputs!$B$9-T1047*AD1047*Inputs!$B$13*(A1047-AC1047),0)</f>
        <v>0</v>
      </c>
      <c r="X1047" s="10" t="n">
        <f aca="false">P1047-IF(Q1047,Inputs!$B$9,0)+W1047</f>
        <v>957.885880192555</v>
      </c>
      <c r="Y1047" s="11" t="n">
        <f aca="false">IF(V1047,0,T1047)</f>
        <v>0</v>
      </c>
      <c r="Z1047" s="9" t="b">
        <f aca="false">AND(Y1047&gt;0,K1047)</f>
        <v>0</v>
      </c>
      <c r="AA1047" s="9" t="b">
        <f aca="false">AND(Y1047=0,J1047,ISNUMBER(L1047))</f>
        <v>0</v>
      </c>
      <c r="AB1047" s="8" t="n">
        <f aca="false">IF(Q1047,R1047,AB1046)</f>
        <v>0.846806155141499</v>
      </c>
      <c r="AC1047" s="12" t="n">
        <f aca="false">IF(Q1047,A1047,AC1046)</f>
        <v>45816</v>
      </c>
      <c r="AD1047" s="8" t="n">
        <f aca="false">IF(Q1047,B1047,AD1046)</f>
        <v>0.846636827775943</v>
      </c>
      <c r="AE1047" s="8" t="str">
        <f aca="false">IF(AA1047,L1047,"")</f>
        <v/>
      </c>
      <c r="AF1047" s="8" t="n">
        <f aca="false">U1047</f>
        <v>0.82861890181715</v>
      </c>
      <c r="AG1047" s="2" t="n">
        <f aca="false">AG1046+IF(Q1047,1,0)</f>
        <v>10</v>
      </c>
      <c r="AH1047" s="2" t="n">
        <f aca="false">AG1046</f>
        <v>10</v>
      </c>
      <c r="AI1047" s="10" t="n">
        <f aca="false">X1047+Y1047*(E1047-AB1047)-Y1047*AD1047*Inputs!$B$13*(A1047-AC1047)</f>
        <v>957.885880192555</v>
      </c>
      <c r="AJ1047" s="10" t="n">
        <v>0</v>
      </c>
      <c r="AK1047" s="8" t="n">
        <f aca="false">IF(AND(B1047&lt;=U1047,NOT(Q1047)),B1047,U1047)*(1-Inputs!$B$12)</f>
        <v>0.828453178036787</v>
      </c>
    </row>
    <row r="1048" customFormat="false" ht="15" hidden="false" customHeight="false" outlineLevel="0" collapsed="false">
      <c r="A1048" s="6" t="n">
        <v>45832</v>
      </c>
      <c r="B1048" s="7" t="n">
        <v>0.856427351083255</v>
      </c>
      <c r="C1048" s="7" t="n">
        <v>0.860804871891083</v>
      </c>
      <c r="D1048" s="7" t="n">
        <v>0.851961565213919</v>
      </c>
      <c r="E1048" s="7" t="n">
        <v>0.857515597711612</v>
      </c>
      <c r="F1048" s="8" t="n">
        <f aca="true">IF(ROW()-2&gt;=Inputs!$B$4,AVERAGE(OFFSET(E1048,1-Inputs!$B$4,0,Inputs!$B$4,1)),"")</f>
        <v>0.847772761431259</v>
      </c>
      <c r="G1048" s="8" t="n">
        <f aca="true">IF(ROW()-2&gt;=Inputs!$B$5,AVERAGE(OFFSET(E1048,1-Inputs!$B$5,0,Inputs!$B$5,1)),"")</f>
        <v>0.848121662230252</v>
      </c>
      <c r="H1048" s="8" t="n">
        <f aca="false">MAX(C1048-D1048,ABS(C1048-E1047),ABS(D1048-E1047))</f>
        <v>0.00884330667716338</v>
      </c>
      <c r="I1048" s="8" t="n">
        <f aca="true">IF(ROW()-2&lt;14,"",IF(ROW()-2=14,AVERAGE(OFFSET(H1048,-13,0,14,1)),(I1047*13+H1048)/14))</f>
        <v>0.00904279209378561</v>
      </c>
      <c r="J1048" s="9" t="b">
        <f aca="false">IF(AND(ISNUMBER(F1048),ISNUMBER(G1048),ISNUMBER(F1047),ISNUMBER(G1047)),AND(F1048&gt;G1048,F1047&lt;=G1047),FALSE())</f>
        <v>0</v>
      </c>
      <c r="K1048" s="9" t="b">
        <f aca="false">IF(AND(ISNUMBER(F1048),ISNUMBER(G1048),ISNUMBER(F1047),ISNUMBER(G1047)),AND(F1048&lt;G1048,F1047&gt;=G1047),FALSE())</f>
        <v>0</v>
      </c>
      <c r="L1048" s="8" t="n">
        <f aca="false">IF(ISNUMBER(I1048),E1048-Inputs!$B$6*I1048,"")</f>
        <v>0.839430013524041</v>
      </c>
      <c r="M1048" s="9" t="b">
        <f aca="false">AND(Y1047&gt;0,Z1047)</f>
        <v>0</v>
      </c>
      <c r="N1048" s="8" t="n">
        <f aca="false">B1048*(1-Inputs!$B$12)</f>
        <v>0.856256065613039</v>
      </c>
      <c r="O1048" s="10" t="n">
        <f aca="false">IF(M1048,Y1047*(N1048-AB1047)-Inputs!$B$9-Y1047*AD1047*Inputs!$B$13*(A1048-AC1047),0)</f>
        <v>0</v>
      </c>
      <c r="P1048" s="10" t="n">
        <f aca="false">X1047+O1048</f>
        <v>957.885880192555</v>
      </c>
      <c r="Q1048" s="9" t="b">
        <f aca="false">AND(IF(M1048,0,Y1047)=0,AA1047,IF(ISNUMBER(AE1047),B1048&gt;AE1047,FALSE()))</f>
        <v>0</v>
      </c>
      <c r="R1048" s="8" t="n">
        <f aca="false">B1048*(1+Inputs!$B$12)</f>
        <v>0.856598636553472</v>
      </c>
      <c r="S1048" s="11" t="n">
        <f aca="false">IF(Q1048,MIN(P1048*Inputs!$B$3/(R1048-AE1047),P1048*Inputs!$B$11/R1048),0)</f>
        <v>0</v>
      </c>
      <c r="T1048" s="11" t="n">
        <f aca="false">IF(Q1048,S1048,IF(M1048,0,Y1047))</f>
        <v>0</v>
      </c>
      <c r="U1048" s="8" t="n">
        <f aca="false">IF(Q1048,AE1047,AF1047)</f>
        <v>0.82861890181715</v>
      </c>
      <c r="V1048" s="9" t="b">
        <f aca="false">AND(T1048&gt;0,D1048&lt;=U1048)</f>
        <v>0</v>
      </c>
      <c r="W1048" s="10" t="n">
        <f aca="false">IF(V1048,T1048*(AK1048-AB1048)-Inputs!$B$9-T1048*AD1048*Inputs!$B$13*(A1048-AC1048),0)</f>
        <v>0</v>
      </c>
      <c r="X1048" s="10" t="n">
        <f aca="false">P1048-IF(Q1048,Inputs!$B$9,0)+W1048</f>
        <v>957.885880192555</v>
      </c>
      <c r="Y1048" s="11" t="n">
        <f aca="false">IF(V1048,0,T1048)</f>
        <v>0</v>
      </c>
      <c r="Z1048" s="9" t="b">
        <f aca="false">AND(Y1048&gt;0,K1048)</f>
        <v>0</v>
      </c>
      <c r="AA1048" s="9" t="b">
        <f aca="false">AND(Y1048=0,J1048,ISNUMBER(L1048))</f>
        <v>0</v>
      </c>
      <c r="AB1048" s="8" t="n">
        <f aca="false">IF(Q1048,R1048,AB1047)</f>
        <v>0.846806155141499</v>
      </c>
      <c r="AC1048" s="12" t="n">
        <f aca="false">IF(Q1048,A1048,AC1047)</f>
        <v>45816</v>
      </c>
      <c r="AD1048" s="8" t="n">
        <f aca="false">IF(Q1048,B1048,AD1047)</f>
        <v>0.846636827775943</v>
      </c>
      <c r="AE1048" s="8" t="str">
        <f aca="false">IF(AA1048,L1048,"")</f>
        <v/>
      </c>
      <c r="AF1048" s="8" t="n">
        <f aca="false">U1048</f>
        <v>0.82861890181715</v>
      </c>
      <c r="AG1048" s="2" t="n">
        <f aca="false">AG1047+IF(Q1048,1,0)</f>
        <v>10</v>
      </c>
      <c r="AH1048" s="2" t="n">
        <f aca="false">AG1047</f>
        <v>10</v>
      </c>
      <c r="AI1048" s="10" t="n">
        <f aca="false">X1048+Y1048*(E1048-AB1048)-Y1048*AD1048*Inputs!$B$13*(A1048-AC1048)</f>
        <v>957.885880192555</v>
      </c>
      <c r="AJ1048" s="10" t="n">
        <v>0</v>
      </c>
      <c r="AK1048" s="8" t="n">
        <f aca="false">IF(AND(B1048&lt;=U1048,NOT(Q1048)),B1048,U1048)*(1-Inputs!$B$12)</f>
        <v>0.828453178036787</v>
      </c>
    </row>
    <row r="1049" customFormat="false" ht="15" hidden="false" customHeight="false" outlineLevel="0" collapsed="false">
      <c r="A1049" s="6" t="n">
        <v>45833</v>
      </c>
      <c r="B1049" s="7" t="n">
        <v>0.857515597711612</v>
      </c>
      <c r="C1049" s="7" t="n">
        <v>0.85824520378365</v>
      </c>
      <c r="D1049" s="7" t="n">
        <v>0.856571557457765</v>
      </c>
      <c r="E1049" s="7" t="n">
        <v>0.857012796762658</v>
      </c>
      <c r="F1049" s="8" t="n">
        <f aca="true">IF(ROW()-2&gt;=Inputs!$B$4,AVERAGE(OFFSET(E1049,1-Inputs!$B$4,0,Inputs!$B$4,1)),"")</f>
        <v>0.848407799778124</v>
      </c>
      <c r="G1049" s="8" t="n">
        <f aca="true">IF(ROW()-2&gt;=Inputs!$B$5,AVERAGE(OFFSET(E1049,1-Inputs!$B$5,0,Inputs!$B$5,1)),"")</f>
        <v>0.848316069414587</v>
      </c>
      <c r="H1049" s="8" t="n">
        <f aca="false">MAX(C1049-D1049,ABS(C1049-E1048),ABS(D1049-E1048))</f>
        <v>0.0016736463258844</v>
      </c>
      <c r="I1049" s="8" t="n">
        <f aca="true">IF(ROW()-2&lt;14,"",IF(ROW()-2=14,AVERAGE(OFFSET(H1049,-13,0,14,1)),(I1048*13+H1049)/14))</f>
        <v>0.00851642453893553</v>
      </c>
      <c r="J1049" s="9" t="b">
        <f aca="false">IF(AND(ISNUMBER(F1049),ISNUMBER(G1049),ISNUMBER(F1048),ISNUMBER(G1048)),AND(F1049&gt;G1049,F1048&lt;=G1048),FALSE())</f>
        <v>1</v>
      </c>
      <c r="K1049" s="9" t="b">
        <f aca="false">IF(AND(ISNUMBER(F1049),ISNUMBER(G1049),ISNUMBER(F1048),ISNUMBER(G1048)),AND(F1049&lt;G1049,F1048&gt;=G1048),FALSE())</f>
        <v>0</v>
      </c>
      <c r="L1049" s="8" t="n">
        <f aca="false">IF(ISNUMBER(I1049),E1049-Inputs!$B$6*I1049,"")</f>
        <v>0.839979947684787</v>
      </c>
      <c r="M1049" s="9" t="b">
        <f aca="false">AND(Y1048&gt;0,Z1048)</f>
        <v>0</v>
      </c>
      <c r="N1049" s="8" t="n">
        <f aca="false">B1049*(1-Inputs!$B$12)</f>
        <v>0.857344094592069</v>
      </c>
      <c r="O1049" s="10" t="n">
        <f aca="false">IF(M1049,Y1048*(N1049-AB1048)-Inputs!$B$9-Y1048*AD1048*Inputs!$B$13*(A1049-AC1048),0)</f>
        <v>0</v>
      </c>
      <c r="P1049" s="10" t="n">
        <f aca="false">X1048+O1049</f>
        <v>957.885880192555</v>
      </c>
      <c r="Q1049" s="9" t="b">
        <f aca="false">AND(IF(M1049,0,Y1048)=0,AA1048,IF(ISNUMBER(AE1048),B1049&gt;AE1048,FALSE()))</f>
        <v>0</v>
      </c>
      <c r="R1049" s="8" t="n">
        <f aca="false">B1049*(1+Inputs!$B$12)</f>
        <v>0.857687100831154</v>
      </c>
      <c r="S1049" s="11" t="n">
        <f aca="false">IF(Q1049,MIN(P1049*Inputs!$B$3/(R1049-AE1048),P1049*Inputs!$B$11/R1049),0)</f>
        <v>0</v>
      </c>
      <c r="T1049" s="11" t="n">
        <f aca="false">IF(Q1049,S1049,IF(M1049,0,Y1048))</f>
        <v>0</v>
      </c>
      <c r="U1049" s="8" t="n">
        <f aca="false">IF(Q1049,AE1048,AF1048)</f>
        <v>0.82861890181715</v>
      </c>
      <c r="V1049" s="9" t="b">
        <f aca="false">AND(T1049&gt;0,D1049&lt;=U1049)</f>
        <v>0</v>
      </c>
      <c r="W1049" s="10" t="n">
        <f aca="false">IF(V1049,T1049*(AK1049-AB1049)-Inputs!$B$9-T1049*AD1049*Inputs!$B$13*(A1049-AC1049),0)</f>
        <v>0</v>
      </c>
      <c r="X1049" s="10" t="n">
        <f aca="false">P1049-IF(Q1049,Inputs!$B$9,0)+W1049</f>
        <v>957.885880192555</v>
      </c>
      <c r="Y1049" s="11" t="n">
        <f aca="false">IF(V1049,0,T1049)</f>
        <v>0</v>
      </c>
      <c r="Z1049" s="9" t="b">
        <f aca="false">AND(Y1049&gt;0,K1049)</f>
        <v>0</v>
      </c>
      <c r="AA1049" s="9" t="b">
        <f aca="false">AND(Y1049=0,J1049,ISNUMBER(L1049))</f>
        <v>1</v>
      </c>
      <c r="AB1049" s="8" t="n">
        <f aca="false">IF(Q1049,R1049,AB1048)</f>
        <v>0.846806155141499</v>
      </c>
      <c r="AC1049" s="12" t="n">
        <f aca="false">IF(Q1049,A1049,AC1048)</f>
        <v>45816</v>
      </c>
      <c r="AD1049" s="8" t="n">
        <f aca="false">IF(Q1049,B1049,AD1048)</f>
        <v>0.846636827775943</v>
      </c>
      <c r="AE1049" s="8" t="n">
        <f aca="false">IF(AA1049,L1049,"")</f>
        <v>0.839979947684787</v>
      </c>
      <c r="AF1049" s="8" t="n">
        <f aca="false">U1049</f>
        <v>0.82861890181715</v>
      </c>
      <c r="AG1049" s="2" t="n">
        <f aca="false">AG1048+IF(Q1049,1,0)</f>
        <v>10</v>
      </c>
      <c r="AH1049" s="2" t="n">
        <f aca="false">AG1048</f>
        <v>10</v>
      </c>
      <c r="AI1049" s="10" t="n">
        <f aca="false">X1049+Y1049*(E1049-AB1049)-Y1049*AD1049*Inputs!$B$13*(A1049-AC1049)</f>
        <v>957.885880192555</v>
      </c>
      <c r="AJ1049" s="10" t="n">
        <v>0</v>
      </c>
      <c r="AK1049" s="8" t="n">
        <f aca="false">IF(AND(B1049&lt;=U1049,NOT(Q1049)),B1049,U1049)*(1-Inputs!$B$12)</f>
        <v>0.828453178036787</v>
      </c>
    </row>
    <row r="1050" customFormat="false" ht="15" hidden="false" customHeight="false" outlineLevel="0" collapsed="false">
      <c r="A1050" s="6" t="n">
        <v>45834</v>
      </c>
      <c r="B1050" s="7" t="n">
        <v>0.857012796762658</v>
      </c>
      <c r="C1050" s="7" t="n">
        <v>0.860898473817179</v>
      </c>
      <c r="D1050" s="7" t="n">
        <v>0.849118857136001</v>
      </c>
      <c r="E1050" s="7" t="n">
        <v>0.855277877140515</v>
      </c>
      <c r="F1050" s="8" t="n">
        <f aca="true">IF(ROW()-2&gt;=Inputs!$B$4,AVERAGE(OFFSET(E1050,1-Inputs!$B$4,0,Inputs!$B$4,1)),"")</f>
        <v>0.848807011172692</v>
      </c>
      <c r="G1050" s="8" t="n">
        <f aca="true">IF(ROW()-2&gt;=Inputs!$B$5,AVERAGE(OFFSET(E1050,1-Inputs!$B$5,0,Inputs!$B$5,1)),"")</f>
        <v>0.848405599660537</v>
      </c>
      <c r="H1050" s="8" t="n">
        <f aca="false">MAX(C1050-D1050,ABS(C1050-E1049),ABS(D1050-E1049))</f>
        <v>0.0117796166811783</v>
      </c>
      <c r="I1050" s="8" t="n">
        <f aca="true">IF(ROW()-2&lt;14,"",IF(ROW()-2=14,AVERAGE(OFFSET(H1050,-13,0,14,1)),(I1049*13+H1050)/14))</f>
        <v>0.00874950969195287</v>
      </c>
      <c r="J1050" s="9" t="b">
        <f aca="false">IF(AND(ISNUMBER(F1050),ISNUMBER(G1050),ISNUMBER(F1049),ISNUMBER(G1049)),AND(F1050&gt;G1050,F1049&lt;=G1049),FALSE())</f>
        <v>0</v>
      </c>
      <c r="K1050" s="9" t="b">
        <f aca="false">IF(AND(ISNUMBER(F1050),ISNUMBER(G1050),ISNUMBER(F1049),ISNUMBER(G1049)),AND(F1050&lt;G1050,F1049&gt;=G1049),FALSE())</f>
        <v>0</v>
      </c>
      <c r="L1050" s="8" t="n">
        <f aca="false">IF(ISNUMBER(I1050),E1050-Inputs!$B$6*I1050,"")</f>
        <v>0.83777885775661</v>
      </c>
      <c r="M1050" s="9" t="b">
        <f aca="false">AND(Y1049&gt;0,Z1049)</f>
        <v>0</v>
      </c>
      <c r="N1050" s="8" t="n">
        <f aca="false">B1050*(1-Inputs!$B$12)</f>
        <v>0.856841394203305</v>
      </c>
      <c r="O1050" s="10" t="n">
        <f aca="false">IF(M1050,Y1049*(N1050-AB1049)-Inputs!$B$9-Y1049*AD1049*Inputs!$B$13*(A1050-AC1049),0)</f>
        <v>0</v>
      </c>
      <c r="P1050" s="10" t="n">
        <f aca="false">X1049+O1050</f>
        <v>957.885880192555</v>
      </c>
      <c r="Q1050" s="9" t="b">
        <f aca="false">AND(IF(M1050,0,Y1049)=0,AA1049,IF(ISNUMBER(AE1049),B1050&gt;AE1049,FALSE()))</f>
        <v>1</v>
      </c>
      <c r="R1050" s="8" t="n">
        <f aca="false">B1050*(1+Inputs!$B$12)</f>
        <v>0.85718419932201</v>
      </c>
      <c r="S1050" s="11" t="n">
        <f aca="false">IF(Q1050,MIN(P1050*Inputs!$B$3/(R1050-AE1049),P1050*Inputs!$B$11/R1050),0)</f>
        <v>556.772767796564</v>
      </c>
      <c r="T1050" s="11" t="n">
        <f aca="false">IF(Q1050,S1050,IF(M1050,0,Y1049))</f>
        <v>556.772767796564</v>
      </c>
      <c r="U1050" s="8" t="n">
        <f aca="false">IF(Q1050,AE1049,AF1049)</f>
        <v>0.839979947684787</v>
      </c>
      <c r="V1050" s="9" t="b">
        <f aca="false">AND(T1050&gt;0,D1050&lt;=U1050)</f>
        <v>0</v>
      </c>
      <c r="W1050" s="10" t="n">
        <f aca="false">IF(V1050,T1050*(AK1050-AB1050)-Inputs!$B$9-T1050*AD1050*Inputs!$B$13*(A1050-AC1050),0)</f>
        <v>0</v>
      </c>
      <c r="X1050" s="10" t="n">
        <f aca="false">P1050-IF(Q1050,Inputs!$B$9,0)+W1050</f>
        <v>956.885880192555</v>
      </c>
      <c r="Y1050" s="11" t="n">
        <f aca="false">IF(V1050,0,T1050)</f>
        <v>556.772767796564</v>
      </c>
      <c r="Z1050" s="9" t="b">
        <f aca="false">AND(Y1050&gt;0,K1050)</f>
        <v>0</v>
      </c>
      <c r="AA1050" s="9" t="b">
        <f aca="false">AND(Y1050=0,J1050,ISNUMBER(L1050))</f>
        <v>0</v>
      </c>
      <c r="AB1050" s="8" t="n">
        <f aca="false">IF(Q1050,R1050,AB1049)</f>
        <v>0.85718419932201</v>
      </c>
      <c r="AC1050" s="12" t="n">
        <f aca="false">IF(Q1050,A1050,AC1049)</f>
        <v>45834</v>
      </c>
      <c r="AD1050" s="8" t="n">
        <f aca="false">IF(Q1050,B1050,AD1049)</f>
        <v>0.857012796762658</v>
      </c>
      <c r="AE1050" s="8" t="str">
        <f aca="false">IF(AA1050,L1050,"")</f>
        <v/>
      </c>
      <c r="AF1050" s="8" t="n">
        <f aca="false">U1050</f>
        <v>0.839979947684787</v>
      </c>
      <c r="AG1050" s="2" t="n">
        <f aca="false">AG1049+IF(Q1050,1,0)</f>
        <v>11</v>
      </c>
      <c r="AH1050" s="2" t="n">
        <f aca="false">AG1049</f>
        <v>10</v>
      </c>
      <c r="AI1050" s="10" t="n">
        <f aca="false">X1050+Y1050*(E1050-AB1050)-Y1050*AD1050*Inputs!$B$13*(A1050-AC1050)</f>
        <v>955.824491915253</v>
      </c>
      <c r="AJ1050" s="10" t="n">
        <v>0</v>
      </c>
      <c r="AK1050" s="8" t="n">
        <f aca="false">IF(AND(B1050&lt;=U1050,NOT(Q1050)),B1050,U1050)*(1-Inputs!$B$12)</f>
        <v>0.83981195169525</v>
      </c>
    </row>
    <row r="1051" customFormat="false" ht="15" hidden="false" customHeight="false" outlineLevel="0" collapsed="false">
      <c r="A1051" s="6" t="n">
        <v>45835</v>
      </c>
      <c r="B1051" s="7" t="n">
        <v>0.855277877140515</v>
      </c>
      <c r="C1051" s="7" t="n">
        <v>0.863500269087408</v>
      </c>
      <c r="D1051" s="7" t="n">
        <v>0.852130824596034</v>
      </c>
      <c r="E1051" s="7" t="n">
        <v>0.859587353693125</v>
      </c>
      <c r="F1051" s="8" t="n">
        <f aca="true">IF(ROW()-2&gt;=Inputs!$B$4,AVERAGE(OFFSET(E1051,1-Inputs!$B$4,0,Inputs!$B$4,1)),"")</f>
        <v>0.849454537468551</v>
      </c>
      <c r="G1051" s="8" t="n">
        <f aca="true">IF(ROW()-2&gt;=Inputs!$B$5,AVERAGE(OFFSET(E1051,1-Inputs!$B$5,0,Inputs!$B$5,1)),"")</f>
        <v>0.84841643275801</v>
      </c>
      <c r="H1051" s="8" t="n">
        <f aca="false">MAX(C1051-D1051,ABS(C1051-E1050),ABS(D1051-E1050))</f>
        <v>0.011369444491374</v>
      </c>
      <c r="I1051" s="8" t="n">
        <f aca="true">IF(ROW()-2&lt;14,"",IF(ROW()-2=14,AVERAGE(OFFSET(H1051,-13,0,14,1)),(I1050*13+H1051)/14))</f>
        <v>0.00893664789191152</v>
      </c>
      <c r="J1051" s="9" t="b">
        <f aca="false">IF(AND(ISNUMBER(F1051),ISNUMBER(G1051),ISNUMBER(F1050),ISNUMBER(G1050)),AND(F1051&gt;G1051,F1050&lt;=G1050),FALSE())</f>
        <v>0</v>
      </c>
      <c r="K1051" s="9" t="b">
        <f aca="false">IF(AND(ISNUMBER(F1051),ISNUMBER(G1051),ISNUMBER(F1050),ISNUMBER(G1050)),AND(F1051&lt;G1051,F1050&gt;=G1050),FALSE())</f>
        <v>0</v>
      </c>
      <c r="L1051" s="8" t="n">
        <f aca="false">IF(ISNUMBER(I1051),E1051-Inputs!$B$6*I1051,"")</f>
        <v>0.841714057909302</v>
      </c>
      <c r="M1051" s="9" t="b">
        <f aca="false">AND(Y1050&gt;0,Z1050)</f>
        <v>0</v>
      </c>
      <c r="N1051" s="8" t="n">
        <f aca="false">B1051*(1-Inputs!$B$12)</f>
        <v>0.855106821565087</v>
      </c>
      <c r="O1051" s="10" t="n">
        <f aca="false">IF(M1051,Y1050*(N1051-AB1050)-Inputs!$B$9-Y1050*AD1050*Inputs!$B$13*(A1051-AC1050),0)</f>
        <v>0</v>
      </c>
      <c r="P1051" s="10" t="n">
        <f aca="false">X1050+O1051</f>
        <v>956.885880192555</v>
      </c>
      <c r="Q1051" s="9" t="b">
        <f aca="false">AND(IF(M1051,0,Y1050)=0,AA1050,IF(ISNUMBER(AE1050),B1051&gt;AE1050,FALSE()))</f>
        <v>0</v>
      </c>
      <c r="R1051" s="8" t="n">
        <f aca="false">B1051*(1+Inputs!$B$12)</f>
        <v>0.855448932715944</v>
      </c>
      <c r="S1051" s="11" t="n">
        <f aca="false">IF(Q1051,MIN(P1051*Inputs!$B$3/(R1051-AE1050),P1051*Inputs!$B$11/R1051),0)</f>
        <v>0</v>
      </c>
      <c r="T1051" s="11" t="n">
        <f aca="false">IF(Q1051,S1051,IF(M1051,0,Y1050))</f>
        <v>556.772767796564</v>
      </c>
      <c r="U1051" s="8" t="n">
        <f aca="false">IF(Q1051,AE1050,AF1050)</f>
        <v>0.839979947684787</v>
      </c>
      <c r="V1051" s="9" t="b">
        <f aca="false">AND(T1051&gt;0,D1051&lt;=U1051)</f>
        <v>0</v>
      </c>
      <c r="W1051" s="10" t="n">
        <f aca="false">IF(V1051,T1051*(AK1051-AB1051)-Inputs!$B$9-T1051*AD1051*Inputs!$B$13*(A1051-AC1051),0)</f>
        <v>0</v>
      </c>
      <c r="X1051" s="10" t="n">
        <f aca="false">P1051-IF(Q1051,Inputs!$B$9,0)+W1051</f>
        <v>956.885880192555</v>
      </c>
      <c r="Y1051" s="11" t="n">
        <f aca="false">IF(V1051,0,T1051)</f>
        <v>556.772767796564</v>
      </c>
      <c r="Z1051" s="9" t="b">
        <f aca="false">AND(Y1051&gt;0,K1051)</f>
        <v>0</v>
      </c>
      <c r="AA1051" s="9" t="b">
        <f aca="false">AND(Y1051=0,J1051,ISNUMBER(L1051))</f>
        <v>0</v>
      </c>
      <c r="AB1051" s="8" t="n">
        <f aca="false">IF(Q1051,R1051,AB1050)</f>
        <v>0.85718419932201</v>
      </c>
      <c r="AC1051" s="12" t="n">
        <f aca="false">IF(Q1051,A1051,AC1050)</f>
        <v>45834</v>
      </c>
      <c r="AD1051" s="8" t="n">
        <f aca="false">IF(Q1051,B1051,AD1050)</f>
        <v>0.857012796762658</v>
      </c>
      <c r="AE1051" s="8" t="str">
        <f aca="false">IF(AA1051,L1051,"")</f>
        <v/>
      </c>
      <c r="AF1051" s="8" t="n">
        <f aca="false">U1051</f>
        <v>0.839979947684787</v>
      </c>
      <c r="AG1051" s="2" t="n">
        <f aca="false">AG1050+IF(Q1051,1,0)</f>
        <v>11</v>
      </c>
      <c r="AH1051" s="2" t="n">
        <f aca="false">AG1050</f>
        <v>11</v>
      </c>
      <c r="AI1051" s="10" t="n">
        <f aca="false">X1051+Y1051*(E1051-AB1051)-Y1051*AD1051*Inputs!$B$13*(A1051-AC1051)</f>
        <v>958.138917157593</v>
      </c>
      <c r="AJ1051" s="10" t="n">
        <v>0</v>
      </c>
      <c r="AK1051" s="8" t="n">
        <f aca="false">IF(AND(B1051&lt;=U1051,NOT(Q1051)),B1051,U1051)*(1-Inputs!$B$12)</f>
        <v>0.83981195169525</v>
      </c>
    </row>
    <row r="1052" customFormat="false" ht="15" hidden="false" customHeight="false" outlineLevel="0" collapsed="false">
      <c r="A1052" s="6" t="n">
        <v>45836</v>
      </c>
      <c r="B1052" s="7" t="n">
        <v>0.859587353693125</v>
      </c>
      <c r="C1052" s="7" t="n">
        <v>0.870481315723906</v>
      </c>
      <c r="D1052" s="7" t="n">
        <v>0.855470105794649</v>
      </c>
      <c r="E1052" s="7" t="n">
        <v>0.8683900181388</v>
      </c>
      <c r="F1052" s="8" t="n">
        <f aca="true">IF(ROW()-2&gt;=Inputs!$B$4,AVERAGE(OFFSET(E1052,1-Inputs!$B$4,0,Inputs!$B$4,1)),"")</f>
        <v>0.850013547375153</v>
      </c>
      <c r="G1052" s="8" t="n">
        <f aca="true">IF(ROW()-2&gt;=Inputs!$B$5,AVERAGE(OFFSET(E1052,1-Inputs!$B$5,0,Inputs!$B$5,1)),"")</f>
        <v>0.8485456702233</v>
      </c>
      <c r="H1052" s="8" t="n">
        <f aca="false">MAX(C1052-D1052,ABS(C1052-E1051),ABS(D1052-E1051))</f>
        <v>0.0150112099292566</v>
      </c>
      <c r="I1052" s="8" t="n">
        <f aca="true">IF(ROW()-2&lt;14,"",IF(ROW()-2=14,AVERAGE(OFFSET(H1052,-13,0,14,1)),(I1051*13+H1052)/14))</f>
        <v>0.00937054518029332</v>
      </c>
      <c r="J1052" s="9" t="b">
        <f aca="false">IF(AND(ISNUMBER(F1052),ISNUMBER(G1052),ISNUMBER(F1051),ISNUMBER(G1051)),AND(F1052&gt;G1052,F1051&lt;=G1051),FALSE())</f>
        <v>0</v>
      </c>
      <c r="K1052" s="9" t="b">
        <f aca="false">IF(AND(ISNUMBER(F1052),ISNUMBER(G1052),ISNUMBER(F1051),ISNUMBER(G1051)),AND(F1052&lt;G1052,F1051&gt;=G1051),FALSE())</f>
        <v>0</v>
      </c>
      <c r="L1052" s="8" t="n">
        <f aca="false">IF(ISNUMBER(I1052),E1052-Inputs!$B$6*I1052,"")</f>
        <v>0.849648927778213</v>
      </c>
      <c r="M1052" s="9" t="b">
        <f aca="false">AND(Y1051&gt;0,Z1051)</f>
        <v>0</v>
      </c>
      <c r="N1052" s="8" t="n">
        <f aca="false">B1052*(1-Inputs!$B$12)</f>
        <v>0.859415436222387</v>
      </c>
      <c r="O1052" s="10" t="n">
        <f aca="false">IF(M1052,Y1051*(N1052-AB1051)-Inputs!$B$9-Y1051*AD1051*Inputs!$B$13*(A1052-AC1051),0)</f>
        <v>0</v>
      </c>
      <c r="P1052" s="10" t="n">
        <f aca="false">X1051+O1052</f>
        <v>956.885880192555</v>
      </c>
      <c r="Q1052" s="9" t="b">
        <f aca="false">AND(IF(M1052,0,Y1051)=0,AA1051,IF(ISNUMBER(AE1051),B1052&gt;AE1051,FALSE()))</f>
        <v>0</v>
      </c>
      <c r="R1052" s="8" t="n">
        <f aca="false">B1052*(1+Inputs!$B$12)</f>
        <v>0.859759271163864</v>
      </c>
      <c r="S1052" s="11" t="n">
        <f aca="false">IF(Q1052,MIN(P1052*Inputs!$B$3/(R1052-AE1051),P1052*Inputs!$B$11/R1052),0)</f>
        <v>0</v>
      </c>
      <c r="T1052" s="11" t="n">
        <f aca="false">IF(Q1052,S1052,IF(M1052,0,Y1051))</f>
        <v>556.772767796564</v>
      </c>
      <c r="U1052" s="8" t="n">
        <f aca="false">IF(Q1052,AE1051,AF1051)</f>
        <v>0.839979947684787</v>
      </c>
      <c r="V1052" s="9" t="b">
        <f aca="false">AND(T1052&gt;0,D1052&lt;=U1052)</f>
        <v>0</v>
      </c>
      <c r="W1052" s="10" t="n">
        <f aca="false">IF(V1052,T1052*(AK1052-AB1052)-Inputs!$B$9-T1052*AD1052*Inputs!$B$13*(A1052-AC1052),0)</f>
        <v>0</v>
      </c>
      <c r="X1052" s="10" t="n">
        <f aca="false">P1052-IF(Q1052,Inputs!$B$9,0)+W1052</f>
        <v>956.885880192555</v>
      </c>
      <c r="Y1052" s="11" t="n">
        <f aca="false">IF(V1052,0,T1052)</f>
        <v>556.772767796564</v>
      </c>
      <c r="Z1052" s="9" t="b">
        <f aca="false">AND(Y1052&gt;0,K1052)</f>
        <v>0</v>
      </c>
      <c r="AA1052" s="9" t="b">
        <f aca="false">AND(Y1052=0,J1052,ISNUMBER(L1052))</f>
        <v>0</v>
      </c>
      <c r="AB1052" s="8" t="n">
        <f aca="false">IF(Q1052,R1052,AB1051)</f>
        <v>0.85718419932201</v>
      </c>
      <c r="AC1052" s="12" t="n">
        <f aca="false">IF(Q1052,A1052,AC1051)</f>
        <v>45834</v>
      </c>
      <c r="AD1052" s="8" t="n">
        <f aca="false">IF(Q1052,B1052,AD1051)</f>
        <v>0.857012796762658</v>
      </c>
      <c r="AE1052" s="8" t="str">
        <f aca="false">IF(AA1052,L1052,"")</f>
        <v/>
      </c>
      <c r="AF1052" s="8" t="n">
        <f aca="false">U1052</f>
        <v>0.839979947684787</v>
      </c>
      <c r="AG1052" s="2" t="n">
        <f aca="false">AG1051+IF(Q1052,1,0)</f>
        <v>11</v>
      </c>
      <c r="AH1052" s="2" t="n">
        <f aca="false">AG1051</f>
        <v>11</v>
      </c>
      <c r="AI1052" s="10" t="n">
        <f aca="false">X1052+Y1052*(E1052-AB1052)-Y1052*AD1052*Inputs!$B$13*(A1052-AC1052)</f>
        <v>962.955027059385</v>
      </c>
      <c r="AJ1052" s="10" t="n">
        <v>0</v>
      </c>
      <c r="AK1052" s="8" t="n">
        <f aca="false">IF(AND(B1052&lt;=U1052,NOT(Q1052)),B1052,U1052)*(1-Inputs!$B$12)</f>
        <v>0.83981195169525</v>
      </c>
    </row>
    <row r="1053" customFormat="false" ht="15" hidden="false" customHeight="false" outlineLevel="0" collapsed="false">
      <c r="A1053" s="6" t="n">
        <v>45837</v>
      </c>
      <c r="B1053" s="7" t="n">
        <v>0.8683900181388</v>
      </c>
      <c r="C1053" s="7" t="n">
        <v>0.872149065679514</v>
      </c>
      <c r="D1053" s="7" t="n">
        <v>0.862238578138743</v>
      </c>
      <c r="E1053" s="7" t="n">
        <v>0.865461870652</v>
      </c>
      <c r="F1053" s="8" t="n">
        <f aca="true">IF(ROW()-2&gt;=Inputs!$B$4,AVERAGE(OFFSET(E1053,1-Inputs!$B$4,0,Inputs!$B$4,1)),"")</f>
        <v>0.850708027359303</v>
      </c>
      <c r="G1053" s="8" t="n">
        <f aca="true">IF(ROW()-2&gt;=Inputs!$B$5,AVERAGE(OFFSET(E1053,1-Inputs!$B$5,0,Inputs!$B$5,1)),"")</f>
        <v>0.848656392410194</v>
      </c>
      <c r="H1053" s="8" t="n">
        <f aca="false">MAX(C1053-D1053,ABS(C1053-E1052),ABS(D1053-E1052))</f>
        <v>0.00991048754077106</v>
      </c>
      <c r="I1053" s="8" t="n">
        <f aca="true">IF(ROW()-2&lt;14,"",IF(ROW()-2=14,AVERAGE(OFFSET(H1053,-13,0,14,1)),(I1052*13+H1053)/14))</f>
        <v>0.00940911249175601</v>
      </c>
      <c r="J1053" s="9" t="b">
        <f aca="false">IF(AND(ISNUMBER(F1053),ISNUMBER(G1053),ISNUMBER(F1052),ISNUMBER(G1052)),AND(F1053&gt;G1053,F1052&lt;=G1052),FALSE())</f>
        <v>0</v>
      </c>
      <c r="K1053" s="9" t="b">
        <f aca="false">IF(AND(ISNUMBER(F1053),ISNUMBER(G1053),ISNUMBER(F1052),ISNUMBER(G1052)),AND(F1053&lt;G1053,F1052&gt;=G1052),FALSE())</f>
        <v>0</v>
      </c>
      <c r="L1053" s="8" t="n">
        <f aca="false">IF(ISNUMBER(I1053),E1053-Inputs!$B$6*I1053,"")</f>
        <v>0.846643645668488</v>
      </c>
      <c r="M1053" s="9" t="b">
        <f aca="false">AND(Y1052&gt;0,Z1052)</f>
        <v>0</v>
      </c>
      <c r="N1053" s="8" t="n">
        <f aca="false">B1053*(1-Inputs!$B$12)</f>
        <v>0.868216340135172</v>
      </c>
      <c r="O1053" s="10" t="n">
        <f aca="false">IF(M1053,Y1052*(N1053-AB1052)-Inputs!$B$9-Y1052*AD1052*Inputs!$B$13*(A1053-AC1052),0)</f>
        <v>0</v>
      </c>
      <c r="P1053" s="10" t="n">
        <f aca="false">X1052+O1053</f>
        <v>956.885880192555</v>
      </c>
      <c r="Q1053" s="9" t="b">
        <f aca="false">AND(IF(M1053,0,Y1052)=0,AA1052,IF(ISNUMBER(AE1052),B1053&gt;AE1052,FALSE()))</f>
        <v>0</v>
      </c>
      <c r="R1053" s="8" t="n">
        <f aca="false">B1053*(1+Inputs!$B$12)</f>
        <v>0.868563696142428</v>
      </c>
      <c r="S1053" s="11" t="n">
        <f aca="false">IF(Q1053,MIN(P1053*Inputs!$B$3/(R1053-AE1052),P1053*Inputs!$B$11/R1053),0)</f>
        <v>0</v>
      </c>
      <c r="T1053" s="11" t="n">
        <f aca="false">IF(Q1053,S1053,IF(M1053,0,Y1052))</f>
        <v>556.772767796564</v>
      </c>
      <c r="U1053" s="8" t="n">
        <f aca="false">IF(Q1053,AE1052,AF1052)</f>
        <v>0.839979947684787</v>
      </c>
      <c r="V1053" s="9" t="b">
        <f aca="false">AND(T1053&gt;0,D1053&lt;=U1053)</f>
        <v>0</v>
      </c>
      <c r="W1053" s="10" t="n">
        <f aca="false">IF(V1053,T1053*(AK1053-AB1053)-Inputs!$B$9-T1053*AD1053*Inputs!$B$13*(A1053-AC1053),0)</f>
        <v>0</v>
      </c>
      <c r="X1053" s="10" t="n">
        <f aca="false">P1053-IF(Q1053,Inputs!$B$9,0)+W1053</f>
        <v>956.885880192555</v>
      </c>
      <c r="Y1053" s="11" t="n">
        <f aca="false">IF(V1053,0,T1053)</f>
        <v>556.772767796564</v>
      </c>
      <c r="Z1053" s="9" t="b">
        <f aca="false">AND(Y1053&gt;0,K1053)</f>
        <v>0</v>
      </c>
      <c r="AA1053" s="9" t="b">
        <f aca="false">AND(Y1053=0,J1053,ISNUMBER(L1053))</f>
        <v>0</v>
      </c>
      <c r="AB1053" s="8" t="n">
        <f aca="false">IF(Q1053,R1053,AB1052)</f>
        <v>0.85718419932201</v>
      </c>
      <c r="AC1053" s="12" t="n">
        <f aca="false">IF(Q1053,A1053,AC1052)</f>
        <v>45834</v>
      </c>
      <c r="AD1053" s="8" t="n">
        <f aca="false">IF(Q1053,B1053,AD1052)</f>
        <v>0.857012796762658</v>
      </c>
      <c r="AE1053" s="8" t="str">
        <f aca="false">IF(AA1053,L1053,"")</f>
        <v/>
      </c>
      <c r="AF1053" s="8" t="n">
        <f aca="false">U1053</f>
        <v>0.839979947684787</v>
      </c>
      <c r="AG1053" s="2" t="n">
        <f aca="false">AG1052+IF(Q1053,1,0)</f>
        <v>11</v>
      </c>
      <c r="AH1053" s="2" t="n">
        <f aca="false">AG1052</f>
        <v>11</v>
      </c>
      <c r="AI1053" s="10" t="n">
        <f aca="false">X1053+Y1053*(E1053-AB1053)-Y1053*AD1053*Inputs!$B$13*(A1053-AC1053)</f>
        <v>961.239740333032</v>
      </c>
      <c r="AJ1053" s="10" t="n">
        <v>0</v>
      </c>
      <c r="AK1053" s="8" t="n">
        <f aca="false">IF(AND(B1053&lt;=U1053,NOT(Q1053)),B1053,U1053)*(1-Inputs!$B$12)</f>
        <v>0.83981195169525</v>
      </c>
    </row>
    <row r="1054" customFormat="false" ht="15" hidden="false" customHeight="false" outlineLevel="0" collapsed="false">
      <c r="A1054" s="6" t="n">
        <v>45838</v>
      </c>
      <c r="B1054" s="7" t="n">
        <v>0.865461870652</v>
      </c>
      <c r="C1054" s="7" t="n">
        <v>0.877113830415282</v>
      </c>
      <c r="D1054" s="7" t="n">
        <v>0.857360747942012</v>
      </c>
      <c r="E1054" s="7" t="n">
        <v>0.858066219635192</v>
      </c>
      <c r="F1054" s="8" t="n">
        <f aca="true">IF(ROW()-2&gt;=Inputs!$B$4,AVERAGE(OFFSET(E1054,1-Inputs!$B$4,0,Inputs!$B$4,1)),"")</f>
        <v>0.850944831967295</v>
      </c>
      <c r="G1054" s="8" t="n">
        <f aca="true">IF(ROW()-2&gt;=Inputs!$B$5,AVERAGE(OFFSET(E1054,1-Inputs!$B$5,0,Inputs!$B$5,1)),"")</f>
        <v>0.848690080335714</v>
      </c>
      <c r="H1054" s="8" t="n">
        <f aca="false">MAX(C1054-D1054,ABS(C1054-E1053),ABS(D1054-E1053))</f>
        <v>0.019753082473269</v>
      </c>
      <c r="I1054" s="8" t="n">
        <f aca="true">IF(ROW()-2&lt;14,"",IF(ROW()-2=14,AVERAGE(OFFSET(H1054,-13,0,14,1)),(I1053*13+H1054)/14))</f>
        <v>0.0101479674904355</v>
      </c>
      <c r="J1054" s="9" t="b">
        <f aca="false">IF(AND(ISNUMBER(F1054),ISNUMBER(G1054),ISNUMBER(F1053),ISNUMBER(G1053)),AND(F1054&gt;G1054,F1053&lt;=G1053),FALSE())</f>
        <v>0</v>
      </c>
      <c r="K1054" s="9" t="b">
        <f aca="false">IF(AND(ISNUMBER(F1054),ISNUMBER(G1054),ISNUMBER(F1053),ISNUMBER(G1053)),AND(F1054&lt;G1054,F1053&gt;=G1053),FALSE())</f>
        <v>0</v>
      </c>
      <c r="L1054" s="8" t="n">
        <f aca="false">IF(ISNUMBER(I1054),E1054-Inputs!$B$6*I1054,"")</f>
        <v>0.837770284654321</v>
      </c>
      <c r="M1054" s="9" t="b">
        <f aca="false">AND(Y1053&gt;0,Z1053)</f>
        <v>0</v>
      </c>
      <c r="N1054" s="8" t="n">
        <f aca="false">B1054*(1-Inputs!$B$12)</f>
        <v>0.86528877827787</v>
      </c>
      <c r="O1054" s="10" t="n">
        <f aca="false">IF(M1054,Y1053*(N1054-AB1053)-Inputs!$B$9-Y1053*AD1053*Inputs!$B$13*(A1054-AC1053),0)</f>
        <v>0</v>
      </c>
      <c r="P1054" s="10" t="n">
        <f aca="false">X1053+O1054</f>
        <v>956.885880192555</v>
      </c>
      <c r="Q1054" s="9" t="b">
        <f aca="false">AND(IF(M1054,0,Y1053)=0,AA1053,IF(ISNUMBER(AE1053),B1054&gt;AE1053,FALSE()))</f>
        <v>0</v>
      </c>
      <c r="R1054" s="8" t="n">
        <f aca="false">B1054*(1+Inputs!$B$12)</f>
        <v>0.86563496302613</v>
      </c>
      <c r="S1054" s="11" t="n">
        <f aca="false">IF(Q1054,MIN(P1054*Inputs!$B$3/(R1054-AE1053),P1054*Inputs!$B$11/R1054),0)</f>
        <v>0</v>
      </c>
      <c r="T1054" s="11" t="n">
        <f aca="false">IF(Q1054,S1054,IF(M1054,0,Y1053))</f>
        <v>556.772767796564</v>
      </c>
      <c r="U1054" s="8" t="n">
        <f aca="false">IF(Q1054,AE1053,AF1053)</f>
        <v>0.839979947684787</v>
      </c>
      <c r="V1054" s="9" t="b">
        <f aca="false">AND(T1054&gt;0,D1054&lt;=U1054)</f>
        <v>0</v>
      </c>
      <c r="W1054" s="10" t="n">
        <f aca="false">IF(V1054,T1054*(AK1054-AB1054)-Inputs!$B$9-T1054*AD1054*Inputs!$B$13*(A1054-AC1054),0)</f>
        <v>0</v>
      </c>
      <c r="X1054" s="10" t="n">
        <f aca="false">P1054-IF(Q1054,Inputs!$B$9,0)+W1054</f>
        <v>956.885880192555</v>
      </c>
      <c r="Y1054" s="11" t="n">
        <f aca="false">IF(V1054,0,T1054)</f>
        <v>556.772767796564</v>
      </c>
      <c r="Z1054" s="9" t="b">
        <f aca="false">AND(Y1054&gt;0,K1054)</f>
        <v>0</v>
      </c>
      <c r="AA1054" s="9" t="b">
        <f aca="false">AND(Y1054=0,J1054,ISNUMBER(L1054))</f>
        <v>0</v>
      </c>
      <c r="AB1054" s="8" t="n">
        <f aca="false">IF(Q1054,R1054,AB1053)</f>
        <v>0.85718419932201</v>
      </c>
      <c r="AC1054" s="12" t="n">
        <f aca="false">IF(Q1054,A1054,AC1053)</f>
        <v>45834</v>
      </c>
      <c r="AD1054" s="8" t="n">
        <f aca="false">IF(Q1054,B1054,AD1053)</f>
        <v>0.857012796762658</v>
      </c>
      <c r="AE1054" s="8" t="str">
        <f aca="false">IF(AA1054,L1054,"")</f>
        <v/>
      </c>
      <c r="AF1054" s="8" t="n">
        <f aca="false">U1054</f>
        <v>0.839979947684787</v>
      </c>
      <c r="AG1054" s="2" t="n">
        <f aca="false">AG1053+IF(Q1054,1,0)</f>
        <v>11</v>
      </c>
      <c r="AH1054" s="2" t="n">
        <f aca="false">AG1053</f>
        <v>11</v>
      </c>
      <c r="AI1054" s="10" t="n">
        <f aca="false">X1054+Y1054*(E1054-AB1054)-Y1054*AD1054*Inputs!$B$13*(A1054-AC1054)</f>
        <v>957.037069301136</v>
      </c>
      <c r="AJ1054" s="10" t="n">
        <v>0</v>
      </c>
      <c r="AK1054" s="8" t="n">
        <f aca="false">IF(AND(B1054&lt;=U1054,NOT(Q1054)),B1054,U1054)*(1-Inputs!$B$12)</f>
        <v>0.83981195169525</v>
      </c>
    </row>
    <row r="1055" customFormat="false" ht="15" hidden="false" customHeight="false" outlineLevel="0" collapsed="false">
      <c r="A1055" s="6" t="n">
        <v>45839</v>
      </c>
      <c r="B1055" s="7" t="n">
        <v>0.858066219635192</v>
      </c>
      <c r="C1055" s="7" t="n">
        <v>0.860369497449735</v>
      </c>
      <c r="D1055" s="7" t="n">
        <v>0.853455454694823</v>
      </c>
      <c r="E1055" s="7" t="n">
        <v>0.854686967036237</v>
      </c>
      <c r="F1055" s="8" t="n">
        <f aca="true">IF(ROW()-2&gt;=Inputs!$B$4,AVERAGE(OFFSET(E1055,1-Inputs!$B$4,0,Inputs!$B$4,1)),"")</f>
        <v>0.851143243467778</v>
      </c>
      <c r="G1055" s="8" t="n">
        <f aca="true">IF(ROW()-2&gt;=Inputs!$B$5,AVERAGE(OFFSET(E1055,1-Inputs!$B$5,0,Inputs!$B$5,1)),"")</f>
        <v>0.848633519948898</v>
      </c>
      <c r="H1055" s="8" t="n">
        <f aca="false">MAX(C1055-D1055,ABS(C1055-E1054),ABS(D1055-E1054))</f>
        <v>0.00691404275491236</v>
      </c>
      <c r="I1055" s="8" t="n">
        <f aca="true">IF(ROW()-2&lt;14,"",IF(ROW()-2=14,AVERAGE(OFFSET(H1055,-13,0,14,1)),(I1054*13+H1055)/14))</f>
        <v>0.00991697286646957</v>
      </c>
      <c r="J1055" s="9" t="b">
        <f aca="false">IF(AND(ISNUMBER(F1055),ISNUMBER(G1055),ISNUMBER(F1054),ISNUMBER(G1054)),AND(F1055&gt;G1055,F1054&lt;=G1054),FALSE())</f>
        <v>0</v>
      </c>
      <c r="K1055" s="9" t="b">
        <f aca="false">IF(AND(ISNUMBER(F1055),ISNUMBER(G1055),ISNUMBER(F1054),ISNUMBER(G1054)),AND(F1055&lt;G1055,F1054&gt;=G1054),FALSE())</f>
        <v>0</v>
      </c>
      <c r="L1055" s="8" t="n">
        <f aca="false">IF(ISNUMBER(I1055),E1055-Inputs!$B$6*I1055,"")</f>
        <v>0.834853021303298</v>
      </c>
      <c r="M1055" s="9" t="b">
        <f aca="false">AND(Y1054&gt;0,Z1054)</f>
        <v>0</v>
      </c>
      <c r="N1055" s="8" t="n">
        <f aca="false">B1055*(1-Inputs!$B$12)</f>
        <v>0.857894606391265</v>
      </c>
      <c r="O1055" s="10" t="n">
        <f aca="false">IF(M1055,Y1054*(N1055-AB1054)-Inputs!$B$9-Y1054*AD1054*Inputs!$B$13*(A1055-AC1054),0)</f>
        <v>0</v>
      </c>
      <c r="P1055" s="10" t="n">
        <f aca="false">X1054+O1055</f>
        <v>956.885880192555</v>
      </c>
      <c r="Q1055" s="9" t="b">
        <f aca="false">AND(IF(M1055,0,Y1054)=0,AA1054,IF(ISNUMBER(AE1054),B1055&gt;AE1054,FALSE()))</f>
        <v>0</v>
      </c>
      <c r="R1055" s="8" t="n">
        <f aca="false">B1055*(1+Inputs!$B$12)</f>
        <v>0.858237832879119</v>
      </c>
      <c r="S1055" s="11" t="n">
        <f aca="false">IF(Q1055,MIN(P1055*Inputs!$B$3/(R1055-AE1054),P1055*Inputs!$B$11/R1055),0)</f>
        <v>0</v>
      </c>
      <c r="T1055" s="11" t="n">
        <f aca="false">IF(Q1055,S1055,IF(M1055,0,Y1054))</f>
        <v>556.772767796564</v>
      </c>
      <c r="U1055" s="8" t="n">
        <f aca="false">IF(Q1055,AE1054,AF1054)</f>
        <v>0.839979947684787</v>
      </c>
      <c r="V1055" s="9" t="b">
        <f aca="false">AND(T1055&gt;0,D1055&lt;=U1055)</f>
        <v>0</v>
      </c>
      <c r="W1055" s="10" t="n">
        <f aca="false">IF(V1055,T1055*(AK1055-AB1055)-Inputs!$B$9-T1055*AD1055*Inputs!$B$13*(A1055-AC1055),0)</f>
        <v>0</v>
      </c>
      <c r="X1055" s="10" t="n">
        <f aca="false">P1055-IF(Q1055,Inputs!$B$9,0)+W1055</f>
        <v>956.885880192555</v>
      </c>
      <c r="Y1055" s="11" t="n">
        <f aca="false">IF(V1055,0,T1055)</f>
        <v>556.772767796564</v>
      </c>
      <c r="Z1055" s="9" t="b">
        <f aca="false">AND(Y1055&gt;0,K1055)</f>
        <v>0</v>
      </c>
      <c r="AA1055" s="9" t="b">
        <f aca="false">AND(Y1055=0,J1055,ISNUMBER(L1055))</f>
        <v>0</v>
      </c>
      <c r="AB1055" s="8" t="n">
        <f aca="false">IF(Q1055,R1055,AB1054)</f>
        <v>0.85718419932201</v>
      </c>
      <c r="AC1055" s="12" t="n">
        <f aca="false">IF(Q1055,A1055,AC1054)</f>
        <v>45834</v>
      </c>
      <c r="AD1055" s="8" t="n">
        <f aca="false">IF(Q1055,B1055,AD1054)</f>
        <v>0.857012796762658</v>
      </c>
      <c r="AE1055" s="8" t="str">
        <f aca="false">IF(AA1055,L1055,"")</f>
        <v/>
      </c>
      <c r="AF1055" s="8" t="n">
        <f aca="false">U1055</f>
        <v>0.839979947684787</v>
      </c>
      <c r="AG1055" s="2" t="n">
        <f aca="false">AG1054+IF(Q1055,1,0)</f>
        <v>11</v>
      </c>
      <c r="AH1055" s="2" t="n">
        <f aca="false">AG1054</f>
        <v>11</v>
      </c>
      <c r="AI1055" s="10" t="n">
        <f aca="false">X1055+Y1055*(E1055-AB1055)-Y1055*AD1055*Inputs!$B$13*(A1055-AC1055)</f>
        <v>955.070619532921</v>
      </c>
      <c r="AJ1055" s="10" t="n">
        <v>0</v>
      </c>
      <c r="AK1055" s="8" t="n">
        <f aca="false">IF(AND(B1055&lt;=U1055,NOT(Q1055)),B1055,U1055)*(1-Inputs!$B$12)</f>
        <v>0.83981195169525</v>
      </c>
    </row>
    <row r="1056" customFormat="false" ht="15" hidden="false" customHeight="false" outlineLevel="0" collapsed="false">
      <c r="A1056" s="6" t="n">
        <v>45840</v>
      </c>
      <c r="B1056" s="7" t="n">
        <v>0.854686967036237</v>
      </c>
      <c r="C1056" s="7" t="n">
        <v>0.861019757563505</v>
      </c>
      <c r="D1056" s="7" t="n">
        <v>0.844402867759148</v>
      </c>
      <c r="E1056" s="7" t="n">
        <v>0.847292704430981</v>
      </c>
      <c r="F1056" s="8" t="n">
        <f aca="true">IF(ROW()-2&gt;=Inputs!$B$4,AVERAGE(OFFSET(E1056,1-Inputs!$B$4,0,Inputs!$B$4,1)),"")</f>
        <v>0.85093899383635</v>
      </c>
      <c r="G1056" s="8" t="n">
        <f aca="true">IF(ROW()-2&gt;=Inputs!$B$5,AVERAGE(OFFSET(E1056,1-Inputs!$B$5,0,Inputs!$B$5,1)),"")</f>
        <v>0.848494306775071</v>
      </c>
      <c r="H1056" s="8" t="n">
        <f aca="false">MAX(C1056-D1056,ABS(C1056-E1055),ABS(D1056-E1055))</f>
        <v>0.0166168898043577</v>
      </c>
      <c r="I1056" s="8" t="n">
        <f aca="true">IF(ROW()-2&lt;14,"",IF(ROW()-2=14,AVERAGE(OFFSET(H1056,-13,0,14,1)),(I1055*13+H1056)/14))</f>
        <v>0.010395538362033</v>
      </c>
      <c r="J1056" s="9" t="b">
        <f aca="false">IF(AND(ISNUMBER(F1056),ISNUMBER(G1056),ISNUMBER(F1055),ISNUMBER(G1055)),AND(F1056&gt;G1056,F1055&lt;=G1055),FALSE())</f>
        <v>0</v>
      </c>
      <c r="K1056" s="9" t="b">
        <f aca="false">IF(AND(ISNUMBER(F1056),ISNUMBER(G1056),ISNUMBER(F1055),ISNUMBER(G1055)),AND(F1056&lt;G1056,F1055&gt;=G1055),FALSE())</f>
        <v>0</v>
      </c>
      <c r="L1056" s="8" t="n">
        <f aca="false">IF(ISNUMBER(I1056),E1056-Inputs!$B$6*I1056,"")</f>
        <v>0.826501627706915</v>
      </c>
      <c r="M1056" s="9" t="b">
        <f aca="false">AND(Y1055&gt;0,Z1055)</f>
        <v>0</v>
      </c>
      <c r="N1056" s="8" t="n">
        <f aca="false">B1056*(1-Inputs!$B$12)</f>
        <v>0.85451602964283</v>
      </c>
      <c r="O1056" s="10" t="n">
        <f aca="false">IF(M1056,Y1055*(N1056-AB1055)-Inputs!$B$9-Y1055*AD1055*Inputs!$B$13*(A1056-AC1055),0)</f>
        <v>0</v>
      </c>
      <c r="P1056" s="10" t="n">
        <f aca="false">X1055+O1056</f>
        <v>956.885880192555</v>
      </c>
      <c r="Q1056" s="9" t="b">
        <f aca="false">AND(IF(M1056,0,Y1055)=0,AA1055,IF(ISNUMBER(AE1055),B1056&gt;AE1055,FALSE()))</f>
        <v>0</v>
      </c>
      <c r="R1056" s="8" t="n">
        <f aca="false">B1056*(1+Inputs!$B$12)</f>
        <v>0.854857904429644</v>
      </c>
      <c r="S1056" s="11" t="n">
        <f aca="false">IF(Q1056,MIN(P1056*Inputs!$B$3/(R1056-AE1055),P1056*Inputs!$B$11/R1056),0)</f>
        <v>0</v>
      </c>
      <c r="T1056" s="11" t="n">
        <f aca="false">IF(Q1056,S1056,IF(M1056,0,Y1055))</f>
        <v>556.772767796564</v>
      </c>
      <c r="U1056" s="8" t="n">
        <f aca="false">IF(Q1056,AE1055,AF1055)</f>
        <v>0.839979947684787</v>
      </c>
      <c r="V1056" s="9" t="b">
        <f aca="false">AND(T1056&gt;0,D1056&lt;=U1056)</f>
        <v>0</v>
      </c>
      <c r="W1056" s="10" t="n">
        <f aca="false">IF(V1056,T1056*(AK1056-AB1056)-Inputs!$B$9-T1056*AD1056*Inputs!$B$13*(A1056-AC1056),0)</f>
        <v>0</v>
      </c>
      <c r="X1056" s="10" t="n">
        <f aca="false">P1056-IF(Q1056,Inputs!$B$9,0)+W1056</f>
        <v>956.885880192555</v>
      </c>
      <c r="Y1056" s="11" t="n">
        <f aca="false">IF(V1056,0,T1056)</f>
        <v>556.772767796564</v>
      </c>
      <c r="Z1056" s="9" t="b">
        <f aca="false">AND(Y1056&gt;0,K1056)</f>
        <v>0</v>
      </c>
      <c r="AA1056" s="9" t="b">
        <f aca="false">AND(Y1056=0,J1056,ISNUMBER(L1056))</f>
        <v>0</v>
      </c>
      <c r="AB1056" s="8" t="n">
        <f aca="false">IF(Q1056,R1056,AB1055)</f>
        <v>0.85718419932201</v>
      </c>
      <c r="AC1056" s="12" t="n">
        <f aca="false">IF(Q1056,A1056,AC1055)</f>
        <v>45834</v>
      </c>
      <c r="AD1056" s="8" t="n">
        <f aca="false">IF(Q1056,B1056,AD1055)</f>
        <v>0.857012796762658</v>
      </c>
      <c r="AE1056" s="8" t="str">
        <f aca="false">IF(AA1056,L1056,"")</f>
        <v/>
      </c>
      <c r="AF1056" s="8" t="n">
        <f aca="false">U1056</f>
        <v>0.839979947684787</v>
      </c>
      <c r="AG1056" s="2" t="n">
        <f aca="false">AG1055+IF(Q1056,1,0)</f>
        <v>11</v>
      </c>
      <c r="AH1056" s="2" t="n">
        <f aca="false">AG1055</f>
        <v>11</v>
      </c>
      <c r="AI1056" s="10" t="n">
        <f aca="false">X1056+Y1056*(E1056-AB1056)-Y1056*AD1056*Inputs!$B$13*(A1056-AC1056)</f>
        <v>950.868721530768</v>
      </c>
      <c r="AJ1056" s="10" t="n">
        <v>0</v>
      </c>
      <c r="AK1056" s="8" t="n">
        <f aca="false">IF(AND(B1056&lt;=U1056,NOT(Q1056)),B1056,U1056)*(1-Inputs!$B$12)</f>
        <v>0.83981195169525</v>
      </c>
    </row>
    <row r="1057" customFormat="false" ht="15" hidden="false" customHeight="false" outlineLevel="0" collapsed="false">
      <c r="A1057" s="6" t="n">
        <v>45841</v>
      </c>
      <c r="B1057" s="7" t="n">
        <v>0.847292704430981</v>
      </c>
      <c r="C1057" s="7" t="n">
        <v>0.851476883159019</v>
      </c>
      <c r="D1057" s="7" t="n">
        <v>0.8391165644172</v>
      </c>
      <c r="E1057" s="7" t="n">
        <v>0.840458246700732</v>
      </c>
      <c r="F1057" s="8" t="n">
        <f aca="true">IF(ROW()-2&gt;=Inputs!$B$4,AVERAGE(OFFSET(E1057,1-Inputs!$B$4,0,Inputs!$B$4,1)),"")</f>
        <v>0.850713384996876</v>
      </c>
      <c r="G1057" s="8" t="n">
        <f aca="true">IF(ROW()-2&gt;=Inputs!$B$5,AVERAGE(OFFSET(E1057,1-Inputs!$B$5,0,Inputs!$B$5,1)),"")</f>
        <v>0.848444027740173</v>
      </c>
      <c r="H1057" s="8" t="n">
        <f aca="false">MAX(C1057-D1057,ABS(C1057-E1056),ABS(D1057-E1056))</f>
        <v>0.0123603187418189</v>
      </c>
      <c r="I1057" s="8" t="n">
        <f aca="true">IF(ROW()-2&lt;14,"",IF(ROW()-2=14,AVERAGE(OFFSET(H1057,-13,0,14,1)),(I1056*13+H1057)/14))</f>
        <v>0.010535879817732</v>
      </c>
      <c r="J1057" s="9" t="b">
        <f aca="false">IF(AND(ISNUMBER(F1057),ISNUMBER(G1057),ISNUMBER(F1056),ISNUMBER(G1056)),AND(F1057&gt;G1057,F1056&lt;=G1056),FALSE())</f>
        <v>0</v>
      </c>
      <c r="K1057" s="9" t="b">
        <f aca="false">IF(AND(ISNUMBER(F1057),ISNUMBER(G1057),ISNUMBER(F1056),ISNUMBER(G1056)),AND(F1057&lt;G1057,F1056&gt;=G1056),FALSE())</f>
        <v>0</v>
      </c>
      <c r="L1057" s="8" t="n">
        <f aca="false">IF(ISNUMBER(I1057),E1057-Inputs!$B$6*I1057,"")</f>
        <v>0.819386487065268</v>
      </c>
      <c r="M1057" s="9" t="b">
        <f aca="false">AND(Y1056&gt;0,Z1056)</f>
        <v>0</v>
      </c>
      <c r="N1057" s="8" t="n">
        <f aca="false">B1057*(1-Inputs!$B$12)</f>
        <v>0.847123245890095</v>
      </c>
      <c r="O1057" s="10" t="n">
        <f aca="false">IF(M1057,Y1056*(N1057-AB1056)-Inputs!$B$9-Y1056*AD1056*Inputs!$B$13*(A1057-AC1056),0)</f>
        <v>0</v>
      </c>
      <c r="P1057" s="10" t="n">
        <f aca="false">X1056+O1057</f>
        <v>956.885880192555</v>
      </c>
      <c r="Q1057" s="9" t="b">
        <f aca="false">AND(IF(M1057,0,Y1056)=0,AA1056,IF(ISNUMBER(AE1056),B1057&gt;AE1056,FALSE()))</f>
        <v>0</v>
      </c>
      <c r="R1057" s="8" t="n">
        <f aca="false">B1057*(1+Inputs!$B$12)</f>
        <v>0.847462162971867</v>
      </c>
      <c r="S1057" s="11" t="n">
        <f aca="false">IF(Q1057,MIN(P1057*Inputs!$B$3/(R1057-AE1056),P1057*Inputs!$B$11/R1057),0)</f>
        <v>0</v>
      </c>
      <c r="T1057" s="11" t="n">
        <f aca="false">IF(Q1057,S1057,IF(M1057,0,Y1056))</f>
        <v>556.772767796564</v>
      </c>
      <c r="U1057" s="8" t="n">
        <f aca="false">IF(Q1057,AE1056,AF1056)</f>
        <v>0.839979947684787</v>
      </c>
      <c r="V1057" s="9" t="b">
        <f aca="false">AND(T1057&gt;0,D1057&lt;=U1057)</f>
        <v>1</v>
      </c>
      <c r="W1057" s="10" t="n">
        <f aca="false">IF(V1057,T1057*(AK1057-AB1057)-Inputs!$B$9-T1057*AD1057*Inputs!$B$13*(A1057-AC1057),0)</f>
        <v>-11.2672120132734</v>
      </c>
      <c r="X1057" s="10" t="n">
        <f aca="false">P1057-IF(Q1057,Inputs!$B$9,0)+W1057</f>
        <v>945.618668179282</v>
      </c>
      <c r="Y1057" s="11" t="n">
        <f aca="false">IF(V1057,0,T1057)</f>
        <v>0</v>
      </c>
      <c r="Z1057" s="9" t="b">
        <f aca="false">AND(Y1057&gt;0,K1057)</f>
        <v>0</v>
      </c>
      <c r="AA1057" s="9" t="b">
        <f aca="false">AND(Y1057=0,J1057,ISNUMBER(L1057))</f>
        <v>0</v>
      </c>
      <c r="AB1057" s="8" t="n">
        <f aca="false">IF(Q1057,R1057,AB1056)</f>
        <v>0.85718419932201</v>
      </c>
      <c r="AC1057" s="12" t="n">
        <f aca="false">IF(Q1057,A1057,AC1056)</f>
        <v>45834</v>
      </c>
      <c r="AD1057" s="8" t="n">
        <f aca="false">IF(Q1057,B1057,AD1056)</f>
        <v>0.857012796762658</v>
      </c>
      <c r="AE1057" s="8" t="str">
        <f aca="false">IF(AA1057,L1057,"")</f>
        <v/>
      </c>
      <c r="AF1057" s="8" t="n">
        <f aca="false">U1057</f>
        <v>0.839979947684787</v>
      </c>
      <c r="AG1057" s="2" t="n">
        <f aca="false">AG1056+IF(Q1057,1,0)</f>
        <v>11</v>
      </c>
      <c r="AH1057" s="2" t="n">
        <f aca="false">AG1056</f>
        <v>11</v>
      </c>
      <c r="AI1057" s="10" t="n">
        <f aca="false">X1057+Y1057*(E1057-AB1057)-Y1057*AD1057*Inputs!$B$13*(A1057-AC1057)</f>
        <v>945.618668179282</v>
      </c>
      <c r="AJ1057" s="10" t="n">
        <v>0</v>
      </c>
      <c r="AK1057" s="8" t="n">
        <f aca="false">IF(AND(B1057&lt;=U1057,NOT(Q1057)),B1057,U1057)*(1-Inputs!$B$12)</f>
        <v>0.83981195169525</v>
      </c>
    </row>
    <row r="1058" customFormat="false" ht="15" hidden="false" customHeight="false" outlineLevel="0" collapsed="false">
      <c r="A1058" s="6" t="n">
        <v>45842</v>
      </c>
      <c r="B1058" s="7" t="n">
        <v>0.840458246700732</v>
      </c>
      <c r="C1058" s="7" t="n">
        <v>0.847115433334905</v>
      </c>
      <c r="D1058" s="7" t="n">
        <v>0.839883959259129</v>
      </c>
      <c r="E1058" s="7" t="n">
        <v>0.842947365144673</v>
      </c>
      <c r="F1058" s="8" t="n">
        <f aca="true">IF(ROW()-2&gt;=Inputs!$B$4,AVERAGE(OFFSET(E1058,1-Inputs!$B$4,0,Inputs!$B$4,1)),"")</f>
        <v>0.850511149914369</v>
      </c>
      <c r="G1058" s="8" t="n">
        <f aca="true">IF(ROW()-2&gt;=Inputs!$B$5,AVERAGE(OFFSET(E1058,1-Inputs!$B$5,0,Inputs!$B$5,1)),"")</f>
        <v>0.848477819729291</v>
      </c>
      <c r="H1058" s="8" t="n">
        <f aca="false">MAX(C1058-D1058,ABS(C1058-E1057),ABS(D1058-E1057))</f>
        <v>0.0072314740757764</v>
      </c>
      <c r="I1058" s="8" t="n">
        <f aca="true">IF(ROW()-2&lt;14,"",IF(ROW()-2=14,AVERAGE(OFFSET(H1058,-13,0,14,1)),(I1057*13+H1058)/14))</f>
        <v>0.0102998508361637</v>
      </c>
      <c r="J1058" s="9" t="b">
        <f aca="false">IF(AND(ISNUMBER(F1058),ISNUMBER(G1058),ISNUMBER(F1057),ISNUMBER(G1057)),AND(F1058&gt;G1058,F1057&lt;=G1057),FALSE())</f>
        <v>0</v>
      </c>
      <c r="K1058" s="9" t="b">
        <f aca="false">IF(AND(ISNUMBER(F1058),ISNUMBER(G1058),ISNUMBER(F1057),ISNUMBER(G1057)),AND(F1058&lt;G1058,F1057&gt;=G1057),FALSE())</f>
        <v>0</v>
      </c>
      <c r="L1058" s="8" t="n">
        <f aca="false">IF(ISNUMBER(I1058),E1058-Inputs!$B$6*I1058,"")</f>
        <v>0.822347663472346</v>
      </c>
      <c r="M1058" s="9" t="b">
        <f aca="false">AND(Y1057&gt;0,Z1057)</f>
        <v>0</v>
      </c>
      <c r="N1058" s="8" t="n">
        <f aca="false">B1058*(1-Inputs!$B$12)</f>
        <v>0.840290155051392</v>
      </c>
      <c r="O1058" s="10" t="n">
        <f aca="false">IF(M1058,Y1057*(N1058-AB1057)-Inputs!$B$9-Y1057*AD1057*Inputs!$B$13*(A1058-AC1057),0)</f>
        <v>0</v>
      </c>
      <c r="P1058" s="10" t="n">
        <f aca="false">X1057+O1058</f>
        <v>945.618668179282</v>
      </c>
      <c r="Q1058" s="9" t="b">
        <f aca="false">AND(IF(M1058,0,Y1057)=0,AA1057,IF(ISNUMBER(AE1057),B1058&gt;AE1057,FALSE()))</f>
        <v>0</v>
      </c>
      <c r="R1058" s="8" t="n">
        <f aca="false">B1058*(1+Inputs!$B$12)</f>
        <v>0.840626338350072</v>
      </c>
      <c r="S1058" s="11" t="n">
        <f aca="false">IF(Q1058,MIN(P1058*Inputs!$B$3/(R1058-AE1057),P1058*Inputs!$B$11/R1058),0)</f>
        <v>0</v>
      </c>
      <c r="T1058" s="11" t="n">
        <f aca="false">IF(Q1058,S1058,IF(M1058,0,Y1057))</f>
        <v>0</v>
      </c>
      <c r="U1058" s="8" t="n">
        <f aca="false">IF(Q1058,AE1057,AF1057)</f>
        <v>0.839979947684787</v>
      </c>
      <c r="V1058" s="9" t="b">
        <f aca="false">AND(T1058&gt;0,D1058&lt;=U1058)</f>
        <v>0</v>
      </c>
      <c r="W1058" s="10" t="n">
        <f aca="false">IF(V1058,T1058*(AK1058-AB1058)-Inputs!$B$9-T1058*AD1058*Inputs!$B$13*(A1058-AC1058),0)</f>
        <v>0</v>
      </c>
      <c r="X1058" s="10" t="n">
        <f aca="false">P1058-IF(Q1058,Inputs!$B$9,0)+W1058</f>
        <v>945.618668179282</v>
      </c>
      <c r="Y1058" s="11" t="n">
        <f aca="false">IF(V1058,0,T1058)</f>
        <v>0</v>
      </c>
      <c r="Z1058" s="9" t="b">
        <f aca="false">AND(Y1058&gt;0,K1058)</f>
        <v>0</v>
      </c>
      <c r="AA1058" s="9" t="b">
        <f aca="false">AND(Y1058=0,J1058,ISNUMBER(L1058))</f>
        <v>0</v>
      </c>
      <c r="AB1058" s="8" t="n">
        <f aca="false">IF(Q1058,R1058,AB1057)</f>
        <v>0.85718419932201</v>
      </c>
      <c r="AC1058" s="12" t="n">
        <f aca="false">IF(Q1058,A1058,AC1057)</f>
        <v>45834</v>
      </c>
      <c r="AD1058" s="8" t="n">
        <f aca="false">IF(Q1058,B1058,AD1057)</f>
        <v>0.857012796762658</v>
      </c>
      <c r="AE1058" s="8" t="str">
        <f aca="false">IF(AA1058,L1058,"")</f>
        <v/>
      </c>
      <c r="AF1058" s="8" t="n">
        <f aca="false">U1058</f>
        <v>0.839979947684787</v>
      </c>
      <c r="AG1058" s="2" t="n">
        <f aca="false">AG1057+IF(Q1058,1,0)</f>
        <v>11</v>
      </c>
      <c r="AH1058" s="2" t="n">
        <f aca="false">AG1057</f>
        <v>11</v>
      </c>
      <c r="AI1058" s="10" t="n">
        <f aca="false">X1058+Y1058*(E1058-AB1058)-Y1058*AD1058*Inputs!$B$13*(A1058-AC1058)</f>
        <v>945.618668179282</v>
      </c>
      <c r="AJ1058" s="10" t="n">
        <v>0</v>
      </c>
      <c r="AK1058" s="8" t="n">
        <f aca="false">IF(AND(B1058&lt;=U1058,NOT(Q1058)),B1058,U1058)*(1-Inputs!$B$12)</f>
        <v>0.83981195169525</v>
      </c>
    </row>
    <row r="1059" customFormat="false" ht="15" hidden="false" customHeight="false" outlineLevel="0" collapsed="false">
      <c r="A1059" s="6" t="n">
        <v>45843</v>
      </c>
      <c r="B1059" s="7" t="n">
        <v>0.842947365144673</v>
      </c>
      <c r="C1059" s="7" t="n">
        <v>0.84334496676962</v>
      </c>
      <c r="D1059" s="7" t="n">
        <v>0.840752943317991</v>
      </c>
      <c r="E1059" s="7" t="n">
        <v>0.841113913335509</v>
      </c>
      <c r="F1059" s="8" t="n">
        <f aca="true">IF(ROW()-2&gt;=Inputs!$B$4,AVERAGE(OFFSET(E1059,1-Inputs!$B$4,0,Inputs!$B$4,1)),"")</f>
        <v>0.850471459814921</v>
      </c>
      <c r="G1059" s="8" t="n">
        <f aca="true">IF(ROW()-2&gt;=Inputs!$B$5,AVERAGE(OFFSET(E1059,1-Inputs!$B$5,0,Inputs!$B$5,1)),"")</f>
        <v>0.848339686718781</v>
      </c>
      <c r="H1059" s="8" t="n">
        <f aca="false">MAX(C1059-D1059,ABS(C1059-E1058),ABS(D1059-E1058))</f>
        <v>0.00259202345162823</v>
      </c>
      <c r="I1059" s="8" t="n">
        <f aca="true">IF(ROW()-2&lt;14,"",IF(ROW()-2=14,AVERAGE(OFFSET(H1059,-13,0,14,1)),(I1058*13+H1059)/14))</f>
        <v>0.00974929173726835</v>
      </c>
      <c r="J1059" s="9" t="b">
        <f aca="false">IF(AND(ISNUMBER(F1059),ISNUMBER(G1059),ISNUMBER(F1058),ISNUMBER(G1058)),AND(F1059&gt;G1059,F1058&lt;=G1058),FALSE())</f>
        <v>0</v>
      </c>
      <c r="K1059" s="9" t="b">
        <f aca="false">IF(AND(ISNUMBER(F1059),ISNUMBER(G1059),ISNUMBER(F1058),ISNUMBER(G1058)),AND(F1059&lt;G1059,F1058&gt;=G1058),FALSE())</f>
        <v>0</v>
      </c>
      <c r="L1059" s="8" t="n">
        <f aca="false">IF(ISNUMBER(I1059),E1059-Inputs!$B$6*I1059,"")</f>
        <v>0.821615329860973</v>
      </c>
      <c r="M1059" s="9" t="b">
        <f aca="false">AND(Y1058&gt;0,Z1058)</f>
        <v>0</v>
      </c>
      <c r="N1059" s="8" t="n">
        <f aca="false">B1059*(1-Inputs!$B$12)</f>
        <v>0.842778775671644</v>
      </c>
      <c r="O1059" s="10" t="n">
        <f aca="false">IF(M1059,Y1058*(N1059-AB1058)-Inputs!$B$9-Y1058*AD1058*Inputs!$B$13*(A1059-AC1058),0)</f>
        <v>0</v>
      </c>
      <c r="P1059" s="10" t="n">
        <f aca="false">X1058+O1059</f>
        <v>945.618668179282</v>
      </c>
      <c r="Q1059" s="9" t="b">
        <f aca="false">AND(IF(M1059,0,Y1058)=0,AA1058,IF(ISNUMBER(AE1058),B1059&gt;AE1058,FALSE()))</f>
        <v>0</v>
      </c>
      <c r="R1059" s="8" t="n">
        <f aca="false">B1059*(1+Inputs!$B$12)</f>
        <v>0.843115954617702</v>
      </c>
      <c r="S1059" s="11" t="n">
        <f aca="false">IF(Q1059,MIN(P1059*Inputs!$B$3/(R1059-AE1058),P1059*Inputs!$B$11/R1059),0)</f>
        <v>0</v>
      </c>
      <c r="T1059" s="11" t="n">
        <f aca="false">IF(Q1059,S1059,IF(M1059,0,Y1058))</f>
        <v>0</v>
      </c>
      <c r="U1059" s="8" t="n">
        <f aca="false">IF(Q1059,AE1058,AF1058)</f>
        <v>0.839979947684787</v>
      </c>
      <c r="V1059" s="9" t="b">
        <f aca="false">AND(T1059&gt;0,D1059&lt;=U1059)</f>
        <v>0</v>
      </c>
      <c r="W1059" s="10" t="n">
        <f aca="false">IF(V1059,T1059*(AK1059-AB1059)-Inputs!$B$9-T1059*AD1059*Inputs!$B$13*(A1059-AC1059),0)</f>
        <v>0</v>
      </c>
      <c r="X1059" s="10" t="n">
        <f aca="false">P1059-IF(Q1059,Inputs!$B$9,0)+W1059</f>
        <v>945.618668179282</v>
      </c>
      <c r="Y1059" s="11" t="n">
        <f aca="false">IF(V1059,0,T1059)</f>
        <v>0</v>
      </c>
      <c r="Z1059" s="9" t="b">
        <f aca="false">AND(Y1059&gt;0,K1059)</f>
        <v>0</v>
      </c>
      <c r="AA1059" s="9" t="b">
        <f aca="false">AND(Y1059=0,J1059,ISNUMBER(L1059))</f>
        <v>0</v>
      </c>
      <c r="AB1059" s="8" t="n">
        <f aca="false">IF(Q1059,R1059,AB1058)</f>
        <v>0.85718419932201</v>
      </c>
      <c r="AC1059" s="12" t="n">
        <f aca="false">IF(Q1059,A1059,AC1058)</f>
        <v>45834</v>
      </c>
      <c r="AD1059" s="8" t="n">
        <f aca="false">IF(Q1059,B1059,AD1058)</f>
        <v>0.857012796762658</v>
      </c>
      <c r="AE1059" s="8" t="str">
        <f aca="false">IF(AA1059,L1059,"")</f>
        <v/>
      </c>
      <c r="AF1059" s="8" t="n">
        <f aca="false">U1059</f>
        <v>0.839979947684787</v>
      </c>
      <c r="AG1059" s="2" t="n">
        <f aca="false">AG1058+IF(Q1059,1,0)</f>
        <v>11</v>
      </c>
      <c r="AH1059" s="2" t="n">
        <f aca="false">AG1058</f>
        <v>11</v>
      </c>
      <c r="AI1059" s="10" t="n">
        <f aca="false">X1059+Y1059*(E1059-AB1059)-Y1059*AD1059*Inputs!$B$13*(A1059-AC1059)</f>
        <v>945.618668179282</v>
      </c>
      <c r="AJ1059" s="10" t="n">
        <v>0</v>
      </c>
      <c r="AK1059" s="8" t="n">
        <f aca="false">IF(AND(B1059&lt;=U1059,NOT(Q1059)),B1059,U1059)*(1-Inputs!$B$12)</f>
        <v>0.83981195169525</v>
      </c>
    </row>
    <row r="1060" customFormat="false" ht="15" hidden="false" customHeight="false" outlineLevel="0" collapsed="false">
      <c r="A1060" s="6" t="n">
        <v>45844</v>
      </c>
      <c r="B1060" s="7" t="n">
        <v>0.841113913335509</v>
      </c>
      <c r="C1060" s="7" t="n">
        <v>0.84506165508985</v>
      </c>
      <c r="D1060" s="7" t="n">
        <v>0.834412412377093</v>
      </c>
      <c r="E1060" s="7" t="n">
        <v>0.83497533966367</v>
      </c>
      <c r="F1060" s="8" t="n">
        <f aca="true">IF(ROW()-2&gt;=Inputs!$B$4,AVERAGE(OFFSET(E1060,1-Inputs!$B$4,0,Inputs!$B$4,1)),"")</f>
        <v>0.850380946971798</v>
      </c>
      <c r="G1060" s="8" t="n">
        <f aca="true">IF(ROW()-2&gt;=Inputs!$B$5,AVERAGE(OFFSET(E1060,1-Inputs!$B$5,0,Inputs!$B$5,1)),"")</f>
        <v>0.848050358411483</v>
      </c>
      <c r="H1060" s="8" t="n">
        <f aca="false">MAX(C1060-D1060,ABS(C1060-E1059),ABS(D1060-E1059))</f>
        <v>0.0106492427127578</v>
      </c>
      <c r="I1060" s="8" t="n">
        <f aca="true">IF(ROW()-2&lt;14,"",IF(ROW()-2=14,AVERAGE(OFFSET(H1060,-13,0,14,1)),(I1059*13+H1060)/14))</f>
        <v>0.00981357394980331</v>
      </c>
      <c r="J1060" s="9" t="b">
        <f aca="false">IF(AND(ISNUMBER(F1060),ISNUMBER(G1060),ISNUMBER(F1059),ISNUMBER(G1059)),AND(F1060&gt;G1060,F1059&lt;=G1059),FALSE())</f>
        <v>0</v>
      </c>
      <c r="K1060" s="9" t="b">
        <f aca="false">IF(AND(ISNUMBER(F1060),ISNUMBER(G1060),ISNUMBER(F1059),ISNUMBER(G1059)),AND(F1060&lt;G1060,F1059&gt;=G1059),FALSE())</f>
        <v>0</v>
      </c>
      <c r="L1060" s="8" t="n">
        <f aca="false">IF(ISNUMBER(I1060),E1060-Inputs!$B$6*I1060,"")</f>
        <v>0.815348191764064</v>
      </c>
      <c r="M1060" s="9" t="b">
        <f aca="false">AND(Y1059&gt;0,Z1059)</f>
        <v>0</v>
      </c>
      <c r="N1060" s="8" t="n">
        <f aca="false">B1060*(1-Inputs!$B$12)</f>
        <v>0.840945690552842</v>
      </c>
      <c r="O1060" s="10" t="n">
        <f aca="false">IF(M1060,Y1059*(N1060-AB1059)-Inputs!$B$9-Y1059*AD1059*Inputs!$B$13*(A1060-AC1059),0)</f>
        <v>0</v>
      </c>
      <c r="P1060" s="10" t="n">
        <f aca="false">X1059+O1060</f>
        <v>945.618668179282</v>
      </c>
      <c r="Q1060" s="9" t="b">
        <f aca="false">AND(IF(M1060,0,Y1059)=0,AA1059,IF(ISNUMBER(AE1059),B1060&gt;AE1059,FALSE()))</f>
        <v>0</v>
      </c>
      <c r="R1060" s="8" t="n">
        <f aca="false">B1060*(1+Inputs!$B$12)</f>
        <v>0.841282136118177</v>
      </c>
      <c r="S1060" s="11" t="n">
        <f aca="false">IF(Q1060,MIN(P1060*Inputs!$B$3/(R1060-AE1059),P1060*Inputs!$B$11/R1060),0)</f>
        <v>0</v>
      </c>
      <c r="T1060" s="11" t="n">
        <f aca="false">IF(Q1060,S1060,IF(M1060,0,Y1059))</f>
        <v>0</v>
      </c>
      <c r="U1060" s="8" t="n">
        <f aca="false">IF(Q1060,AE1059,AF1059)</f>
        <v>0.839979947684787</v>
      </c>
      <c r="V1060" s="9" t="b">
        <f aca="false">AND(T1060&gt;0,D1060&lt;=U1060)</f>
        <v>0</v>
      </c>
      <c r="W1060" s="10" t="n">
        <f aca="false">IF(V1060,T1060*(AK1060-AB1060)-Inputs!$B$9-T1060*AD1060*Inputs!$B$13*(A1060-AC1060),0)</f>
        <v>0</v>
      </c>
      <c r="X1060" s="10" t="n">
        <f aca="false">P1060-IF(Q1060,Inputs!$B$9,0)+W1060</f>
        <v>945.618668179282</v>
      </c>
      <c r="Y1060" s="11" t="n">
        <f aca="false">IF(V1060,0,T1060)</f>
        <v>0</v>
      </c>
      <c r="Z1060" s="9" t="b">
        <f aca="false">AND(Y1060&gt;0,K1060)</f>
        <v>0</v>
      </c>
      <c r="AA1060" s="9" t="b">
        <f aca="false">AND(Y1060=0,J1060,ISNUMBER(L1060))</f>
        <v>0</v>
      </c>
      <c r="AB1060" s="8" t="n">
        <f aca="false">IF(Q1060,R1060,AB1059)</f>
        <v>0.85718419932201</v>
      </c>
      <c r="AC1060" s="12" t="n">
        <f aca="false">IF(Q1060,A1060,AC1059)</f>
        <v>45834</v>
      </c>
      <c r="AD1060" s="8" t="n">
        <f aca="false">IF(Q1060,B1060,AD1059)</f>
        <v>0.857012796762658</v>
      </c>
      <c r="AE1060" s="8" t="str">
        <f aca="false">IF(AA1060,L1060,"")</f>
        <v/>
      </c>
      <c r="AF1060" s="8" t="n">
        <f aca="false">U1060</f>
        <v>0.839979947684787</v>
      </c>
      <c r="AG1060" s="2" t="n">
        <f aca="false">AG1059+IF(Q1060,1,0)</f>
        <v>11</v>
      </c>
      <c r="AH1060" s="2" t="n">
        <f aca="false">AG1059</f>
        <v>11</v>
      </c>
      <c r="AI1060" s="10" t="n">
        <f aca="false">X1060+Y1060*(E1060-AB1060)-Y1060*AD1060*Inputs!$B$13*(A1060-AC1060)</f>
        <v>945.618668179282</v>
      </c>
      <c r="AJ1060" s="10" t="n">
        <v>0</v>
      </c>
      <c r="AK1060" s="8" t="n">
        <f aca="false">IF(AND(B1060&lt;=U1060,NOT(Q1060)),B1060,U1060)*(1-Inputs!$B$12)</f>
        <v>0.83981195169525</v>
      </c>
    </row>
    <row r="1061" customFormat="false" ht="15" hidden="false" customHeight="false" outlineLevel="0" collapsed="false">
      <c r="A1061" s="6" t="n">
        <v>45845</v>
      </c>
      <c r="B1061" s="7" t="n">
        <v>0.83497533966367</v>
      </c>
      <c r="C1061" s="7" t="n">
        <v>0.835801834431683</v>
      </c>
      <c r="D1061" s="7" t="n">
        <v>0.829744470056601</v>
      </c>
      <c r="E1061" s="7" t="n">
        <v>0.833090672267591</v>
      </c>
      <c r="F1061" s="8" t="n">
        <f aca="true">IF(ROW()-2&gt;=Inputs!$B$4,AVERAGE(OFFSET(E1061,1-Inputs!$B$4,0,Inputs!$B$4,1)),"")</f>
        <v>0.85005132226406</v>
      </c>
      <c r="G1061" s="8" t="n">
        <f aca="true">IF(ROW()-2&gt;=Inputs!$B$5,AVERAGE(OFFSET(E1061,1-Inputs!$B$5,0,Inputs!$B$5,1)),"")</f>
        <v>0.847791178478314</v>
      </c>
      <c r="H1061" s="8" t="n">
        <f aca="false">MAX(C1061-D1061,ABS(C1061-E1060),ABS(D1061-E1060))</f>
        <v>0.0060573643750822</v>
      </c>
      <c r="I1061" s="8" t="n">
        <f aca="true">IF(ROW()-2&lt;14,"",IF(ROW()-2=14,AVERAGE(OFFSET(H1061,-13,0,14,1)),(I1060*13+H1061)/14))</f>
        <v>0.00954527326589466</v>
      </c>
      <c r="J1061" s="9" t="b">
        <f aca="false">IF(AND(ISNUMBER(F1061),ISNUMBER(G1061),ISNUMBER(F1060),ISNUMBER(G1060)),AND(F1061&gt;G1061,F1060&lt;=G1060),FALSE())</f>
        <v>0</v>
      </c>
      <c r="K1061" s="9" t="b">
        <f aca="false">IF(AND(ISNUMBER(F1061),ISNUMBER(G1061),ISNUMBER(F1060),ISNUMBER(G1060)),AND(F1061&lt;G1061,F1060&gt;=G1060),FALSE())</f>
        <v>0</v>
      </c>
      <c r="L1061" s="8" t="n">
        <f aca="false">IF(ISNUMBER(I1061),E1061-Inputs!$B$6*I1061,"")</f>
        <v>0.814000125735801</v>
      </c>
      <c r="M1061" s="9" t="b">
        <f aca="false">AND(Y1060&gt;0,Z1060)</f>
        <v>0</v>
      </c>
      <c r="N1061" s="8" t="n">
        <f aca="false">B1061*(1-Inputs!$B$12)</f>
        <v>0.834808344595737</v>
      </c>
      <c r="O1061" s="10" t="n">
        <f aca="false">IF(M1061,Y1060*(N1061-AB1060)-Inputs!$B$9-Y1060*AD1060*Inputs!$B$13*(A1061-AC1060),0)</f>
        <v>0</v>
      </c>
      <c r="P1061" s="10" t="n">
        <f aca="false">X1060+O1061</f>
        <v>945.618668179282</v>
      </c>
      <c r="Q1061" s="9" t="b">
        <f aca="false">AND(IF(M1061,0,Y1060)=0,AA1060,IF(ISNUMBER(AE1060),B1061&gt;AE1060,FALSE()))</f>
        <v>0</v>
      </c>
      <c r="R1061" s="8" t="n">
        <f aca="false">B1061*(1+Inputs!$B$12)</f>
        <v>0.835142334731603</v>
      </c>
      <c r="S1061" s="11" t="n">
        <f aca="false">IF(Q1061,MIN(P1061*Inputs!$B$3/(R1061-AE1060),P1061*Inputs!$B$11/R1061),0)</f>
        <v>0</v>
      </c>
      <c r="T1061" s="11" t="n">
        <f aca="false">IF(Q1061,S1061,IF(M1061,0,Y1060))</f>
        <v>0</v>
      </c>
      <c r="U1061" s="8" t="n">
        <f aca="false">IF(Q1061,AE1060,AF1060)</f>
        <v>0.839979947684787</v>
      </c>
      <c r="V1061" s="9" t="b">
        <f aca="false">AND(T1061&gt;0,D1061&lt;=U1061)</f>
        <v>0</v>
      </c>
      <c r="W1061" s="10" t="n">
        <f aca="false">IF(V1061,T1061*(AK1061-AB1061)-Inputs!$B$9-T1061*AD1061*Inputs!$B$13*(A1061-AC1061),0)</f>
        <v>0</v>
      </c>
      <c r="X1061" s="10" t="n">
        <f aca="false">P1061-IF(Q1061,Inputs!$B$9,0)+W1061</f>
        <v>945.618668179282</v>
      </c>
      <c r="Y1061" s="11" t="n">
        <f aca="false">IF(V1061,0,T1061)</f>
        <v>0</v>
      </c>
      <c r="Z1061" s="9" t="b">
        <f aca="false">AND(Y1061&gt;0,K1061)</f>
        <v>0</v>
      </c>
      <c r="AA1061" s="9" t="b">
        <f aca="false">AND(Y1061=0,J1061,ISNUMBER(L1061))</f>
        <v>0</v>
      </c>
      <c r="AB1061" s="8" t="n">
        <f aca="false">IF(Q1061,R1061,AB1060)</f>
        <v>0.85718419932201</v>
      </c>
      <c r="AC1061" s="12" t="n">
        <f aca="false">IF(Q1061,A1061,AC1060)</f>
        <v>45834</v>
      </c>
      <c r="AD1061" s="8" t="n">
        <f aca="false">IF(Q1061,B1061,AD1060)</f>
        <v>0.857012796762658</v>
      </c>
      <c r="AE1061" s="8" t="str">
        <f aca="false">IF(AA1061,L1061,"")</f>
        <v/>
      </c>
      <c r="AF1061" s="8" t="n">
        <f aca="false">U1061</f>
        <v>0.839979947684787</v>
      </c>
      <c r="AG1061" s="2" t="n">
        <f aca="false">AG1060+IF(Q1061,1,0)</f>
        <v>11</v>
      </c>
      <c r="AH1061" s="2" t="n">
        <f aca="false">AG1060</f>
        <v>11</v>
      </c>
      <c r="AI1061" s="10" t="n">
        <f aca="false">X1061+Y1061*(E1061-AB1061)-Y1061*AD1061*Inputs!$B$13*(A1061-AC1061)</f>
        <v>945.618668179282</v>
      </c>
      <c r="AJ1061" s="10" t="n">
        <v>0</v>
      </c>
      <c r="AK1061" s="8" t="n">
        <f aca="false">IF(AND(B1061&lt;=U1061,NOT(Q1061)),B1061,U1061)*(1-Inputs!$B$12)</f>
        <v>0.834808344595737</v>
      </c>
    </row>
    <row r="1062" customFormat="false" ht="15" hidden="false" customHeight="false" outlineLevel="0" collapsed="false">
      <c r="A1062" s="6" t="n">
        <v>45846</v>
      </c>
      <c r="B1062" s="7" t="n">
        <v>0.833090672267591</v>
      </c>
      <c r="C1062" s="7" t="n">
        <v>0.834442155531413</v>
      </c>
      <c r="D1062" s="7" t="n">
        <v>0.822110096814428</v>
      </c>
      <c r="E1062" s="7" t="n">
        <v>0.826137163448745</v>
      </c>
      <c r="F1062" s="8" t="n">
        <f aca="true">IF(ROW()-2&gt;=Inputs!$B$4,AVERAGE(OFFSET(E1062,1-Inputs!$B$4,0,Inputs!$B$4,1)),"")</f>
        <v>0.84947301519244</v>
      </c>
      <c r="G1062" s="8" t="n">
        <f aca="true">IF(ROW()-2&gt;=Inputs!$B$5,AVERAGE(OFFSET(E1062,1-Inputs!$B$5,0,Inputs!$B$5,1)),"")</f>
        <v>0.847479501970322</v>
      </c>
      <c r="H1062" s="8" t="n">
        <f aca="false">MAX(C1062-D1062,ABS(C1062-E1061),ABS(D1062-E1061))</f>
        <v>0.0123320587169858</v>
      </c>
      <c r="I1062" s="8" t="n">
        <f aca="true">IF(ROW()-2&lt;14,"",IF(ROW()-2=14,AVERAGE(OFFSET(H1062,-13,0,14,1)),(I1061*13+H1062)/14))</f>
        <v>0.00974432936954403</v>
      </c>
      <c r="J1062" s="9" t="b">
        <f aca="false">IF(AND(ISNUMBER(F1062),ISNUMBER(G1062),ISNUMBER(F1061),ISNUMBER(G1061)),AND(F1062&gt;G1062,F1061&lt;=G1061),FALSE())</f>
        <v>0</v>
      </c>
      <c r="K1062" s="9" t="b">
        <f aca="false">IF(AND(ISNUMBER(F1062),ISNUMBER(G1062),ISNUMBER(F1061),ISNUMBER(G1061)),AND(F1062&lt;G1062,F1061&gt;=G1061),FALSE())</f>
        <v>0</v>
      </c>
      <c r="L1062" s="8" t="n">
        <f aca="false">IF(ISNUMBER(I1062),E1062-Inputs!$B$6*I1062,"")</f>
        <v>0.806648504709657</v>
      </c>
      <c r="M1062" s="9" t="b">
        <f aca="false">AND(Y1061&gt;0,Z1061)</f>
        <v>0</v>
      </c>
      <c r="N1062" s="8" t="n">
        <f aca="false">B1062*(1-Inputs!$B$12)</f>
        <v>0.832924054133137</v>
      </c>
      <c r="O1062" s="10" t="n">
        <f aca="false">IF(M1062,Y1061*(N1062-AB1061)-Inputs!$B$9-Y1061*AD1061*Inputs!$B$13*(A1062-AC1061),0)</f>
        <v>0</v>
      </c>
      <c r="P1062" s="10" t="n">
        <f aca="false">X1061+O1062</f>
        <v>945.618668179282</v>
      </c>
      <c r="Q1062" s="9" t="b">
        <f aca="false">AND(IF(M1062,0,Y1061)=0,AA1061,IF(ISNUMBER(AE1061),B1062&gt;AE1061,FALSE()))</f>
        <v>0</v>
      </c>
      <c r="R1062" s="8" t="n">
        <f aca="false">B1062*(1+Inputs!$B$12)</f>
        <v>0.833257290402044</v>
      </c>
      <c r="S1062" s="11" t="n">
        <f aca="false">IF(Q1062,MIN(P1062*Inputs!$B$3/(R1062-AE1061),P1062*Inputs!$B$11/R1062),0)</f>
        <v>0</v>
      </c>
      <c r="T1062" s="11" t="n">
        <f aca="false">IF(Q1062,S1062,IF(M1062,0,Y1061))</f>
        <v>0</v>
      </c>
      <c r="U1062" s="8" t="n">
        <f aca="false">IF(Q1062,AE1061,AF1061)</f>
        <v>0.839979947684787</v>
      </c>
      <c r="V1062" s="9" t="b">
        <f aca="false">AND(T1062&gt;0,D1062&lt;=U1062)</f>
        <v>0</v>
      </c>
      <c r="W1062" s="10" t="n">
        <f aca="false">IF(V1062,T1062*(AK1062-AB1062)-Inputs!$B$9-T1062*AD1062*Inputs!$B$13*(A1062-AC1062),0)</f>
        <v>0</v>
      </c>
      <c r="X1062" s="10" t="n">
        <f aca="false">P1062-IF(Q1062,Inputs!$B$9,0)+W1062</f>
        <v>945.618668179282</v>
      </c>
      <c r="Y1062" s="11" t="n">
        <f aca="false">IF(V1062,0,T1062)</f>
        <v>0</v>
      </c>
      <c r="Z1062" s="9" t="b">
        <f aca="false">AND(Y1062&gt;0,K1062)</f>
        <v>0</v>
      </c>
      <c r="AA1062" s="9" t="b">
        <f aca="false">AND(Y1062=0,J1062,ISNUMBER(L1062))</f>
        <v>0</v>
      </c>
      <c r="AB1062" s="8" t="n">
        <f aca="false">IF(Q1062,R1062,AB1061)</f>
        <v>0.85718419932201</v>
      </c>
      <c r="AC1062" s="12" t="n">
        <f aca="false">IF(Q1062,A1062,AC1061)</f>
        <v>45834</v>
      </c>
      <c r="AD1062" s="8" t="n">
        <f aca="false">IF(Q1062,B1062,AD1061)</f>
        <v>0.857012796762658</v>
      </c>
      <c r="AE1062" s="8" t="str">
        <f aca="false">IF(AA1062,L1062,"")</f>
        <v/>
      </c>
      <c r="AF1062" s="8" t="n">
        <f aca="false">U1062</f>
        <v>0.839979947684787</v>
      </c>
      <c r="AG1062" s="2" t="n">
        <f aca="false">AG1061+IF(Q1062,1,0)</f>
        <v>11</v>
      </c>
      <c r="AH1062" s="2" t="n">
        <f aca="false">AG1061</f>
        <v>11</v>
      </c>
      <c r="AI1062" s="10" t="n">
        <f aca="false">X1062+Y1062*(E1062-AB1062)-Y1062*AD1062*Inputs!$B$13*(A1062-AC1062)</f>
        <v>945.618668179282</v>
      </c>
      <c r="AJ1062" s="10" t="n">
        <v>0</v>
      </c>
      <c r="AK1062" s="8" t="n">
        <f aca="false">IF(AND(B1062&lt;=U1062,NOT(Q1062)),B1062,U1062)*(1-Inputs!$B$12)</f>
        <v>0.832924054133137</v>
      </c>
    </row>
    <row r="1063" customFormat="false" ht="15" hidden="false" customHeight="false" outlineLevel="0" collapsed="false">
      <c r="A1063" s="6" t="n">
        <v>45847</v>
      </c>
      <c r="B1063" s="7" t="n">
        <v>0.826137163448745</v>
      </c>
      <c r="C1063" s="7" t="n">
        <v>0.838670122284196</v>
      </c>
      <c r="D1063" s="7" t="n">
        <v>0.823836193243751</v>
      </c>
      <c r="E1063" s="7" t="n">
        <v>0.833342119567529</v>
      </c>
      <c r="F1063" s="8" t="n">
        <f aca="true">IF(ROW()-2&gt;=Inputs!$B$4,AVERAGE(OFFSET(E1063,1-Inputs!$B$4,0,Inputs!$B$4,1)),"")</f>
        <v>0.849020207994687</v>
      </c>
      <c r="G1063" s="8" t="n">
        <f aca="true">IF(ROW()-2&gt;=Inputs!$B$5,AVERAGE(OFFSET(E1063,1-Inputs!$B$5,0,Inputs!$B$5,1)),"")</f>
        <v>0.84739942147675</v>
      </c>
      <c r="H1063" s="8" t="n">
        <f aca="false">MAX(C1063-D1063,ABS(C1063-E1062),ABS(D1063-E1062))</f>
        <v>0.0148339290404451</v>
      </c>
      <c r="I1063" s="8" t="n">
        <f aca="true">IF(ROW()-2&lt;14,"",IF(ROW()-2=14,AVERAGE(OFFSET(H1063,-13,0,14,1)),(I1062*13+H1063)/14))</f>
        <v>0.0101078722031798</v>
      </c>
      <c r="J1063" s="9" t="b">
        <f aca="false">IF(AND(ISNUMBER(F1063),ISNUMBER(G1063),ISNUMBER(F1062),ISNUMBER(G1062)),AND(F1063&gt;G1063,F1062&lt;=G1062),FALSE())</f>
        <v>0</v>
      </c>
      <c r="K1063" s="9" t="b">
        <f aca="false">IF(AND(ISNUMBER(F1063),ISNUMBER(G1063),ISNUMBER(F1062),ISNUMBER(G1062)),AND(F1063&lt;G1063,F1062&gt;=G1062),FALSE())</f>
        <v>0</v>
      </c>
      <c r="L1063" s="8" t="n">
        <f aca="false">IF(ISNUMBER(I1063),E1063-Inputs!$B$6*I1063,"")</f>
        <v>0.813126375161169</v>
      </c>
      <c r="M1063" s="9" t="b">
        <f aca="false">AND(Y1062&gt;0,Z1062)</f>
        <v>0</v>
      </c>
      <c r="N1063" s="8" t="n">
        <f aca="false">B1063*(1-Inputs!$B$12)</f>
        <v>0.825971936016055</v>
      </c>
      <c r="O1063" s="10" t="n">
        <f aca="false">IF(M1063,Y1062*(N1063-AB1062)-Inputs!$B$9-Y1062*AD1062*Inputs!$B$13*(A1063-AC1062),0)</f>
        <v>0</v>
      </c>
      <c r="P1063" s="10" t="n">
        <f aca="false">X1062+O1063</f>
        <v>945.618668179282</v>
      </c>
      <c r="Q1063" s="9" t="b">
        <f aca="false">AND(IF(M1063,0,Y1062)=0,AA1062,IF(ISNUMBER(AE1062),B1063&gt;AE1062,FALSE()))</f>
        <v>0</v>
      </c>
      <c r="R1063" s="8" t="n">
        <f aca="false">B1063*(1+Inputs!$B$12)</f>
        <v>0.826302390881435</v>
      </c>
      <c r="S1063" s="11" t="n">
        <f aca="false">IF(Q1063,MIN(P1063*Inputs!$B$3/(R1063-AE1062),P1063*Inputs!$B$11/R1063),0)</f>
        <v>0</v>
      </c>
      <c r="T1063" s="11" t="n">
        <f aca="false">IF(Q1063,S1063,IF(M1063,0,Y1062))</f>
        <v>0</v>
      </c>
      <c r="U1063" s="8" t="n">
        <f aca="false">IF(Q1063,AE1062,AF1062)</f>
        <v>0.839979947684787</v>
      </c>
      <c r="V1063" s="9" t="b">
        <f aca="false">AND(T1063&gt;0,D1063&lt;=U1063)</f>
        <v>0</v>
      </c>
      <c r="W1063" s="10" t="n">
        <f aca="false">IF(V1063,T1063*(AK1063-AB1063)-Inputs!$B$9-T1063*AD1063*Inputs!$B$13*(A1063-AC1063),0)</f>
        <v>0</v>
      </c>
      <c r="X1063" s="10" t="n">
        <f aca="false">P1063-IF(Q1063,Inputs!$B$9,0)+W1063</f>
        <v>945.618668179282</v>
      </c>
      <c r="Y1063" s="11" t="n">
        <f aca="false">IF(V1063,0,T1063)</f>
        <v>0</v>
      </c>
      <c r="Z1063" s="9" t="b">
        <f aca="false">AND(Y1063&gt;0,K1063)</f>
        <v>0</v>
      </c>
      <c r="AA1063" s="9" t="b">
        <f aca="false">AND(Y1063=0,J1063,ISNUMBER(L1063))</f>
        <v>0</v>
      </c>
      <c r="AB1063" s="8" t="n">
        <f aca="false">IF(Q1063,R1063,AB1062)</f>
        <v>0.85718419932201</v>
      </c>
      <c r="AC1063" s="12" t="n">
        <f aca="false">IF(Q1063,A1063,AC1062)</f>
        <v>45834</v>
      </c>
      <c r="AD1063" s="8" t="n">
        <f aca="false">IF(Q1063,B1063,AD1062)</f>
        <v>0.857012796762658</v>
      </c>
      <c r="AE1063" s="8" t="str">
        <f aca="false">IF(AA1063,L1063,"")</f>
        <v/>
      </c>
      <c r="AF1063" s="8" t="n">
        <f aca="false">U1063</f>
        <v>0.839979947684787</v>
      </c>
      <c r="AG1063" s="2" t="n">
        <f aca="false">AG1062+IF(Q1063,1,0)</f>
        <v>11</v>
      </c>
      <c r="AH1063" s="2" t="n">
        <f aca="false">AG1062</f>
        <v>11</v>
      </c>
      <c r="AI1063" s="10" t="n">
        <f aca="false">X1063+Y1063*(E1063-AB1063)-Y1063*AD1063*Inputs!$B$13*(A1063-AC1063)</f>
        <v>945.618668179282</v>
      </c>
      <c r="AJ1063" s="10" t="n">
        <v>0</v>
      </c>
      <c r="AK1063" s="8" t="n">
        <f aca="false">IF(AND(B1063&lt;=U1063,NOT(Q1063)),B1063,U1063)*(1-Inputs!$B$12)</f>
        <v>0.825971936016055</v>
      </c>
    </row>
    <row r="1064" customFormat="false" ht="15" hidden="false" customHeight="false" outlineLevel="0" collapsed="false">
      <c r="A1064" s="6" t="n">
        <v>45848</v>
      </c>
      <c r="B1064" s="7" t="n">
        <v>0.833342119567529</v>
      </c>
      <c r="C1064" s="7" t="n">
        <v>0.842880815532304</v>
      </c>
      <c r="D1064" s="7" t="n">
        <v>0.831196244625119</v>
      </c>
      <c r="E1064" s="7" t="n">
        <v>0.842013928491559</v>
      </c>
      <c r="F1064" s="8" t="n">
        <f aca="true">IF(ROW()-2&gt;=Inputs!$B$4,AVERAGE(OFFSET(E1064,1-Inputs!$B$4,0,Inputs!$B$4,1)),"")</f>
        <v>0.848968702079351</v>
      </c>
      <c r="G1064" s="8" t="n">
        <f aca="true">IF(ROW()-2&gt;=Inputs!$B$5,AVERAGE(OFFSET(E1064,1-Inputs!$B$5,0,Inputs!$B$5,1)),"")</f>
        <v>0.847411097662655</v>
      </c>
      <c r="H1064" s="8" t="n">
        <f aca="false">MAX(C1064-D1064,ABS(C1064-E1063),ABS(D1064-E1063))</f>
        <v>0.011684570907185</v>
      </c>
      <c r="I1064" s="8" t="n">
        <f aca="true">IF(ROW()-2&lt;14,"",IF(ROW()-2=14,AVERAGE(OFFSET(H1064,-13,0,14,1)),(I1063*13+H1064)/14))</f>
        <v>0.0102204935391802</v>
      </c>
      <c r="J1064" s="9" t="b">
        <f aca="false">IF(AND(ISNUMBER(F1064),ISNUMBER(G1064),ISNUMBER(F1063),ISNUMBER(G1063)),AND(F1064&gt;G1064,F1063&lt;=G1063),FALSE())</f>
        <v>0</v>
      </c>
      <c r="K1064" s="9" t="b">
        <f aca="false">IF(AND(ISNUMBER(F1064),ISNUMBER(G1064),ISNUMBER(F1063),ISNUMBER(G1063)),AND(F1064&lt;G1064,F1063&gt;=G1063),FALSE())</f>
        <v>0</v>
      </c>
      <c r="L1064" s="8" t="n">
        <f aca="false">IF(ISNUMBER(I1064),E1064-Inputs!$B$6*I1064,"")</f>
        <v>0.821572941413199</v>
      </c>
      <c r="M1064" s="9" t="b">
        <f aca="false">AND(Y1063&gt;0,Z1063)</f>
        <v>0</v>
      </c>
      <c r="N1064" s="8" t="n">
        <f aca="false">B1064*(1-Inputs!$B$12)</f>
        <v>0.833175451143616</v>
      </c>
      <c r="O1064" s="10" t="n">
        <f aca="false">IF(M1064,Y1063*(N1064-AB1063)-Inputs!$B$9-Y1063*AD1063*Inputs!$B$13*(A1064-AC1063),0)</f>
        <v>0</v>
      </c>
      <c r="P1064" s="10" t="n">
        <f aca="false">X1063+O1064</f>
        <v>945.618668179282</v>
      </c>
      <c r="Q1064" s="9" t="b">
        <f aca="false">AND(IF(M1064,0,Y1063)=0,AA1063,IF(ISNUMBER(AE1063),B1064&gt;AE1063,FALSE()))</f>
        <v>0</v>
      </c>
      <c r="R1064" s="8" t="n">
        <f aca="false">B1064*(1+Inputs!$B$12)</f>
        <v>0.833508787991442</v>
      </c>
      <c r="S1064" s="11" t="n">
        <f aca="false">IF(Q1064,MIN(P1064*Inputs!$B$3/(R1064-AE1063),P1064*Inputs!$B$11/R1064),0)</f>
        <v>0</v>
      </c>
      <c r="T1064" s="11" t="n">
        <f aca="false">IF(Q1064,S1064,IF(M1064,0,Y1063))</f>
        <v>0</v>
      </c>
      <c r="U1064" s="8" t="n">
        <f aca="false">IF(Q1064,AE1063,AF1063)</f>
        <v>0.839979947684787</v>
      </c>
      <c r="V1064" s="9" t="b">
        <f aca="false">AND(T1064&gt;0,D1064&lt;=U1064)</f>
        <v>0</v>
      </c>
      <c r="W1064" s="10" t="n">
        <f aca="false">IF(V1064,T1064*(AK1064-AB1064)-Inputs!$B$9-T1064*AD1064*Inputs!$B$13*(A1064-AC1064),0)</f>
        <v>0</v>
      </c>
      <c r="X1064" s="10" t="n">
        <f aca="false">P1064-IF(Q1064,Inputs!$B$9,0)+W1064</f>
        <v>945.618668179282</v>
      </c>
      <c r="Y1064" s="11" t="n">
        <f aca="false">IF(V1064,0,T1064)</f>
        <v>0</v>
      </c>
      <c r="Z1064" s="9" t="b">
        <f aca="false">AND(Y1064&gt;0,K1064)</f>
        <v>0</v>
      </c>
      <c r="AA1064" s="9" t="b">
        <f aca="false">AND(Y1064=0,J1064,ISNUMBER(L1064))</f>
        <v>0</v>
      </c>
      <c r="AB1064" s="8" t="n">
        <f aca="false">IF(Q1064,R1064,AB1063)</f>
        <v>0.85718419932201</v>
      </c>
      <c r="AC1064" s="12" t="n">
        <f aca="false">IF(Q1064,A1064,AC1063)</f>
        <v>45834</v>
      </c>
      <c r="AD1064" s="8" t="n">
        <f aca="false">IF(Q1064,B1064,AD1063)</f>
        <v>0.857012796762658</v>
      </c>
      <c r="AE1064" s="8" t="str">
        <f aca="false">IF(AA1064,L1064,"")</f>
        <v/>
      </c>
      <c r="AF1064" s="8" t="n">
        <f aca="false">U1064</f>
        <v>0.839979947684787</v>
      </c>
      <c r="AG1064" s="2" t="n">
        <f aca="false">AG1063+IF(Q1064,1,0)</f>
        <v>11</v>
      </c>
      <c r="AH1064" s="2" t="n">
        <f aca="false">AG1063</f>
        <v>11</v>
      </c>
      <c r="AI1064" s="10" t="n">
        <f aca="false">X1064+Y1064*(E1064-AB1064)-Y1064*AD1064*Inputs!$B$13*(A1064-AC1064)</f>
        <v>945.618668179282</v>
      </c>
      <c r="AJ1064" s="10" t="n">
        <v>0</v>
      </c>
      <c r="AK1064" s="8" t="n">
        <f aca="false">IF(AND(B1064&lt;=U1064,NOT(Q1064)),B1064,U1064)*(1-Inputs!$B$12)</f>
        <v>0.833175451143616</v>
      </c>
    </row>
    <row r="1065" customFormat="false" ht="15" hidden="false" customHeight="false" outlineLevel="0" collapsed="false">
      <c r="A1065" s="6" t="n">
        <v>45849</v>
      </c>
      <c r="B1065" s="7" t="n">
        <v>0.842013928491559</v>
      </c>
      <c r="C1065" s="7" t="n">
        <v>0.846887976095967</v>
      </c>
      <c r="D1065" s="7" t="n">
        <v>0.837496447692632</v>
      </c>
      <c r="E1065" s="7" t="n">
        <v>0.839437068656142</v>
      </c>
      <c r="F1065" s="8" t="n">
        <f aca="true">IF(ROW()-2&gt;=Inputs!$B$4,AVERAGE(OFFSET(E1065,1-Inputs!$B$4,0,Inputs!$B$4,1)),"")</f>
        <v>0.848489769692148</v>
      </c>
      <c r="G1065" s="8" t="n">
        <f aca="true">IF(ROW()-2&gt;=Inputs!$B$5,AVERAGE(OFFSET(E1065,1-Inputs!$B$5,0,Inputs!$B$5,1)),"")</f>
        <v>0.847426400245614</v>
      </c>
      <c r="H1065" s="8" t="n">
        <f aca="false">MAX(C1065-D1065,ABS(C1065-E1064),ABS(D1065-E1064))</f>
        <v>0.00939152840333524</v>
      </c>
      <c r="I1065" s="8" t="n">
        <f aca="true">IF(ROW()-2&lt;14,"",IF(ROW()-2=14,AVERAGE(OFFSET(H1065,-13,0,14,1)),(I1064*13+H1065)/14))</f>
        <v>0.0101612817437627</v>
      </c>
      <c r="J1065" s="9" t="b">
        <f aca="false">IF(AND(ISNUMBER(F1065),ISNUMBER(G1065),ISNUMBER(F1064),ISNUMBER(G1064)),AND(F1065&gt;G1065,F1064&lt;=G1064),FALSE())</f>
        <v>0</v>
      </c>
      <c r="K1065" s="9" t="b">
        <f aca="false">IF(AND(ISNUMBER(F1065),ISNUMBER(G1065),ISNUMBER(F1064),ISNUMBER(G1064)),AND(F1065&lt;G1065,F1064&gt;=G1064),FALSE())</f>
        <v>0</v>
      </c>
      <c r="L1065" s="8" t="n">
        <f aca="false">IF(ISNUMBER(I1065),E1065-Inputs!$B$6*I1065,"")</f>
        <v>0.819114505168616</v>
      </c>
      <c r="M1065" s="9" t="b">
        <f aca="false">AND(Y1064&gt;0,Z1064)</f>
        <v>0</v>
      </c>
      <c r="N1065" s="8" t="n">
        <f aca="false">B1065*(1-Inputs!$B$12)</f>
        <v>0.841845525705861</v>
      </c>
      <c r="O1065" s="10" t="n">
        <f aca="false">IF(M1065,Y1064*(N1065-AB1064)-Inputs!$B$9-Y1064*AD1064*Inputs!$B$13*(A1065-AC1064),0)</f>
        <v>0</v>
      </c>
      <c r="P1065" s="10" t="n">
        <f aca="false">X1064+O1065</f>
        <v>945.618668179282</v>
      </c>
      <c r="Q1065" s="9" t="b">
        <f aca="false">AND(IF(M1065,0,Y1064)=0,AA1064,IF(ISNUMBER(AE1064),B1065&gt;AE1064,FALSE()))</f>
        <v>0</v>
      </c>
      <c r="R1065" s="8" t="n">
        <f aca="false">B1065*(1+Inputs!$B$12)</f>
        <v>0.842182331277257</v>
      </c>
      <c r="S1065" s="11" t="n">
        <f aca="false">IF(Q1065,MIN(P1065*Inputs!$B$3/(R1065-AE1064),P1065*Inputs!$B$11/R1065),0)</f>
        <v>0</v>
      </c>
      <c r="T1065" s="11" t="n">
        <f aca="false">IF(Q1065,S1065,IF(M1065,0,Y1064))</f>
        <v>0</v>
      </c>
      <c r="U1065" s="8" t="n">
        <f aca="false">IF(Q1065,AE1064,AF1064)</f>
        <v>0.839979947684787</v>
      </c>
      <c r="V1065" s="9" t="b">
        <f aca="false">AND(T1065&gt;0,D1065&lt;=U1065)</f>
        <v>0</v>
      </c>
      <c r="W1065" s="10" t="n">
        <f aca="false">IF(V1065,T1065*(AK1065-AB1065)-Inputs!$B$9-T1065*AD1065*Inputs!$B$13*(A1065-AC1065),0)</f>
        <v>0</v>
      </c>
      <c r="X1065" s="10" t="n">
        <f aca="false">P1065-IF(Q1065,Inputs!$B$9,0)+W1065</f>
        <v>945.618668179282</v>
      </c>
      <c r="Y1065" s="11" t="n">
        <f aca="false">IF(V1065,0,T1065)</f>
        <v>0</v>
      </c>
      <c r="Z1065" s="9" t="b">
        <f aca="false">AND(Y1065&gt;0,K1065)</f>
        <v>0</v>
      </c>
      <c r="AA1065" s="9" t="b">
        <f aca="false">AND(Y1065=0,J1065,ISNUMBER(L1065))</f>
        <v>0</v>
      </c>
      <c r="AB1065" s="8" t="n">
        <f aca="false">IF(Q1065,R1065,AB1064)</f>
        <v>0.85718419932201</v>
      </c>
      <c r="AC1065" s="12" t="n">
        <f aca="false">IF(Q1065,A1065,AC1064)</f>
        <v>45834</v>
      </c>
      <c r="AD1065" s="8" t="n">
        <f aca="false">IF(Q1065,B1065,AD1064)</f>
        <v>0.857012796762658</v>
      </c>
      <c r="AE1065" s="8" t="str">
        <f aca="false">IF(AA1065,L1065,"")</f>
        <v/>
      </c>
      <c r="AF1065" s="8" t="n">
        <f aca="false">U1065</f>
        <v>0.839979947684787</v>
      </c>
      <c r="AG1065" s="2" t="n">
        <f aca="false">AG1064+IF(Q1065,1,0)</f>
        <v>11</v>
      </c>
      <c r="AH1065" s="2" t="n">
        <f aca="false">AG1064</f>
        <v>11</v>
      </c>
      <c r="AI1065" s="10" t="n">
        <f aca="false">X1065+Y1065*(E1065-AB1065)-Y1065*AD1065*Inputs!$B$13*(A1065-AC1065)</f>
        <v>945.618668179282</v>
      </c>
      <c r="AJ1065" s="10" t="n">
        <v>0</v>
      </c>
      <c r="AK1065" s="8" t="n">
        <f aca="false">IF(AND(B1065&lt;=U1065,NOT(Q1065)),B1065,U1065)*(1-Inputs!$B$12)</f>
        <v>0.83981195169525</v>
      </c>
    </row>
    <row r="1066" customFormat="false" ht="15" hidden="false" customHeight="false" outlineLevel="0" collapsed="false">
      <c r="A1066" s="6" t="n">
        <v>45850</v>
      </c>
      <c r="B1066" s="7" t="n">
        <v>0.839437068656142</v>
      </c>
      <c r="C1066" s="7" t="n">
        <v>0.840425974282324</v>
      </c>
      <c r="D1066" s="7" t="n">
        <v>0.837331280378433</v>
      </c>
      <c r="E1066" s="7" t="n">
        <v>0.838482949842422</v>
      </c>
      <c r="F1066" s="8" t="n">
        <f aca="true">IF(ROW()-2&gt;=Inputs!$B$4,AVERAGE(OFFSET(E1066,1-Inputs!$B$4,0,Inputs!$B$4,1)),"")</f>
        <v>0.847585876170147</v>
      </c>
      <c r="G1066" s="8" t="n">
        <f aca="true">IF(ROW()-2&gt;=Inputs!$B$5,AVERAGE(OFFSET(E1066,1-Inputs!$B$5,0,Inputs!$B$5,1)),"")</f>
        <v>0.84740040282184</v>
      </c>
      <c r="H1066" s="8" t="n">
        <f aca="false">MAX(C1066-D1066,ABS(C1066-E1065),ABS(D1066-E1065))</f>
        <v>0.00309469390389094</v>
      </c>
      <c r="I1066" s="8" t="n">
        <f aca="true">IF(ROW()-2&lt;14,"",IF(ROW()-2=14,AVERAGE(OFFSET(H1066,-13,0,14,1)),(I1065*13+H1066)/14))</f>
        <v>0.00965652546948614</v>
      </c>
      <c r="J1066" s="9" t="b">
        <f aca="false">IF(AND(ISNUMBER(F1066),ISNUMBER(G1066),ISNUMBER(F1065),ISNUMBER(G1065)),AND(F1066&gt;G1066,F1065&lt;=G1065),FALSE())</f>
        <v>0</v>
      </c>
      <c r="K1066" s="9" t="b">
        <f aca="false">IF(AND(ISNUMBER(F1066),ISNUMBER(G1066),ISNUMBER(F1065),ISNUMBER(G1065)),AND(F1066&lt;G1066,F1065&gt;=G1065),FALSE())</f>
        <v>0</v>
      </c>
      <c r="L1066" s="8" t="n">
        <f aca="false">IF(ISNUMBER(I1066),E1066-Inputs!$B$6*I1066,"")</f>
        <v>0.81916989890345</v>
      </c>
      <c r="M1066" s="9" t="b">
        <f aca="false">AND(Y1065&gt;0,Z1065)</f>
        <v>0</v>
      </c>
      <c r="N1066" s="8" t="n">
        <f aca="false">B1066*(1-Inputs!$B$12)</f>
        <v>0.83926918124241</v>
      </c>
      <c r="O1066" s="10" t="n">
        <f aca="false">IF(M1066,Y1065*(N1066-AB1065)-Inputs!$B$9-Y1065*AD1065*Inputs!$B$13*(A1066-AC1065),0)</f>
        <v>0</v>
      </c>
      <c r="P1066" s="10" t="n">
        <f aca="false">X1065+O1066</f>
        <v>945.618668179282</v>
      </c>
      <c r="Q1066" s="9" t="b">
        <f aca="false">AND(IF(M1066,0,Y1065)=0,AA1065,IF(ISNUMBER(AE1065),B1066&gt;AE1065,FALSE()))</f>
        <v>0</v>
      </c>
      <c r="R1066" s="8" t="n">
        <f aca="false">B1066*(1+Inputs!$B$12)</f>
        <v>0.839604956069873</v>
      </c>
      <c r="S1066" s="11" t="n">
        <f aca="false">IF(Q1066,MIN(P1066*Inputs!$B$3/(R1066-AE1065),P1066*Inputs!$B$11/R1066),0)</f>
        <v>0</v>
      </c>
      <c r="T1066" s="11" t="n">
        <f aca="false">IF(Q1066,S1066,IF(M1066,0,Y1065))</f>
        <v>0</v>
      </c>
      <c r="U1066" s="8" t="n">
        <f aca="false">IF(Q1066,AE1065,AF1065)</f>
        <v>0.839979947684787</v>
      </c>
      <c r="V1066" s="9" t="b">
        <f aca="false">AND(T1066&gt;0,D1066&lt;=U1066)</f>
        <v>0</v>
      </c>
      <c r="W1066" s="10" t="n">
        <f aca="false">IF(V1066,T1066*(AK1066-AB1066)-Inputs!$B$9-T1066*AD1066*Inputs!$B$13*(A1066-AC1066),0)</f>
        <v>0</v>
      </c>
      <c r="X1066" s="10" t="n">
        <f aca="false">P1066-IF(Q1066,Inputs!$B$9,0)+W1066</f>
        <v>945.618668179282</v>
      </c>
      <c r="Y1066" s="11" t="n">
        <f aca="false">IF(V1066,0,T1066)</f>
        <v>0</v>
      </c>
      <c r="Z1066" s="9" t="b">
        <f aca="false">AND(Y1066&gt;0,K1066)</f>
        <v>0</v>
      </c>
      <c r="AA1066" s="9" t="b">
        <f aca="false">AND(Y1066=0,J1066,ISNUMBER(L1066))</f>
        <v>0</v>
      </c>
      <c r="AB1066" s="8" t="n">
        <f aca="false">IF(Q1066,R1066,AB1065)</f>
        <v>0.85718419932201</v>
      </c>
      <c r="AC1066" s="12" t="n">
        <f aca="false">IF(Q1066,A1066,AC1065)</f>
        <v>45834</v>
      </c>
      <c r="AD1066" s="8" t="n">
        <f aca="false">IF(Q1066,B1066,AD1065)</f>
        <v>0.857012796762658</v>
      </c>
      <c r="AE1066" s="8" t="str">
        <f aca="false">IF(AA1066,L1066,"")</f>
        <v/>
      </c>
      <c r="AF1066" s="8" t="n">
        <f aca="false">U1066</f>
        <v>0.839979947684787</v>
      </c>
      <c r="AG1066" s="2" t="n">
        <f aca="false">AG1065+IF(Q1066,1,0)</f>
        <v>11</v>
      </c>
      <c r="AH1066" s="2" t="n">
        <f aca="false">AG1065</f>
        <v>11</v>
      </c>
      <c r="AI1066" s="10" t="n">
        <f aca="false">X1066+Y1066*(E1066-AB1066)-Y1066*AD1066*Inputs!$B$13*(A1066-AC1066)</f>
        <v>945.618668179282</v>
      </c>
      <c r="AJ1066" s="10" t="n">
        <v>0</v>
      </c>
      <c r="AK1066" s="8" t="n">
        <f aca="false">IF(AND(B1066&lt;=U1066,NOT(Q1066)),B1066,U1066)*(1-Inputs!$B$12)</f>
        <v>0.83926918124241</v>
      </c>
    </row>
    <row r="1067" customFormat="false" ht="15" hidden="false" customHeight="false" outlineLevel="0" collapsed="false">
      <c r="A1067" s="6" t="n">
        <v>45851</v>
      </c>
      <c r="B1067" s="7" t="n">
        <v>0.838482949842422</v>
      </c>
      <c r="C1067" s="7" t="n">
        <v>0.844396181178633</v>
      </c>
      <c r="D1067" s="7" t="n">
        <v>0.837751878225922</v>
      </c>
      <c r="E1067" s="7" t="n">
        <v>0.839730271437699</v>
      </c>
      <c r="F1067" s="8" t="n">
        <f aca="true">IF(ROW()-2&gt;=Inputs!$B$4,AVERAGE(OFFSET(E1067,1-Inputs!$B$4,0,Inputs!$B$4,1)),"")</f>
        <v>0.84675102218787</v>
      </c>
      <c r="G1067" s="8" t="n">
        <f aca="true">IF(ROW()-2&gt;=Inputs!$B$5,AVERAGE(OFFSET(E1067,1-Inputs!$B$5,0,Inputs!$B$5,1)),"")</f>
        <v>0.847311685333418</v>
      </c>
      <c r="H1067" s="8" t="n">
        <f aca="false">MAX(C1067-D1067,ABS(C1067-E1066),ABS(D1067-E1066))</f>
        <v>0.00664430295271112</v>
      </c>
      <c r="I1067" s="8" t="n">
        <f aca="true">IF(ROW()-2&lt;14,"",IF(ROW()-2=14,AVERAGE(OFFSET(H1067,-13,0,14,1)),(I1066*13+H1067)/14))</f>
        <v>0.00944136671828793</v>
      </c>
      <c r="J1067" s="9" t="b">
        <f aca="false">IF(AND(ISNUMBER(F1067),ISNUMBER(G1067),ISNUMBER(F1066),ISNUMBER(G1066)),AND(F1067&gt;G1067,F1066&lt;=G1066),FALSE())</f>
        <v>0</v>
      </c>
      <c r="K1067" s="9" t="b">
        <f aca="false">IF(AND(ISNUMBER(F1067),ISNUMBER(G1067),ISNUMBER(F1066),ISNUMBER(G1066)),AND(F1067&lt;G1067,F1066&gt;=G1066),FALSE())</f>
        <v>1</v>
      </c>
      <c r="L1067" s="8" t="n">
        <f aca="false">IF(ISNUMBER(I1067),E1067-Inputs!$B$6*I1067,"")</f>
        <v>0.820847538001123</v>
      </c>
      <c r="M1067" s="9" t="b">
        <f aca="false">AND(Y1066&gt;0,Z1066)</f>
        <v>0</v>
      </c>
      <c r="N1067" s="8" t="n">
        <f aca="false">B1067*(1-Inputs!$B$12)</f>
        <v>0.838315253252454</v>
      </c>
      <c r="O1067" s="10" t="n">
        <f aca="false">IF(M1067,Y1066*(N1067-AB1066)-Inputs!$B$9-Y1066*AD1066*Inputs!$B$13*(A1067-AC1066),0)</f>
        <v>0</v>
      </c>
      <c r="P1067" s="10" t="n">
        <f aca="false">X1066+O1067</f>
        <v>945.618668179282</v>
      </c>
      <c r="Q1067" s="9" t="b">
        <f aca="false">AND(IF(M1067,0,Y1066)=0,AA1066,IF(ISNUMBER(AE1066),B1067&gt;AE1066,FALSE()))</f>
        <v>0</v>
      </c>
      <c r="R1067" s="8" t="n">
        <f aca="false">B1067*(1+Inputs!$B$12)</f>
        <v>0.838650646432391</v>
      </c>
      <c r="S1067" s="11" t="n">
        <f aca="false">IF(Q1067,MIN(P1067*Inputs!$B$3/(R1067-AE1066),P1067*Inputs!$B$11/R1067),0)</f>
        <v>0</v>
      </c>
      <c r="T1067" s="11" t="n">
        <f aca="false">IF(Q1067,S1067,IF(M1067,0,Y1066))</f>
        <v>0</v>
      </c>
      <c r="U1067" s="8" t="n">
        <f aca="false">IF(Q1067,AE1066,AF1066)</f>
        <v>0.839979947684787</v>
      </c>
      <c r="V1067" s="9" t="b">
        <f aca="false">AND(T1067&gt;0,D1067&lt;=U1067)</f>
        <v>0</v>
      </c>
      <c r="W1067" s="10" t="n">
        <f aca="false">IF(V1067,T1067*(AK1067-AB1067)-Inputs!$B$9-T1067*AD1067*Inputs!$B$13*(A1067-AC1067),0)</f>
        <v>0</v>
      </c>
      <c r="X1067" s="10" t="n">
        <f aca="false">P1067-IF(Q1067,Inputs!$B$9,0)+W1067</f>
        <v>945.618668179282</v>
      </c>
      <c r="Y1067" s="11" t="n">
        <f aca="false">IF(V1067,0,T1067)</f>
        <v>0</v>
      </c>
      <c r="Z1067" s="9" t="b">
        <f aca="false">AND(Y1067&gt;0,K1067)</f>
        <v>0</v>
      </c>
      <c r="AA1067" s="9" t="b">
        <f aca="false">AND(Y1067=0,J1067,ISNUMBER(L1067))</f>
        <v>0</v>
      </c>
      <c r="AB1067" s="8" t="n">
        <f aca="false">IF(Q1067,R1067,AB1066)</f>
        <v>0.85718419932201</v>
      </c>
      <c r="AC1067" s="12" t="n">
        <f aca="false">IF(Q1067,A1067,AC1066)</f>
        <v>45834</v>
      </c>
      <c r="AD1067" s="8" t="n">
        <f aca="false">IF(Q1067,B1067,AD1066)</f>
        <v>0.857012796762658</v>
      </c>
      <c r="AE1067" s="8" t="str">
        <f aca="false">IF(AA1067,L1067,"")</f>
        <v/>
      </c>
      <c r="AF1067" s="8" t="n">
        <f aca="false">U1067</f>
        <v>0.839979947684787</v>
      </c>
      <c r="AG1067" s="2" t="n">
        <f aca="false">AG1066+IF(Q1067,1,0)</f>
        <v>11</v>
      </c>
      <c r="AH1067" s="2" t="n">
        <f aca="false">AG1066</f>
        <v>11</v>
      </c>
      <c r="AI1067" s="10" t="n">
        <f aca="false">X1067+Y1067*(E1067-AB1067)-Y1067*AD1067*Inputs!$B$13*(A1067-AC1067)</f>
        <v>945.618668179282</v>
      </c>
      <c r="AJ1067" s="10" t="n">
        <v>0</v>
      </c>
      <c r="AK1067" s="8" t="n">
        <f aca="false">IF(AND(B1067&lt;=U1067,NOT(Q1067)),B1067,U1067)*(1-Inputs!$B$12)</f>
        <v>0.838315253252454</v>
      </c>
    </row>
    <row r="1068" customFormat="false" ht="15" hidden="false" customHeight="false" outlineLevel="0" collapsed="false">
      <c r="A1068" s="6" t="n">
        <v>45852</v>
      </c>
      <c r="B1068" s="7" t="n">
        <v>0.839730271437699</v>
      </c>
      <c r="C1068" s="7" t="n">
        <v>0.840977644742094</v>
      </c>
      <c r="D1068" s="7" t="n">
        <v>0.833489785029242</v>
      </c>
      <c r="E1068" s="7" t="n">
        <v>0.834009220705667</v>
      </c>
      <c r="F1068" s="8" t="n">
        <f aca="true">IF(ROW()-2&gt;=Inputs!$B$4,AVERAGE(OFFSET(E1068,1-Inputs!$B$4,0,Inputs!$B$4,1)),"")</f>
        <v>0.845575703337572</v>
      </c>
      <c r="G1068" s="8" t="n">
        <f aca="true">IF(ROW()-2&gt;=Inputs!$B$5,AVERAGE(OFFSET(E1068,1-Inputs!$B$5,0,Inputs!$B$5,1)),"")</f>
        <v>0.847110733831367</v>
      </c>
      <c r="H1068" s="8" t="n">
        <f aca="false">MAX(C1068-D1068,ABS(C1068-E1067),ABS(D1068-E1067))</f>
        <v>0.0074878597128516</v>
      </c>
      <c r="I1068" s="8" t="n">
        <f aca="true">IF(ROW()-2&lt;14,"",IF(ROW()-2=14,AVERAGE(OFFSET(H1068,-13,0,14,1)),(I1067*13+H1068)/14))</f>
        <v>0.0093018305036139</v>
      </c>
      <c r="J1068" s="9" t="b">
        <f aca="false">IF(AND(ISNUMBER(F1068),ISNUMBER(G1068),ISNUMBER(F1067),ISNUMBER(G1067)),AND(F1068&gt;G1068,F1067&lt;=G1067),FALSE())</f>
        <v>0</v>
      </c>
      <c r="K1068" s="9" t="b">
        <f aca="false">IF(AND(ISNUMBER(F1068),ISNUMBER(G1068),ISNUMBER(F1067),ISNUMBER(G1067)),AND(F1068&lt;G1068,F1067&gt;=G1067),FALSE())</f>
        <v>0</v>
      </c>
      <c r="L1068" s="8" t="n">
        <f aca="false">IF(ISNUMBER(I1068),E1068-Inputs!$B$6*I1068,"")</f>
        <v>0.815405559698439</v>
      </c>
      <c r="M1068" s="9" t="b">
        <f aca="false">AND(Y1067&gt;0,Z1067)</f>
        <v>0</v>
      </c>
      <c r="N1068" s="8" t="n">
        <f aca="false">B1068*(1-Inputs!$B$12)</f>
        <v>0.839562325383412</v>
      </c>
      <c r="O1068" s="10" t="n">
        <f aca="false">IF(M1068,Y1067*(N1068-AB1067)-Inputs!$B$9-Y1067*AD1067*Inputs!$B$13*(A1068-AC1067),0)</f>
        <v>0</v>
      </c>
      <c r="P1068" s="10" t="n">
        <f aca="false">X1067+O1068</f>
        <v>945.618668179282</v>
      </c>
      <c r="Q1068" s="9" t="b">
        <f aca="false">AND(IF(M1068,0,Y1067)=0,AA1067,IF(ISNUMBER(AE1067),B1068&gt;AE1067,FALSE()))</f>
        <v>0</v>
      </c>
      <c r="R1068" s="8" t="n">
        <f aca="false">B1068*(1+Inputs!$B$12)</f>
        <v>0.839898217491987</v>
      </c>
      <c r="S1068" s="11" t="n">
        <f aca="false">IF(Q1068,MIN(P1068*Inputs!$B$3/(R1068-AE1067),P1068*Inputs!$B$11/R1068),0)</f>
        <v>0</v>
      </c>
      <c r="T1068" s="11" t="n">
        <f aca="false">IF(Q1068,S1068,IF(M1068,0,Y1067))</f>
        <v>0</v>
      </c>
      <c r="U1068" s="8" t="n">
        <f aca="false">IF(Q1068,AE1067,AF1067)</f>
        <v>0.839979947684787</v>
      </c>
      <c r="V1068" s="9" t="b">
        <f aca="false">AND(T1068&gt;0,D1068&lt;=U1068)</f>
        <v>0</v>
      </c>
      <c r="W1068" s="10" t="n">
        <f aca="false">IF(V1068,T1068*(AK1068-AB1068)-Inputs!$B$9-T1068*AD1068*Inputs!$B$13*(A1068-AC1068),0)</f>
        <v>0</v>
      </c>
      <c r="X1068" s="10" t="n">
        <f aca="false">P1068-IF(Q1068,Inputs!$B$9,0)+W1068</f>
        <v>945.618668179282</v>
      </c>
      <c r="Y1068" s="11" t="n">
        <f aca="false">IF(V1068,0,T1068)</f>
        <v>0</v>
      </c>
      <c r="Z1068" s="9" t="b">
        <f aca="false">AND(Y1068&gt;0,K1068)</f>
        <v>0</v>
      </c>
      <c r="AA1068" s="9" t="b">
        <f aca="false">AND(Y1068=0,J1068,ISNUMBER(L1068))</f>
        <v>0</v>
      </c>
      <c r="AB1068" s="8" t="n">
        <f aca="false">IF(Q1068,R1068,AB1067)</f>
        <v>0.85718419932201</v>
      </c>
      <c r="AC1068" s="12" t="n">
        <f aca="false">IF(Q1068,A1068,AC1067)</f>
        <v>45834</v>
      </c>
      <c r="AD1068" s="8" t="n">
        <f aca="false">IF(Q1068,B1068,AD1067)</f>
        <v>0.857012796762658</v>
      </c>
      <c r="AE1068" s="8" t="str">
        <f aca="false">IF(AA1068,L1068,"")</f>
        <v/>
      </c>
      <c r="AF1068" s="8" t="n">
        <f aca="false">U1068</f>
        <v>0.839979947684787</v>
      </c>
      <c r="AG1068" s="2" t="n">
        <f aca="false">AG1067+IF(Q1068,1,0)</f>
        <v>11</v>
      </c>
      <c r="AH1068" s="2" t="n">
        <f aca="false">AG1067</f>
        <v>11</v>
      </c>
      <c r="AI1068" s="10" t="n">
        <f aca="false">X1068+Y1068*(E1068-AB1068)-Y1068*AD1068*Inputs!$B$13*(A1068-AC1068)</f>
        <v>945.618668179282</v>
      </c>
      <c r="AJ1068" s="10" t="n">
        <v>0</v>
      </c>
      <c r="AK1068" s="8" t="n">
        <f aca="false">IF(AND(B1068&lt;=U1068,NOT(Q1068)),B1068,U1068)*(1-Inputs!$B$12)</f>
        <v>0.839562325383412</v>
      </c>
    </row>
    <row r="1069" customFormat="false" ht="15" hidden="false" customHeight="false" outlineLevel="0" collapsed="false">
      <c r="A1069" s="6" t="n">
        <v>45853</v>
      </c>
      <c r="B1069" s="7" t="n">
        <v>0.834009220705667</v>
      </c>
      <c r="C1069" s="7" t="n">
        <v>0.834319825269221</v>
      </c>
      <c r="D1069" s="7" t="n">
        <v>0.826373145029445</v>
      </c>
      <c r="E1069" s="7" t="n">
        <v>0.82722637149994</v>
      </c>
      <c r="F1069" s="8" t="n">
        <f aca="true">IF(ROW()-2&gt;=Inputs!$B$4,AVERAGE(OFFSET(E1069,1-Inputs!$B$4,0,Inputs!$B$4,1)),"")</f>
        <v>0.844086382074436</v>
      </c>
      <c r="G1069" s="8" t="n">
        <f aca="true">IF(ROW()-2&gt;=Inputs!$B$5,AVERAGE(OFFSET(E1069,1-Inputs!$B$5,0,Inputs!$B$5,1)),"")</f>
        <v>0.846703148887138</v>
      </c>
      <c r="H1069" s="8" t="n">
        <f aca="false">MAX(C1069-D1069,ABS(C1069-E1068),ABS(D1069-E1068))</f>
        <v>0.00794668023977663</v>
      </c>
      <c r="I1069" s="8" t="n">
        <f aca="true">IF(ROW()-2&lt;14,"",IF(ROW()-2=14,AVERAGE(OFFSET(H1069,-13,0,14,1)),(I1068*13+H1069)/14))</f>
        <v>0.00920503405619695</v>
      </c>
      <c r="J1069" s="9" t="b">
        <f aca="false">IF(AND(ISNUMBER(F1069),ISNUMBER(G1069),ISNUMBER(F1068),ISNUMBER(G1068)),AND(F1069&gt;G1069,F1068&lt;=G1068),FALSE())</f>
        <v>0</v>
      </c>
      <c r="K1069" s="9" t="b">
        <f aca="false">IF(AND(ISNUMBER(F1069),ISNUMBER(G1069),ISNUMBER(F1068),ISNUMBER(G1068)),AND(F1069&lt;G1069,F1068&gt;=G1068),FALSE())</f>
        <v>0</v>
      </c>
      <c r="L1069" s="8" t="n">
        <f aca="false">IF(ISNUMBER(I1069),E1069-Inputs!$B$6*I1069,"")</f>
        <v>0.808816303387546</v>
      </c>
      <c r="M1069" s="9" t="b">
        <f aca="false">AND(Y1068&gt;0,Z1068)</f>
        <v>0</v>
      </c>
      <c r="N1069" s="8" t="n">
        <f aca="false">B1069*(1-Inputs!$B$12)</f>
        <v>0.833842418861526</v>
      </c>
      <c r="O1069" s="10" t="n">
        <f aca="false">IF(M1069,Y1068*(N1069-AB1068)-Inputs!$B$9-Y1068*AD1068*Inputs!$B$13*(A1069-AC1068),0)</f>
        <v>0</v>
      </c>
      <c r="P1069" s="10" t="n">
        <f aca="false">X1068+O1069</f>
        <v>945.618668179282</v>
      </c>
      <c r="Q1069" s="9" t="b">
        <f aca="false">AND(IF(M1069,0,Y1068)=0,AA1068,IF(ISNUMBER(AE1068),B1069&gt;AE1068,FALSE()))</f>
        <v>0</v>
      </c>
      <c r="R1069" s="8" t="n">
        <f aca="false">B1069*(1+Inputs!$B$12)</f>
        <v>0.834176022549808</v>
      </c>
      <c r="S1069" s="11" t="n">
        <f aca="false">IF(Q1069,MIN(P1069*Inputs!$B$3/(R1069-AE1068),P1069*Inputs!$B$11/R1069),0)</f>
        <v>0</v>
      </c>
      <c r="T1069" s="11" t="n">
        <f aca="false">IF(Q1069,S1069,IF(M1069,0,Y1068))</f>
        <v>0</v>
      </c>
      <c r="U1069" s="8" t="n">
        <f aca="false">IF(Q1069,AE1068,AF1068)</f>
        <v>0.839979947684787</v>
      </c>
      <c r="V1069" s="9" t="b">
        <f aca="false">AND(T1069&gt;0,D1069&lt;=U1069)</f>
        <v>0</v>
      </c>
      <c r="W1069" s="10" t="n">
        <f aca="false">IF(V1069,T1069*(AK1069-AB1069)-Inputs!$B$9-T1069*AD1069*Inputs!$B$13*(A1069-AC1069),0)</f>
        <v>0</v>
      </c>
      <c r="X1069" s="10" t="n">
        <f aca="false">P1069-IF(Q1069,Inputs!$B$9,0)+W1069</f>
        <v>945.618668179282</v>
      </c>
      <c r="Y1069" s="11" t="n">
        <f aca="false">IF(V1069,0,T1069)</f>
        <v>0</v>
      </c>
      <c r="Z1069" s="9" t="b">
        <f aca="false">AND(Y1069&gt;0,K1069)</f>
        <v>0</v>
      </c>
      <c r="AA1069" s="9" t="b">
        <f aca="false">AND(Y1069=0,J1069,ISNUMBER(L1069))</f>
        <v>0</v>
      </c>
      <c r="AB1069" s="8" t="n">
        <f aca="false">IF(Q1069,R1069,AB1068)</f>
        <v>0.85718419932201</v>
      </c>
      <c r="AC1069" s="12" t="n">
        <f aca="false">IF(Q1069,A1069,AC1068)</f>
        <v>45834</v>
      </c>
      <c r="AD1069" s="8" t="n">
        <f aca="false">IF(Q1069,B1069,AD1068)</f>
        <v>0.857012796762658</v>
      </c>
      <c r="AE1069" s="8" t="str">
        <f aca="false">IF(AA1069,L1069,"")</f>
        <v/>
      </c>
      <c r="AF1069" s="8" t="n">
        <f aca="false">U1069</f>
        <v>0.839979947684787</v>
      </c>
      <c r="AG1069" s="2" t="n">
        <f aca="false">AG1068+IF(Q1069,1,0)</f>
        <v>11</v>
      </c>
      <c r="AH1069" s="2" t="n">
        <f aca="false">AG1068</f>
        <v>11</v>
      </c>
      <c r="AI1069" s="10" t="n">
        <f aca="false">X1069+Y1069*(E1069-AB1069)-Y1069*AD1069*Inputs!$B$13*(A1069-AC1069)</f>
        <v>945.618668179282</v>
      </c>
      <c r="AJ1069" s="10" t="n">
        <v>0</v>
      </c>
      <c r="AK1069" s="8" t="n">
        <f aca="false">IF(AND(B1069&lt;=U1069,NOT(Q1069)),B1069,U1069)*(1-Inputs!$B$12)</f>
        <v>0.833842418861526</v>
      </c>
    </row>
    <row r="1070" customFormat="false" ht="15" hidden="false" customHeight="false" outlineLevel="0" collapsed="false">
      <c r="A1070" s="6" t="n">
        <v>45854</v>
      </c>
      <c r="B1070" s="7" t="n">
        <v>0.82722637149994</v>
      </c>
      <c r="C1070" s="7" t="n">
        <v>0.83229604252064</v>
      </c>
      <c r="D1070" s="7" t="n">
        <v>0.820047143338515</v>
      </c>
      <c r="E1070" s="7" t="n">
        <v>0.820558769921454</v>
      </c>
      <c r="F1070" s="8" t="n">
        <f aca="true">IF(ROW()-2&gt;=Inputs!$B$4,AVERAGE(OFFSET(E1070,1-Inputs!$B$4,0,Inputs!$B$4,1)),"")</f>
        <v>0.842350426713483</v>
      </c>
      <c r="G1070" s="8" t="n">
        <f aca="true">IF(ROW()-2&gt;=Inputs!$B$5,AVERAGE(OFFSET(E1070,1-Inputs!$B$5,0,Inputs!$B$5,1)),"")</f>
        <v>0.846104097726912</v>
      </c>
      <c r="H1070" s="8" t="n">
        <f aca="false">MAX(C1070-D1070,ABS(C1070-E1069),ABS(D1070-E1069))</f>
        <v>0.0122488991821254</v>
      </c>
      <c r="I1070" s="8" t="n">
        <f aca="true">IF(ROW()-2&lt;14,"",IF(ROW()-2=14,AVERAGE(OFFSET(H1070,-13,0,14,1)),(I1069*13+H1070)/14))</f>
        <v>0.00942245299376327</v>
      </c>
      <c r="J1070" s="9" t="b">
        <f aca="false">IF(AND(ISNUMBER(F1070),ISNUMBER(G1070),ISNUMBER(F1069),ISNUMBER(G1069)),AND(F1070&gt;G1070,F1069&lt;=G1069),FALSE())</f>
        <v>0</v>
      </c>
      <c r="K1070" s="9" t="b">
        <f aca="false">IF(AND(ISNUMBER(F1070),ISNUMBER(G1070),ISNUMBER(F1069),ISNUMBER(G1069)),AND(F1070&lt;G1070,F1069&gt;=G1069),FALSE())</f>
        <v>0</v>
      </c>
      <c r="L1070" s="8" t="n">
        <f aca="false">IF(ISNUMBER(I1070),E1070-Inputs!$B$6*I1070,"")</f>
        <v>0.801713863933927</v>
      </c>
      <c r="M1070" s="9" t="b">
        <f aca="false">AND(Y1069&gt;0,Z1069)</f>
        <v>0</v>
      </c>
      <c r="N1070" s="8" t="n">
        <f aca="false">B1070*(1-Inputs!$B$12)</f>
        <v>0.82706092622564</v>
      </c>
      <c r="O1070" s="10" t="n">
        <f aca="false">IF(M1070,Y1069*(N1070-AB1069)-Inputs!$B$9-Y1069*AD1069*Inputs!$B$13*(A1070-AC1069),0)</f>
        <v>0</v>
      </c>
      <c r="P1070" s="10" t="n">
        <f aca="false">X1069+O1070</f>
        <v>945.618668179282</v>
      </c>
      <c r="Q1070" s="9" t="b">
        <f aca="false">AND(IF(M1070,0,Y1069)=0,AA1069,IF(ISNUMBER(AE1069),B1070&gt;AE1069,FALSE()))</f>
        <v>0</v>
      </c>
      <c r="R1070" s="8" t="n">
        <f aca="false">B1070*(1+Inputs!$B$12)</f>
        <v>0.82739181677424</v>
      </c>
      <c r="S1070" s="11" t="n">
        <f aca="false">IF(Q1070,MIN(P1070*Inputs!$B$3/(R1070-AE1069),P1070*Inputs!$B$11/R1070),0)</f>
        <v>0</v>
      </c>
      <c r="T1070" s="11" t="n">
        <f aca="false">IF(Q1070,S1070,IF(M1070,0,Y1069))</f>
        <v>0</v>
      </c>
      <c r="U1070" s="8" t="n">
        <f aca="false">IF(Q1070,AE1069,AF1069)</f>
        <v>0.839979947684787</v>
      </c>
      <c r="V1070" s="9" t="b">
        <f aca="false">AND(T1070&gt;0,D1070&lt;=U1070)</f>
        <v>0</v>
      </c>
      <c r="W1070" s="10" t="n">
        <f aca="false">IF(V1070,T1070*(AK1070-AB1070)-Inputs!$B$9-T1070*AD1070*Inputs!$B$13*(A1070-AC1070),0)</f>
        <v>0</v>
      </c>
      <c r="X1070" s="10" t="n">
        <f aca="false">P1070-IF(Q1070,Inputs!$B$9,0)+W1070</f>
        <v>945.618668179282</v>
      </c>
      <c r="Y1070" s="11" t="n">
        <f aca="false">IF(V1070,0,T1070)</f>
        <v>0</v>
      </c>
      <c r="Z1070" s="9" t="b">
        <f aca="false">AND(Y1070&gt;0,K1070)</f>
        <v>0</v>
      </c>
      <c r="AA1070" s="9" t="b">
        <f aca="false">AND(Y1070=0,J1070,ISNUMBER(L1070))</f>
        <v>0</v>
      </c>
      <c r="AB1070" s="8" t="n">
        <f aca="false">IF(Q1070,R1070,AB1069)</f>
        <v>0.85718419932201</v>
      </c>
      <c r="AC1070" s="12" t="n">
        <f aca="false">IF(Q1070,A1070,AC1069)</f>
        <v>45834</v>
      </c>
      <c r="AD1070" s="8" t="n">
        <f aca="false">IF(Q1070,B1070,AD1069)</f>
        <v>0.857012796762658</v>
      </c>
      <c r="AE1070" s="8" t="str">
        <f aca="false">IF(AA1070,L1070,"")</f>
        <v/>
      </c>
      <c r="AF1070" s="8" t="n">
        <f aca="false">U1070</f>
        <v>0.839979947684787</v>
      </c>
      <c r="AG1070" s="2" t="n">
        <f aca="false">AG1069+IF(Q1070,1,0)</f>
        <v>11</v>
      </c>
      <c r="AH1070" s="2" t="n">
        <f aca="false">AG1069</f>
        <v>11</v>
      </c>
      <c r="AI1070" s="10" t="n">
        <f aca="false">X1070+Y1070*(E1070-AB1070)-Y1070*AD1070*Inputs!$B$13*(A1070-AC1070)</f>
        <v>945.618668179282</v>
      </c>
      <c r="AJ1070" s="10" t="n">
        <v>0</v>
      </c>
      <c r="AK1070" s="8" t="n">
        <f aca="false">IF(AND(B1070&lt;=U1070,NOT(Q1070)),B1070,U1070)*(1-Inputs!$B$12)</f>
        <v>0.82706092622564</v>
      </c>
    </row>
    <row r="1071" customFormat="false" ht="15" hidden="false" customHeight="false" outlineLevel="0" collapsed="false">
      <c r="A1071" s="6" t="n">
        <v>45855</v>
      </c>
      <c r="B1071" s="7" t="n">
        <v>0.820558769921454</v>
      </c>
      <c r="C1071" s="7" t="n">
        <v>0.82749547032759</v>
      </c>
      <c r="D1071" s="7" t="n">
        <v>0.819196353187444</v>
      </c>
      <c r="E1071" s="7" t="n">
        <v>0.824979026683361</v>
      </c>
      <c r="F1071" s="8" t="n">
        <f aca="true">IF(ROW()-2&gt;=Inputs!$B$4,AVERAGE(OFFSET(E1071,1-Inputs!$B$4,0,Inputs!$B$4,1)),"")</f>
        <v>0.840620010362995</v>
      </c>
      <c r="G1071" s="8" t="n">
        <f aca="true">IF(ROW()-2&gt;=Inputs!$B$5,AVERAGE(OFFSET(E1071,1-Inputs!$B$5,0,Inputs!$B$5,1)),"")</f>
        <v>0.845636734593182</v>
      </c>
      <c r="H1071" s="8" t="n">
        <f aca="false">MAX(C1071-D1071,ABS(C1071-E1070),ABS(D1071-E1070))</f>
        <v>0.00829911714014686</v>
      </c>
      <c r="I1071" s="8" t="n">
        <f aca="true">IF(ROW()-2&lt;14,"",IF(ROW()-2=14,AVERAGE(OFFSET(H1071,-13,0,14,1)),(I1070*13+H1071)/14))</f>
        <v>0.00934221471850495</v>
      </c>
      <c r="J1071" s="9" t="b">
        <f aca="false">IF(AND(ISNUMBER(F1071),ISNUMBER(G1071),ISNUMBER(F1070),ISNUMBER(G1070)),AND(F1071&gt;G1071,F1070&lt;=G1070),FALSE())</f>
        <v>0</v>
      </c>
      <c r="K1071" s="9" t="b">
        <f aca="false">IF(AND(ISNUMBER(F1071),ISNUMBER(G1071),ISNUMBER(F1070),ISNUMBER(G1070)),AND(F1071&lt;G1071,F1070&gt;=G1070),FALSE())</f>
        <v>0</v>
      </c>
      <c r="L1071" s="8" t="n">
        <f aca="false">IF(ISNUMBER(I1071),E1071-Inputs!$B$6*I1071,"")</f>
        <v>0.806294597246351</v>
      </c>
      <c r="M1071" s="9" t="b">
        <f aca="false">AND(Y1070&gt;0,Z1070)</f>
        <v>0</v>
      </c>
      <c r="N1071" s="8" t="n">
        <f aca="false">B1071*(1-Inputs!$B$12)</f>
        <v>0.820394658167469</v>
      </c>
      <c r="O1071" s="10" t="n">
        <f aca="false">IF(M1071,Y1070*(N1071-AB1070)-Inputs!$B$9-Y1070*AD1070*Inputs!$B$13*(A1071-AC1070),0)</f>
        <v>0</v>
      </c>
      <c r="P1071" s="10" t="n">
        <f aca="false">X1070+O1071</f>
        <v>945.618668179282</v>
      </c>
      <c r="Q1071" s="9" t="b">
        <f aca="false">AND(IF(M1071,0,Y1070)=0,AA1070,IF(ISNUMBER(AE1070),B1071&gt;AE1070,FALSE()))</f>
        <v>0</v>
      </c>
      <c r="R1071" s="8" t="n">
        <f aca="false">B1071*(1+Inputs!$B$12)</f>
        <v>0.820722881675438</v>
      </c>
      <c r="S1071" s="11" t="n">
        <f aca="false">IF(Q1071,MIN(P1071*Inputs!$B$3/(R1071-AE1070),P1071*Inputs!$B$11/R1071),0)</f>
        <v>0</v>
      </c>
      <c r="T1071" s="11" t="n">
        <f aca="false">IF(Q1071,S1071,IF(M1071,0,Y1070))</f>
        <v>0</v>
      </c>
      <c r="U1071" s="8" t="n">
        <f aca="false">IF(Q1071,AE1070,AF1070)</f>
        <v>0.839979947684787</v>
      </c>
      <c r="V1071" s="9" t="b">
        <f aca="false">AND(T1071&gt;0,D1071&lt;=U1071)</f>
        <v>0</v>
      </c>
      <c r="W1071" s="10" t="n">
        <f aca="false">IF(V1071,T1071*(AK1071-AB1071)-Inputs!$B$9-T1071*AD1071*Inputs!$B$13*(A1071-AC1071),0)</f>
        <v>0</v>
      </c>
      <c r="X1071" s="10" t="n">
        <f aca="false">P1071-IF(Q1071,Inputs!$B$9,0)+W1071</f>
        <v>945.618668179282</v>
      </c>
      <c r="Y1071" s="11" t="n">
        <f aca="false">IF(V1071,0,T1071)</f>
        <v>0</v>
      </c>
      <c r="Z1071" s="9" t="b">
        <f aca="false">AND(Y1071&gt;0,K1071)</f>
        <v>0</v>
      </c>
      <c r="AA1071" s="9" t="b">
        <f aca="false">AND(Y1071=0,J1071,ISNUMBER(L1071))</f>
        <v>0</v>
      </c>
      <c r="AB1071" s="8" t="n">
        <f aca="false">IF(Q1071,R1071,AB1070)</f>
        <v>0.85718419932201</v>
      </c>
      <c r="AC1071" s="12" t="n">
        <f aca="false">IF(Q1071,A1071,AC1070)</f>
        <v>45834</v>
      </c>
      <c r="AD1071" s="8" t="n">
        <f aca="false">IF(Q1071,B1071,AD1070)</f>
        <v>0.857012796762658</v>
      </c>
      <c r="AE1071" s="8" t="str">
        <f aca="false">IF(AA1071,L1071,"")</f>
        <v/>
      </c>
      <c r="AF1071" s="8" t="n">
        <f aca="false">U1071</f>
        <v>0.839979947684787</v>
      </c>
      <c r="AG1071" s="2" t="n">
        <f aca="false">AG1070+IF(Q1071,1,0)</f>
        <v>11</v>
      </c>
      <c r="AH1071" s="2" t="n">
        <f aca="false">AG1070</f>
        <v>11</v>
      </c>
      <c r="AI1071" s="10" t="n">
        <f aca="false">X1071+Y1071*(E1071-AB1071)-Y1071*AD1071*Inputs!$B$13*(A1071-AC1071)</f>
        <v>945.618668179282</v>
      </c>
      <c r="AJ1071" s="10" t="n">
        <v>0</v>
      </c>
      <c r="AK1071" s="8" t="n">
        <f aca="false">IF(AND(B1071&lt;=U1071,NOT(Q1071)),B1071,U1071)*(1-Inputs!$B$12)</f>
        <v>0.820394658167469</v>
      </c>
    </row>
    <row r="1072" customFormat="false" ht="15" hidden="false" customHeight="false" outlineLevel="0" collapsed="false">
      <c r="A1072" s="6" t="n">
        <v>45856</v>
      </c>
      <c r="B1072" s="7" t="n">
        <v>0.824979026683361</v>
      </c>
      <c r="C1072" s="7" t="n">
        <v>0.830320057594376</v>
      </c>
      <c r="D1072" s="7" t="n">
        <v>0.824336430280462</v>
      </c>
      <c r="E1072" s="7" t="n">
        <v>0.829564634449384</v>
      </c>
      <c r="F1072" s="8" t="n">
        <f aca="true">IF(ROW()-2&gt;=Inputs!$B$4,AVERAGE(OFFSET(E1072,1-Inputs!$B$4,0,Inputs!$B$4,1)),"")</f>
        <v>0.838678741178524</v>
      </c>
      <c r="G1072" s="8" t="n">
        <f aca="true">IF(ROW()-2&gt;=Inputs!$B$5,AVERAGE(OFFSET(E1072,1-Inputs!$B$5,0,Inputs!$B$5,1)),"")</f>
        <v>0.845287673859716</v>
      </c>
      <c r="H1072" s="8" t="n">
        <f aca="false">MAX(C1072-D1072,ABS(C1072-E1071),ABS(D1072-E1071))</f>
        <v>0.00598362731391455</v>
      </c>
      <c r="I1072" s="8" t="n">
        <f aca="true">IF(ROW()-2&lt;14,"",IF(ROW()-2=14,AVERAGE(OFFSET(H1072,-13,0,14,1)),(I1071*13+H1072)/14))</f>
        <v>0.00910231561817707</v>
      </c>
      <c r="J1072" s="9" t="b">
        <f aca="false">IF(AND(ISNUMBER(F1072),ISNUMBER(G1072),ISNUMBER(F1071),ISNUMBER(G1071)),AND(F1072&gt;G1072,F1071&lt;=G1071),FALSE())</f>
        <v>0</v>
      </c>
      <c r="K1072" s="9" t="b">
        <f aca="false">IF(AND(ISNUMBER(F1072),ISNUMBER(G1072),ISNUMBER(F1071),ISNUMBER(G1071)),AND(F1072&lt;G1072,F1071&gt;=G1071),FALSE())</f>
        <v>0</v>
      </c>
      <c r="L1072" s="8" t="n">
        <f aca="false">IF(ISNUMBER(I1072),E1072-Inputs!$B$6*I1072,"")</f>
        <v>0.81136000321303</v>
      </c>
      <c r="M1072" s="9" t="b">
        <f aca="false">AND(Y1071&gt;0,Z1071)</f>
        <v>0</v>
      </c>
      <c r="N1072" s="8" t="n">
        <f aca="false">B1072*(1-Inputs!$B$12)</f>
        <v>0.824814030878024</v>
      </c>
      <c r="O1072" s="10" t="n">
        <f aca="false">IF(M1072,Y1071*(N1072-AB1071)-Inputs!$B$9-Y1071*AD1071*Inputs!$B$13*(A1072-AC1071),0)</f>
        <v>0</v>
      </c>
      <c r="P1072" s="10" t="n">
        <f aca="false">X1071+O1072</f>
        <v>945.618668179282</v>
      </c>
      <c r="Q1072" s="9" t="b">
        <f aca="false">AND(IF(M1072,0,Y1071)=0,AA1071,IF(ISNUMBER(AE1071),B1072&gt;AE1071,FALSE()))</f>
        <v>0</v>
      </c>
      <c r="R1072" s="8" t="n">
        <f aca="false">B1072*(1+Inputs!$B$12)</f>
        <v>0.825144022488697</v>
      </c>
      <c r="S1072" s="11" t="n">
        <f aca="false">IF(Q1072,MIN(P1072*Inputs!$B$3/(R1072-AE1071),P1072*Inputs!$B$11/R1072),0)</f>
        <v>0</v>
      </c>
      <c r="T1072" s="11" t="n">
        <f aca="false">IF(Q1072,S1072,IF(M1072,0,Y1071))</f>
        <v>0</v>
      </c>
      <c r="U1072" s="8" t="n">
        <f aca="false">IF(Q1072,AE1071,AF1071)</f>
        <v>0.839979947684787</v>
      </c>
      <c r="V1072" s="9" t="b">
        <f aca="false">AND(T1072&gt;0,D1072&lt;=U1072)</f>
        <v>0</v>
      </c>
      <c r="W1072" s="10" t="n">
        <f aca="false">IF(V1072,T1072*(AK1072-AB1072)-Inputs!$B$9-T1072*AD1072*Inputs!$B$13*(A1072-AC1072),0)</f>
        <v>0</v>
      </c>
      <c r="X1072" s="10" t="n">
        <f aca="false">P1072-IF(Q1072,Inputs!$B$9,0)+W1072</f>
        <v>945.618668179282</v>
      </c>
      <c r="Y1072" s="11" t="n">
        <f aca="false">IF(V1072,0,T1072)</f>
        <v>0</v>
      </c>
      <c r="Z1072" s="9" t="b">
        <f aca="false">AND(Y1072&gt;0,K1072)</f>
        <v>0</v>
      </c>
      <c r="AA1072" s="9" t="b">
        <f aca="false">AND(Y1072=0,J1072,ISNUMBER(L1072))</f>
        <v>0</v>
      </c>
      <c r="AB1072" s="8" t="n">
        <f aca="false">IF(Q1072,R1072,AB1071)</f>
        <v>0.85718419932201</v>
      </c>
      <c r="AC1072" s="12" t="n">
        <f aca="false">IF(Q1072,A1072,AC1071)</f>
        <v>45834</v>
      </c>
      <c r="AD1072" s="8" t="n">
        <f aca="false">IF(Q1072,B1072,AD1071)</f>
        <v>0.857012796762658</v>
      </c>
      <c r="AE1072" s="8" t="str">
        <f aca="false">IF(AA1072,L1072,"")</f>
        <v/>
      </c>
      <c r="AF1072" s="8" t="n">
        <f aca="false">U1072</f>
        <v>0.839979947684787</v>
      </c>
      <c r="AG1072" s="2" t="n">
        <f aca="false">AG1071+IF(Q1072,1,0)</f>
        <v>11</v>
      </c>
      <c r="AH1072" s="2" t="n">
        <f aca="false">AG1071</f>
        <v>11</v>
      </c>
      <c r="AI1072" s="10" t="n">
        <f aca="false">X1072+Y1072*(E1072-AB1072)-Y1072*AD1072*Inputs!$B$13*(A1072-AC1072)</f>
        <v>945.618668179282</v>
      </c>
      <c r="AJ1072" s="10" t="n">
        <v>0</v>
      </c>
      <c r="AK1072" s="8" t="n">
        <f aca="false">IF(AND(B1072&lt;=U1072,NOT(Q1072)),B1072,U1072)*(1-Inputs!$B$12)</f>
        <v>0.824814030878024</v>
      </c>
    </row>
    <row r="1073" customFormat="false" ht="15" hidden="false" customHeight="false" outlineLevel="0" collapsed="false">
      <c r="A1073" s="6" t="n">
        <v>45857</v>
      </c>
      <c r="B1073" s="7" t="n">
        <v>0.829564634449384</v>
      </c>
      <c r="C1073" s="7" t="n">
        <v>0.832497214803417</v>
      </c>
      <c r="D1073" s="7" t="n">
        <v>0.827331814881445</v>
      </c>
      <c r="E1073" s="7" t="n">
        <v>0.828319795719827</v>
      </c>
      <c r="F1073" s="8" t="n">
        <f aca="true">IF(ROW()-2&gt;=Inputs!$B$4,AVERAGE(OFFSET(E1073,1-Inputs!$B$4,0,Inputs!$B$4,1)),"")</f>
        <v>0.836821637431916</v>
      </c>
      <c r="G1073" s="8" t="n">
        <f aca="true">IF(ROW()-2&gt;=Inputs!$B$5,AVERAGE(OFFSET(E1073,1-Inputs!$B$5,0,Inputs!$B$5,1)),"")</f>
        <v>0.844880928139321</v>
      </c>
      <c r="H1073" s="8" t="n">
        <f aca="false">MAX(C1073-D1073,ABS(C1073-E1072),ABS(D1073-E1072))</f>
        <v>0.00516539992197207</v>
      </c>
      <c r="I1073" s="8" t="n">
        <f aca="true">IF(ROW()-2&lt;14,"",IF(ROW()-2=14,AVERAGE(OFFSET(H1073,-13,0,14,1)),(I1072*13+H1073)/14))</f>
        <v>0.00882110735416243</v>
      </c>
      <c r="J1073" s="9" t="b">
        <f aca="false">IF(AND(ISNUMBER(F1073),ISNUMBER(G1073),ISNUMBER(F1072),ISNUMBER(G1072)),AND(F1073&gt;G1073,F1072&lt;=G1072),FALSE())</f>
        <v>0</v>
      </c>
      <c r="K1073" s="9" t="b">
        <f aca="false">IF(AND(ISNUMBER(F1073),ISNUMBER(G1073),ISNUMBER(F1072),ISNUMBER(G1072)),AND(F1073&lt;G1073,F1072&gt;=G1072),FALSE())</f>
        <v>0</v>
      </c>
      <c r="L1073" s="8" t="n">
        <f aca="false">IF(ISNUMBER(I1073),E1073-Inputs!$B$6*I1073,"")</f>
        <v>0.810677581011502</v>
      </c>
      <c r="M1073" s="9" t="b">
        <f aca="false">AND(Y1072&gt;0,Z1072)</f>
        <v>0</v>
      </c>
      <c r="N1073" s="8" t="n">
        <f aca="false">B1073*(1-Inputs!$B$12)</f>
        <v>0.829398721522494</v>
      </c>
      <c r="O1073" s="10" t="n">
        <f aca="false">IF(M1073,Y1072*(N1073-AB1072)-Inputs!$B$9-Y1072*AD1072*Inputs!$B$13*(A1073-AC1072),0)</f>
        <v>0</v>
      </c>
      <c r="P1073" s="10" t="n">
        <f aca="false">X1072+O1073</f>
        <v>945.618668179282</v>
      </c>
      <c r="Q1073" s="9" t="b">
        <f aca="false">AND(IF(M1073,0,Y1072)=0,AA1072,IF(ISNUMBER(AE1072),B1073&gt;AE1072,FALSE()))</f>
        <v>0</v>
      </c>
      <c r="R1073" s="8" t="n">
        <f aca="false">B1073*(1+Inputs!$B$12)</f>
        <v>0.829730547376274</v>
      </c>
      <c r="S1073" s="11" t="n">
        <f aca="false">IF(Q1073,MIN(P1073*Inputs!$B$3/(R1073-AE1072),P1073*Inputs!$B$11/R1073),0)</f>
        <v>0</v>
      </c>
      <c r="T1073" s="11" t="n">
        <f aca="false">IF(Q1073,S1073,IF(M1073,0,Y1072))</f>
        <v>0</v>
      </c>
      <c r="U1073" s="8" t="n">
        <f aca="false">IF(Q1073,AE1072,AF1072)</f>
        <v>0.839979947684787</v>
      </c>
      <c r="V1073" s="9" t="b">
        <f aca="false">AND(T1073&gt;0,D1073&lt;=U1073)</f>
        <v>0</v>
      </c>
      <c r="W1073" s="10" t="n">
        <f aca="false">IF(V1073,T1073*(AK1073-AB1073)-Inputs!$B$9-T1073*AD1073*Inputs!$B$13*(A1073-AC1073),0)</f>
        <v>0</v>
      </c>
      <c r="X1073" s="10" t="n">
        <f aca="false">P1073-IF(Q1073,Inputs!$B$9,0)+W1073</f>
        <v>945.618668179282</v>
      </c>
      <c r="Y1073" s="11" t="n">
        <f aca="false">IF(V1073,0,T1073)</f>
        <v>0</v>
      </c>
      <c r="Z1073" s="9" t="b">
        <f aca="false">AND(Y1073&gt;0,K1073)</f>
        <v>0</v>
      </c>
      <c r="AA1073" s="9" t="b">
        <f aca="false">AND(Y1073=0,J1073,ISNUMBER(L1073))</f>
        <v>0</v>
      </c>
      <c r="AB1073" s="8" t="n">
        <f aca="false">IF(Q1073,R1073,AB1072)</f>
        <v>0.85718419932201</v>
      </c>
      <c r="AC1073" s="12" t="n">
        <f aca="false">IF(Q1073,A1073,AC1072)</f>
        <v>45834</v>
      </c>
      <c r="AD1073" s="8" t="n">
        <f aca="false">IF(Q1073,B1073,AD1072)</f>
        <v>0.857012796762658</v>
      </c>
      <c r="AE1073" s="8" t="str">
        <f aca="false">IF(AA1073,L1073,"")</f>
        <v/>
      </c>
      <c r="AF1073" s="8" t="n">
        <f aca="false">U1073</f>
        <v>0.839979947684787</v>
      </c>
      <c r="AG1073" s="2" t="n">
        <f aca="false">AG1072+IF(Q1073,1,0)</f>
        <v>11</v>
      </c>
      <c r="AH1073" s="2" t="n">
        <f aca="false">AG1072</f>
        <v>11</v>
      </c>
      <c r="AI1073" s="10" t="n">
        <f aca="false">X1073+Y1073*(E1073-AB1073)-Y1073*AD1073*Inputs!$B$13*(A1073-AC1073)</f>
        <v>945.618668179282</v>
      </c>
      <c r="AJ1073" s="10" t="n">
        <v>0</v>
      </c>
      <c r="AK1073" s="8" t="n">
        <f aca="false">IF(AND(B1073&lt;=U1073,NOT(Q1073)),B1073,U1073)*(1-Inputs!$B$12)</f>
        <v>0.829398721522494</v>
      </c>
    </row>
    <row r="1074" customFormat="false" ht="15" hidden="false" customHeight="false" outlineLevel="0" collapsed="false">
      <c r="A1074" s="6" t="n">
        <v>45858</v>
      </c>
      <c r="B1074" s="7" t="n">
        <v>0.828319795719827</v>
      </c>
      <c r="C1074" s="7" t="n">
        <v>0.831200478275972</v>
      </c>
      <c r="D1074" s="7" t="n">
        <v>0.82488000043279</v>
      </c>
      <c r="E1074" s="7" t="n">
        <v>0.830130770605671</v>
      </c>
      <c r="F1074" s="8" t="n">
        <f aca="true">IF(ROW()-2&gt;=Inputs!$B$4,AVERAGE(OFFSET(E1074,1-Inputs!$B$4,0,Inputs!$B$4,1)),"")</f>
        <v>0.83542486498044</v>
      </c>
      <c r="G1074" s="8" t="n">
        <f aca="true">IF(ROW()-2&gt;=Inputs!$B$5,AVERAGE(OFFSET(E1074,1-Inputs!$B$5,0,Inputs!$B$5,1)),"")</f>
        <v>0.844375471631866</v>
      </c>
      <c r="H1074" s="8" t="n">
        <f aca="false">MAX(C1074-D1074,ABS(C1074-E1073),ABS(D1074-E1073))</f>
        <v>0.00632047784318202</v>
      </c>
      <c r="I1074" s="8" t="n">
        <f aca="true">IF(ROW()-2&lt;14,"",IF(ROW()-2=14,AVERAGE(OFFSET(H1074,-13,0,14,1)),(I1073*13+H1074)/14))</f>
        <v>0.00864249096052097</v>
      </c>
      <c r="J1074" s="9" t="b">
        <f aca="false">IF(AND(ISNUMBER(F1074),ISNUMBER(G1074),ISNUMBER(F1073),ISNUMBER(G1073)),AND(F1074&gt;G1074,F1073&lt;=G1073),FALSE())</f>
        <v>0</v>
      </c>
      <c r="K1074" s="9" t="b">
        <f aca="false">IF(AND(ISNUMBER(F1074),ISNUMBER(G1074),ISNUMBER(F1073),ISNUMBER(G1073)),AND(F1074&lt;G1074,F1073&gt;=G1073),FALSE())</f>
        <v>0</v>
      </c>
      <c r="L1074" s="8" t="n">
        <f aca="false">IF(ISNUMBER(I1074),E1074-Inputs!$B$6*I1074,"")</f>
        <v>0.812845788684629</v>
      </c>
      <c r="M1074" s="9" t="b">
        <f aca="false">AND(Y1073&gt;0,Z1073)</f>
        <v>0</v>
      </c>
      <c r="N1074" s="8" t="n">
        <f aca="false">B1074*(1-Inputs!$B$12)</f>
        <v>0.828154131760683</v>
      </c>
      <c r="O1074" s="10" t="n">
        <f aca="false">IF(M1074,Y1073*(N1074-AB1073)-Inputs!$B$9-Y1073*AD1073*Inputs!$B$13*(A1074-AC1073),0)</f>
        <v>0</v>
      </c>
      <c r="P1074" s="10" t="n">
        <f aca="false">X1073+O1074</f>
        <v>945.618668179282</v>
      </c>
      <c r="Q1074" s="9" t="b">
        <f aca="false">AND(IF(M1074,0,Y1073)=0,AA1073,IF(ISNUMBER(AE1073),B1074&gt;AE1073,FALSE()))</f>
        <v>0</v>
      </c>
      <c r="R1074" s="8" t="n">
        <f aca="false">B1074*(1+Inputs!$B$12)</f>
        <v>0.828485459678971</v>
      </c>
      <c r="S1074" s="11" t="n">
        <f aca="false">IF(Q1074,MIN(P1074*Inputs!$B$3/(R1074-AE1073),P1074*Inputs!$B$11/R1074),0)</f>
        <v>0</v>
      </c>
      <c r="T1074" s="11" t="n">
        <f aca="false">IF(Q1074,S1074,IF(M1074,0,Y1073))</f>
        <v>0</v>
      </c>
      <c r="U1074" s="8" t="n">
        <f aca="false">IF(Q1074,AE1073,AF1073)</f>
        <v>0.839979947684787</v>
      </c>
      <c r="V1074" s="9" t="b">
        <f aca="false">AND(T1074&gt;0,D1074&lt;=U1074)</f>
        <v>0</v>
      </c>
      <c r="W1074" s="10" t="n">
        <f aca="false">IF(V1074,T1074*(AK1074-AB1074)-Inputs!$B$9-T1074*AD1074*Inputs!$B$13*(A1074-AC1074),0)</f>
        <v>0</v>
      </c>
      <c r="X1074" s="10" t="n">
        <f aca="false">P1074-IF(Q1074,Inputs!$B$9,0)+W1074</f>
        <v>945.618668179282</v>
      </c>
      <c r="Y1074" s="11" t="n">
        <f aca="false">IF(V1074,0,T1074)</f>
        <v>0</v>
      </c>
      <c r="Z1074" s="9" t="b">
        <f aca="false">AND(Y1074&gt;0,K1074)</f>
        <v>0</v>
      </c>
      <c r="AA1074" s="9" t="b">
        <f aca="false">AND(Y1074=0,J1074,ISNUMBER(L1074))</f>
        <v>0</v>
      </c>
      <c r="AB1074" s="8" t="n">
        <f aca="false">IF(Q1074,R1074,AB1073)</f>
        <v>0.85718419932201</v>
      </c>
      <c r="AC1074" s="12" t="n">
        <f aca="false">IF(Q1074,A1074,AC1073)</f>
        <v>45834</v>
      </c>
      <c r="AD1074" s="8" t="n">
        <f aca="false">IF(Q1074,B1074,AD1073)</f>
        <v>0.857012796762658</v>
      </c>
      <c r="AE1074" s="8" t="str">
        <f aca="false">IF(AA1074,L1074,"")</f>
        <v/>
      </c>
      <c r="AF1074" s="8" t="n">
        <f aca="false">U1074</f>
        <v>0.839979947684787</v>
      </c>
      <c r="AG1074" s="2" t="n">
        <f aca="false">AG1073+IF(Q1074,1,0)</f>
        <v>11</v>
      </c>
      <c r="AH1074" s="2" t="n">
        <f aca="false">AG1073</f>
        <v>11</v>
      </c>
      <c r="AI1074" s="10" t="n">
        <f aca="false">X1074+Y1074*(E1074-AB1074)-Y1074*AD1074*Inputs!$B$13*(A1074-AC1074)</f>
        <v>945.618668179282</v>
      </c>
      <c r="AJ1074" s="10" t="n">
        <v>0</v>
      </c>
      <c r="AK1074" s="8" t="n">
        <f aca="false">IF(AND(B1074&lt;=U1074,NOT(Q1074)),B1074,U1074)*(1-Inputs!$B$12)</f>
        <v>0.828154131760683</v>
      </c>
    </row>
    <row r="1075" customFormat="false" ht="15" hidden="false" customHeight="false" outlineLevel="0" collapsed="false">
      <c r="A1075" s="6" t="n">
        <v>45859</v>
      </c>
      <c r="B1075" s="7" t="n">
        <v>0.830130770605671</v>
      </c>
      <c r="C1075" s="7" t="n">
        <v>0.832707657180727</v>
      </c>
      <c r="D1075" s="7" t="n">
        <v>0.826057350702789</v>
      </c>
      <c r="E1075" s="7" t="n">
        <v>0.827486854302505</v>
      </c>
      <c r="F1075" s="8" t="n">
        <f aca="true">IF(ROW()-2&gt;=Inputs!$B$4,AVERAGE(OFFSET(E1075,1-Inputs!$B$4,0,Inputs!$B$4,1)),"")</f>
        <v>0.834064859343753</v>
      </c>
      <c r="G1075" s="8" t="n">
        <f aca="true">IF(ROW()-2&gt;=Inputs!$B$5,AVERAGE(OFFSET(E1075,1-Inputs!$B$5,0,Inputs!$B$5,1)),"")</f>
        <v>0.843862077139813</v>
      </c>
      <c r="H1075" s="8" t="n">
        <f aca="false">MAX(C1075-D1075,ABS(C1075-E1074),ABS(D1075-E1074))</f>
        <v>0.0066503064779373</v>
      </c>
      <c r="I1075" s="8" t="n">
        <f aca="true">IF(ROW()-2&lt;14,"",IF(ROW()-2=14,AVERAGE(OFFSET(H1075,-13,0,14,1)),(I1074*13+H1075)/14))</f>
        <v>0.00850019206890785</v>
      </c>
      <c r="J1075" s="9" t="b">
        <f aca="false">IF(AND(ISNUMBER(F1075),ISNUMBER(G1075),ISNUMBER(F1074),ISNUMBER(G1074)),AND(F1075&gt;G1075,F1074&lt;=G1074),FALSE())</f>
        <v>0</v>
      </c>
      <c r="K1075" s="9" t="b">
        <f aca="false">IF(AND(ISNUMBER(F1075),ISNUMBER(G1075),ISNUMBER(F1074),ISNUMBER(G1074)),AND(F1075&lt;G1075,F1074&gt;=G1074),FALSE())</f>
        <v>0</v>
      </c>
      <c r="L1075" s="8" t="n">
        <f aca="false">IF(ISNUMBER(I1075),E1075-Inputs!$B$6*I1075,"")</f>
        <v>0.81048647016469</v>
      </c>
      <c r="M1075" s="9" t="b">
        <f aca="false">AND(Y1074&gt;0,Z1074)</f>
        <v>0</v>
      </c>
      <c r="N1075" s="8" t="n">
        <f aca="false">B1075*(1-Inputs!$B$12)</f>
        <v>0.82996474445155</v>
      </c>
      <c r="O1075" s="10" t="n">
        <f aca="false">IF(M1075,Y1074*(N1075-AB1074)-Inputs!$B$9-Y1074*AD1074*Inputs!$B$13*(A1075-AC1074),0)</f>
        <v>0</v>
      </c>
      <c r="P1075" s="10" t="n">
        <f aca="false">X1074+O1075</f>
        <v>945.618668179282</v>
      </c>
      <c r="Q1075" s="9" t="b">
        <f aca="false">AND(IF(M1075,0,Y1074)=0,AA1074,IF(ISNUMBER(AE1074),B1075&gt;AE1074,FALSE()))</f>
        <v>0</v>
      </c>
      <c r="R1075" s="8" t="n">
        <f aca="false">B1075*(1+Inputs!$B$12)</f>
        <v>0.830296796759792</v>
      </c>
      <c r="S1075" s="11" t="n">
        <f aca="false">IF(Q1075,MIN(P1075*Inputs!$B$3/(R1075-AE1074),P1075*Inputs!$B$11/R1075),0)</f>
        <v>0</v>
      </c>
      <c r="T1075" s="11" t="n">
        <f aca="false">IF(Q1075,S1075,IF(M1075,0,Y1074))</f>
        <v>0</v>
      </c>
      <c r="U1075" s="8" t="n">
        <f aca="false">IF(Q1075,AE1074,AF1074)</f>
        <v>0.839979947684787</v>
      </c>
      <c r="V1075" s="9" t="b">
        <f aca="false">AND(T1075&gt;0,D1075&lt;=U1075)</f>
        <v>0</v>
      </c>
      <c r="W1075" s="10" t="n">
        <f aca="false">IF(V1075,T1075*(AK1075-AB1075)-Inputs!$B$9-T1075*AD1075*Inputs!$B$13*(A1075-AC1075),0)</f>
        <v>0</v>
      </c>
      <c r="X1075" s="10" t="n">
        <f aca="false">P1075-IF(Q1075,Inputs!$B$9,0)+W1075</f>
        <v>945.618668179282</v>
      </c>
      <c r="Y1075" s="11" t="n">
        <f aca="false">IF(V1075,0,T1075)</f>
        <v>0</v>
      </c>
      <c r="Z1075" s="9" t="b">
        <f aca="false">AND(Y1075&gt;0,K1075)</f>
        <v>0</v>
      </c>
      <c r="AA1075" s="9" t="b">
        <f aca="false">AND(Y1075=0,J1075,ISNUMBER(L1075))</f>
        <v>0</v>
      </c>
      <c r="AB1075" s="8" t="n">
        <f aca="false">IF(Q1075,R1075,AB1074)</f>
        <v>0.85718419932201</v>
      </c>
      <c r="AC1075" s="12" t="n">
        <f aca="false">IF(Q1075,A1075,AC1074)</f>
        <v>45834</v>
      </c>
      <c r="AD1075" s="8" t="n">
        <f aca="false">IF(Q1075,B1075,AD1074)</f>
        <v>0.857012796762658</v>
      </c>
      <c r="AE1075" s="8" t="str">
        <f aca="false">IF(AA1075,L1075,"")</f>
        <v/>
      </c>
      <c r="AF1075" s="8" t="n">
        <f aca="false">U1075</f>
        <v>0.839979947684787</v>
      </c>
      <c r="AG1075" s="2" t="n">
        <f aca="false">AG1074+IF(Q1075,1,0)</f>
        <v>11</v>
      </c>
      <c r="AH1075" s="2" t="n">
        <f aca="false">AG1074</f>
        <v>11</v>
      </c>
      <c r="AI1075" s="10" t="n">
        <f aca="false">X1075+Y1075*(E1075-AB1075)-Y1075*AD1075*Inputs!$B$13*(A1075-AC1075)</f>
        <v>945.618668179282</v>
      </c>
      <c r="AJ1075" s="10" t="n">
        <v>0</v>
      </c>
      <c r="AK1075" s="8" t="n">
        <f aca="false">IF(AND(B1075&lt;=U1075,NOT(Q1075)),B1075,U1075)*(1-Inputs!$B$12)</f>
        <v>0.82996474445155</v>
      </c>
    </row>
    <row r="1076" customFormat="false" ht="15" hidden="false" customHeight="false" outlineLevel="0" collapsed="false">
      <c r="A1076" s="6" t="n">
        <v>45860</v>
      </c>
      <c r="B1076" s="7" t="n">
        <v>0.827486854302505</v>
      </c>
      <c r="C1076" s="7" t="n">
        <v>0.828590688693649</v>
      </c>
      <c r="D1076" s="7" t="n">
        <v>0.818299013082846</v>
      </c>
      <c r="E1076" s="7" t="n">
        <v>0.822399507742502</v>
      </c>
      <c r="F1076" s="8" t="n">
        <f aca="true">IF(ROW()-2&gt;=Inputs!$B$4,AVERAGE(OFFSET(E1076,1-Inputs!$B$4,0,Inputs!$B$4,1)),"")</f>
        <v>0.832820199509329</v>
      </c>
      <c r="G1076" s="8" t="n">
        <f aca="true">IF(ROW()-2&gt;=Inputs!$B$5,AVERAGE(OFFSET(E1076,1-Inputs!$B$5,0,Inputs!$B$5,1)),"")</f>
        <v>0.84330321392658</v>
      </c>
      <c r="H1076" s="8" t="n">
        <f aca="false">MAX(C1076-D1076,ABS(C1076-E1075),ABS(D1076-E1075))</f>
        <v>0.0102916756108028</v>
      </c>
      <c r="I1076" s="8" t="n">
        <f aca="true">IF(ROW()-2&lt;14,"",IF(ROW()-2=14,AVERAGE(OFFSET(H1076,-13,0,14,1)),(I1075*13+H1076)/14))</f>
        <v>0.0086281551790432</v>
      </c>
      <c r="J1076" s="9" t="b">
        <f aca="false">IF(AND(ISNUMBER(F1076),ISNUMBER(G1076),ISNUMBER(F1075),ISNUMBER(G1075)),AND(F1076&gt;G1076,F1075&lt;=G1075),FALSE())</f>
        <v>0</v>
      </c>
      <c r="K1076" s="9" t="b">
        <f aca="false">IF(AND(ISNUMBER(F1076),ISNUMBER(G1076),ISNUMBER(F1075),ISNUMBER(G1075)),AND(F1076&lt;G1076,F1075&gt;=G1075),FALSE())</f>
        <v>0</v>
      </c>
      <c r="L1076" s="8" t="n">
        <f aca="false">IF(ISNUMBER(I1076),E1076-Inputs!$B$6*I1076,"")</f>
        <v>0.805143197384416</v>
      </c>
      <c r="M1076" s="9" t="b">
        <f aca="false">AND(Y1075&gt;0,Z1075)</f>
        <v>0</v>
      </c>
      <c r="N1076" s="8" t="n">
        <f aca="false">B1076*(1-Inputs!$B$12)</f>
        <v>0.827321356931645</v>
      </c>
      <c r="O1076" s="10" t="n">
        <f aca="false">IF(M1076,Y1075*(N1076-AB1075)-Inputs!$B$9-Y1075*AD1075*Inputs!$B$13*(A1076-AC1075),0)</f>
        <v>0</v>
      </c>
      <c r="P1076" s="10" t="n">
        <f aca="false">X1075+O1076</f>
        <v>945.618668179282</v>
      </c>
      <c r="Q1076" s="9" t="b">
        <f aca="false">AND(IF(M1076,0,Y1075)=0,AA1075,IF(ISNUMBER(AE1075),B1076&gt;AE1075,FALSE()))</f>
        <v>0</v>
      </c>
      <c r="R1076" s="8" t="n">
        <f aca="false">B1076*(1+Inputs!$B$12)</f>
        <v>0.827652351673366</v>
      </c>
      <c r="S1076" s="11" t="n">
        <f aca="false">IF(Q1076,MIN(P1076*Inputs!$B$3/(R1076-AE1075),P1076*Inputs!$B$11/R1076),0)</f>
        <v>0</v>
      </c>
      <c r="T1076" s="11" t="n">
        <f aca="false">IF(Q1076,S1076,IF(M1076,0,Y1075))</f>
        <v>0</v>
      </c>
      <c r="U1076" s="8" t="n">
        <f aca="false">IF(Q1076,AE1075,AF1075)</f>
        <v>0.839979947684787</v>
      </c>
      <c r="V1076" s="9" t="b">
        <f aca="false">AND(T1076&gt;0,D1076&lt;=U1076)</f>
        <v>0</v>
      </c>
      <c r="W1076" s="10" t="n">
        <f aca="false">IF(V1076,T1076*(AK1076-AB1076)-Inputs!$B$9-T1076*AD1076*Inputs!$B$13*(A1076-AC1076),0)</f>
        <v>0</v>
      </c>
      <c r="X1076" s="10" t="n">
        <f aca="false">P1076-IF(Q1076,Inputs!$B$9,0)+W1076</f>
        <v>945.618668179282</v>
      </c>
      <c r="Y1076" s="11" t="n">
        <f aca="false">IF(V1076,0,T1076)</f>
        <v>0</v>
      </c>
      <c r="Z1076" s="9" t="b">
        <f aca="false">AND(Y1076&gt;0,K1076)</f>
        <v>0</v>
      </c>
      <c r="AA1076" s="9" t="b">
        <f aca="false">AND(Y1076=0,J1076,ISNUMBER(L1076))</f>
        <v>0</v>
      </c>
      <c r="AB1076" s="8" t="n">
        <f aca="false">IF(Q1076,R1076,AB1075)</f>
        <v>0.85718419932201</v>
      </c>
      <c r="AC1076" s="12" t="n">
        <f aca="false">IF(Q1076,A1076,AC1075)</f>
        <v>45834</v>
      </c>
      <c r="AD1076" s="8" t="n">
        <f aca="false">IF(Q1076,B1076,AD1075)</f>
        <v>0.857012796762658</v>
      </c>
      <c r="AE1076" s="8" t="str">
        <f aca="false">IF(AA1076,L1076,"")</f>
        <v/>
      </c>
      <c r="AF1076" s="8" t="n">
        <f aca="false">U1076</f>
        <v>0.839979947684787</v>
      </c>
      <c r="AG1076" s="2" t="n">
        <f aca="false">AG1075+IF(Q1076,1,0)</f>
        <v>11</v>
      </c>
      <c r="AH1076" s="2" t="n">
        <f aca="false">AG1075</f>
        <v>11</v>
      </c>
      <c r="AI1076" s="10" t="n">
        <f aca="false">X1076+Y1076*(E1076-AB1076)-Y1076*AD1076*Inputs!$B$13*(A1076-AC1076)</f>
        <v>945.618668179282</v>
      </c>
      <c r="AJ1076" s="10" t="n">
        <v>0</v>
      </c>
      <c r="AK1076" s="8" t="n">
        <f aca="false">IF(AND(B1076&lt;=U1076,NOT(Q1076)),B1076,U1076)*(1-Inputs!$B$12)</f>
        <v>0.827321356931645</v>
      </c>
    </row>
    <row r="1077" customFormat="false" ht="15" hidden="false" customHeight="false" outlineLevel="0" collapsed="false">
      <c r="A1077" s="6" t="n">
        <v>45861</v>
      </c>
      <c r="B1077" s="7" t="n">
        <v>0.822399507742502</v>
      </c>
      <c r="C1077" s="7" t="n">
        <v>0.831998602860719</v>
      </c>
      <c r="D1077" s="7" t="n">
        <v>0.818961685636878</v>
      </c>
      <c r="E1077" s="7" t="n">
        <v>0.829220763424189</v>
      </c>
      <c r="F1077" s="8" t="n">
        <f aca="true">IF(ROW()-2&gt;=Inputs!$B$4,AVERAGE(OFFSET(E1077,1-Inputs!$B$4,0,Inputs!$B$4,1)),"")</f>
        <v>0.832258325345502</v>
      </c>
      <c r="G1077" s="8" t="n">
        <f aca="true">IF(ROW()-2&gt;=Inputs!$B$5,AVERAGE(OFFSET(E1077,1-Inputs!$B$5,0,Inputs!$B$5,1)),"")</f>
        <v>0.843045408317143</v>
      </c>
      <c r="H1077" s="8" t="n">
        <f aca="false">MAX(C1077-D1077,ABS(C1077-E1076),ABS(D1077-E1076))</f>
        <v>0.0130369172238408</v>
      </c>
      <c r="I1077" s="8" t="n">
        <f aca="true">IF(ROW()-2&lt;14,"",IF(ROW()-2=14,AVERAGE(OFFSET(H1077,-13,0,14,1)),(I1076*13+H1077)/14))</f>
        <v>0.0089430667536716</v>
      </c>
      <c r="J1077" s="9" t="b">
        <f aca="false">IF(AND(ISNUMBER(F1077),ISNUMBER(G1077),ISNUMBER(F1076),ISNUMBER(G1076)),AND(F1077&gt;G1077,F1076&lt;=G1076),FALSE())</f>
        <v>0</v>
      </c>
      <c r="K1077" s="9" t="b">
        <f aca="false">IF(AND(ISNUMBER(F1077),ISNUMBER(G1077),ISNUMBER(F1076),ISNUMBER(G1076)),AND(F1077&lt;G1077,F1076&gt;=G1076),FALSE())</f>
        <v>0</v>
      </c>
      <c r="L1077" s="8" t="n">
        <f aca="false">IF(ISNUMBER(I1077),E1077-Inputs!$B$6*I1077,"")</f>
        <v>0.811334629916846</v>
      </c>
      <c r="M1077" s="9" t="b">
        <f aca="false">AND(Y1076&gt;0,Z1076)</f>
        <v>0</v>
      </c>
      <c r="N1077" s="8" t="n">
        <f aca="false">B1077*(1-Inputs!$B$12)</f>
        <v>0.822235027840954</v>
      </c>
      <c r="O1077" s="10" t="n">
        <f aca="false">IF(M1077,Y1076*(N1077-AB1076)-Inputs!$B$9-Y1076*AD1076*Inputs!$B$13*(A1077-AC1076),0)</f>
        <v>0</v>
      </c>
      <c r="P1077" s="10" t="n">
        <f aca="false">X1076+O1077</f>
        <v>945.618668179282</v>
      </c>
      <c r="Q1077" s="9" t="b">
        <f aca="false">AND(IF(M1077,0,Y1076)=0,AA1076,IF(ISNUMBER(AE1076),B1077&gt;AE1076,FALSE()))</f>
        <v>0</v>
      </c>
      <c r="R1077" s="8" t="n">
        <f aca="false">B1077*(1+Inputs!$B$12)</f>
        <v>0.822563987644051</v>
      </c>
      <c r="S1077" s="11" t="n">
        <f aca="false">IF(Q1077,MIN(P1077*Inputs!$B$3/(R1077-AE1076),P1077*Inputs!$B$11/R1077),0)</f>
        <v>0</v>
      </c>
      <c r="T1077" s="11" t="n">
        <f aca="false">IF(Q1077,S1077,IF(M1077,0,Y1076))</f>
        <v>0</v>
      </c>
      <c r="U1077" s="8" t="n">
        <f aca="false">IF(Q1077,AE1076,AF1076)</f>
        <v>0.839979947684787</v>
      </c>
      <c r="V1077" s="9" t="b">
        <f aca="false">AND(T1077&gt;0,D1077&lt;=U1077)</f>
        <v>0</v>
      </c>
      <c r="W1077" s="10" t="n">
        <f aca="false">IF(V1077,T1077*(AK1077-AB1077)-Inputs!$B$9-T1077*AD1077*Inputs!$B$13*(A1077-AC1077),0)</f>
        <v>0</v>
      </c>
      <c r="X1077" s="10" t="n">
        <f aca="false">P1077-IF(Q1077,Inputs!$B$9,0)+W1077</f>
        <v>945.618668179282</v>
      </c>
      <c r="Y1077" s="11" t="n">
        <f aca="false">IF(V1077,0,T1077)</f>
        <v>0</v>
      </c>
      <c r="Z1077" s="9" t="b">
        <f aca="false">AND(Y1077&gt;0,K1077)</f>
        <v>0</v>
      </c>
      <c r="AA1077" s="9" t="b">
        <f aca="false">AND(Y1077=0,J1077,ISNUMBER(L1077))</f>
        <v>0</v>
      </c>
      <c r="AB1077" s="8" t="n">
        <f aca="false">IF(Q1077,R1077,AB1076)</f>
        <v>0.85718419932201</v>
      </c>
      <c r="AC1077" s="12" t="n">
        <f aca="false">IF(Q1077,A1077,AC1076)</f>
        <v>45834</v>
      </c>
      <c r="AD1077" s="8" t="n">
        <f aca="false">IF(Q1077,B1077,AD1076)</f>
        <v>0.857012796762658</v>
      </c>
      <c r="AE1077" s="8" t="str">
        <f aca="false">IF(AA1077,L1077,"")</f>
        <v/>
      </c>
      <c r="AF1077" s="8" t="n">
        <f aca="false">U1077</f>
        <v>0.839979947684787</v>
      </c>
      <c r="AG1077" s="2" t="n">
        <f aca="false">AG1076+IF(Q1077,1,0)</f>
        <v>11</v>
      </c>
      <c r="AH1077" s="2" t="n">
        <f aca="false">AG1076</f>
        <v>11</v>
      </c>
      <c r="AI1077" s="10" t="n">
        <f aca="false">X1077+Y1077*(E1077-AB1077)-Y1077*AD1077*Inputs!$B$13*(A1077-AC1077)</f>
        <v>945.618668179282</v>
      </c>
      <c r="AJ1077" s="10" t="n">
        <v>0</v>
      </c>
      <c r="AK1077" s="8" t="n">
        <f aca="false">IF(AND(B1077&lt;=U1077,NOT(Q1077)),B1077,U1077)*(1-Inputs!$B$12)</f>
        <v>0.822235027840954</v>
      </c>
    </row>
    <row r="1078" customFormat="false" ht="15" hidden="false" customHeight="false" outlineLevel="0" collapsed="false">
      <c r="A1078" s="6" t="n">
        <v>45862</v>
      </c>
      <c r="B1078" s="7" t="n">
        <v>0.829220763424189</v>
      </c>
      <c r="C1078" s="7" t="n">
        <v>0.830680851009467</v>
      </c>
      <c r="D1078" s="7" t="n">
        <v>0.818537578715499</v>
      </c>
      <c r="E1078" s="7" t="n">
        <v>0.819081829667589</v>
      </c>
      <c r="F1078" s="8" t="n">
        <f aca="true">IF(ROW()-2&gt;=Inputs!$B$4,AVERAGE(OFFSET(E1078,1-Inputs!$B$4,0,Inputs!$B$4,1)),"")</f>
        <v>0.831065048571648</v>
      </c>
      <c r="G1078" s="8" t="n">
        <f aca="true">IF(ROW()-2&gt;=Inputs!$B$5,AVERAGE(OFFSET(E1078,1-Inputs!$B$5,0,Inputs!$B$5,1)),"")</f>
        <v>0.842518752387861</v>
      </c>
      <c r="H1078" s="8" t="n">
        <f aca="false">MAX(C1078-D1078,ABS(C1078-E1077),ABS(D1078-E1077))</f>
        <v>0.0121432722939674</v>
      </c>
      <c r="I1078" s="8" t="n">
        <f aca="true">IF(ROW()-2&lt;14,"",IF(ROW()-2=14,AVERAGE(OFFSET(H1078,-13,0,14,1)),(I1077*13+H1078)/14))</f>
        <v>0.00917165286369273</v>
      </c>
      <c r="J1078" s="9" t="b">
        <f aca="false">IF(AND(ISNUMBER(F1078),ISNUMBER(G1078),ISNUMBER(F1077),ISNUMBER(G1077)),AND(F1078&gt;G1078,F1077&lt;=G1077),FALSE())</f>
        <v>0</v>
      </c>
      <c r="K1078" s="9" t="b">
        <f aca="false">IF(AND(ISNUMBER(F1078),ISNUMBER(G1078),ISNUMBER(F1077),ISNUMBER(G1077)),AND(F1078&lt;G1078,F1077&gt;=G1077),FALSE())</f>
        <v>0</v>
      </c>
      <c r="L1078" s="8" t="n">
        <f aca="false">IF(ISNUMBER(I1078),E1078-Inputs!$B$6*I1078,"")</f>
        <v>0.800738523940204</v>
      </c>
      <c r="M1078" s="9" t="b">
        <f aca="false">AND(Y1077&gt;0,Z1077)</f>
        <v>0</v>
      </c>
      <c r="N1078" s="8" t="n">
        <f aca="false">B1078*(1-Inputs!$B$12)</f>
        <v>0.829054919271504</v>
      </c>
      <c r="O1078" s="10" t="n">
        <f aca="false">IF(M1078,Y1077*(N1078-AB1077)-Inputs!$B$9-Y1077*AD1077*Inputs!$B$13*(A1078-AC1077),0)</f>
        <v>0</v>
      </c>
      <c r="P1078" s="10" t="n">
        <f aca="false">X1077+O1078</f>
        <v>945.618668179282</v>
      </c>
      <c r="Q1078" s="9" t="b">
        <f aca="false">AND(IF(M1078,0,Y1077)=0,AA1077,IF(ISNUMBER(AE1077),B1078&gt;AE1077,FALSE()))</f>
        <v>0</v>
      </c>
      <c r="R1078" s="8" t="n">
        <f aca="false">B1078*(1+Inputs!$B$12)</f>
        <v>0.829386607576874</v>
      </c>
      <c r="S1078" s="11" t="n">
        <f aca="false">IF(Q1078,MIN(P1078*Inputs!$B$3/(R1078-AE1077),P1078*Inputs!$B$11/R1078),0)</f>
        <v>0</v>
      </c>
      <c r="T1078" s="11" t="n">
        <f aca="false">IF(Q1078,S1078,IF(M1078,0,Y1077))</f>
        <v>0</v>
      </c>
      <c r="U1078" s="8" t="n">
        <f aca="false">IF(Q1078,AE1077,AF1077)</f>
        <v>0.839979947684787</v>
      </c>
      <c r="V1078" s="9" t="b">
        <f aca="false">AND(T1078&gt;0,D1078&lt;=U1078)</f>
        <v>0</v>
      </c>
      <c r="W1078" s="10" t="n">
        <f aca="false">IF(V1078,T1078*(AK1078-AB1078)-Inputs!$B$9-T1078*AD1078*Inputs!$B$13*(A1078-AC1078),0)</f>
        <v>0</v>
      </c>
      <c r="X1078" s="10" t="n">
        <f aca="false">P1078-IF(Q1078,Inputs!$B$9,0)+W1078</f>
        <v>945.618668179282</v>
      </c>
      <c r="Y1078" s="11" t="n">
        <f aca="false">IF(V1078,0,T1078)</f>
        <v>0</v>
      </c>
      <c r="Z1078" s="9" t="b">
        <f aca="false">AND(Y1078&gt;0,K1078)</f>
        <v>0</v>
      </c>
      <c r="AA1078" s="9" t="b">
        <f aca="false">AND(Y1078=0,J1078,ISNUMBER(L1078))</f>
        <v>0</v>
      </c>
      <c r="AB1078" s="8" t="n">
        <f aca="false">IF(Q1078,R1078,AB1077)</f>
        <v>0.85718419932201</v>
      </c>
      <c r="AC1078" s="12" t="n">
        <f aca="false">IF(Q1078,A1078,AC1077)</f>
        <v>45834</v>
      </c>
      <c r="AD1078" s="8" t="n">
        <f aca="false">IF(Q1078,B1078,AD1077)</f>
        <v>0.857012796762658</v>
      </c>
      <c r="AE1078" s="8" t="str">
        <f aca="false">IF(AA1078,L1078,"")</f>
        <v/>
      </c>
      <c r="AF1078" s="8" t="n">
        <f aca="false">U1078</f>
        <v>0.839979947684787</v>
      </c>
      <c r="AG1078" s="2" t="n">
        <f aca="false">AG1077+IF(Q1078,1,0)</f>
        <v>11</v>
      </c>
      <c r="AH1078" s="2" t="n">
        <f aca="false">AG1077</f>
        <v>11</v>
      </c>
      <c r="AI1078" s="10" t="n">
        <f aca="false">X1078+Y1078*(E1078-AB1078)-Y1078*AD1078*Inputs!$B$13*(A1078-AC1078)</f>
        <v>945.618668179282</v>
      </c>
      <c r="AJ1078" s="10" t="n">
        <v>0</v>
      </c>
      <c r="AK1078" s="8" t="n">
        <f aca="false">IF(AND(B1078&lt;=U1078,NOT(Q1078)),B1078,U1078)*(1-Inputs!$B$12)</f>
        <v>0.829054919271504</v>
      </c>
    </row>
    <row r="1079" customFormat="false" ht="15" hidden="false" customHeight="false" outlineLevel="0" collapsed="false">
      <c r="A1079" s="6" t="n">
        <v>45863</v>
      </c>
      <c r="B1079" s="7" t="n">
        <v>0.819081829667589</v>
      </c>
      <c r="C1079" s="7" t="n">
        <v>0.819919161589379</v>
      </c>
      <c r="D1079" s="7" t="n">
        <v>0.813603586682255</v>
      </c>
      <c r="E1079" s="7" t="n">
        <v>0.815913208544668</v>
      </c>
      <c r="F1079" s="8" t="n">
        <f aca="true">IF(ROW()-2&gt;=Inputs!$B$4,AVERAGE(OFFSET(E1079,1-Inputs!$B$4,0,Inputs!$B$4,1)),"")</f>
        <v>0.829805013332106</v>
      </c>
      <c r="G1079" s="8" t="n">
        <f aca="true">IF(ROW()-2&gt;=Inputs!$B$5,AVERAGE(OFFSET(E1079,1-Inputs!$B$5,0,Inputs!$B$5,1)),"")</f>
        <v>0.841950775962247</v>
      </c>
      <c r="H1079" s="8" t="n">
        <f aca="false">MAX(C1079-D1079,ABS(C1079-E1078),ABS(D1079-E1078))</f>
        <v>0.00631557490712364</v>
      </c>
      <c r="I1079" s="8" t="n">
        <f aca="true">IF(ROW()-2&lt;14,"",IF(ROW()-2=14,AVERAGE(OFFSET(H1079,-13,0,14,1)),(I1078*13+H1079)/14))</f>
        <v>0.00896764729536637</v>
      </c>
      <c r="J1079" s="9" t="b">
        <f aca="false">IF(AND(ISNUMBER(F1079),ISNUMBER(G1079),ISNUMBER(F1078),ISNUMBER(G1078)),AND(F1079&gt;G1079,F1078&lt;=G1078),FALSE())</f>
        <v>0</v>
      </c>
      <c r="K1079" s="9" t="b">
        <f aca="false">IF(AND(ISNUMBER(F1079),ISNUMBER(G1079),ISNUMBER(F1078),ISNUMBER(G1078)),AND(F1079&lt;G1079,F1078&gt;=G1078),FALSE())</f>
        <v>0</v>
      </c>
      <c r="L1079" s="8" t="n">
        <f aca="false">IF(ISNUMBER(I1079),E1079-Inputs!$B$6*I1079,"")</f>
        <v>0.797977913953936</v>
      </c>
      <c r="M1079" s="9" t="b">
        <f aca="false">AND(Y1078&gt;0,Z1078)</f>
        <v>0</v>
      </c>
      <c r="N1079" s="8" t="n">
        <f aca="false">B1079*(1-Inputs!$B$12)</f>
        <v>0.818918013301656</v>
      </c>
      <c r="O1079" s="10" t="n">
        <f aca="false">IF(M1079,Y1078*(N1079-AB1078)-Inputs!$B$9-Y1078*AD1078*Inputs!$B$13*(A1079-AC1078),0)</f>
        <v>0</v>
      </c>
      <c r="P1079" s="10" t="n">
        <f aca="false">X1078+O1079</f>
        <v>945.618668179282</v>
      </c>
      <c r="Q1079" s="9" t="b">
        <f aca="false">AND(IF(M1079,0,Y1078)=0,AA1078,IF(ISNUMBER(AE1078),B1079&gt;AE1078,FALSE()))</f>
        <v>0</v>
      </c>
      <c r="R1079" s="8" t="n">
        <f aca="false">B1079*(1+Inputs!$B$12)</f>
        <v>0.819245646033523</v>
      </c>
      <c r="S1079" s="11" t="n">
        <f aca="false">IF(Q1079,MIN(P1079*Inputs!$B$3/(R1079-AE1078),P1079*Inputs!$B$11/R1079),0)</f>
        <v>0</v>
      </c>
      <c r="T1079" s="11" t="n">
        <f aca="false">IF(Q1079,S1079,IF(M1079,0,Y1078))</f>
        <v>0</v>
      </c>
      <c r="U1079" s="8" t="n">
        <f aca="false">IF(Q1079,AE1078,AF1078)</f>
        <v>0.839979947684787</v>
      </c>
      <c r="V1079" s="9" t="b">
        <f aca="false">AND(T1079&gt;0,D1079&lt;=U1079)</f>
        <v>0</v>
      </c>
      <c r="W1079" s="10" t="n">
        <f aca="false">IF(V1079,T1079*(AK1079-AB1079)-Inputs!$B$9-T1079*AD1079*Inputs!$B$13*(A1079-AC1079),0)</f>
        <v>0</v>
      </c>
      <c r="X1079" s="10" t="n">
        <f aca="false">P1079-IF(Q1079,Inputs!$B$9,0)+W1079</f>
        <v>945.618668179282</v>
      </c>
      <c r="Y1079" s="11" t="n">
        <f aca="false">IF(V1079,0,T1079)</f>
        <v>0</v>
      </c>
      <c r="Z1079" s="9" t="b">
        <f aca="false">AND(Y1079&gt;0,K1079)</f>
        <v>0</v>
      </c>
      <c r="AA1079" s="9" t="b">
        <f aca="false">AND(Y1079=0,J1079,ISNUMBER(L1079))</f>
        <v>0</v>
      </c>
      <c r="AB1079" s="8" t="n">
        <f aca="false">IF(Q1079,R1079,AB1078)</f>
        <v>0.85718419932201</v>
      </c>
      <c r="AC1079" s="12" t="n">
        <f aca="false">IF(Q1079,A1079,AC1078)</f>
        <v>45834</v>
      </c>
      <c r="AD1079" s="8" t="n">
        <f aca="false">IF(Q1079,B1079,AD1078)</f>
        <v>0.857012796762658</v>
      </c>
      <c r="AE1079" s="8" t="str">
        <f aca="false">IF(AA1079,L1079,"")</f>
        <v/>
      </c>
      <c r="AF1079" s="8" t="n">
        <f aca="false">U1079</f>
        <v>0.839979947684787</v>
      </c>
      <c r="AG1079" s="2" t="n">
        <f aca="false">AG1078+IF(Q1079,1,0)</f>
        <v>11</v>
      </c>
      <c r="AH1079" s="2" t="n">
        <f aca="false">AG1078</f>
        <v>11</v>
      </c>
      <c r="AI1079" s="10" t="n">
        <f aca="false">X1079+Y1079*(E1079-AB1079)-Y1079*AD1079*Inputs!$B$13*(A1079-AC1079)</f>
        <v>945.618668179282</v>
      </c>
      <c r="AJ1079" s="10" t="n">
        <v>0</v>
      </c>
      <c r="AK1079" s="8" t="n">
        <f aca="false">IF(AND(B1079&lt;=U1079,NOT(Q1079)),B1079,U1079)*(1-Inputs!$B$12)</f>
        <v>0.818918013301656</v>
      </c>
    </row>
    <row r="1080" customFormat="false" ht="15" hidden="false" customHeight="false" outlineLevel="0" collapsed="false">
      <c r="A1080" s="6" t="n">
        <v>45864</v>
      </c>
      <c r="B1080" s="7" t="n">
        <v>0.815913208544668</v>
      </c>
      <c r="C1080" s="7" t="n">
        <v>0.823485603330555</v>
      </c>
      <c r="D1080" s="7" t="n">
        <v>0.811688523103148</v>
      </c>
      <c r="E1080" s="7" t="n">
        <v>0.820270293614569</v>
      </c>
      <c r="F1080" s="8" t="n">
        <f aca="true">IF(ROW()-2&gt;=Inputs!$B$4,AVERAGE(OFFSET(E1080,1-Inputs!$B$4,0,Inputs!$B$4,1)),"")</f>
        <v>0.829069761029651</v>
      </c>
      <c r="G1080" s="8" t="n">
        <f aca="true">IF(ROW()-2&gt;=Inputs!$B$5,AVERAGE(OFFSET(E1080,1-Inputs!$B$5,0,Inputs!$B$5,1)),"")</f>
        <v>0.841410308849555</v>
      </c>
      <c r="H1080" s="8" t="n">
        <f aca="false">MAX(C1080-D1080,ABS(C1080-E1079),ABS(D1080-E1079))</f>
        <v>0.0117970802274073</v>
      </c>
      <c r="I1080" s="8" t="n">
        <f aca="true">IF(ROW()-2&lt;14,"",IF(ROW()-2=14,AVERAGE(OFFSET(H1080,-13,0,14,1)),(I1079*13+H1080)/14))</f>
        <v>0.00916974964765501</v>
      </c>
      <c r="J1080" s="9" t="b">
        <f aca="false">IF(AND(ISNUMBER(F1080),ISNUMBER(G1080),ISNUMBER(F1079),ISNUMBER(G1079)),AND(F1080&gt;G1080,F1079&lt;=G1079),FALSE())</f>
        <v>0</v>
      </c>
      <c r="K1080" s="9" t="b">
        <f aca="false">IF(AND(ISNUMBER(F1080),ISNUMBER(G1080),ISNUMBER(F1079),ISNUMBER(G1079)),AND(F1080&lt;G1080,F1079&gt;=G1079),FALSE())</f>
        <v>0</v>
      </c>
      <c r="L1080" s="8" t="n">
        <f aca="false">IF(ISNUMBER(I1080),E1080-Inputs!$B$6*I1080,"")</f>
        <v>0.801930794319259</v>
      </c>
      <c r="M1080" s="9" t="b">
        <f aca="false">AND(Y1079&gt;0,Z1079)</f>
        <v>0</v>
      </c>
      <c r="N1080" s="8" t="n">
        <f aca="false">B1080*(1-Inputs!$B$12)</f>
        <v>0.815750025902959</v>
      </c>
      <c r="O1080" s="10" t="n">
        <f aca="false">IF(M1080,Y1079*(N1080-AB1079)-Inputs!$B$9-Y1079*AD1079*Inputs!$B$13*(A1080-AC1079),0)</f>
        <v>0</v>
      </c>
      <c r="P1080" s="10" t="n">
        <f aca="false">X1079+O1080</f>
        <v>945.618668179282</v>
      </c>
      <c r="Q1080" s="9" t="b">
        <f aca="false">AND(IF(M1080,0,Y1079)=0,AA1079,IF(ISNUMBER(AE1079),B1080&gt;AE1079,FALSE()))</f>
        <v>0</v>
      </c>
      <c r="R1080" s="8" t="n">
        <f aca="false">B1080*(1+Inputs!$B$12)</f>
        <v>0.816076391186377</v>
      </c>
      <c r="S1080" s="11" t="n">
        <f aca="false">IF(Q1080,MIN(P1080*Inputs!$B$3/(R1080-AE1079),P1080*Inputs!$B$11/R1080),0)</f>
        <v>0</v>
      </c>
      <c r="T1080" s="11" t="n">
        <f aca="false">IF(Q1080,S1080,IF(M1080,0,Y1079))</f>
        <v>0</v>
      </c>
      <c r="U1080" s="8" t="n">
        <f aca="false">IF(Q1080,AE1079,AF1079)</f>
        <v>0.839979947684787</v>
      </c>
      <c r="V1080" s="9" t="b">
        <f aca="false">AND(T1080&gt;0,D1080&lt;=U1080)</f>
        <v>0</v>
      </c>
      <c r="W1080" s="10" t="n">
        <f aca="false">IF(V1080,T1080*(AK1080-AB1080)-Inputs!$B$9-T1080*AD1080*Inputs!$B$13*(A1080-AC1080),0)</f>
        <v>0</v>
      </c>
      <c r="X1080" s="10" t="n">
        <f aca="false">P1080-IF(Q1080,Inputs!$B$9,0)+W1080</f>
        <v>945.618668179282</v>
      </c>
      <c r="Y1080" s="11" t="n">
        <f aca="false">IF(V1080,0,T1080)</f>
        <v>0</v>
      </c>
      <c r="Z1080" s="9" t="b">
        <f aca="false">AND(Y1080&gt;0,K1080)</f>
        <v>0</v>
      </c>
      <c r="AA1080" s="9" t="b">
        <f aca="false">AND(Y1080=0,J1080,ISNUMBER(L1080))</f>
        <v>0</v>
      </c>
      <c r="AB1080" s="8" t="n">
        <f aca="false">IF(Q1080,R1080,AB1079)</f>
        <v>0.85718419932201</v>
      </c>
      <c r="AC1080" s="12" t="n">
        <f aca="false">IF(Q1080,A1080,AC1079)</f>
        <v>45834</v>
      </c>
      <c r="AD1080" s="8" t="n">
        <f aca="false">IF(Q1080,B1080,AD1079)</f>
        <v>0.857012796762658</v>
      </c>
      <c r="AE1080" s="8" t="str">
        <f aca="false">IF(AA1080,L1080,"")</f>
        <v/>
      </c>
      <c r="AF1080" s="8" t="n">
        <f aca="false">U1080</f>
        <v>0.839979947684787</v>
      </c>
      <c r="AG1080" s="2" t="n">
        <f aca="false">AG1079+IF(Q1080,1,0)</f>
        <v>11</v>
      </c>
      <c r="AH1080" s="2" t="n">
        <f aca="false">AG1079</f>
        <v>11</v>
      </c>
      <c r="AI1080" s="10" t="n">
        <f aca="false">X1080+Y1080*(E1080-AB1080)-Y1080*AD1080*Inputs!$B$13*(A1080-AC1080)</f>
        <v>945.618668179282</v>
      </c>
      <c r="AJ1080" s="10" t="n">
        <v>0</v>
      </c>
      <c r="AK1080" s="8" t="n">
        <f aca="false">IF(AND(B1080&lt;=U1080,NOT(Q1080)),B1080,U1080)*(1-Inputs!$B$12)</f>
        <v>0.815750025902959</v>
      </c>
    </row>
    <row r="1081" customFormat="false" ht="15" hidden="false" customHeight="false" outlineLevel="0" collapsed="false">
      <c r="A1081" s="6" t="n">
        <v>45865</v>
      </c>
      <c r="B1081" s="7" t="n">
        <v>0.820270293614569</v>
      </c>
      <c r="C1081" s="7" t="n">
        <v>0.825046915895501</v>
      </c>
      <c r="D1081" s="7" t="n">
        <v>0.812534631471541</v>
      </c>
      <c r="E1081" s="7" t="n">
        <v>0.81563401454691</v>
      </c>
      <c r="F1081" s="8" t="n">
        <f aca="true">IF(ROW()-2&gt;=Inputs!$B$4,AVERAGE(OFFSET(E1081,1-Inputs!$B$4,0,Inputs!$B$4,1)),"")</f>
        <v>0.828196928143617</v>
      </c>
      <c r="G1081" s="8" t="n">
        <f aca="true">IF(ROW()-2&gt;=Inputs!$B$5,AVERAGE(OFFSET(E1081,1-Inputs!$B$5,0,Inputs!$B$5,1)),"")</f>
        <v>0.840790252584975</v>
      </c>
      <c r="H1081" s="8" t="n">
        <f aca="false">MAX(C1081-D1081,ABS(C1081-E1080),ABS(D1081-E1080))</f>
        <v>0.0125122844239596</v>
      </c>
      <c r="I1081" s="8" t="n">
        <f aca="true">IF(ROW()-2&lt;14,"",IF(ROW()-2=14,AVERAGE(OFFSET(H1081,-13,0,14,1)),(I1080*13+H1081)/14))</f>
        <v>0.00940850213167676</v>
      </c>
      <c r="J1081" s="9" t="b">
        <f aca="false">IF(AND(ISNUMBER(F1081),ISNUMBER(G1081),ISNUMBER(F1080),ISNUMBER(G1080)),AND(F1081&gt;G1081,F1080&lt;=G1080),FALSE())</f>
        <v>0</v>
      </c>
      <c r="K1081" s="9" t="b">
        <f aca="false">IF(AND(ISNUMBER(F1081),ISNUMBER(G1081),ISNUMBER(F1080),ISNUMBER(G1080)),AND(F1081&lt;G1081,F1080&gt;=G1080),FALSE())</f>
        <v>0</v>
      </c>
      <c r="L1081" s="8" t="n">
        <f aca="false">IF(ISNUMBER(I1081),E1081-Inputs!$B$6*I1081,"")</f>
        <v>0.796817010283556</v>
      </c>
      <c r="M1081" s="9" t="b">
        <f aca="false">AND(Y1080&gt;0,Z1080)</f>
        <v>0</v>
      </c>
      <c r="N1081" s="8" t="n">
        <f aca="false">B1081*(1-Inputs!$B$12)</f>
        <v>0.820106239555846</v>
      </c>
      <c r="O1081" s="10" t="n">
        <f aca="false">IF(M1081,Y1080*(N1081-AB1080)-Inputs!$B$9-Y1080*AD1080*Inputs!$B$13*(A1081-AC1080),0)</f>
        <v>0</v>
      </c>
      <c r="P1081" s="10" t="n">
        <f aca="false">X1080+O1081</f>
        <v>945.618668179282</v>
      </c>
      <c r="Q1081" s="9" t="b">
        <f aca="false">AND(IF(M1081,0,Y1080)=0,AA1080,IF(ISNUMBER(AE1080),B1081&gt;AE1080,FALSE()))</f>
        <v>0</v>
      </c>
      <c r="R1081" s="8" t="n">
        <f aca="false">B1081*(1+Inputs!$B$12)</f>
        <v>0.820434347673292</v>
      </c>
      <c r="S1081" s="11" t="n">
        <f aca="false">IF(Q1081,MIN(P1081*Inputs!$B$3/(R1081-AE1080),P1081*Inputs!$B$11/R1081),0)</f>
        <v>0</v>
      </c>
      <c r="T1081" s="11" t="n">
        <f aca="false">IF(Q1081,S1081,IF(M1081,0,Y1080))</f>
        <v>0</v>
      </c>
      <c r="U1081" s="8" t="n">
        <f aca="false">IF(Q1081,AE1080,AF1080)</f>
        <v>0.839979947684787</v>
      </c>
      <c r="V1081" s="9" t="b">
        <f aca="false">AND(T1081&gt;0,D1081&lt;=U1081)</f>
        <v>0</v>
      </c>
      <c r="W1081" s="10" t="n">
        <f aca="false">IF(V1081,T1081*(AK1081-AB1081)-Inputs!$B$9-T1081*AD1081*Inputs!$B$13*(A1081-AC1081),0)</f>
        <v>0</v>
      </c>
      <c r="X1081" s="10" t="n">
        <f aca="false">P1081-IF(Q1081,Inputs!$B$9,0)+W1081</f>
        <v>945.618668179282</v>
      </c>
      <c r="Y1081" s="11" t="n">
        <f aca="false">IF(V1081,0,T1081)</f>
        <v>0</v>
      </c>
      <c r="Z1081" s="9" t="b">
        <f aca="false">AND(Y1081&gt;0,K1081)</f>
        <v>0</v>
      </c>
      <c r="AA1081" s="9" t="b">
        <f aca="false">AND(Y1081=0,J1081,ISNUMBER(L1081))</f>
        <v>0</v>
      </c>
      <c r="AB1081" s="8" t="n">
        <f aca="false">IF(Q1081,R1081,AB1080)</f>
        <v>0.85718419932201</v>
      </c>
      <c r="AC1081" s="12" t="n">
        <f aca="false">IF(Q1081,A1081,AC1080)</f>
        <v>45834</v>
      </c>
      <c r="AD1081" s="8" t="n">
        <f aca="false">IF(Q1081,B1081,AD1080)</f>
        <v>0.857012796762658</v>
      </c>
      <c r="AE1081" s="8" t="str">
        <f aca="false">IF(AA1081,L1081,"")</f>
        <v/>
      </c>
      <c r="AF1081" s="8" t="n">
        <f aca="false">U1081</f>
        <v>0.839979947684787</v>
      </c>
      <c r="AG1081" s="2" t="n">
        <f aca="false">AG1080+IF(Q1081,1,0)</f>
        <v>11</v>
      </c>
      <c r="AH1081" s="2" t="n">
        <f aca="false">AG1080</f>
        <v>11</v>
      </c>
      <c r="AI1081" s="10" t="n">
        <f aca="false">X1081+Y1081*(E1081-AB1081)-Y1081*AD1081*Inputs!$B$13*(A1081-AC1081)</f>
        <v>945.618668179282</v>
      </c>
      <c r="AJ1081" s="10" t="n">
        <v>0</v>
      </c>
      <c r="AK1081" s="8" t="n">
        <f aca="false">IF(AND(B1081&lt;=U1081,NOT(Q1081)),B1081,U1081)*(1-Inputs!$B$12)</f>
        <v>0.820106239555846</v>
      </c>
    </row>
    <row r="1082" customFormat="false" ht="15" hidden="false" customHeight="false" outlineLevel="0" collapsed="false">
      <c r="A1082" s="6" t="n">
        <v>45866</v>
      </c>
      <c r="B1082" s="7" t="n">
        <v>0.81563401454691</v>
      </c>
      <c r="C1082" s="7" t="n">
        <v>0.818810400065581</v>
      </c>
      <c r="D1082" s="7" t="n">
        <v>0.803512867597223</v>
      </c>
      <c r="E1082" s="7" t="n">
        <v>0.809700119458499</v>
      </c>
      <c r="F1082" s="8" t="n">
        <f aca="true">IF(ROW()-2&gt;=Inputs!$B$4,AVERAGE(OFFSET(E1082,1-Inputs!$B$4,0,Inputs!$B$4,1)),"")</f>
        <v>0.827375075944104</v>
      </c>
      <c r="G1082" s="8" t="n">
        <f aca="true">IF(ROW()-2&gt;=Inputs!$B$5,AVERAGE(OFFSET(E1082,1-Inputs!$B$5,0,Inputs!$B$5,1)),"")</f>
        <v>0.83984005857401</v>
      </c>
      <c r="H1082" s="8" t="n">
        <f aca="false">MAX(C1082-D1082,ABS(C1082-E1081),ABS(D1082-E1081))</f>
        <v>0.0152975324683577</v>
      </c>
      <c r="I1082" s="8" t="n">
        <f aca="true">IF(ROW()-2&lt;14,"",IF(ROW()-2=14,AVERAGE(OFFSET(H1082,-13,0,14,1)),(I1081*13+H1082)/14))</f>
        <v>0.0098291471557254</v>
      </c>
      <c r="J1082" s="9" t="b">
        <f aca="false">IF(AND(ISNUMBER(F1082),ISNUMBER(G1082),ISNUMBER(F1081),ISNUMBER(G1081)),AND(F1082&gt;G1082,F1081&lt;=G1081),FALSE())</f>
        <v>0</v>
      </c>
      <c r="K1082" s="9" t="b">
        <f aca="false">IF(AND(ISNUMBER(F1082),ISNUMBER(G1082),ISNUMBER(F1081),ISNUMBER(G1081)),AND(F1082&lt;G1082,F1081&gt;=G1081),FALSE())</f>
        <v>0</v>
      </c>
      <c r="L1082" s="8" t="n">
        <f aca="false">IF(ISNUMBER(I1082),E1082-Inputs!$B$6*I1082,"")</f>
        <v>0.790041825147048</v>
      </c>
      <c r="M1082" s="9" t="b">
        <f aca="false">AND(Y1081&gt;0,Z1081)</f>
        <v>0</v>
      </c>
      <c r="N1082" s="8" t="n">
        <f aca="false">B1082*(1-Inputs!$B$12)</f>
        <v>0.815470887744</v>
      </c>
      <c r="O1082" s="10" t="n">
        <f aca="false">IF(M1082,Y1081*(N1082-AB1081)-Inputs!$B$9-Y1081*AD1081*Inputs!$B$13*(A1082-AC1081),0)</f>
        <v>0</v>
      </c>
      <c r="P1082" s="10" t="n">
        <f aca="false">X1081+O1082</f>
        <v>945.618668179282</v>
      </c>
      <c r="Q1082" s="9" t="b">
        <f aca="false">AND(IF(M1082,0,Y1081)=0,AA1081,IF(ISNUMBER(AE1081),B1082&gt;AE1081,FALSE()))</f>
        <v>0</v>
      </c>
      <c r="R1082" s="8" t="n">
        <f aca="false">B1082*(1+Inputs!$B$12)</f>
        <v>0.815797141349819</v>
      </c>
      <c r="S1082" s="11" t="n">
        <f aca="false">IF(Q1082,MIN(P1082*Inputs!$B$3/(R1082-AE1081),P1082*Inputs!$B$11/R1082),0)</f>
        <v>0</v>
      </c>
      <c r="T1082" s="11" t="n">
        <f aca="false">IF(Q1082,S1082,IF(M1082,0,Y1081))</f>
        <v>0</v>
      </c>
      <c r="U1082" s="8" t="n">
        <f aca="false">IF(Q1082,AE1081,AF1081)</f>
        <v>0.839979947684787</v>
      </c>
      <c r="V1082" s="9" t="b">
        <f aca="false">AND(T1082&gt;0,D1082&lt;=U1082)</f>
        <v>0</v>
      </c>
      <c r="W1082" s="10" t="n">
        <f aca="false">IF(V1082,T1082*(AK1082-AB1082)-Inputs!$B$9-T1082*AD1082*Inputs!$B$13*(A1082-AC1082),0)</f>
        <v>0</v>
      </c>
      <c r="X1082" s="10" t="n">
        <f aca="false">P1082-IF(Q1082,Inputs!$B$9,0)+W1082</f>
        <v>945.618668179282</v>
      </c>
      <c r="Y1082" s="11" t="n">
        <f aca="false">IF(V1082,0,T1082)</f>
        <v>0</v>
      </c>
      <c r="Z1082" s="9" t="b">
        <f aca="false">AND(Y1082&gt;0,K1082)</f>
        <v>0</v>
      </c>
      <c r="AA1082" s="9" t="b">
        <f aca="false">AND(Y1082=0,J1082,ISNUMBER(L1082))</f>
        <v>0</v>
      </c>
      <c r="AB1082" s="8" t="n">
        <f aca="false">IF(Q1082,R1082,AB1081)</f>
        <v>0.85718419932201</v>
      </c>
      <c r="AC1082" s="12" t="n">
        <f aca="false">IF(Q1082,A1082,AC1081)</f>
        <v>45834</v>
      </c>
      <c r="AD1082" s="8" t="n">
        <f aca="false">IF(Q1082,B1082,AD1081)</f>
        <v>0.857012796762658</v>
      </c>
      <c r="AE1082" s="8" t="str">
        <f aca="false">IF(AA1082,L1082,"")</f>
        <v/>
      </c>
      <c r="AF1082" s="8" t="n">
        <f aca="false">U1082</f>
        <v>0.839979947684787</v>
      </c>
      <c r="AG1082" s="2" t="n">
        <f aca="false">AG1081+IF(Q1082,1,0)</f>
        <v>11</v>
      </c>
      <c r="AH1082" s="2" t="n">
        <f aca="false">AG1081</f>
        <v>11</v>
      </c>
      <c r="AI1082" s="10" t="n">
        <f aca="false">X1082+Y1082*(E1082-AB1082)-Y1082*AD1082*Inputs!$B$13*(A1082-AC1082)</f>
        <v>945.618668179282</v>
      </c>
      <c r="AJ1082" s="10" t="n">
        <v>0</v>
      </c>
      <c r="AK1082" s="8" t="n">
        <f aca="false">IF(AND(B1082&lt;=U1082,NOT(Q1082)),B1082,U1082)*(1-Inputs!$B$12)</f>
        <v>0.815470887744</v>
      </c>
    </row>
    <row r="1083" customFormat="false" ht="15" hidden="false" customHeight="false" outlineLevel="0" collapsed="false">
      <c r="A1083" s="6" t="n">
        <v>45867</v>
      </c>
      <c r="B1083" s="7" t="n">
        <v>0.809700119458499</v>
      </c>
      <c r="C1083" s="7" t="n">
        <v>0.816679422852112</v>
      </c>
      <c r="D1083" s="7" t="n">
        <v>0.808778820425527</v>
      </c>
      <c r="E1083" s="7" t="n">
        <v>0.814755621630208</v>
      </c>
      <c r="F1083" s="8" t="n">
        <f aca="true">IF(ROW()-2&gt;=Inputs!$B$4,AVERAGE(OFFSET(E1083,1-Inputs!$B$4,0,Inputs!$B$4,1)),"")</f>
        <v>0.826445751047238</v>
      </c>
      <c r="G1083" s="8" t="n">
        <f aca="true">IF(ROW()-2&gt;=Inputs!$B$5,AVERAGE(OFFSET(E1083,1-Inputs!$B$5,0,Inputs!$B$5,1)),"")</f>
        <v>0.839103725587234</v>
      </c>
      <c r="H1083" s="8" t="n">
        <f aca="false">MAX(C1083-D1083,ABS(C1083-E1082),ABS(D1083-E1082))</f>
        <v>0.00790060242658452</v>
      </c>
      <c r="I1083" s="8" t="n">
        <f aca="true">IF(ROW()-2&lt;14,"",IF(ROW()-2=14,AVERAGE(OFFSET(H1083,-13,0,14,1)),(I1082*13+H1083)/14))</f>
        <v>0.00969139396078677</v>
      </c>
      <c r="J1083" s="9" t="b">
        <f aca="false">IF(AND(ISNUMBER(F1083),ISNUMBER(G1083),ISNUMBER(F1082),ISNUMBER(G1082)),AND(F1083&gt;G1083,F1082&lt;=G1082),FALSE())</f>
        <v>0</v>
      </c>
      <c r="K1083" s="9" t="b">
        <f aca="false">IF(AND(ISNUMBER(F1083),ISNUMBER(G1083),ISNUMBER(F1082),ISNUMBER(G1082)),AND(F1083&lt;G1083,F1082&gt;=G1082),FALSE())</f>
        <v>0</v>
      </c>
      <c r="L1083" s="8" t="n">
        <f aca="false">IF(ISNUMBER(I1083),E1083-Inputs!$B$6*I1083,"")</f>
        <v>0.795372833708635</v>
      </c>
      <c r="M1083" s="9" t="b">
        <f aca="false">AND(Y1082&gt;0,Z1082)</f>
        <v>0</v>
      </c>
      <c r="N1083" s="8" t="n">
        <f aca="false">B1083*(1-Inputs!$B$12)</f>
        <v>0.809538179434607</v>
      </c>
      <c r="O1083" s="10" t="n">
        <f aca="false">IF(M1083,Y1082*(N1083-AB1082)-Inputs!$B$9-Y1082*AD1082*Inputs!$B$13*(A1083-AC1082),0)</f>
        <v>0</v>
      </c>
      <c r="P1083" s="10" t="n">
        <f aca="false">X1082+O1083</f>
        <v>945.618668179282</v>
      </c>
      <c r="Q1083" s="9" t="b">
        <f aca="false">AND(IF(M1083,0,Y1082)=0,AA1082,IF(ISNUMBER(AE1082),B1083&gt;AE1082,FALSE()))</f>
        <v>0</v>
      </c>
      <c r="R1083" s="8" t="n">
        <f aca="false">B1083*(1+Inputs!$B$12)</f>
        <v>0.809862059482391</v>
      </c>
      <c r="S1083" s="11" t="n">
        <f aca="false">IF(Q1083,MIN(P1083*Inputs!$B$3/(R1083-AE1082),P1083*Inputs!$B$11/R1083),0)</f>
        <v>0</v>
      </c>
      <c r="T1083" s="11" t="n">
        <f aca="false">IF(Q1083,S1083,IF(M1083,0,Y1082))</f>
        <v>0</v>
      </c>
      <c r="U1083" s="8" t="n">
        <f aca="false">IF(Q1083,AE1082,AF1082)</f>
        <v>0.839979947684787</v>
      </c>
      <c r="V1083" s="9" t="b">
        <f aca="false">AND(T1083&gt;0,D1083&lt;=U1083)</f>
        <v>0</v>
      </c>
      <c r="W1083" s="10" t="n">
        <f aca="false">IF(V1083,T1083*(AK1083-AB1083)-Inputs!$B$9-T1083*AD1083*Inputs!$B$13*(A1083-AC1083),0)</f>
        <v>0</v>
      </c>
      <c r="X1083" s="10" t="n">
        <f aca="false">P1083-IF(Q1083,Inputs!$B$9,0)+W1083</f>
        <v>945.618668179282</v>
      </c>
      <c r="Y1083" s="11" t="n">
        <f aca="false">IF(V1083,0,T1083)</f>
        <v>0</v>
      </c>
      <c r="Z1083" s="9" t="b">
        <f aca="false">AND(Y1083&gt;0,K1083)</f>
        <v>0</v>
      </c>
      <c r="AA1083" s="9" t="b">
        <f aca="false">AND(Y1083=0,J1083,ISNUMBER(L1083))</f>
        <v>0</v>
      </c>
      <c r="AB1083" s="8" t="n">
        <f aca="false">IF(Q1083,R1083,AB1082)</f>
        <v>0.85718419932201</v>
      </c>
      <c r="AC1083" s="12" t="n">
        <f aca="false">IF(Q1083,A1083,AC1082)</f>
        <v>45834</v>
      </c>
      <c r="AD1083" s="8" t="n">
        <f aca="false">IF(Q1083,B1083,AD1082)</f>
        <v>0.857012796762658</v>
      </c>
      <c r="AE1083" s="8" t="str">
        <f aca="false">IF(AA1083,L1083,"")</f>
        <v/>
      </c>
      <c r="AF1083" s="8" t="n">
        <f aca="false">U1083</f>
        <v>0.839979947684787</v>
      </c>
      <c r="AG1083" s="2" t="n">
        <f aca="false">AG1082+IF(Q1083,1,0)</f>
        <v>11</v>
      </c>
      <c r="AH1083" s="2" t="n">
        <f aca="false">AG1082</f>
        <v>11</v>
      </c>
      <c r="AI1083" s="10" t="n">
        <f aca="false">X1083+Y1083*(E1083-AB1083)-Y1083*AD1083*Inputs!$B$13*(A1083-AC1083)</f>
        <v>945.618668179282</v>
      </c>
      <c r="AJ1083" s="10" t="n">
        <v>0</v>
      </c>
      <c r="AK1083" s="8" t="n">
        <f aca="false">IF(AND(B1083&lt;=U1083,NOT(Q1083)),B1083,U1083)*(1-Inputs!$B$12)</f>
        <v>0.809538179434607</v>
      </c>
    </row>
    <row r="1084" customFormat="false" ht="15" hidden="false" customHeight="false" outlineLevel="0" collapsed="false">
      <c r="A1084" s="6" t="n">
        <v>45868</v>
      </c>
      <c r="B1084" s="7" t="n">
        <v>0.814755621630208</v>
      </c>
      <c r="C1084" s="7" t="n">
        <v>0.815371315545041</v>
      </c>
      <c r="D1084" s="7" t="n">
        <v>0.812390971483828</v>
      </c>
      <c r="E1084" s="7" t="n">
        <v>0.812497565367031</v>
      </c>
      <c r="F1084" s="8" t="n">
        <f aca="true">IF(ROW()-2&gt;=Inputs!$B$4,AVERAGE(OFFSET(E1084,1-Inputs!$B$4,0,Inputs!$B$4,1)),"")</f>
        <v>0.824969932891012</v>
      </c>
      <c r="G1084" s="8" t="n">
        <f aca="true">IF(ROW()-2&gt;=Inputs!$B$5,AVERAGE(OFFSET(E1084,1-Inputs!$B$5,0,Inputs!$B$5,1)),"")</f>
        <v>0.838287074345067</v>
      </c>
      <c r="H1084" s="8" t="n">
        <f aca="false">MAX(C1084-D1084,ABS(C1084-E1083),ABS(D1084-E1083))</f>
        <v>0.0029803440612125</v>
      </c>
      <c r="I1084" s="8" t="n">
        <f aca="true">IF(ROW()-2&lt;14,"",IF(ROW()-2=14,AVERAGE(OFFSET(H1084,-13,0,14,1)),(I1083*13+H1084)/14))</f>
        <v>0.00921203325367432</v>
      </c>
      <c r="J1084" s="9" t="b">
        <f aca="false">IF(AND(ISNUMBER(F1084),ISNUMBER(G1084),ISNUMBER(F1083),ISNUMBER(G1083)),AND(F1084&gt;G1084,F1083&lt;=G1083),FALSE())</f>
        <v>0</v>
      </c>
      <c r="K1084" s="9" t="b">
        <f aca="false">IF(AND(ISNUMBER(F1084),ISNUMBER(G1084),ISNUMBER(F1083),ISNUMBER(G1083)),AND(F1084&lt;G1084,F1083&gt;=G1083),FALSE())</f>
        <v>0</v>
      </c>
      <c r="L1084" s="8" t="n">
        <f aca="false">IF(ISNUMBER(I1084),E1084-Inputs!$B$6*I1084,"")</f>
        <v>0.794073498859682</v>
      </c>
      <c r="M1084" s="9" t="b">
        <f aca="false">AND(Y1083&gt;0,Z1083)</f>
        <v>0</v>
      </c>
      <c r="N1084" s="8" t="n">
        <f aca="false">B1084*(1-Inputs!$B$12)</f>
        <v>0.814592670505882</v>
      </c>
      <c r="O1084" s="10" t="n">
        <f aca="false">IF(M1084,Y1083*(N1084-AB1083)-Inputs!$B$9-Y1083*AD1083*Inputs!$B$13*(A1084-AC1083),0)</f>
        <v>0</v>
      </c>
      <c r="P1084" s="10" t="n">
        <f aca="false">X1083+O1084</f>
        <v>945.618668179282</v>
      </c>
      <c r="Q1084" s="9" t="b">
        <f aca="false">AND(IF(M1084,0,Y1083)=0,AA1083,IF(ISNUMBER(AE1083),B1084&gt;AE1083,FALSE()))</f>
        <v>0</v>
      </c>
      <c r="R1084" s="8" t="n">
        <f aca="false">B1084*(1+Inputs!$B$12)</f>
        <v>0.814918572754534</v>
      </c>
      <c r="S1084" s="11" t="n">
        <f aca="false">IF(Q1084,MIN(P1084*Inputs!$B$3/(R1084-AE1083),P1084*Inputs!$B$11/R1084),0)</f>
        <v>0</v>
      </c>
      <c r="T1084" s="11" t="n">
        <f aca="false">IF(Q1084,S1084,IF(M1084,0,Y1083))</f>
        <v>0</v>
      </c>
      <c r="U1084" s="8" t="n">
        <f aca="false">IF(Q1084,AE1083,AF1083)</f>
        <v>0.839979947684787</v>
      </c>
      <c r="V1084" s="9" t="b">
        <f aca="false">AND(T1084&gt;0,D1084&lt;=U1084)</f>
        <v>0</v>
      </c>
      <c r="W1084" s="10" t="n">
        <f aca="false">IF(V1084,T1084*(AK1084-AB1084)-Inputs!$B$9-T1084*AD1084*Inputs!$B$13*(A1084-AC1084),0)</f>
        <v>0</v>
      </c>
      <c r="X1084" s="10" t="n">
        <f aca="false">P1084-IF(Q1084,Inputs!$B$9,0)+W1084</f>
        <v>945.618668179282</v>
      </c>
      <c r="Y1084" s="11" t="n">
        <f aca="false">IF(V1084,0,T1084)</f>
        <v>0</v>
      </c>
      <c r="Z1084" s="9" t="b">
        <f aca="false">AND(Y1084&gt;0,K1084)</f>
        <v>0</v>
      </c>
      <c r="AA1084" s="9" t="b">
        <f aca="false">AND(Y1084=0,J1084,ISNUMBER(L1084))</f>
        <v>0</v>
      </c>
      <c r="AB1084" s="8" t="n">
        <f aca="false">IF(Q1084,R1084,AB1083)</f>
        <v>0.85718419932201</v>
      </c>
      <c r="AC1084" s="12" t="n">
        <f aca="false">IF(Q1084,A1084,AC1083)</f>
        <v>45834</v>
      </c>
      <c r="AD1084" s="8" t="n">
        <f aca="false">IF(Q1084,B1084,AD1083)</f>
        <v>0.857012796762658</v>
      </c>
      <c r="AE1084" s="8" t="str">
        <f aca="false">IF(AA1084,L1084,"")</f>
        <v/>
      </c>
      <c r="AF1084" s="8" t="n">
        <f aca="false">U1084</f>
        <v>0.839979947684787</v>
      </c>
      <c r="AG1084" s="2" t="n">
        <f aca="false">AG1083+IF(Q1084,1,0)</f>
        <v>11</v>
      </c>
      <c r="AH1084" s="2" t="n">
        <f aca="false">AG1083</f>
        <v>11</v>
      </c>
      <c r="AI1084" s="10" t="n">
        <f aca="false">X1084+Y1084*(E1084-AB1084)-Y1084*AD1084*Inputs!$B$13*(A1084-AC1084)</f>
        <v>945.618668179282</v>
      </c>
      <c r="AJ1084" s="10" t="n">
        <v>0</v>
      </c>
      <c r="AK1084" s="8" t="n">
        <f aca="false">IF(AND(B1084&lt;=U1084,NOT(Q1084)),B1084,U1084)*(1-Inputs!$B$12)</f>
        <v>0.814592670505882</v>
      </c>
    </row>
    <row r="1085" customFormat="false" ht="15" hidden="false" customHeight="false" outlineLevel="0" collapsed="false">
      <c r="A1085" s="6" t="n">
        <v>45869</v>
      </c>
      <c r="B1085" s="7" t="n">
        <v>0.812497565367031</v>
      </c>
      <c r="C1085" s="7" t="n">
        <v>0.8220738643565</v>
      </c>
      <c r="D1085" s="7" t="n">
        <v>0.812426632963641</v>
      </c>
      <c r="E1085" s="7" t="n">
        <v>0.821516007943414</v>
      </c>
      <c r="F1085" s="8" t="n">
        <f aca="true">IF(ROW()-2&gt;=Inputs!$B$4,AVERAGE(OFFSET(E1085,1-Inputs!$B$4,0,Inputs!$B$4,1)),"")</f>
        <v>0.824073879855376</v>
      </c>
      <c r="G1085" s="8" t="n">
        <f aca="true">IF(ROW()-2&gt;=Inputs!$B$5,AVERAGE(OFFSET(E1085,1-Inputs!$B$5,0,Inputs!$B$5,1)),"")</f>
        <v>0.837703019763404</v>
      </c>
      <c r="H1085" s="8" t="n">
        <f aca="false">MAX(C1085-D1085,ABS(C1085-E1084),ABS(D1085-E1084))</f>
        <v>0.00964723139285972</v>
      </c>
      <c r="I1085" s="8" t="n">
        <f aca="true">IF(ROW()-2&lt;14,"",IF(ROW()-2=14,AVERAGE(OFFSET(H1085,-13,0,14,1)),(I1084*13+H1085)/14))</f>
        <v>0.00924311883504471</v>
      </c>
      <c r="J1085" s="9" t="b">
        <f aca="false">IF(AND(ISNUMBER(F1085),ISNUMBER(G1085),ISNUMBER(F1084),ISNUMBER(G1084)),AND(F1085&gt;G1085,F1084&lt;=G1084),FALSE())</f>
        <v>0</v>
      </c>
      <c r="K1085" s="9" t="b">
        <f aca="false">IF(AND(ISNUMBER(F1085),ISNUMBER(G1085),ISNUMBER(F1084),ISNUMBER(G1084)),AND(F1085&lt;G1085,F1084&gt;=G1084),FALSE())</f>
        <v>0</v>
      </c>
      <c r="L1085" s="8" t="n">
        <f aca="false">IF(ISNUMBER(I1085),E1085-Inputs!$B$6*I1085,"")</f>
        <v>0.803029770273324</v>
      </c>
      <c r="M1085" s="9" t="b">
        <f aca="false">AND(Y1084&gt;0,Z1084)</f>
        <v>0</v>
      </c>
      <c r="N1085" s="8" t="n">
        <f aca="false">B1085*(1-Inputs!$B$12)</f>
        <v>0.812335065853958</v>
      </c>
      <c r="O1085" s="10" t="n">
        <f aca="false">IF(M1085,Y1084*(N1085-AB1084)-Inputs!$B$9-Y1084*AD1084*Inputs!$B$13*(A1085-AC1084),0)</f>
        <v>0</v>
      </c>
      <c r="P1085" s="10" t="n">
        <f aca="false">X1084+O1085</f>
        <v>945.618668179282</v>
      </c>
      <c r="Q1085" s="9" t="b">
        <f aca="false">AND(IF(M1085,0,Y1084)=0,AA1084,IF(ISNUMBER(AE1084),B1085&gt;AE1084,FALSE()))</f>
        <v>0</v>
      </c>
      <c r="R1085" s="8" t="n">
        <f aca="false">B1085*(1+Inputs!$B$12)</f>
        <v>0.812660064880104</v>
      </c>
      <c r="S1085" s="11" t="n">
        <f aca="false">IF(Q1085,MIN(P1085*Inputs!$B$3/(R1085-AE1084),P1085*Inputs!$B$11/R1085),0)</f>
        <v>0</v>
      </c>
      <c r="T1085" s="11" t="n">
        <f aca="false">IF(Q1085,S1085,IF(M1085,0,Y1084))</f>
        <v>0</v>
      </c>
      <c r="U1085" s="8" t="n">
        <f aca="false">IF(Q1085,AE1084,AF1084)</f>
        <v>0.839979947684787</v>
      </c>
      <c r="V1085" s="9" t="b">
        <f aca="false">AND(T1085&gt;0,D1085&lt;=U1085)</f>
        <v>0</v>
      </c>
      <c r="W1085" s="10" t="n">
        <f aca="false">IF(V1085,T1085*(AK1085-AB1085)-Inputs!$B$9-T1085*AD1085*Inputs!$B$13*(A1085-AC1085),0)</f>
        <v>0</v>
      </c>
      <c r="X1085" s="10" t="n">
        <f aca="false">P1085-IF(Q1085,Inputs!$B$9,0)+W1085</f>
        <v>945.618668179282</v>
      </c>
      <c r="Y1085" s="11" t="n">
        <f aca="false">IF(V1085,0,T1085)</f>
        <v>0</v>
      </c>
      <c r="Z1085" s="9" t="b">
        <f aca="false">AND(Y1085&gt;0,K1085)</f>
        <v>0</v>
      </c>
      <c r="AA1085" s="9" t="b">
        <f aca="false">AND(Y1085=0,J1085,ISNUMBER(L1085))</f>
        <v>0</v>
      </c>
      <c r="AB1085" s="8" t="n">
        <f aca="false">IF(Q1085,R1085,AB1084)</f>
        <v>0.85718419932201</v>
      </c>
      <c r="AC1085" s="12" t="n">
        <f aca="false">IF(Q1085,A1085,AC1084)</f>
        <v>45834</v>
      </c>
      <c r="AD1085" s="8" t="n">
        <f aca="false">IF(Q1085,B1085,AD1084)</f>
        <v>0.857012796762658</v>
      </c>
      <c r="AE1085" s="8" t="str">
        <f aca="false">IF(AA1085,L1085,"")</f>
        <v/>
      </c>
      <c r="AF1085" s="8" t="n">
        <f aca="false">U1085</f>
        <v>0.839979947684787</v>
      </c>
      <c r="AG1085" s="2" t="n">
        <f aca="false">AG1084+IF(Q1085,1,0)</f>
        <v>11</v>
      </c>
      <c r="AH1085" s="2" t="n">
        <f aca="false">AG1084</f>
        <v>11</v>
      </c>
      <c r="AI1085" s="10" t="n">
        <f aca="false">X1085+Y1085*(E1085-AB1085)-Y1085*AD1085*Inputs!$B$13*(A1085-AC1085)</f>
        <v>945.618668179282</v>
      </c>
      <c r="AJ1085" s="10" t="n">
        <v>0</v>
      </c>
      <c r="AK1085" s="8" t="n">
        <f aca="false">IF(AND(B1085&lt;=U1085,NOT(Q1085)),B1085,U1085)*(1-Inputs!$B$12)</f>
        <v>0.812335065853958</v>
      </c>
    </row>
    <row r="1086" customFormat="false" ht="15" hidden="false" customHeight="false" outlineLevel="0" collapsed="false">
      <c r="A1086" s="6" t="n">
        <v>45870</v>
      </c>
      <c r="B1086" s="7" t="n">
        <v>0.821516007943414</v>
      </c>
      <c r="C1086" s="7" t="n">
        <v>0.826734711861899</v>
      </c>
      <c r="D1086" s="7" t="n">
        <v>0.809202917653024</v>
      </c>
      <c r="E1086" s="7" t="n">
        <v>0.81228757931068</v>
      </c>
      <c r="F1086" s="8" t="n">
        <f aca="true">IF(ROW()-2&gt;=Inputs!$B$4,AVERAGE(OFFSET(E1086,1-Inputs!$B$4,0,Inputs!$B$4,1)),"")</f>
        <v>0.822764111328788</v>
      </c>
      <c r="G1086" s="8" t="n">
        <f aca="true">IF(ROW()-2&gt;=Inputs!$B$5,AVERAGE(OFFSET(E1086,1-Inputs!$B$5,0,Inputs!$B$5,1)),"")</f>
        <v>0.836921217408427</v>
      </c>
      <c r="H1086" s="8" t="n">
        <f aca="false">MAX(C1086-D1086,ABS(C1086-E1085),ABS(D1086-E1085))</f>
        <v>0.0175317942088746</v>
      </c>
      <c r="I1086" s="8" t="n">
        <f aca="true">IF(ROW()-2&lt;14,"",IF(ROW()-2=14,AVERAGE(OFFSET(H1086,-13,0,14,1)),(I1085*13+H1086)/14))</f>
        <v>0.00983516707603256</v>
      </c>
      <c r="J1086" s="9" t="b">
        <f aca="false">IF(AND(ISNUMBER(F1086),ISNUMBER(G1086),ISNUMBER(F1085),ISNUMBER(G1085)),AND(F1086&gt;G1086,F1085&lt;=G1085),FALSE())</f>
        <v>0</v>
      </c>
      <c r="K1086" s="9" t="b">
        <f aca="false">IF(AND(ISNUMBER(F1086),ISNUMBER(G1086),ISNUMBER(F1085),ISNUMBER(G1085)),AND(F1086&lt;G1086,F1085&gt;=G1085),FALSE())</f>
        <v>0</v>
      </c>
      <c r="L1086" s="8" t="n">
        <f aca="false">IF(ISNUMBER(I1086),E1086-Inputs!$B$6*I1086,"")</f>
        <v>0.792617245158615</v>
      </c>
      <c r="M1086" s="9" t="b">
        <f aca="false">AND(Y1085&gt;0,Z1085)</f>
        <v>0</v>
      </c>
      <c r="N1086" s="8" t="n">
        <f aca="false">B1086*(1-Inputs!$B$12)</f>
        <v>0.821351704741825</v>
      </c>
      <c r="O1086" s="10" t="n">
        <f aca="false">IF(M1086,Y1085*(N1086-AB1085)-Inputs!$B$9-Y1085*AD1085*Inputs!$B$13*(A1086-AC1085),0)</f>
        <v>0</v>
      </c>
      <c r="P1086" s="10" t="n">
        <f aca="false">X1085+O1086</f>
        <v>945.618668179282</v>
      </c>
      <c r="Q1086" s="9" t="b">
        <f aca="false">AND(IF(M1086,0,Y1085)=0,AA1085,IF(ISNUMBER(AE1085),B1086&gt;AE1085,FALSE()))</f>
        <v>0</v>
      </c>
      <c r="R1086" s="8" t="n">
        <f aca="false">B1086*(1+Inputs!$B$12)</f>
        <v>0.821680311145002</v>
      </c>
      <c r="S1086" s="11" t="n">
        <f aca="false">IF(Q1086,MIN(P1086*Inputs!$B$3/(R1086-AE1085),P1086*Inputs!$B$11/R1086),0)</f>
        <v>0</v>
      </c>
      <c r="T1086" s="11" t="n">
        <f aca="false">IF(Q1086,S1086,IF(M1086,0,Y1085))</f>
        <v>0</v>
      </c>
      <c r="U1086" s="8" t="n">
        <f aca="false">IF(Q1086,AE1085,AF1085)</f>
        <v>0.839979947684787</v>
      </c>
      <c r="V1086" s="9" t="b">
        <f aca="false">AND(T1086&gt;0,D1086&lt;=U1086)</f>
        <v>0</v>
      </c>
      <c r="W1086" s="10" t="n">
        <f aca="false">IF(V1086,T1086*(AK1086-AB1086)-Inputs!$B$9-T1086*AD1086*Inputs!$B$13*(A1086-AC1086),0)</f>
        <v>0</v>
      </c>
      <c r="X1086" s="10" t="n">
        <f aca="false">P1086-IF(Q1086,Inputs!$B$9,0)+W1086</f>
        <v>945.618668179282</v>
      </c>
      <c r="Y1086" s="11" t="n">
        <f aca="false">IF(V1086,0,T1086)</f>
        <v>0</v>
      </c>
      <c r="Z1086" s="9" t="b">
        <f aca="false">AND(Y1086&gt;0,K1086)</f>
        <v>0</v>
      </c>
      <c r="AA1086" s="9" t="b">
        <f aca="false">AND(Y1086=0,J1086,ISNUMBER(L1086))</f>
        <v>0</v>
      </c>
      <c r="AB1086" s="8" t="n">
        <f aca="false">IF(Q1086,R1086,AB1085)</f>
        <v>0.85718419932201</v>
      </c>
      <c r="AC1086" s="12" t="n">
        <f aca="false">IF(Q1086,A1086,AC1085)</f>
        <v>45834</v>
      </c>
      <c r="AD1086" s="8" t="n">
        <f aca="false">IF(Q1086,B1086,AD1085)</f>
        <v>0.857012796762658</v>
      </c>
      <c r="AE1086" s="8" t="str">
        <f aca="false">IF(AA1086,L1086,"")</f>
        <v/>
      </c>
      <c r="AF1086" s="8" t="n">
        <f aca="false">U1086</f>
        <v>0.839979947684787</v>
      </c>
      <c r="AG1086" s="2" t="n">
        <f aca="false">AG1085+IF(Q1086,1,0)</f>
        <v>11</v>
      </c>
      <c r="AH1086" s="2" t="n">
        <f aca="false">AG1085</f>
        <v>11</v>
      </c>
      <c r="AI1086" s="10" t="n">
        <f aca="false">X1086+Y1086*(E1086-AB1086)-Y1086*AD1086*Inputs!$B$13*(A1086-AC1086)</f>
        <v>945.618668179282</v>
      </c>
      <c r="AJ1086" s="10" t="n">
        <v>0</v>
      </c>
      <c r="AK1086" s="8" t="n">
        <f aca="false">IF(AND(B1086&lt;=U1086,NOT(Q1086)),B1086,U1086)*(1-Inputs!$B$12)</f>
        <v>0.821351704741825</v>
      </c>
    </row>
    <row r="1087" customFormat="false" ht="15" hidden="false" customHeight="false" outlineLevel="0" collapsed="false">
      <c r="A1087" s="6" t="n">
        <v>45871</v>
      </c>
      <c r="B1087" s="7" t="n">
        <v>0.81228757931068</v>
      </c>
      <c r="C1087" s="7" t="n">
        <v>0.814307705370954</v>
      </c>
      <c r="D1087" s="7" t="n">
        <v>0.808264049891725</v>
      </c>
      <c r="E1087" s="7" t="n">
        <v>0.811268550907861</v>
      </c>
      <c r="F1087" s="8" t="n">
        <f aca="true">IF(ROW()-2&gt;=Inputs!$B$4,AVERAGE(OFFSET(E1087,1-Inputs!$B$4,0,Inputs!$B$4,1)),"")</f>
        <v>0.821341025302296</v>
      </c>
      <c r="G1087" s="8" t="n">
        <f aca="true">IF(ROW()-2&gt;=Inputs!$B$5,AVERAGE(OFFSET(E1087,1-Inputs!$B$5,0,Inputs!$B$5,1)),"")</f>
        <v>0.83624717995678</v>
      </c>
      <c r="H1087" s="8" t="n">
        <f aca="false">MAX(C1087-D1087,ABS(C1087-E1086),ABS(D1087-E1086))</f>
        <v>0.00604365547922903</v>
      </c>
      <c r="I1087" s="8" t="n">
        <f aca="true">IF(ROW()-2&lt;14,"",IF(ROW()-2=14,AVERAGE(OFFSET(H1087,-13,0,14,1)),(I1086*13+H1087)/14))</f>
        <v>0.00956434481911802</v>
      </c>
      <c r="J1087" s="9" t="b">
        <f aca="false">IF(AND(ISNUMBER(F1087),ISNUMBER(G1087),ISNUMBER(F1086),ISNUMBER(G1086)),AND(F1087&gt;G1087,F1086&lt;=G1086),FALSE())</f>
        <v>0</v>
      </c>
      <c r="K1087" s="9" t="b">
        <f aca="false">IF(AND(ISNUMBER(F1087),ISNUMBER(G1087),ISNUMBER(F1086),ISNUMBER(G1086)),AND(F1087&lt;G1087,F1086&gt;=G1086),FALSE())</f>
        <v>0</v>
      </c>
      <c r="L1087" s="8" t="n">
        <f aca="false">IF(ISNUMBER(I1087),E1087-Inputs!$B$6*I1087,"")</f>
        <v>0.792139861269625</v>
      </c>
      <c r="M1087" s="9" t="b">
        <f aca="false">AND(Y1086&gt;0,Z1086)</f>
        <v>0</v>
      </c>
      <c r="N1087" s="8" t="n">
        <f aca="false">B1087*(1-Inputs!$B$12)</f>
        <v>0.812125121794818</v>
      </c>
      <c r="O1087" s="10" t="n">
        <f aca="false">IF(M1087,Y1086*(N1087-AB1086)-Inputs!$B$9-Y1086*AD1086*Inputs!$B$13*(A1087-AC1086),0)</f>
        <v>0</v>
      </c>
      <c r="P1087" s="10" t="n">
        <f aca="false">X1086+O1087</f>
        <v>945.618668179282</v>
      </c>
      <c r="Q1087" s="9" t="b">
        <f aca="false">AND(IF(M1087,0,Y1086)=0,AA1086,IF(ISNUMBER(AE1086),B1087&gt;AE1086,FALSE()))</f>
        <v>0</v>
      </c>
      <c r="R1087" s="8" t="n">
        <f aca="false">B1087*(1+Inputs!$B$12)</f>
        <v>0.812450036826542</v>
      </c>
      <c r="S1087" s="11" t="n">
        <f aca="false">IF(Q1087,MIN(P1087*Inputs!$B$3/(R1087-AE1086),P1087*Inputs!$B$11/R1087),0)</f>
        <v>0</v>
      </c>
      <c r="T1087" s="11" t="n">
        <f aca="false">IF(Q1087,S1087,IF(M1087,0,Y1086))</f>
        <v>0</v>
      </c>
      <c r="U1087" s="8" t="n">
        <f aca="false">IF(Q1087,AE1086,AF1086)</f>
        <v>0.839979947684787</v>
      </c>
      <c r="V1087" s="9" t="b">
        <f aca="false">AND(T1087&gt;0,D1087&lt;=U1087)</f>
        <v>0</v>
      </c>
      <c r="W1087" s="10" t="n">
        <f aca="false">IF(V1087,T1087*(AK1087-AB1087)-Inputs!$B$9-T1087*AD1087*Inputs!$B$13*(A1087-AC1087),0)</f>
        <v>0</v>
      </c>
      <c r="X1087" s="10" t="n">
        <f aca="false">P1087-IF(Q1087,Inputs!$B$9,0)+W1087</f>
        <v>945.618668179282</v>
      </c>
      <c r="Y1087" s="11" t="n">
        <f aca="false">IF(V1087,0,T1087)</f>
        <v>0</v>
      </c>
      <c r="Z1087" s="9" t="b">
        <f aca="false">AND(Y1087&gt;0,K1087)</f>
        <v>0</v>
      </c>
      <c r="AA1087" s="9" t="b">
        <f aca="false">AND(Y1087=0,J1087,ISNUMBER(L1087))</f>
        <v>0</v>
      </c>
      <c r="AB1087" s="8" t="n">
        <f aca="false">IF(Q1087,R1087,AB1086)</f>
        <v>0.85718419932201</v>
      </c>
      <c r="AC1087" s="12" t="n">
        <f aca="false">IF(Q1087,A1087,AC1086)</f>
        <v>45834</v>
      </c>
      <c r="AD1087" s="8" t="n">
        <f aca="false">IF(Q1087,B1087,AD1086)</f>
        <v>0.857012796762658</v>
      </c>
      <c r="AE1087" s="8" t="str">
        <f aca="false">IF(AA1087,L1087,"")</f>
        <v/>
      </c>
      <c r="AF1087" s="8" t="n">
        <f aca="false">U1087</f>
        <v>0.839979947684787</v>
      </c>
      <c r="AG1087" s="2" t="n">
        <f aca="false">AG1086+IF(Q1087,1,0)</f>
        <v>11</v>
      </c>
      <c r="AH1087" s="2" t="n">
        <f aca="false">AG1086</f>
        <v>11</v>
      </c>
      <c r="AI1087" s="10" t="n">
        <f aca="false">X1087+Y1087*(E1087-AB1087)-Y1087*AD1087*Inputs!$B$13*(A1087-AC1087)</f>
        <v>945.618668179282</v>
      </c>
      <c r="AJ1087" s="10" t="n">
        <v>0</v>
      </c>
      <c r="AK1087" s="8" t="n">
        <f aca="false">IF(AND(B1087&lt;=U1087,NOT(Q1087)),B1087,U1087)*(1-Inputs!$B$12)</f>
        <v>0.812125121794818</v>
      </c>
    </row>
    <row r="1088" customFormat="false" ht="15" hidden="false" customHeight="false" outlineLevel="0" collapsed="false">
      <c r="A1088" s="6" t="n">
        <v>45872</v>
      </c>
      <c r="B1088" s="7" t="n">
        <v>0.811268550907861</v>
      </c>
      <c r="C1088" s="7" t="n">
        <v>0.82112182159982</v>
      </c>
      <c r="D1088" s="7" t="n">
        <v>0.810257162371477</v>
      </c>
      <c r="E1088" s="7" t="n">
        <v>0.818565990434543</v>
      </c>
      <c r="F1088" s="8" t="n">
        <f aca="true">IF(ROW()-2&gt;=Inputs!$B$4,AVERAGE(OFFSET(E1088,1-Inputs!$B$4,0,Inputs!$B$4,1)),"")</f>
        <v>0.82056886378874</v>
      </c>
      <c r="G1088" s="8" t="n">
        <f aca="true">IF(ROW()-2&gt;=Inputs!$B$5,AVERAGE(OFFSET(E1088,1-Inputs!$B$5,0,Inputs!$B$5,1)),"")</f>
        <v>0.835678658429574</v>
      </c>
      <c r="H1088" s="8" t="n">
        <f aca="false">MAX(C1088-D1088,ABS(C1088-E1087),ABS(D1088-E1087))</f>
        <v>0.0108646592283428</v>
      </c>
      <c r="I1088" s="8" t="n">
        <f aca="true">IF(ROW()-2&lt;14,"",IF(ROW()-2=14,AVERAGE(OFFSET(H1088,-13,0,14,1)),(I1087*13+H1088)/14))</f>
        <v>0.00965722441977694</v>
      </c>
      <c r="J1088" s="9" t="b">
        <f aca="false">IF(AND(ISNUMBER(F1088),ISNUMBER(G1088),ISNUMBER(F1087),ISNUMBER(G1087)),AND(F1088&gt;G1088,F1087&lt;=G1087),FALSE())</f>
        <v>0</v>
      </c>
      <c r="K1088" s="9" t="b">
        <f aca="false">IF(AND(ISNUMBER(F1088),ISNUMBER(G1088),ISNUMBER(F1087),ISNUMBER(G1087)),AND(F1088&lt;G1088,F1087&gt;=G1087),FALSE())</f>
        <v>0</v>
      </c>
      <c r="L1088" s="8" t="n">
        <f aca="false">IF(ISNUMBER(I1088),E1088-Inputs!$B$6*I1088,"")</f>
        <v>0.799251541594989</v>
      </c>
      <c r="M1088" s="9" t="b">
        <f aca="false">AND(Y1087&gt;0,Z1087)</f>
        <v>0</v>
      </c>
      <c r="N1088" s="8" t="n">
        <f aca="false">B1088*(1-Inputs!$B$12)</f>
        <v>0.81110629719768</v>
      </c>
      <c r="O1088" s="10" t="n">
        <f aca="false">IF(M1088,Y1087*(N1088-AB1087)-Inputs!$B$9-Y1087*AD1087*Inputs!$B$13*(A1088-AC1087),0)</f>
        <v>0</v>
      </c>
      <c r="P1088" s="10" t="n">
        <f aca="false">X1087+O1088</f>
        <v>945.618668179282</v>
      </c>
      <c r="Q1088" s="9" t="b">
        <f aca="false">AND(IF(M1088,0,Y1087)=0,AA1087,IF(ISNUMBER(AE1087),B1088&gt;AE1087,FALSE()))</f>
        <v>0</v>
      </c>
      <c r="R1088" s="8" t="n">
        <f aca="false">B1088*(1+Inputs!$B$12)</f>
        <v>0.811430804618043</v>
      </c>
      <c r="S1088" s="11" t="n">
        <f aca="false">IF(Q1088,MIN(P1088*Inputs!$B$3/(R1088-AE1087),P1088*Inputs!$B$11/R1088),0)</f>
        <v>0</v>
      </c>
      <c r="T1088" s="11" t="n">
        <f aca="false">IF(Q1088,S1088,IF(M1088,0,Y1087))</f>
        <v>0</v>
      </c>
      <c r="U1088" s="8" t="n">
        <f aca="false">IF(Q1088,AE1087,AF1087)</f>
        <v>0.839979947684787</v>
      </c>
      <c r="V1088" s="9" t="b">
        <f aca="false">AND(T1088&gt;0,D1088&lt;=U1088)</f>
        <v>0</v>
      </c>
      <c r="W1088" s="10" t="n">
        <f aca="false">IF(V1088,T1088*(AK1088-AB1088)-Inputs!$B$9-T1088*AD1088*Inputs!$B$13*(A1088-AC1088),0)</f>
        <v>0</v>
      </c>
      <c r="X1088" s="10" t="n">
        <f aca="false">P1088-IF(Q1088,Inputs!$B$9,0)+W1088</f>
        <v>945.618668179282</v>
      </c>
      <c r="Y1088" s="11" t="n">
        <f aca="false">IF(V1088,0,T1088)</f>
        <v>0</v>
      </c>
      <c r="Z1088" s="9" t="b">
        <f aca="false">AND(Y1088&gt;0,K1088)</f>
        <v>0</v>
      </c>
      <c r="AA1088" s="9" t="b">
        <f aca="false">AND(Y1088=0,J1088,ISNUMBER(L1088))</f>
        <v>0</v>
      </c>
      <c r="AB1088" s="8" t="n">
        <f aca="false">IF(Q1088,R1088,AB1087)</f>
        <v>0.85718419932201</v>
      </c>
      <c r="AC1088" s="12" t="n">
        <f aca="false">IF(Q1088,A1088,AC1087)</f>
        <v>45834</v>
      </c>
      <c r="AD1088" s="8" t="n">
        <f aca="false">IF(Q1088,B1088,AD1087)</f>
        <v>0.857012796762658</v>
      </c>
      <c r="AE1088" s="8" t="str">
        <f aca="false">IF(AA1088,L1088,"")</f>
        <v/>
      </c>
      <c r="AF1088" s="8" t="n">
        <f aca="false">U1088</f>
        <v>0.839979947684787</v>
      </c>
      <c r="AG1088" s="2" t="n">
        <f aca="false">AG1087+IF(Q1088,1,0)</f>
        <v>11</v>
      </c>
      <c r="AH1088" s="2" t="n">
        <f aca="false">AG1087</f>
        <v>11</v>
      </c>
      <c r="AI1088" s="10" t="n">
        <f aca="false">X1088+Y1088*(E1088-AB1088)-Y1088*AD1088*Inputs!$B$13*(A1088-AC1088)</f>
        <v>945.618668179282</v>
      </c>
      <c r="AJ1088" s="10" t="n">
        <v>0</v>
      </c>
      <c r="AK1088" s="8" t="n">
        <f aca="false">IF(AND(B1088&lt;=U1088,NOT(Q1088)),B1088,U1088)*(1-Inputs!$B$12)</f>
        <v>0.81110629719768</v>
      </c>
    </row>
    <row r="1089" customFormat="false" ht="15" hidden="false" customHeight="false" outlineLevel="0" collapsed="false">
      <c r="A1089" s="6" t="n">
        <v>45873</v>
      </c>
      <c r="B1089" s="7" t="n">
        <v>0.818565990434543</v>
      </c>
      <c r="C1089" s="7" t="n">
        <v>0.822091235176537</v>
      </c>
      <c r="D1089" s="7" t="n">
        <v>0.81529953064987</v>
      </c>
      <c r="E1089" s="7" t="n">
        <v>0.819169675022983</v>
      </c>
      <c r="F1089" s="8" t="n">
        <f aca="true">IF(ROW()-2&gt;=Inputs!$B$4,AVERAGE(OFFSET(E1089,1-Inputs!$B$4,0,Inputs!$B$4,1)),"")</f>
        <v>0.820166028964892</v>
      </c>
      <c r="G1089" s="8" t="n">
        <f aca="true">IF(ROW()-2&gt;=Inputs!$B$5,AVERAGE(OFFSET(E1089,1-Inputs!$B$5,0,Inputs!$B$5,1)),"")</f>
        <v>0.835223897623545</v>
      </c>
      <c r="H1089" s="8" t="n">
        <f aca="false">MAX(C1089-D1089,ABS(C1089-E1088),ABS(D1089-E1088))</f>
        <v>0.00679170452666722</v>
      </c>
      <c r="I1089" s="8" t="n">
        <f aca="true">IF(ROW()-2&lt;14,"",IF(ROW()-2=14,AVERAGE(OFFSET(H1089,-13,0,14,1)),(I1088*13+H1089)/14))</f>
        <v>0.00945254442741196</v>
      </c>
      <c r="J1089" s="9" t="b">
        <f aca="false">IF(AND(ISNUMBER(F1089),ISNUMBER(G1089),ISNUMBER(F1088),ISNUMBER(G1088)),AND(F1089&gt;G1089,F1088&lt;=G1088),FALSE())</f>
        <v>0</v>
      </c>
      <c r="K1089" s="9" t="b">
        <f aca="false">IF(AND(ISNUMBER(F1089),ISNUMBER(G1089),ISNUMBER(F1088),ISNUMBER(G1088)),AND(F1089&lt;G1089,F1088&gt;=G1088),FALSE())</f>
        <v>0</v>
      </c>
      <c r="L1089" s="8" t="n">
        <f aca="false">IF(ISNUMBER(I1089),E1089-Inputs!$B$6*I1089,"")</f>
        <v>0.800264586168159</v>
      </c>
      <c r="M1089" s="9" t="b">
        <f aca="false">AND(Y1088&gt;0,Z1088)</f>
        <v>0</v>
      </c>
      <c r="N1089" s="8" t="n">
        <f aca="false">B1089*(1-Inputs!$B$12)</f>
        <v>0.818402277236456</v>
      </c>
      <c r="O1089" s="10" t="n">
        <f aca="false">IF(M1089,Y1088*(N1089-AB1088)-Inputs!$B$9-Y1088*AD1088*Inputs!$B$13*(A1089-AC1088),0)</f>
        <v>0</v>
      </c>
      <c r="P1089" s="10" t="n">
        <f aca="false">X1088+O1089</f>
        <v>945.618668179282</v>
      </c>
      <c r="Q1089" s="9" t="b">
        <f aca="false">AND(IF(M1089,0,Y1088)=0,AA1088,IF(ISNUMBER(AE1088),B1089&gt;AE1088,FALSE()))</f>
        <v>0</v>
      </c>
      <c r="R1089" s="8" t="n">
        <f aca="false">B1089*(1+Inputs!$B$12)</f>
        <v>0.818729703632629</v>
      </c>
      <c r="S1089" s="11" t="n">
        <f aca="false">IF(Q1089,MIN(P1089*Inputs!$B$3/(R1089-AE1088),P1089*Inputs!$B$11/R1089),0)</f>
        <v>0</v>
      </c>
      <c r="T1089" s="11" t="n">
        <f aca="false">IF(Q1089,S1089,IF(M1089,0,Y1088))</f>
        <v>0</v>
      </c>
      <c r="U1089" s="8" t="n">
        <f aca="false">IF(Q1089,AE1088,AF1088)</f>
        <v>0.839979947684787</v>
      </c>
      <c r="V1089" s="9" t="b">
        <f aca="false">AND(T1089&gt;0,D1089&lt;=U1089)</f>
        <v>0</v>
      </c>
      <c r="W1089" s="10" t="n">
        <f aca="false">IF(V1089,T1089*(AK1089-AB1089)-Inputs!$B$9-T1089*AD1089*Inputs!$B$13*(A1089-AC1089),0)</f>
        <v>0</v>
      </c>
      <c r="X1089" s="10" t="n">
        <f aca="false">P1089-IF(Q1089,Inputs!$B$9,0)+W1089</f>
        <v>945.618668179282</v>
      </c>
      <c r="Y1089" s="11" t="n">
        <f aca="false">IF(V1089,0,T1089)</f>
        <v>0</v>
      </c>
      <c r="Z1089" s="9" t="b">
        <f aca="false">AND(Y1089&gt;0,K1089)</f>
        <v>0</v>
      </c>
      <c r="AA1089" s="9" t="b">
        <f aca="false">AND(Y1089=0,J1089,ISNUMBER(L1089))</f>
        <v>0</v>
      </c>
      <c r="AB1089" s="8" t="n">
        <f aca="false">IF(Q1089,R1089,AB1088)</f>
        <v>0.85718419932201</v>
      </c>
      <c r="AC1089" s="12" t="n">
        <f aca="false">IF(Q1089,A1089,AC1088)</f>
        <v>45834</v>
      </c>
      <c r="AD1089" s="8" t="n">
        <f aca="false">IF(Q1089,B1089,AD1088)</f>
        <v>0.857012796762658</v>
      </c>
      <c r="AE1089" s="8" t="str">
        <f aca="false">IF(AA1089,L1089,"")</f>
        <v/>
      </c>
      <c r="AF1089" s="8" t="n">
        <f aca="false">U1089</f>
        <v>0.839979947684787</v>
      </c>
      <c r="AG1089" s="2" t="n">
        <f aca="false">AG1088+IF(Q1089,1,0)</f>
        <v>11</v>
      </c>
      <c r="AH1089" s="2" t="n">
        <f aca="false">AG1088</f>
        <v>11</v>
      </c>
      <c r="AI1089" s="10" t="n">
        <f aca="false">X1089+Y1089*(E1089-AB1089)-Y1089*AD1089*Inputs!$B$13*(A1089-AC1089)</f>
        <v>945.618668179282</v>
      </c>
      <c r="AJ1089" s="10" t="n">
        <v>0</v>
      </c>
      <c r="AK1089" s="8" t="n">
        <f aca="false">IF(AND(B1089&lt;=U1089,NOT(Q1089)),B1089,U1089)*(1-Inputs!$B$12)</f>
        <v>0.818402277236456</v>
      </c>
    </row>
    <row r="1090" customFormat="false" ht="15" hidden="false" customHeight="false" outlineLevel="0" collapsed="false">
      <c r="A1090" s="6" t="n">
        <v>45874</v>
      </c>
      <c r="B1090" s="7" t="n">
        <v>0.819169675022983</v>
      </c>
      <c r="C1090" s="7" t="n">
        <v>0.823610828710099</v>
      </c>
      <c r="D1090" s="7" t="n">
        <v>0.818414302660449</v>
      </c>
      <c r="E1090" s="7" t="n">
        <v>0.82354694435159</v>
      </c>
      <c r="F1090" s="8" t="n">
        <f aca="true">IF(ROW()-2&gt;=Inputs!$B$4,AVERAGE(OFFSET(E1090,1-Inputs!$B$4,0,Inputs!$B$4,1)),"")</f>
        <v>0.820315437686399</v>
      </c>
      <c r="G1090" s="8" t="n">
        <f aca="true">IF(ROW()-2&gt;=Inputs!$B$5,AVERAGE(OFFSET(E1090,1-Inputs!$B$5,0,Inputs!$B$5,1)),"")</f>
        <v>0.834959124580054</v>
      </c>
      <c r="H1090" s="8" t="n">
        <f aca="false">MAX(C1090-D1090,ABS(C1090-E1089),ABS(D1090-E1089))</f>
        <v>0.0051965260496496</v>
      </c>
      <c r="I1090" s="8" t="n">
        <f aca="true">IF(ROW()-2&lt;14,"",IF(ROW()-2=14,AVERAGE(OFFSET(H1090,-13,0,14,1)),(I1089*13+H1090)/14))</f>
        <v>0.00914854311471465</v>
      </c>
      <c r="J1090" s="9" t="b">
        <f aca="false">IF(AND(ISNUMBER(F1090),ISNUMBER(G1090),ISNUMBER(F1089),ISNUMBER(G1089)),AND(F1090&gt;G1090,F1089&lt;=G1089),FALSE())</f>
        <v>0</v>
      </c>
      <c r="K1090" s="9" t="b">
        <f aca="false">IF(AND(ISNUMBER(F1090),ISNUMBER(G1090),ISNUMBER(F1089),ISNUMBER(G1089)),AND(F1090&lt;G1090,F1089&gt;=G1089),FALSE())</f>
        <v>0</v>
      </c>
      <c r="L1090" s="8" t="n">
        <f aca="false">IF(ISNUMBER(I1090),E1090-Inputs!$B$6*I1090,"")</f>
        <v>0.80524985812216</v>
      </c>
      <c r="M1090" s="9" t="b">
        <f aca="false">AND(Y1089&gt;0,Z1089)</f>
        <v>0</v>
      </c>
      <c r="N1090" s="8" t="n">
        <f aca="false">B1090*(1-Inputs!$B$12)</f>
        <v>0.819005841087978</v>
      </c>
      <c r="O1090" s="10" t="n">
        <f aca="false">IF(M1090,Y1089*(N1090-AB1089)-Inputs!$B$9-Y1089*AD1089*Inputs!$B$13*(A1090-AC1089),0)</f>
        <v>0</v>
      </c>
      <c r="P1090" s="10" t="n">
        <f aca="false">X1089+O1090</f>
        <v>945.618668179282</v>
      </c>
      <c r="Q1090" s="9" t="b">
        <f aca="false">AND(IF(M1090,0,Y1089)=0,AA1089,IF(ISNUMBER(AE1089),B1090&gt;AE1089,FALSE()))</f>
        <v>0</v>
      </c>
      <c r="R1090" s="8" t="n">
        <f aca="false">B1090*(1+Inputs!$B$12)</f>
        <v>0.819333508957988</v>
      </c>
      <c r="S1090" s="11" t="n">
        <f aca="false">IF(Q1090,MIN(P1090*Inputs!$B$3/(R1090-AE1089),P1090*Inputs!$B$11/R1090),0)</f>
        <v>0</v>
      </c>
      <c r="T1090" s="11" t="n">
        <f aca="false">IF(Q1090,S1090,IF(M1090,0,Y1089))</f>
        <v>0</v>
      </c>
      <c r="U1090" s="8" t="n">
        <f aca="false">IF(Q1090,AE1089,AF1089)</f>
        <v>0.839979947684787</v>
      </c>
      <c r="V1090" s="9" t="b">
        <f aca="false">AND(T1090&gt;0,D1090&lt;=U1090)</f>
        <v>0</v>
      </c>
      <c r="W1090" s="10" t="n">
        <f aca="false">IF(V1090,T1090*(AK1090-AB1090)-Inputs!$B$9-T1090*AD1090*Inputs!$B$13*(A1090-AC1090),0)</f>
        <v>0</v>
      </c>
      <c r="X1090" s="10" t="n">
        <f aca="false">P1090-IF(Q1090,Inputs!$B$9,0)+W1090</f>
        <v>945.618668179282</v>
      </c>
      <c r="Y1090" s="11" t="n">
        <f aca="false">IF(V1090,0,T1090)</f>
        <v>0</v>
      </c>
      <c r="Z1090" s="9" t="b">
        <f aca="false">AND(Y1090&gt;0,K1090)</f>
        <v>0</v>
      </c>
      <c r="AA1090" s="9" t="b">
        <f aca="false">AND(Y1090=0,J1090,ISNUMBER(L1090))</f>
        <v>0</v>
      </c>
      <c r="AB1090" s="8" t="n">
        <f aca="false">IF(Q1090,R1090,AB1089)</f>
        <v>0.85718419932201</v>
      </c>
      <c r="AC1090" s="12" t="n">
        <f aca="false">IF(Q1090,A1090,AC1089)</f>
        <v>45834</v>
      </c>
      <c r="AD1090" s="8" t="n">
        <f aca="false">IF(Q1090,B1090,AD1089)</f>
        <v>0.857012796762658</v>
      </c>
      <c r="AE1090" s="8" t="str">
        <f aca="false">IF(AA1090,L1090,"")</f>
        <v/>
      </c>
      <c r="AF1090" s="8" t="n">
        <f aca="false">U1090</f>
        <v>0.839979947684787</v>
      </c>
      <c r="AG1090" s="2" t="n">
        <f aca="false">AG1089+IF(Q1090,1,0)</f>
        <v>11</v>
      </c>
      <c r="AH1090" s="2" t="n">
        <f aca="false">AG1089</f>
        <v>11</v>
      </c>
      <c r="AI1090" s="10" t="n">
        <f aca="false">X1090+Y1090*(E1090-AB1090)-Y1090*AD1090*Inputs!$B$13*(A1090-AC1090)</f>
        <v>945.618668179282</v>
      </c>
      <c r="AJ1090" s="10" t="n">
        <v>0</v>
      </c>
      <c r="AK1090" s="8" t="n">
        <f aca="false">IF(AND(B1090&lt;=U1090,NOT(Q1090)),B1090,U1090)*(1-Inputs!$B$12)</f>
        <v>0.819005841087978</v>
      </c>
    </row>
    <row r="1091" customFormat="false" ht="15" hidden="false" customHeight="false" outlineLevel="0" collapsed="false">
      <c r="A1091" s="6" t="n">
        <v>45875</v>
      </c>
      <c r="B1091" s="7" t="n">
        <v>0.82354694435159</v>
      </c>
      <c r="C1091" s="7" t="n">
        <v>0.831834595236978</v>
      </c>
      <c r="D1091" s="7" t="n">
        <v>0.822784490659312</v>
      </c>
      <c r="E1091" s="7" t="n">
        <v>0.828519344911164</v>
      </c>
      <c r="F1091" s="8" t="n">
        <f aca="true">IF(ROW()-2&gt;=Inputs!$B$4,AVERAGE(OFFSET(E1091,1-Inputs!$B$4,0,Inputs!$B$4,1)),"")</f>
        <v>0.820492453597789</v>
      </c>
      <c r="G1091" s="8" t="n">
        <f aca="true">IF(ROW()-2&gt;=Inputs!$B$5,AVERAGE(OFFSET(E1091,1-Inputs!$B$5,0,Inputs!$B$5,1)),"")</f>
        <v>0.83473584814983</v>
      </c>
      <c r="H1091" s="8" t="n">
        <f aca="false">MAX(C1091-D1091,ABS(C1091-E1090),ABS(D1091-E1090))</f>
        <v>0.00905010457766553</v>
      </c>
      <c r="I1091" s="8" t="n">
        <f aca="true">IF(ROW()-2&lt;14,"",IF(ROW()-2=14,AVERAGE(OFFSET(H1091,-13,0,14,1)),(I1090*13+H1091)/14))</f>
        <v>0.00914151179063971</v>
      </c>
      <c r="J1091" s="9" t="b">
        <f aca="false">IF(AND(ISNUMBER(F1091),ISNUMBER(G1091),ISNUMBER(F1090),ISNUMBER(G1090)),AND(F1091&gt;G1091,F1090&lt;=G1090),FALSE())</f>
        <v>0</v>
      </c>
      <c r="K1091" s="9" t="b">
        <f aca="false">IF(AND(ISNUMBER(F1091),ISNUMBER(G1091),ISNUMBER(F1090),ISNUMBER(G1090)),AND(F1091&lt;G1091,F1090&gt;=G1090),FALSE())</f>
        <v>0</v>
      </c>
      <c r="L1091" s="8" t="n">
        <f aca="false">IF(ISNUMBER(I1091),E1091-Inputs!$B$6*I1091,"")</f>
        <v>0.810236321329885</v>
      </c>
      <c r="M1091" s="9" t="b">
        <f aca="false">AND(Y1090&gt;0,Z1090)</f>
        <v>0</v>
      </c>
      <c r="N1091" s="8" t="n">
        <f aca="false">B1091*(1-Inputs!$B$12)</f>
        <v>0.823382234962719</v>
      </c>
      <c r="O1091" s="10" t="n">
        <f aca="false">IF(M1091,Y1090*(N1091-AB1090)-Inputs!$B$9-Y1090*AD1090*Inputs!$B$13*(A1091-AC1090),0)</f>
        <v>0</v>
      </c>
      <c r="P1091" s="10" t="n">
        <f aca="false">X1090+O1091</f>
        <v>945.618668179282</v>
      </c>
      <c r="Q1091" s="9" t="b">
        <f aca="false">AND(IF(M1091,0,Y1090)=0,AA1090,IF(ISNUMBER(AE1090),B1091&gt;AE1090,FALSE()))</f>
        <v>0</v>
      </c>
      <c r="R1091" s="8" t="n">
        <f aca="false">B1091*(1+Inputs!$B$12)</f>
        <v>0.82371165374046</v>
      </c>
      <c r="S1091" s="11" t="n">
        <f aca="false">IF(Q1091,MIN(P1091*Inputs!$B$3/(R1091-AE1090),P1091*Inputs!$B$11/R1091),0)</f>
        <v>0</v>
      </c>
      <c r="T1091" s="11" t="n">
        <f aca="false">IF(Q1091,S1091,IF(M1091,0,Y1090))</f>
        <v>0</v>
      </c>
      <c r="U1091" s="8" t="n">
        <f aca="false">IF(Q1091,AE1090,AF1090)</f>
        <v>0.839979947684787</v>
      </c>
      <c r="V1091" s="9" t="b">
        <f aca="false">AND(T1091&gt;0,D1091&lt;=U1091)</f>
        <v>0</v>
      </c>
      <c r="W1091" s="10" t="n">
        <f aca="false">IF(V1091,T1091*(AK1091-AB1091)-Inputs!$B$9-T1091*AD1091*Inputs!$B$13*(A1091-AC1091),0)</f>
        <v>0</v>
      </c>
      <c r="X1091" s="10" t="n">
        <f aca="false">P1091-IF(Q1091,Inputs!$B$9,0)+W1091</f>
        <v>945.618668179282</v>
      </c>
      <c r="Y1091" s="11" t="n">
        <f aca="false">IF(V1091,0,T1091)</f>
        <v>0</v>
      </c>
      <c r="Z1091" s="9" t="b">
        <f aca="false">AND(Y1091&gt;0,K1091)</f>
        <v>0</v>
      </c>
      <c r="AA1091" s="9" t="b">
        <f aca="false">AND(Y1091=0,J1091,ISNUMBER(L1091))</f>
        <v>0</v>
      </c>
      <c r="AB1091" s="8" t="n">
        <f aca="false">IF(Q1091,R1091,AB1090)</f>
        <v>0.85718419932201</v>
      </c>
      <c r="AC1091" s="12" t="n">
        <f aca="false">IF(Q1091,A1091,AC1090)</f>
        <v>45834</v>
      </c>
      <c r="AD1091" s="8" t="n">
        <f aca="false">IF(Q1091,B1091,AD1090)</f>
        <v>0.857012796762658</v>
      </c>
      <c r="AE1091" s="8" t="str">
        <f aca="false">IF(AA1091,L1091,"")</f>
        <v/>
      </c>
      <c r="AF1091" s="8" t="n">
        <f aca="false">U1091</f>
        <v>0.839979947684787</v>
      </c>
      <c r="AG1091" s="2" t="n">
        <f aca="false">AG1090+IF(Q1091,1,0)</f>
        <v>11</v>
      </c>
      <c r="AH1091" s="2" t="n">
        <f aca="false">AG1090</f>
        <v>11</v>
      </c>
      <c r="AI1091" s="10" t="n">
        <f aca="false">X1091+Y1091*(E1091-AB1091)-Y1091*AD1091*Inputs!$B$13*(A1091-AC1091)</f>
        <v>945.618668179282</v>
      </c>
      <c r="AJ1091" s="10" t="n">
        <v>0</v>
      </c>
      <c r="AK1091" s="8" t="n">
        <f aca="false">IF(AND(B1091&lt;=U1091,NOT(Q1091)),B1091,U1091)*(1-Inputs!$B$12)</f>
        <v>0.823382234962719</v>
      </c>
    </row>
    <row r="1092" customFormat="false" ht="15" hidden="false" customHeight="false" outlineLevel="0" collapsed="false">
      <c r="A1092" s="6" t="n">
        <v>45876</v>
      </c>
      <c r="B1092" s="7" t="n">
        <v>0.828519344911164</v>
      </c>
      <c r="C1092" s="7" t="n">
        <v>0.836525321149348</v>
      </c>
      <c r="D1092" s="7" t="n">
        <v>0.828050476515253</v>
      </c>
      <c r="E1092" s="7" t="n">
        <v>0.83356931532051</v>
      </c>
      <c r="F1092" s="8" t="n">
        <f aca="true">IF(ROW()-2&gt;=Inputs!$B$4,AVERAGE(OFFSET(E1092,1-Inputs!$B$4,0,Inputs!$B$4,1)),"")</f>
        <v>0.820692687641346</v>
      </c>
      <c r="G1092" s="8" t="n">
        <f aca="true">IF(ROW()-2&gt;=Inputs!$B$5,AVERAGE(OFFSET(E1092,1-Inputs!$B$5,0,Inputs!$B$5,1)),"")</f>
        <v>0.834653168358617</v>
      </c>
      <c r="H1092" s="8" t="n">
        <f aca="false">MAX(C1092-D1092,ABS(C1092-E1091),ABS(D1092-E1091))</f>
        <v>0.00847484463409498</v>
      </c>
      <c r="I1092" s="8" t="n">
        <f aca="true">IF(ROW()-2&lt;14,"",IF(ROW()-2=14,AVERAGE(OFFSET(H1092,-13,0,14,1)),(I1091*13+H1092)/14))</f>
        <v>0.00909389270802937</v>
      </c>
      <c r="J1092" s="9" t="b">
        <f aca="false">IF(AND(ISNUMBER(F1092),ISNUMBER(G1092),ISNUMBER(F1091),ISNUMBER(G1091)),AND(F1092&gt;G1092,F1091&lt;=G1091),FALSE())</f>
        <v>0</v>
      </c>
      <c r="K1092" s="9" t="b">
        <f aca="false">IF(AND(ISNUMBER(F1092),ISNUMBER(G1092),ISNUMBER(F1091),ISNUMBER(G1091)),AND(F1092&lt;G1092,F1091&gt;=G1091),FALSE())</f>
        <v>0</v>
      </c>
      <c r="L1092" s="8" t="n">
        <f aca="false">IF(ISNUMBER(I1092),E1092-Inputs!$B$6*I1092,"")</f>
        <v>0.815381529904452</v>
      </c>
      <c r="M1092" s="9" t="b">
        <f aca="false">AND(Y1091&gt;0,Z1091)</f>
        <v>0</v>
      </c>
      <c r="N1092" s="8" t="n">
        <f aca="false">B1092*(1-Inputs!$B$12)</f>
        <v>0.828353641042182</v>
      </c>
      <c r="O1092" s="10" t="n">
        <f aca="false">IF(M1092,Y1091*(N1092-AB1091)-Inputs!$B$9-Y1091*AD1091*Inputs!$B$13*(A1092-AC1091),0)</f>
        <v>0</v>
      </c>
      <c r="P1092" s="10" t="n">
        <f aca="false">X1091+O1092</f>
        <v>945.618668179282</v>
      </c>
      <c r="Q1092" s="9" t="b">
        <f aca="false">AND(IF(M1092,0,Y1091)=0,AA1091,IF(ISNUMBER(AE1091),B1092&gt;AE1091,FALSE()))</f>
        <v>0</v>
      </c>
      <c r="R1092" s="8" t="n">
        <f aca="false">B1092*(1+Inputs!$B$12)</f>
        <v>0.828685048780147</v>
      </c>
      <c r="S1092" s="11" t="n">
        <f aca="false">IF(Q1092,MIN(P1092*Inputs!$B$3/(R1092-AE1091),P1092*Inputs!$B$11/R1092),0)</f>
        <v>0</v>
      </c>
      <c r="T1092" s="11" t="n">
        <f aca="false">IF(Q1092,S1092,IF(M1092,0,Y1091))</f>
        <v>0</v>
      </c>
      <c r="U1092" s="8" t="n">
        <f aca="false">IF(Q1092,AE1091,AF1091)</f>
        <v>0.839979947684787</v>
      </c>
      <c r="V1092" s="9" t="b">
        <f aca="false">AND(T1092&gt;0,D1092&lt;=U1092)</f>
        <v>0</v>
      </c>
      <c r="W1092" s="10" t="n">
        <f aca="false">IF(V1092,T1092*(AK1092-AB1092)-Inputs!$B$9-T1092*AD1092*Inputs!$B$13*(A1092-AC1092),0)</f>
        <v>0</v>
      </c>
      <c r="X1092" s="10" t="n">
        <f aca="false">P1092-IF(Q1092,Inputs!$B$9,0)+W1092</f>
        <v>945.618668179282</v>
      </c>
      <c r="Y1092" s="11" t="n">
        <f aca="false">IF(V1092,0,T1092)</f>
        <v>0</v>
      </c>
      <c r="Z1092" s="9" t="b">
        <f aca="false">AND(Y1092&gt;0,K1092)</f>
        <v>0</v>
      </c>
      <c r="AA1092" s="9" t="b">
        <f aca="false">AND(Y1092=0,J1092,ISNUMBER(L1092))</f>
        <v>0</v>
      </c>
      <c r="AB1092" s="8" t="n">
        <f aca="false">IF(Q1092,R1092,AB1091)</f>
        <v>0.85718419932201</v>
      </c>
      <c r="AC1092" s="12" t="n">
        <f aca="false">IF(Q1092,A1092,AC1091)</f>
        <v>45834</v>
      </c>
      <c r="AD1092" s="8" t="n">
        <f aca="false">IF(Q1092,B1092,AD1091)</f>
        <v>0.857012796762658</v>
      </c>
      <c r="AE1092" s="8" t="str">
        <f aca="false">IF(AA1092,L1092,"")</f>
        <v/>
      </c>
      <c r="AF1092" s="8" t="n">
        <f aca="false">U1092</f>
        <v>0.839979947684787</v>
      </c>
      <c r="AG1092" s="2" t="n">
        <f aca="false">AG1091+IF(Q1092,1,0)</f>
        <v>11</v>
      </c>
      <c r="AH1092" s="2" t="n">
        <f aca="false">AG1091</f>
        <v>11</v>
      </c>
      <c r="AI1092" s="10" t="n">
        <f aca="false">X1092+Y1092*(E1092-AB1092)-Y1092*AD1092*Inputs!$B$13*(A1092-AC1092)</f>
        <v>945.618668179282</v>
      </c>
      <c r="AJ1092" s="10" t="n">
        <v>0</v>
      </c>
      <c r="AK1092" s="8" t="n">
        <f aca="false">IF(AND(B1092&lt;=U1092,NOT(Q1092)),B1092,U1092)*(1-Inputs!$B$12)</f>
        <v>0.828353641042182</v>
      </c>
    </row>
    <row r="1093" customFormat="false" ht="15" hidden="false" customHeight="false" outlineLevel="0" collapsed="false">
      <c r="A1093" s="6" t="n">
        <v>45877</v>
      </c>
      <c r="B1093" s="7" t="n">
        <v>0.83356931532051</v>
      </c>
      <c r="C1093" s="7" t="n">
        <v>0.843294603436905</v>
      </c>
      <c r="D1093" s="7" t="n">
        <v>0.831157193161497</v>
      </c>
      <c r="E1093" s="7" t="n">
        <v>0.841871321870274</v>
      </c>
      <c r="F1093" s="8" t="n">
        <f aca="true">IF(ROW()-2&gt;=Inputs!$B$4,AVERAGE(OFFSET(E1093,1-Inputs!$B$4,0,Inputs!$B$4,1)),"")</f>
        <v>0.821370263948868</v>
      </c>
      <c r="G1093" s="8" t="n">
        <f aca="true">IF(ROW()-2&gt;=Inputs!$B$5,AVERAGE(OFFSET(E1093,1-Inputs!$B$5,0,Inputs!$B$5,1)),"")</f>
        <v>0.834642629525571</v>
      </c>
      <c r="H1093" s="8" t="n">
        <f aca="false">MAX(C1093-D1093,ABS(C1093-E1092),ABS(D1093-E1092))</f>
        <v>0.0121374102754085</v>
      </c>
      <c r="I1093" s="8" t="n">
        <f aca="true">IF(ROW()-2&lt;14,"",IF(ROW()-2=14,AVERAGE(OFFSET(H1093,-13,0,14,1)),(I1092*13+H1093)/14))</f>
        <v>0.00931128681998502</v>
      </c>
      <c r="J1093" s="9" t="b">
        <f aca="false">IF(AND(ISNUMBER(F1093),ISNUMBER(G1093),ISNUMBER(F1092),ISNUMBER(G1092)),AND(F1093&gt;G1093,F1092&lt;=G1092),FALSE())</f>
        <v>0</v>
      </c>
      <c r="K1093" s="9" t="b">
        <f aca="false">IF(AND(ISNUMBER(F1093),ISNUMBER(G1093),ISNUMBER(F1092),ISNUMBER(G1092)),AND(F1093&lt;G1093,F1092&gt;=G1092),FALSE())</f>
        <v>0</v>
      </c>
      <c r="L1093" s="8" t="n">
        <f aca="false">IF(ISNUMBER(I1093),E1093-Inputs!$B$6*I1093,"")</f>
        <v>0.823248748230304</v>
      </c>
      <c r="M1093" s="9" t="b">
        <f aca="false">AND(Y1092&gt;0,Z1092)</f>
        <v>0</v>
      </c>
      <c r="N1093" s="8" t="n">
        <f aca="false">B1093*(1-Inputs!$B$12)</f>
        <v>0.833402601457446</v>
      </c>
      <c r="O1093" s="10" t="n">
        <f aca="false">IF(M1093,Y1092*(N1093-AB1092)-Inputs!$B$9-Y1092*AD1092*Inputs!$B$13*(A1093-AC1092),0)</f>
        <v>0</v>
      </c>
      <c r="P1093" s="10" t="n">
        <f aca="false">X1092+O1093</f>
        <v>945.618668179282</v>
      </c>
      <c r="Q1093" s="9" t="b">
        <f aca="false">AND(IF(M1093,0,Y1092)=0,AA1092,IF(ISNUMBER(AE1092),B1093&gt;AE1092,FALSE()))</f>
        <v>0</v>
      </c>
      <c r="R1093" s="8" t="n">
        <f aca="false">B1093*(1+Inputs!$B$12)</f>
        <v>0.833736029183574</v>
      </c>
      <c r="S1093" s="11" t="n">
        <f aca="false">IF(Q1093,MIN(P1093*Inputs!$B$3/(R1093-AE1092),P1093*Inputs!$B$11/R1093),0)</f>
        <v>0</v>
      </c>
      <c r="T1093" s="11" t="n">
        <f aca="false">IF(Q1093,S1093,IF(M1093,0,Y1092))</f>
        <v>0</v>
      </c>
      <c r="U1093" s="8" t="n">
        <f aca="false">IF(Q1093,AE1092,AF1092)</f>
        <v>0.839979947684787</v>
      </c>
      <c r="V1093" s="9" t="b">
        <f aca="false">AND(T1093&gt;0,D1093&lt;=U1093)</f>
        <v>0</v>
      </c>
      <c r="W1093" s="10" t="n">
        <f aca="false">IF(V1093,T1093*(AK1093-AB1093)-Inputs!$B$9-T1093*AD1093*Inputs!$B$13*(A1093-AC1093),0)</f>
        <v>0</v>
      </c>
      <c r="X1093" s="10" t="n">
        <f aca="false">P1093-IF(Q1093,Inputs!$B$9,0)+W1093</f>
        <v>945.618668179282</v>
      </c>
      <c r="Y1093" s="11" t="n">
        <f aca="false">IF(V1093,0,T1093)</f>
        <v>0</v>
      </c>
      <c r="Z1093" s="9" t="b">
        <f aca="false">AND(Y1093&gt;0,K1093)</f>
        <v>0</v>
      </c>
      <c r="AA1093" s="9" t="b">
        <f aca="false">AND(Y1093=0,J1093,ISNUMBER(L1093))</f>
        <v>0</v>
      </c>
      <c r="AB1093" s="8" t="n">
        <f aca="false">IF(Q1093,R1093,AB1092)</f>
        <v>0.85718419932201</v>
      </c>
      <c r="AC1093" s="12" t="n">
        <f aca="false">IF(Q1093,A1093,AC1092)</f>
        <v>45834</v>
      </c>
      <c r="AD1093" s="8" t="n">
        <f aca="false">IF(Q1093,B1093,AD1092)</f>
        <v>0.857012796762658</v>
      </c>
      <c r="AE1093" s="8" t="str">
        <f aca="false">IF(AA1093,L1093,"")</f>
        <v/>
      </c>
      <c r="AF1093" s="8" t="n">
        <f aca="false">U1093</f>
        <v>0.839979947684787</v>
      </c>
      <c r="AG1093" s="2" t="n">
        <f aca="false">AG1092+IF(Q1093,1,0)</f>
        <v>11</v>
      </c>
      <c r="AH1093" s="2" t="n">
        <f aca="false">AG1092</f>
        <v>11</v>
      </c>
      <c r="AI1093" s="10" t="n">
        <f aca="false">X1093+Y1093*(E1093-AB1093)-Y1093*AD1093*Inputs!$B$13*(A1093-AC1093)</f>
        <v>945.618668179282</v>
      </c>
      <c r="AJ1093" s="10" t="n">
        <v>0</v>
      </c>
      <c r="AK1093" s="8" t="n">
        <f aca="false">IF(AND(B1093&lt;=U1093,NOT(Q1093)),B1093,U1093)*(1-Inputs!$B$12)</f>
        <v>0.833402601457446</v>
      </c>
    </row>
    <row r="1094" customFormat="false" ht="15" hidden="false" customHeight="false" outlineLevel="0" collapsed="false">
      <c r="A1094" s="6" t="n">
        <v>45878</v>
      </c>
      <c r="B1094" s="7" t="n">
        <v>0.841871321870274</v>
      </c>
      <c r="C1094" s="7" t="n">
        <v>0.845425155649199</v>
      </c>
      <c r="D1094" s="7" t="n">
        <v>0.84090965203279</v>
      </c>
      <c r="E1094" s="7" t="n">
        <v>0.844882847938302</v>
      </c>
      <c r="F1094" s="8" t="n">
        <f aca="true">IF(ROW()-2&gt;=Inputs!$B$4,AVERAGE(OFFSET(E1094,1-Inputs!$B$4,0,Inputs!$B$4,1)),"")</f>
        <v>0.8221078678155</v>
      </c>
      <c r="G1094" s="8" t="n">
        <f aca="true">IF(ROW()-2&gt;=Inputs!$B$5,AVERAGE(OFFSET(E1094,1-Inputs!$B$5,0,Inputs!$B$5,1)),"")</f>
        <v>0.834679405548372</v>
      </c>
      <c r="H1094" s="8" t="n">
        <f aca="false">MAX(C1094-D1094,ABS(C1094-E1093),ABS(D1094-E1093))</f>
        <v>0.00451550361640873</v>
      </c>
      <c r="I1094" s="8" t="n">
        <f aca="true">IF(ROW()-2&lt;14,"",IF(ROW()-2=14,AVERAGE(OFFSET(H1094,-13,0,14,1)),(I1093*13+H1094)/14))</f>
        <v>0.00896873087687243</v>
      </c>
      <c r="J1094" s="9" t="b">
        <f aca="false">IF(AND(ISNUMBER(F1094),ISNUMBER(G1094),ISNUMBER(F1093),ISNUMBER(G1093)),AND(F1094&gt;G1094,F1093&lt;=G1093),FALSE())</f>
        <v>0</v>
      </c>
      <c r="K1094" s="9" t="b">
        <f aca="false">IF(AND(ISNUMBER(F1094),ISNUMBER(G1094),ISNUMBER(F1093),ISNUMBER(G1093)),AND(F1094&lt;G1094,F1093&gt;=G1093),FALSE())</f>
        <v>0</v>
      </c>
      <c r="L1094" s="8" t="n">
        <f aca="false">IF(ISNUMBER(I1094),E1094-Inputs!$B$6*I1094,"")</f>
        <v>0.826945386184558</v>
      </c>
      <c r="M1094" s="9" t="b">
        <f aca="false">AND(Y1093&gt;0,Z1093)</f>
        <v>0</v>
      </c>
      <c r="N1094" s="8" t="n">
        <f aca="false">B1094*(1-Inputs!$B$12)</f>
        <v>0.8417029476059</v>
      </c>
      <c r="O1094" s="10" t="n">
        <f aca="false">IF(M1094,Y1093*(N1094-AB1093)-Inputs!$B$9-Y1093*AD1093*Inputs!$B$13*(A1094-AC1093),0)</f>
        <v>0</v>
      </c>
      <c r="P1094" s="10" t="n">
        <f aca="false">X1093+O1094</f>
        <v>945.618668179282</v>
      </c>
      <c r="Q1094" s="9" t="b">
        <f aca="false">AND(IF(M1094,0,Y1093)=0,AA1093,IF(ISNUMBER(AE1093),B1094&gt;AE1093,FALSE()))</f>
        <v>0</v>
      </c>
      <c r="R1094" s="8" t="n">
        <f aca="false">B1094*(1+Inputs!$B$12)</f>
        <v>0.842039696134648</v>
      </c>
      <c r="S1094" s="11" t="n">
        <f aca="false">IF(Q1094,MIN(P1094*Inputs!$B$3/(R1094-AE1093),P1094*Inputs!$B$11/R1094),0)</f>
        <v>0</v>
      </c>
      <c r="T1094" s="11" t="n">
        <f aca="false">IF(Q1094,S1094,IF(M1094,0,Y1093))</f>
        <v>0</v>
      </c>
      <c r="U1094" s="8" t="n">
        <f aca="false">IF(Q1094,AE1093,AF1093)</f>
        <v>0.839979947684787</v>
      </c>
      <c r="V1094" s="9" t="b">
        <f aca="false">AND(T1094&gt;0,D1094&lt;=U1094)</f>
        <v>0</v>
      </c>
      <c r="W1094" s="10" t="n">
        <f aca="false">IF(V1094,T1094*(AK1094-AB1094)-Inputs!$B$9-T1094*AD1094*Inputs!$B$13*(A1094-AC1094),0)</f>
        <v>0</v>
      </c>
      <c r="X1094" s="10" t="n">
        <f aca="false">P1094-IF(Q1094,Inputs!$B$9,0)+W1094</f>
        <v>945.618668179282</v>
      </c>
      <c r="Y1094" s="11" t="n">
        <f aca="false">IF(V1094,0,T1094)</f>
        <v>0</v>
      </c>
      <c r="Z1094" s="9" t="b">
        <f aca="false">AND(Y1094&gt;0,K1094)</f>
        <v>0</v>
      </c>
      <c r="AA1094" s="9" t="b">
        <f aca="false">AND(Y1094=0,J1094,ISNUMBER(L1094))</f>
        <v>0</v>
      </c>
      <c r="AB1094" s="8" t="n">
        <f aca="false">IF(Q1094,R1094,AB1093)</f>
        <v>0.85718419932201</v>
      </c>
      <c r="AC1094" s="12" t="n">
        <f aca="false">IF(Q1094,A1094,AC1093)</f>
        <v>45834</v>
      </c>
      <c r="AD1094" s="8" t="n">
        <f aca="false">IF(Q1094,B1094,AD1093)</f>
        <v>0.857012796762658</v>
      </c>
      <c r="AE1094" s="8" t="str">
        <f aca="false">IF(AA1094,L1094,"")</f>
        <v/>
      </c>
      <c r="AF1094" s="8" t="n">
        <f aca="false">U1094</f>
        <v>0.839979947684787</v>
      </c>
      <c r="AG1094" s="2" t="n">
        <f aca="false">AG1093+IF(Q1094,1,0)</f>
        <v>11</v>
      </c>
      <c r="AH1094" s="2" t="n">
        <f aca="false">AG1093</f>
        <v>11</v>
      </c>
      <c r="AI1094" s="10" t="n">
        <f aca="false">X1094+Y1094*(E1094-AB1094)-Y1094*AD1094*Inputs!$B$13*(A1094-AC1094)</f>
        <v>945.618668179282</v>
      </c>
      <c r="AJ1094" s="10" t="n">
        <v>0</v>
      </c>
      <c r="AK1094" s="8" t="n">
        <f aca="false">IF(AND(B1094&lt;=U1094,NOT(Q1094)),B1094,U1094)*(1-Inputs!$B$12)</f>
        <v>0.83981195169525</v>
      </c>
    </row>
    <row r="1095" customFormat="false" ht="15" hidden="false" customHeight="false" outlineLevel="0" collapsed="false">
      <c r="A1095" s="6" t="n">
        <v>45879</v>
      </c>
      <c r="B1095" s="7" t="n">
        <v>0.844882847938302</v>
      </c>
      <c r="C1095" s="7" t="n">
        <v>0.846769632918048</v>
      </c>
      <c r="D1095" s="7" t="n">
        <v>0.844607785764209</v>
      </c>
      <c r="E1095" s="7" t="n">
        <v>0.845846825104128</v>
      </c>
      <c r="F1095" s="8" t="n">
        <f aca="true">IF(ROW()-2&gt;=Inputs!$B$4,AVERAGE(OFFSET(E1095,1-Inputs!$B$4,0,Inputs!$B$4,1)),"")</f>
        <v>0.823025866355581</v>
      </c>
      <c r="G1095" s="8" t="n">
        <f aca="true">IF(ROW()-2&gt;=Inputs!$B$5,AVERAGE(OFFSET(E1095,1-Inputs!$B$5,0,Inputs!$B$5,1)),"")</f>
        <v>0.83461602772245</v>
      </c>
      <c r="H1095" s="8" t="n">
        <f aca="false">MAX(C1095-D1095,ABS(C1095-E1094),ABS(D1095-E1094))</f>
        <v>0.00216184715383838</v>
      </c>
      <c r="I1095" s="8" t="n">
        <f aca="true">IF(ROW()-2&lt;14,"",IF(ROW()-2=14,AVERAGE(OFFSET(H1095,-13,0,14,1)),(I1094*13+H1095)/14))</f>
        <v>0.00848252489665572</v>
      </c>
      <c r="J1095" s="9" t="b">
        <f aca="false">IF(AND(ISNUMBER(F1095),ISNUMBER(G1095),ISNUMBER(F1094),ISNUMBER(G1094)),AND(F1095&gt;G1095,F1094&lt;=G1094),FALSE())</f>
        <v>0</v>
      </c>
      <c r="K1095" s="9" t="b">
        <f aca="false">IF(AND(ISNUMBER(F1095),ISNUMBER(G1095),ISNUMBER(F1094),ISNUMBER(G1094)),AND(F1095&lt;G1095,F1094&gt;=G1094),FALSE())</f>
        <v>0</v>
      </c>
      <c r="L1095" s="8" t="n">
        <f aca="false">IF(ISNUMBER(I1095),E1095-Inputs!$B$6*I1095,"")</f>
        <v>0.828881775310816</v>
      </c>
      <c r="M1095" s="9" t="b">
        <f aca="false">AND(Y1094&gt;0,Z1094)</f>
        <v>0</v>
      </c>
      <c r="N1095" s="8" t="n">
        <f aca="false">B1095*(1-Inputs!$B$12)</f>
        <v>0.844713871368715</v>
      </c>
      <c r="O1095" s="10" t="n">
        <f aca="false">IF(M1095,Y1094*(N1095-AB1094)-Inputs!$B$9-Y1094*AD1094*Inputs!$B$13*(A1095-AC1094),0)</f>
        <v>0</v>
      </c>
      <c r="P1095" s="10" t="n">
        <f aca="false">X1094+O1095</f>
        <v>945.618668179282</v>
      </c>
      <c r="Q1095" s="9" t="b">
        <f aca="false">AND(IF(M1095,0,Y1094)=0,AA1094,IF(ISNUMBER(AE1094),B1095&gt;AE1094,FALSE()))</f>
        <v>0</v>
      </c>
      <c r="R1095" s="8" t="n">
        <f aca="false">B1095*(1+Inputs!$B$12)</f>
        <v>0.84505182450789</v>
      </c>
      <c r="S1095" s="11" t="n">
        <f aca="false">IF(Q1095,MIN(P1095*Inputs!$B$3/(R1095-AE1094),P1095*Inputs!$B$11/R1095),0)</f>
        <v>0</v>
      </c>
      <c r="T1095" s="11" t="n">
        <f aca="false">IF(Q1095,S1095,IF(M1095,0,Y1094))</f>
        <v>0</v>
      </c>
      <c r="U1095" s="8" t="n">
        <f aca="false">IF(Q1095,AE1094,AF1094)</f>
        <v>0.839979947684787</v>
      </c>
      <c r="V1095" s="9" t="b">
        <f aca="false">AND(T1095&gt;0,D1095&lt;=U1095)</f>
        <v>0</v>
      </c>
      <c r="W1095" s="10" t="n">
        <f aca="false">IF(V1095,T1095*(AK1095-AB1095)-Inputs!$B$9-T1095*AD1095*Inputs!$B$13*(A1095-AC1095),0)</f>
        <v>0</v>
      </c>
      <c r="X1095" s="10" t="n">
        <f aca="false">P1095-IF(Q1095,Inputs!$B$9,0)+W1095</f>
        <v>945.618668179282</v>
      </c>
      <c r="Y1095" s="11" t="n">
        <f aca="false">IF(V1095,0,T1095)</f>
        <v>0</v>
      </c>
      <c r="Z1095" s="9" t="b">
        <f aca="false">AND(Y1095&gt;0,K1095)</f>
        <v>0</v>
      </c>
      <c r="AA1095" s="9" t="b">
        <f aca="false">AND(Y1095=0,J1095,ISNUMBER(L1095))</f>
        <v>0</v>
      </c>
      <c r="AB1095" s="8" t="n">
        <f aca="false">IF(Q1095,R1095,AB1094)</f>
        <v>0.85718419932201</v>
      </c>
      <c r="AC1095" s="12" t="n">
        <f aca="false">IF(Q1095,A1095,AC1094)</f>
        <v>45834</v>
      </c>
      <c r="AD1095" s="8" t="n">
        <f aca="false">IF(Q1095,B1095,AD1094)</f>
        <v>0.857012796762658</v>
      </c>
      <c r="AE1095" s="8" t="str">
        <f aca="false">IF(AA1095,L1095,"")</f>
        <v/>
      </c>
      <c r="AF1095" s="8" t="n">
        <f aca="false">U1095</f>
        <v>0.839979947684787</v>
      </c>
      <c r="AG1095" s="2" t="n">
        <f aca="false">AG1094+IF(Q1095,1,0)</f>
        <v>11</v>
      </c>
      <c r="AH1095" s="2" t="n">
        <f aca="false">AG1094</f>
        <v>11</v>
      </c>
      <c r="AI1095" s="10" t="n">
        <f aca="false">X1095+Y1095*(E1095-AB1095)-Y1095*AD1095*Inputs!$B$13*(A1095-AC1095)</f>
        <v>945.618668179282</v>
      </c>
      <c r="AJ1095" s="10" t="n">
        <v>0</v>
      </c>
      <c r="AK1095" s="8" t="n">
        <f aca="false">IF(AND(B1095&lt;=U1095,NOT(Q1095)),B1095,U1095)*(1-Inputs!$B$12)</f>
        <v>0.83981195169525</v>
      </c>
    </row>
    <row r="1096" customFormat="false" ht="15" hidden="false" customHeight="false" outlineLevel="0" collapsed="false">
      <c r="A1096" s="6" t="n">
        <v>45880</v>
      </c>
      <c r="B1096" s="7" t="n">
        <v>0.845846825104128</v>
      </c>
      <c r="C1096" s="7" t="n">
        <v>0.847163833086675</v>
      </c>
      <c r="D1096" s="7" t="n">
        <v>0.845651612153199</v>
      </c>
      <c r="E1096" s="7" t="n">
        <v>0.846685316043369</v>
      </c>
      <c r="F1096" s="8" t="n">
        <f aca="true">IF(ROW()-2&gt;=Inputs!$B$4,AVERAGE(OFFSET(E1096,1-Inputs!$B$4,0,Inputs!$B$4,1)),"")</f>
        <v>0.824240156770624</v>
      </c>
      <c r="G1096" s="8" t="n">
        <f aca="true">IF(ROW()-2&gt;=Inputs!$B$5,AVERAGE(OFFSET(E1096,1-Inputs!$B$5,0,Inputs!$B$5,1)),"")</f>
        <v>0.834418517637669</v>
      </c>
      <c r="H1096" s="8" t="n">
        <f aca="false">MAX(C1096-D1096,ABS(C1096-E1095),ABS(D1096-E1095))</f>
        <v>0.00151222093347558</v>
      </c>
      <c r="I1096" s="8" t="n">
        <f aca="true">IF(ROW()-2&lt;14,"",IF(ROW()-2=14,AVERAGE(OFFSET(H1096,-13,0,14,1)),(I1095*13+H1096)/14))</f>
        <v>0.00798464604214285</v>
      </c>
      <c r="J1096" s="9" t="b">
        <f aca="false">IF(AND(ISNUMBER(F1096),ISNUMBER(G1096),ISNUMBER(F1095),ISNUMBER(G1095)),AND(F1096&gt;G1096,F1095&lt;=G1095),FALSE())</f>
        <v>0</v>
      </c>
      <c r="K1096" s="9" t="b">
        <f aca="false">IF(AND(ISNUMBER(F1096),ISNUMBER(G1096),ISNUMBER(F1095),ISNUMBER(G1095)),AND(F1096&lt;G1096,F1095&gt;=G1095),FALSE())</f>
        <v>0</v>
      </c>
      <c r="L1096" s="8" t="n">
        <f aca="false">IF(ISNUMBER(I1096),E1096-Inputs!$B$6*I1096,"")</f>
        <v>0.830716023959083</v>
      </c>
      <c r="M1096" s="9" t="b">
        <f aca="false">AND(Y1095&gt;0,Z1095)</f>
        <v>0</v>
      </c>
      <c r="N1096" s="8" t="n">
        <f aca="false">B1096*(1-Inputs!$B$12)</f>
        <v>0.845677655739107</v>
      </c>
      <c r="O1096" s="10" t="n">
        <f aca="false">IF(M1096,Y1095*(N1096-AB1095)-Inputs!$B$9-Y1095*AD1095*Inputs!$B$13*(A1096-AC1095),0)</f>
        <v>0</v>
      </c>
      <c r="P1096" s="10" t="n">
        <f aca="false">X1095+O1096</f>
        <v>945.618668179282</v>
      </c>
      <c r="Q1096" s="9" t="b">
        <f aca="false">AND(IF(M1096,0,Y1095)=0,AA1095,IF(ISNUMBER(AE1095),B1096&gt;AE1095,FALSE()))</f>
        <v>0</v>
      </c>
      <c r="R1096" s="8" t="n">
        <f aca="false">B1096*(1+Inputs!$B$12)</f>
        <v>0.846015994469149</v>
      </c>
      <c r="S1096" s="11" t="n">
        <f aca="false">IF(Q1096,MIN(P1096*Inputs!$B$3/(R1096-AE1095),P1096*Inputs!$B$11/R1096),0)</f>
        <v>0</v>
      </c>
      <c r="T1096" s="11" t="n">
        <f aca="false">IF(Q1096,S1096,IF(M1096,0,Y1095))</f>
        <v>0</v>
      </c>
      <c r="U1096" s="8" t="n">
        <f aca="false">IF(Q1096,AE1095,AF1095)</f>
        <v>0.839979947684787</v>
      </c>
      <c r="V1096" s="9" t="b">
        <f aca="false">AND(T1096&gt;0,D1096&lt;=U1096)</f>
        <v>0</v>
      </c>
      <c r="W1096" s="10" t="n">
        <f aca="false">IF(V1096,T1096*(AK1096-AB1096)-Inputs!$B$9-T1096*AD1096*Inputs!$B$13*(A1096-AC1096),0)</f>
        <v>0</v>
      </c>
      <c r="X1096" s="10" t="n">
        <f aca="false">P1096-IF(Q1096,Inputs!$B$9,0)+W1096</f>
        <v>945.618668179282</v>
      </c>
      <c r="Y1096" s="11" t="n">
        <f aca="false">IF(V1096,0,T1096)</f>
        <v>0</v>
      </c>
      <c r="Z1096" s="9" t="b">
        <f aca="false">AND(Y1096&gt;0,K1096)</f>
        <v>0</v>
      </c>
      <c r="AA1096" s="9" t="b">
        <f aca="false">AND(Y1096=0,J1096,ISNUMBER(L1096))</f>
        <v>0</v>
      </c>
      <c r="AB1096" s="8" t="n">
        <f aca="false">IF(Q1096,R1096,AB1095)</f>
        <v>0.85718419932201</v>
      </c>
      <c r="AC1096" s="12" t="n">
        <f aca="false">IF(Q1096,A1096,AC1095)</f>
        <v>45834</v>
      </c>
      <c r="AD1096" s="8" t="n">
        <f aca="false">IF(Q1096,B1096,AD1095)</f>
        <v>0.857012796762658</v>
      </c>
      <c r="AE1096" s="8" t="str">
        <f aca="false">IF(AA1096,L1096,"")</f>
        <v/>
      </c>
      <c r="AF1096" s="8" t="n">
        <f aca="false">U1096</f>
        <v>0.839979947684787</v>
      </c>
      <c r="AG1096" s="2" t="n">
        <f aca="false">AG1095+IF(Q1096,1,0)</f>
        <v>11</v>
      </c>
      <c r="AH1096" s="2" t="n">
        <f aca="false">AG1095</f>
        <v>11</v>
      </c>
      <c r="AI1096" s="10" t="n">
        <f aca="false">X1096+Y1096*(E1096-AB1096)-Y1096*AD1096*Inputs!$B$13*(A1096-AC1096)</f>
        <v>945.618668179282</v>
      </c>
      <c r="AJ1096" s="10" t="n">
        <v>0</v>
      </c>
      <c r="AK1096" s="8" t="n">
        <f aca="false">IF(AND(B1096&lt;=U1096,NOT(Q1096)),B1096,U1096)*(1-Inputs!$B$12)</f>
        <v>0.83981195169525</v>
      </c>
    </row>
    <row r="1097" customFormat="false" ht="15" hidden="false" customHeight="false" outlineLevel="0" collapsed="false">
      <c r="A1097" s="6" t="n">
        <v>45881</v>
      </c>
      <c r="B1097" s="7" t="n">
        <v>0.846685316043369</v>
      </c>
      <c r="C1097" s="7" t="n">
        <v>0.849268521516705</v>
      </c>
      <c r="D1097" s="7" t="n">
        <v>0.840217885141202</v>
      </c>
      <c r="E1097" s="7" t="n">
        <v>0.843555375544575</v>
      </c>
      <c r="F1097" s="8" t="n">
        <f aca="true">IF(ROW()-2&gt;=Inputs!$B$4,AVERAGE(OFFSET(E1097,1-Inputs!$B$4,0,Inputs!$B$4,1)),"")</f>
        <v>0.824956887376643</v>
      </c>
      <c r="G1097" s="8" t="n">
        <f aca="true">IF(ROW()-2&gt;=Inputs!$B$5,AVERAGE(OFFSET(E1097,1-Inputs!$B$5,0,Inputs!$B$5,1)),"")</f>
        <v>0.834161078126895</v>
      </c>
      <c r="H1097" s="8" t="n">
        <f aca="false">MAX(C1097-D1097,ABS(C1097-E1096),ABS(D1097-E1096))</f>
        <v>0.00905063637550296</v>
      </c>
      <c r="I1097" s="8" t="n">
        <f aca="true">IF(ROW()-2&lt;14,"",IF(ROW()-2=14,AVERAGE(OFFSET(H1097,-13,0,14,1)),(I1096*13+H1097)/14))</f>
        <v>0.00806078820881143</v>
      </c>
      <c r="J1097" s="9" t="b">
        <f aca="false">IF(AND(ISNUMBER(F1097),ISNUMBER(G1097),ISNUMBER(F1096),ISNUMBER(G1096)),AND(F1097&gt;G1097,F1096&lt;=G1096),FALSE())</f>
        <v>0</v>
      </c>
      <c r="K1097" s="9" t="b">
        <f aca="false">IF(AND(ISNUMBER(F1097),ISNUMBER(G1097),ISNUMBER(F1096),ISNUMBER(G1096)),AND(F1097&lt;G1097,F1096&gt;=G1096),FALSE())</f>
        <v>0</v>
      </c>
      <c r="L1097" s="8" t="n">
        <f aca="false">IF(ISNUMBER(I1097),E1097-Inputs!$B$6*I1097,"")</f>
        <v>0.827433799126952</v>
      </c>
      <c r="M1097" s="9" t="b">
        <f aca="false">AND(Y1096&gt;0,Z1096)</f>
        <v>0</v>
      </c>
      <c r="N1097" s="8" t="n">
        <f aca="false">B1097*(1-Inputs!$B$12)</f>
        <v>0.84651597898016</v>
      </c>
      <c r="O1097" s="10" t="n">
        <f aca="false">IF(M1097,Y1096*(N1097-AB1096)-Inputs!$B$9-Y1096*AD1096*Inputs!$B$13*(A1097-AC1096),0)</f>
        <v>0</v>
      </c>
      <c r="P1097" s="10" t="n">
        <f aca="false">X1096+O1097</f>
        <v>945.618668179282</v>
      </c>
      <c r="Q1097" s="9" t="b">
        <f aca="false">AND(IF(M1097,0,Y1096)=0,AA1096,IF(ISNUMBER(AE1096),B1097&gt;AE1096,FALSE()))</f>
        <v>0</v>
      </c>
      <c r="R1097" s="8" t="n">
        <f aca="false">B1097*(1+Inputs!$B$12)</f>
        <v>0.846854653106578</v>
      </c>
      <c r="S1097" s="11" t="n">
        <f aca="false">IF(Q1097,MIN(P1097*Inputs!$B$3/(R1097-AE1096),P1097*Inputs!$B$11/R1097),0)</f>
        <v>0</v>
      </c>
      <c r="T1097" s="11" t="n">
        <f aca="false">IF(Q1097,S1097,IF(M1097,0,Y1096))</f>
        <v>0</v>
      </c>
      <c r="U1097" s="8" t="n">
        <f aca="false">IF(Q1097,AE1096,AF1096)</f>
        <v>0.839979947684787</v>
      </c>
      <c r="V1097" s="9" t="b">
        <f aca="false">AND(T1097&gt;0,D1097&lt;=U1097)</f>
        <v>0</v>
      </c>
      <c r="W1097" s="10" t="n">
        <f aca="false">IF(V1097,T1097*(AK1097-AB1097)-Inputs!$B$9-T1097*AD1097*Inputs!$B$13*(A1097-AC1097),0)</f>
        <v>0</v>
      </c>
      <c r="X1097" s="10" t="n">
        <f aca="false">P1097-IF(Q1097,Inputs!$B$9,0)+W1097</f>
        <v>945.618668179282</v>
      </c>
      <c r="Y1097" s="11" t="n">
        <f aca="false">IF(V1097,0,T1097)</f>
        <v>0</v>
      </c>
      <c r="Z1097" s="9" t="b">
        <f aca="false">AND(Y1097&gt;0,K1097)</f>
        <v>0</v>
      </c>
      <c r="AA1097" s="9" t="b">
        <f aca="false">AND(Y1097=0,J1097,ISNUMBER(L1097))</f>
        <v>0</v>
      </c>
      <c r="AB1097" s="8" t="n">
        <f aca="false">IF(Q1097,R1097,AB1096)</f>
        <v>0.85718419932201</v>
      </c>
      <c r="AC1097" s="12" t="n">
        <f aca="false">IF(Q1097,A1097,AC1096)</f>
        <v>45834</v>
      </c>
      <c r="AD1097" s="8" t="n">
        <f aca="false">IF(Q1097,B1097,AD1096)</f>
        <v>0.857012796762658</v>
      </c>
      <c r="AE1097" s="8" t="str">
        <f aca="false">IF(AA1097,L1097,"")</f>
        <v/>
      </c>
      <c r="AF1097" s="8" t="n">
        <f aca="false">U1097</f>
        <v>0.839979947684787</v>
      </c>
      <c r="AG1097" s="2" t="n">
        <f aca="false">AG1096+IF(Q1097,1,0)</f>
        <v>11</v>
      </c>
      <c r="AH1097" s="2" t="n">
        <f aca="false">AG1096</f>
        <v>11</v>
      </c>
      <c r="AI1097" s="10" t="n">
        <f aca="false">X1097+Y1097*(E1097-AB1097)-Y1097*AD1097*Inputs!$B$13*(A1097-AC1097)</f>
        <v>945.618668179282</v>
      </c>
      <c r="AJ1097" s="10" t="n">
        <v>0</v>
      </c>
      <c r="AK1097" s="8" t="n">
        <f aca="false">IF(AND(B1097&lt;=U1097,NOT(Q1097)),B1097,U1097)*(1-Inputs!$B$12)</f>
        <v>0.83981195169525</v>
      </c>
    </row>
    <row r="1098" customFormat="false" ht="15" hidden="false" customHeight="false" outlineLevel="0" collapsed="false">
      <c r="A1098" s="6" t="n">
        <v>45882</v>
      </c>
      <c r="B1098" s="7" t="n">
        <v>0.843555375544575</v>
      </c>
      <c r="C1098" s="7" t="n">
        <v>0.845564183852047</v>
      </c>
      <c r="D1098" s="7" t="n">
        <v>0.837474970361259</v>
      </c>
      <c r="E1098" s="7" t="n">
        <v>0.837764279271851</v>
      </c>
      <c r="F1098" s="8" t="n">
        <f aca="true">IF(ROW()-2&gt;=Inputs!$B$4,AVERAGE(OFFSET(E1098,1-Inputs!$B$4,0,Inputs!$B$4,1)),"")</f>
        <v>0.825891009856856</v>
      </c>
      <c r="G1098" s="8" t="n">
        <f aca="true">IF(ROW()-2&gt;=Inputs!$B$5,AVERAGE(OFFSET(E1098,1-Inputs!$B$5,0,Inputs!$B$5,1)),"")</f>
        <v>0.8337660517581</v>
      </c>
      <c r="H1098" s="8" t="n">
        <f aca="false">MAX(C1098-D1098,ABS(C1098-E1097),ABS(D1098-E1097))</f>
        <v>0.00808921349078717</v>
      </c>
      <c r="I1098" s="8" t="n">
        <f aca="true">IF(ROW()-2&lt;14,"",IF(ROW()-2=14,AVERAGE(OFFSET(H1098,-13,0,14,1)),(I1097*13+H1098)/14))</f>
        <v>0.00806281858609541</v>
      </c>
      <c r="J1098" s="9" t="b">
        <f aca="false">IF(AND(ISNUMBER(F1098),ISNUMBER(G1098),ISNUMBER(F1097),ISNUMBER(G1097)),AND(F1098&gt;G1098,F1097&lt;=G1097),FALSE())</f>
        <v>0</v>
      </c>
      <c r="K1098" s="9" t="b">
        <f aca="false">IF(AND(ISNUMBER(F1098),ISNUMBER(G1098),ISNUMBER(F1097),ISNUMBER(G1097)),AND(F1098&lt;G1098,F1097&gt;=G1097),FALSE())</f>
        <v>0</v>
      </c>
      <c r="L1098" s="8" t="n">
        <f aca="false">IF(ISNUMBER(I1098),E1098-Inputs!$B$6*I1098,"")</f>
        <v>0.82163864209966</v>
      </c>
      <c r="M1098" s="9" t="b">
        <f aca="false">AND(Y1097&gt;0,Z1097)</f>
        <v>0</v>
      </c>
      <c r="N1098" s="8" t="n">
        <f aca="false">B1098*(1-Inputs!$B$12)</f>
        <v>0.843386664469466</v>
      </c>
      <c r="O1098" s="10" t="n">
        <f aca="false">IF(M1098,Y1097*(N1098-AB1097)-Inputs!$B$9-Y1097*AD1097*Inputs!$B$13*(A1098-AC1097),0)</f>
        <v>0</v>
      </c>
      <c r="P1098" s="10" t="n">
        <f aca="false">X1097+O1098</f>
        <v>945.618668179282</v>
      </c>
      <c r="Q1098" s="9" t="b">
        <f aca="false">AND(IF(M1098,0,Y1097)=0,AA1097,IF(ISNUMBER(AE1097),B1098&gt;AE1097,FALSE()))</f>
        <v>0</v>
      </c>
      <c r="R1098" s="8" t="n">
        <f aca="false">B1098*(1+Inputs!$B$12)</f>
        <v>0.843724086619684</v>
      </c>
      <c r="S1098" s="11" t="n">
        <f aca="false">IF(Q1098,MIN(P1098*Inputs!$B$3/(R1098-AE1097),P1098*Inputs!$B$11/R1098),0)</f>
        <v>0</v>
      </c>
      <c r="T1098" s="11" t="n">
        <f aca="false">IF(Q1098,S1098,IF(M1098,0,Y1097))</f>
        <v>0</v>
      </c>
      <c r="U1098" s="8" t="n">
        <f aca="false">IF(Q1098,AE1097,AF1097)</f>
        <v>0.839979947684787</v>
      </c>
      <c r="V1098" s="9" t="b">
        <f aca="false">AND(T1098&gt;0,D1098&lt;=U1098)</f>
        <v>0</v>
      </c>
      <c r="W1098" s="10" t="n">
        <f aca="false">IF(V1098,T1098*(AK1098-AB1098)-Inputs!$B$9-T1098*AD1098*Inputs!$B$13*(A1098-AC1098),0)</f>
        <v>0</v>
      </c>
      <c r="X1098" s="10" t="n">
        <f aca="false">P1098-IF(Q1098,Inputs!$B$9,0)+W1098</f>
        <v>945.618668179282</v>
      </c>
      <c r="Y1098" s="11" t="n">
        <f aca="false">IF(V1098,0,T1098)</f>
        <v>0</v>
      </c>
      <c r="Z1098" s="9" t="b">
        <f aca="false">AND(Y1098&gt;0,K1098)</f>
        <v>0</v>
      </c>
      <c r="AA1098" s="9" t="b">
        <f aca="false">AND(Y1098=0,J1098,ISNUMBER(L1098))</f>
        <v>0</v>
      </c>
      <c r="AB1098" s="8" t="n">
        <f aca="false">IF(Q1098,R1098,AB1097)</f>
        <v>0.85718419932201</v>
      </c>
      <c r="AC1098" s="12" t="n">
        <f aca="false">IF(Q1098,A1098,AC1097)</f>
        <v>45834</v>
      </c>
      <c r="AD1098" s="8" t="n">
        <f aca="false">IF(Q1098,B1098,AD1097)</f>
        <v>0.857012796762658</v>
      </c>
      <c r="AE1098" s="8" t="str">
        <f aca="false">IF(AA1098,L1098,"")</f>
        <v/>
      </c>
      <c r="AF1098" s="8" t="n">
        <f aca="false">U1098</f>
        <v>0.839979947684787</v>
      </c>
      <c r="AG1098" s="2" t="n">
        <f aca="false">AG1097+IF(Q1098,1,0)</f>
        <v>11</v>
      </c>
      <c r="AH1098" s="2" t="n">
        <f aca="false">AG1097</f>
        <v>11</v>
      </c>
      <c r="AI1098" s="10" t="n">
        <f aca="false">X1098+Y1098*(E1098-AB1098)-Y1098*AD1098*Inputs!$B$13*(A1098-AC1098)</f>
        <v>945.618668179282</v>
      </c>
      <c r="AJ1098" s="10" t="n">
        <v>0</v>
      </c>
      <c r="AK1098" s="8" t="n">
        <f aca="false">IF(AND(B1098&lt;=U1098,NOT(Q1098)),B1098,U1098)*(1-Inputs!$B$12)</f>
        <v>0.83981195169525</v>
      </c>
    </row>
    <row r="1099" customFormat="false" ht="15" hidden="false" customHeight="false" outlineLevel="0" collapsed="false">
      <c r="A1099" s="6" t="n">
        <v>45883</v>
      </c>
      <c r="B1099" s="7" t="n">
        <v>0.837764279271851</v>
      </c>
      <c r="C1099" s="7" t="n">
        <v>0.83915541224807</v>
      </c>
      <c r="D1099" s="7" t="n">
        <v>0.836265151678583</v>
      </c>
      <c r="E1099" s="7" t="n">
        <v>0.837630354314923</v>
      </c>
      <c r="F1099" s="8" t="n">
        <f aca="true">IF(ROW()-2&gt;=Inputs!$B$4,AVERAGE(OFFSET(E1099,1-Inputs!$B$4,0,Inputs!$B$4,1)),"")</f>
        <v>0.826976867145369</v>
      </c>
      <c r="G1099" s="8" t="n">
        <f aca="true">IF(ROW()-2&gt;=Inputs!$B$5,AVERAGE(OFFSET(E1099,1-Inputs!$B$5,0,Inputs!$B$5,1)),"")</f>
        <v>0.833378402909145</v>
      </c>
      <c r="H1099" s="8" t="n">
        <f aca="false">MAX(C1099-D1099,ABS(C1099-E1098),ABS(D1099-E1098))</f>
        <v>0.00289026056948782</v>
      </c>
      <c r="I1099" s="8" t="n">
        <f aca="true">IF(ROW()-2&lt;14,"",IF(ROW()-2=14,AVERAGE(OFFSET(H1099,-13,0,14,1)),(I1098*13+H1099)/14))</f>
        <v>0.00769335015633773</v>
      </c>
      <c r="J1099" s="9" t="b">
        <f aca="false">IF(AND(ISNUMBER(F1099),ISNUMBER(G1099),ISNUMBER(F1098),ISNUMBER(G1098)),AND(F1099&gt;G1099,F1098&lt;=G1098),FALSE())</f>
        <v>0</v>
      </c>
      <c r="K1099" s="9" t="b">
        <f aca="false">IF(AND(ISNUMBER(F1099),ISNUMBER(G1099),ISNUMBER(F1098),ISNUMBER(G1098)),AND(F1099&lt;G1099,F1098&gt;=G1098),FALSE())</f>
        <v>0</v>
      </c>
      <c r="L1099" s="8" t="n">
        <f aca="false">IF(ISNUMBER(I1099),E1099-Inputs!$B$6*I1099,"")</f>
        <v>0.822243654002248</v>
      </c>
      <c r="M1099" s="9" t="b">
        <f aca="false">AND(Y1098&gt;0,Z1098)</f>
        <v>0</v>
      </c>
      <c r="N1099" s="8" t="n">
        <f aca="false">B1099*(1-Inputs!$B$12)</f>
        <v>0.837596726415997</v>
      </c>
      <c r="O1099" s="10" t="n">
        <f aca="false">IF(M1099,Y1098*(N1099-AB1098)-Inputs!$B$9-Y1098*AD1098*Inputs!$B$13*(A1099-AC1098),0)</f>
        <v>0</v>
      </c>
      <c r="P1099" s="10" t="n">
        <f aca="false">X1098+O1099</f>
        <v>945.618668179282</v>
      </c>
      <c r="Q1099" s="9" t="b">
        <f aca="false">AND(IF(M1099,0,Y1098)=0,AA1098,IF(ISNUMBER(AE1098),B1099&gt;AE1098,FALSE()))</f>
        <v>0</v>
      </c>
      <c r="R1099" s="8" t="n">
        <f aca="false">B1099*(1+Inputs!$B$12)</f>
        <v>0.837931832127706</v>
      </c>
      <c r="S1099" s="11" t="n">
        <f aca="false">IF(Q1099,MIN(P1099*Inputs!$B$3/(R1099-AE1098),P1099*Inputs!$B$11/R1099),0)</f>
        <v>0</v>
      </c>
      <c r="T1099" s="11" t="n">
        <f aca="false">IF(Q1099,S1099,IF(M1099,0,Y1098))</f>
        <v>0</v>
      </c>
      <c r="U1099" s="8" t="n">
        <f aca="false">IF(Q1099,AE1098,AF1098)</f>
        <v>0.839979947684787</v>
      </c>
      <c r="V1099" s="9" t="b">
        <f aca="false">AND(T1099&gt;0,D1099&lt;=U1099)</f>
        <v>0</v>
      </c>
      <c r="W1099" s="10" t="n">
        <f aca="false">IF(V1099,T1099*(AK1099-AB1099)-Inputs!$B$9-T1099*AD1099*Inputs!$B$13*(A1099-AC1099),0)</f>
        <v>0</v>
      </c>
      <c r="X1099" s="10" t="n">
        <f aca="false">P1099-IF(Q1099,Inputs!$B$9,0)+W1099</f>
        <v>945.618668179282</v>
      </c>
      <c r="Y1099" s="11" t="n">
        <f aca="false">IF(V1099,0,T1099)</f>
        <v>0</v>
      </c>
      <c r="Z1099" s="9" t="b">
        <f aca="false">AND(Y1099&gt;0,K1099)</f>
        <v>0</v>
      </c>
      <c r="AA1099" s="9" t="b">
        <f aca="false">AND(Y1099=0,J1099,ISNUMBER(L1099))</f>
        <v>0</v>
      </c>
      <c r="AB1099" s="8" t="n">
        <f aca="false">IF(Q1099,R1099,AB1098)</f>
        <v>0.85718419932201</v>
      </c>
      <c r="AC1099" s="12" t="n">
        <f aca="false">IF(Q1099,A1099,AC1098)</f>
        <v>45834</v>
      </c>
      <c r="AD1099" s="8" t="n">
        <f aca="false">IF(Q1099,B1099,AD1098)</f>
        <v>0.857012796762658</v>
      </c>
      <c r="AE1099" s="8" t="str">
        <f aca="false">IF(AA1099,L1099,"")</f>
        <v/>
      </c>
      <c r="AF1099" s="8" t="n">
        <f aca="false">U1099</f>
        <v>0.839979947684787</v>
      </c>
      <c r="AG1099" s="2" t="n">
        <f aca="false">AG1098+IF(Q1099,1,0)</f>
        <v>11</v>
      </c>
      <c r="AH1099" s="2" t="n">
        <f aca="false">AG1098</f>
        <v>11</v>
      </c>
      <c r="AI1099" s="10" t="n">
        <f aca="false">X1099+Y1099*(E1099-AB1099)-Y1099*AD1099*Inputs!$B$13*(A1099-AC1099)</f>
        <v>945.618668179282</v>
      </c>
      <c r="AJ1099" s="10" t="n">
        <v>0</v>
      </c>
      <c r="AK1099" s="8" t="n">
        <f aca="false">IF(AND(B1099&lt;=U1099,NOT(Q1099)),B1099,U1099)*(1-Inputs!$B$12)</f>
        <v>0.837596726415997</v>
      </c>
    </row>
    <row r="1100" customFormat="false" ht="15" hidden="false" customHeight="false" outlineLevel="0" collapsed="false">
      <c r="A1100" s="6" t="n">
        <v>45884</v>
      </c>
      <c r="B1100" s="7" t="n">
        <v>0.837630354314923</v>
      </c>
      <c r="C1100" s="7" t="n">
        <v>0.847308853878613</v>
      </c>
      <c r="D1100" s="7" t="n">
        <v>0.83561996493111</v>
      </c>
      <c r="E1100" s="7" t="n">
        <v>0.847084192036546</v>
      </c>
      <c r="F1100" s="8" t="n">
        <f aca="true">IF(ROW()-2&gt;=Inputs!$B$4,AVERAGE(OFFSET(E1100,1-Inputs!$B$4,0,Inputs!$B$4,1)),"")</f>
        <v>0.828317562066468</v>
      </c>
      <c r="G1100" s="8" t="n">
        <f aca="true">IF(ROW()-2&gt;=Inputs!$B$5,AVERAGE(OFFSET(E1100,1-Inputs!$B$5,0,Inputs!$B$5,1)),"")</f>
        <v>0.833214529207066</v>
      </c>
      <c r="H1100" s="8" t="n">
        <f aca="false">MAX(C1100-D1100,ABS(C1100-E1099),ABS(D1100-E1099))</f>
        <v>0.0116888889475028</v>
      </c>
      <c r="I1100" s="8" t="n">
        <f aca="true">IF(ROW()-2&lt;14,"",IF(ROW()-2=14,AVERAGE(OFFSET(H1100,-13,0,14,1)),(I1099*13+H1100)/14))</f>
        <v>0.00797874578427808</v>
      </c>
      <c r="J1100" s="9" t="b">
        <f aca="false">IF(AND(ISNUMBER(F1100),ISNUMBER(G1100),ISNUMBER(F1099),ISNUMBER(G1099)),AND(F1100&gt;G1100,F1099&lt;=G1099),FALSE())</f>
        <v>0</v>
      </c>
      <c r="K1100" s="9" t="b">
        <f aca="false">IF(AND(ISNUMBER(F1100),ISNUMBER(G1100),ISNUMBER(F1099),ISNUMBER(G1099)),AND(F1100&lt;G1100,F1099&gt;=G1099),FALSE())</f>
        <v>0</v>
      </c>
      <c r="L1100" s="8" t="n">
        <f aca="false">IF(ISNUMBER(I1100),E1100-Inputs!$B$6*I1100,"")</f>
        <v>0.83112670046799</v>
      </c>
      <c r="M1100" s="9" t="b">
        <f aca="false">AND(Y1099&gt;0,Z1099)</f>
        <v>0</v>
      </c>
      <c r="N1100" s="8" t="n">
        <f aca="false">B1100*(1-Inputs!$B$12)</f>
        <v>0.83746282824406</v>
      </c>
      <c r="O1100" s="10" t="n">
        <f aca="false">IF(M1100,Y1099*(N1100-AB1099)-Inputs!$B$9-Y1099*AD1099*Inputs!$B$13*(A1100-AC1099),0)</f>
        <v>0</v>
      </c>
      <c r="P1100" s="10" t="n">
        <f aca="false">X1099+O1100</f>
        <v>945.618668179282</v>
      </c>
      <c r="Q1100" s="9" t="b">
        <f aca="false">AND(IF(M1100,0,Y1099)=0,AA1099,IF(ISNUMBER(AE1099),B1100&gt;AE1099,FALSE()))</f>
        <v>0</v>
      </c>
      <c r="R1100" s="8" t="n">
        <f aca="false">B1100*(1+Inputs!$B$12)</f>
        <v>0.837797880385786</v>
      </c>
      <c r="S1100" s="11" t="n">
        <f aca="false">IF(Q1100,MIN(P1100*Inputs!$B$3/(R1100-AE1099),P1100*Inputs!$B$11/R1100),0)</f>
        <v>0</v>
      </c>
      <c r="T1100" s="11" t="n">
        <f aca="false">IF(Q1100,S1100,IF(M1100,0,Y1099))</f>
        <v>0</v>
      </c>
      <c r="U1100" s="8" t="n">
        <f aca="false">IF(Q1100,AE1099,AF1099)</f>
        <v>0.839979947684787</v>
      </c>
      <c r="V1100" s="9" t="b">
        <f aca="false">AND(T1100&gt;0,D1100&lt;=U1100)</f>
        <v>0</v>
      </c>
      <c r="W1100" s="10" t="n">
        <f aca="false">IF(V1100,T1100*(AK1100-AB1100)-Inputs!$B$9-T1100*AD1100*Inputs!$B$13*(A1100-AC1100),0)</f>
        <v>0</v>
      </c>
      <c r="X1100" s="10" t="n">
        <f aca="false">P1100-IF(Q1100,Inputs!$B$9,0)+W1100</f>
        <v>945.618668179282</v>
      </c>
      <c r="Y1100" s="11" t="n">
        <f aca="false">IF(V1100,0,T1100)</f>
        <v>0</v>
      </c>
      <c r="Z1100" s="9" t="b">
        <f aca="false">AND(Y1100&gt;0,K1100)</f>
        <v>0</v>
      </c>
      <c r="AA1100" s="9" t="b">
        <f aca="false">AND(Y1100=0,J1100,ISNUMBER(L1100))</f>
        <v>0</v>
      </c>
      <c r="AB1100" s="8" t="n">
        <f aca="false">IF(Q1100,R1100,AB1099)</f>
        <v>0.85718419932201</v>
      </c>
      <c r="AC1100" s="12" t="n">
        <f aca="false">IF(Q1100,A1100,AC1099)</f>
        <v>45834</v>
      </c>
      <c r="AD1100" s="8" t="n">
        <f aca="false">IF(Q1100,B1100,AD1099)</f>
        <v>0.857012796762658</v>
      </c>
      <c r="AE1100" s="8" t="str">
        <f aca="false">IF(AA1100,L1100,"")</f>
        <v/>
      </c>
      <c r="AF1100" s="8" t="n">
        <f aca="false">U1100</f>
        <v>0.839979947684787</v>
      </c>
      <c r="AG1100" s="2" t="n">
        <f aca="false">AG1099+IF(Q1100,1,0)</f>
        <v>11</v>
      </c>
      <c r="AH1100" s="2" t="n">
        <f aca="false">AG1099</f>
        <v>11</v>
      </c>
      <c r="AI1100" s="10" t="n">
        <f aca="false">X1100+Y1100*(E1100-AB1100)-Y1100*AD1100*Inputs!$B$13*(A1100-AC1100)</f>
        <v>945.618668179282</v>
      </c>
      <c r="AJ1100" s="10" t="n">
        <v>0</v>
      </c>
      <c r="AK1100" s="8" t="n">
        <f aca="false">IF(AND(B1100&lt;=U1100,NOT(Q1100)),B1100,U1100)*(1-Inputs!$B$12)</f>
        <v>0.83746282824406</v>
      </c>
    </row>
    <row r="1101" customFormat="false" ht="15" hidden="false" customHeight="false" outlineLevel="0" collapsed="false">
      <c r="A1101" s="6" t="n">
        <v>45885</v>
      </c>
      <c r="B1101" s="7" t="n">
        <v>0.847084192036546</v>
      </c>
      <c r="C1101" s="7" t="n">
        <v>0.850931452908811</v>
      </c>
      <c r="D1101" s="7" t="n">
        <v>0.841568587330774</v>
      </c>
      <c r="E1101" s="7" t="n">
        <v>0.844875280755376</v>
      </c>
      <c r="F1101" s="8" t="n">
        <f aca="true">IF(ROW()-2&gt;=Inputs!$B$4,AVERAGE(OFFSET(E1101,1-Inputs!$B$4,0,Inputs!$B$4,1)),"")</f>
        <v>0.829779625376891</v>
      </c>
      <c r="G1101" s="8" t="n">
        <f aca="true">IF(ROW()-2&gt;=Inputs!$B$5,AVERAGE(OFFSET(E1101,1-Inputs!$B$5,0,Inputs!$B$5,1)),"")</f>
        <v>0.832920287748311</v>
      </c>
      <c r="H1101" s="8" t="n">
        <f aca="false">MAX(C1101-D1101,ABS(C1101-E1100),ABS(D1101-E1100))</f>
        <v>0.00936286557803701</v>
      </c>
      <c r="I1101" s="8" t="n">
        <f aca="true">IF(ROW()-2&lt;14,"",IF(ROW()-2=14,AVERAGE(OFFSET(H1101,-13,0,14,1)),(I1100*13+H1101)/14))</f>
        <v>0.00807761148383229</v>
      </c>
      <c r="J1101" s="9" t="b">
        <f aca="false">IF(AND(ISNUMBER(F1101),ISNUMBER(G1101),ISNUMBER(F1100),ISNUMBER(G1100)),AND(F1101&gt;G1101,F1100&lt;=G1100),FALSE())</f>
        <v>0</v>
      </c>
      <c r="K1101" s="9" t="b">
        <f aca="false">IF(AND(ISNUMBER(F1101),ISNUMBER(G1101),ISNUMBER(F1100),ISNUMBER(G1100)),AND(F1101&lt;G1101,F1100&gt;=G1100),FALSE())</f>
        <v>0</v>
      </c>
      <c r="L1101" s="8" t="n">
        <f aca="false">IF(ISNUMBER(I1101),E1101-Inputs!$B$6*I1101,"")</f>
        <v>0.828720057787711</v>
      </c>
      <c r="M1101" s="9" t="b">
        <f aca="false">AND(Y1100&gt;0,Z1100)</f>
        <v>0</v>
      </c>
      <c r="N1101" s="8" t="n">
        <f aca="false">B1101*(1-Inputs!$B$12)</f>
        <v>0.846914775198139</v>
      </c>
      <c r="O1101" s="10" t="n">
        <f aca="false">IF(M1101,Y1100*(N1101-AB1100)-Inputs!$B$9-Y1100*AD1100*Inputs!$B$13*(A1101-AC1100),0)</f>
        <v>0</v>
      </c>
      <c r="P1101" s="10" t="n">
        <f aca="false">X1100+O1101</f>
        <v>945.618668179282</v>
      </c>
      <c r="Q1101" s="9" t="b">
        <f aca="false">AND(IF(M1101,0,Y1100)=0,AA1100,IF(ISNUMBER(AE1100),B1101&gt;AE1100,FALSE()))</f>
        <v>0</v>
      </c>
      <c r="R1101" s="8" t="n">
        <f aca="false">B1101*(1+Inputs!$B$12)</f>
        <v>0.847253608874954</v>
      </c>
      <c r="S1101" s="11" t="n">
        <f aca="false">IF(Q1101,MIN(P1101*Inputs!$B$3/(R1101-AE1100),P1101*Inputs!$B$11/R1101),0)</f>
        <v>0</v>
      </c>
      <c r="T1101" s="11" t="n">
        <f aca="false">IF(Q1101,S1101,IF(M1101,0,Y1100))</f>
        <v>0</v>
      </c>
      <c r="U1101" s="8" t="n">
        <f aca="false">IF(Q1101,AE1100,AF1100)</f>
        <v>0.839979947684787</v>
      </c>
      <c r="V1101" s="9" t="b">
        <f aca="false">AND(T1101&gt;0,D1101&lt;=U1101)</f>
        <v>0</v>
      </c>
      <c r="W1101" s="10" t="n">
        <f aca="false">IF(V1101,T1101*(AK1101-AB1101)-Inputs!$B$9-T1101*AD1101*Inputs!$B$13*(A1101-AC1101),0)</f>
        <v>0</v>
      </c>
      <c r="X1101" s="10" t="n">
        <f aca="false">P1101-IF(Q1101,Inputs!$B$9,0)+W1101</f>
        <v>945.618668179282</v>
      </c>
      <c r="Y1101" s="11" t="n">
        <f aca="false">IF(V1101,0,T1101)</f>
        <v>0</v>
      </c>
      <c r="Z1101" s="9" t="b">
        <f aca="false">AND(Y1101&gt;0,K1101)</f>
        <v>0</v>
      </c>
      <c r="AA1101" s="9" t="b">
        <f aca="false">AND(Y1101=0,J1101,ISNUMBER(L1101))</f>
        <v>0</v>
      </c>
      <c r="AB1101" s="8" t="n">
        <f aca="false">IF(Q1101,R1101,AB1100)</f>
        <v>0.85718419932201</v>
      </c>
      <c r="AC1101" s="12" t="n">
        <f aca="false">IF(Q1101,A1101,AC1100)</f>
        <v>45834</v>
      </c>
      <c r="AD1101" s="8" t="n">
        <f aca="false">IF(Q1101,B1101,AD1100)</f>
        <v>0.857012796762658</v>
      </c>
      <c r="AE1101" s="8" t="str">
        <f aca="false">IF(AA1101,L1101,"")</f>
        <v/>
      </c>
      <c r="AF1101" s="8" t="n">
        <f aca="false">U1101</f>
        <v>0.839979947684787</v>
      </c>
      <c r="AG1101" s="2" t="n">
        <f aca="false">AG1100+IF(Q1101,1,0)</f>
        <v>11</v>
      </c>
      <c r="AH1101" s="2" t="n">
        <f aca="false">AG1100</f>
        <v>11</v>
      </c>
      <c r="AI1101" s="10" t="n">
        <f aca="false">X1101+Y1101*(E1101-AB1101)-Y1101*AD1101*Inputs!$B$13*(A1101-AC1101)</f>
        <v>945.618668179282</v>
      </c>
      <c r="AJ1101" s="10" t="n">
        <v>0</v>
      </c>
      <c r="AK1101" s="8" t="n">
        <f aca="false">IF(AND(B1101&lt;=U1101,NOT(Q1101)),B1101,U1101)*(1-Inputs!$B$12)</f>
        <v>0.83981195169525</v>
      </c>
    </row>
    <row r="1102" customFormat="false" ht="15" hidden="false" customHeight="false" outlineLevel="0" collapsed="false">
      <c r="A1102" s="6" t="n">
        <v>45886</v>
      </c>
      <c r="B1102" s="7" t="n">
        <v>0.844875280755376</v>
      </c>
      <c r="C1102" s="7" t="n">
        <v>0.850728259137215</v>
      </c>
      <c r="D1102" s="7" t="n">
        <v>0.839488963655932</v>
      </c>
      <c r="E1102" s="7" t="n">
        <v>0.847812006486748</v>
      </c>
      <c r="F1102" s="8" t="n">
        <f aca="true">IF(ROW()-2&gt;=Inputs!$B$4,AVERAGE(OFFSET(E1102,1-Inputs!$B$4,0,Inputs!$B$4,1)),"")</f>
        <v>0.831685219728304</v>
      </c>
      <c r="G1102" s="8" t="n">
        <f aca="true">IF(ROW()-2&gt;=Inputs!$B$5,AVERAGE(OFFSET(E1102,1-Inputs!$B$5,0,Inputs!$B$5,1)),"")</f>
        <v>0.83250872751527</v>
      </c>
      <c r="H1102" s="8" t="n">
        <f aca="false">MAX(C1102-D1102,ABS(C1102-E1101),ABS(D1102-E1101))</f>
        <v>0.0112392954812831</v>
      </c>
      <c r="I1102" s="8" t="n">
        <f aca="true">IF(ROW()-2&lt;14,"",IF(ROW()-2=14,AVERAGE(OFFSET(H1102,-13,0,14,1)),(I1101*13+H1102)/14))</f>
        <v>0.00830344605507878</v>
      </c>
      <c r="J1102" s="9" t="b">
        <f aca="false">IF(AND(ISNUMBER(F1102),ISNUMBER(G1102),ISNUMBER(F1101),ISNUMBER(G1101)),AND(F1102&gt;G1102,F1101&lt;=G1101),FALSE())</f>
        <v>0</v>
      </c>
      <c r="K1102" s="9" t="b">
        <f aca="false">IF(AND(ISNUMBER(F1102),ISNUMBER(G1102),ISNUMBER(F1101),ISNUMBER(G1101)),AND(F1102&lt;G1102,F1101&gt;=G1101),FALSE())</f>
        <v>0</v>
      </c>
      <c r="L1102" s="8" t="n">
        <f aca="false">IF(ISNUMBER(I1102),E1102-Inputs!$B$6*I1102,"")</f>
        <v>0.83120511437659</v>
      </c>
      <c r="M1102" s="9" t="b">
        <f aca="false">AND(Y1101&gt;0,Z1101)</f>
        <v>0</v>
      </c>
      <c r="N1102" s="8" t="n">
        <f aca="false">B1102*(1-Inputs!$B$12)</f>
        <v>0.844706305699225</v>
      </c>
      <c r="O1102" s="10" t="n">
        <f aca="false">IF(M1102,Y1101*(N1102-AB1101)-Inputs!$B$9-Y1101*AD1101*Inputs!$B$13*(A1102-AC1101),0)</f>
        <v>0</v>
      </c>
      <c r="P1102" s="10" t="n">
        <f aca="false">X1101+O1102</f>
        <v>945.618668179282</v>
      </c>
      <c r="Q1102" s="9" t="b">
        <f aca="false">AND(IF(M1102,0,Y1101)=0,AA1101,IF(ISNUMBER(AE1101),B1102&gt;AE1101,FALSE()))</f>
        <v>0</v>
      </c>
      <c r="R1102" s="8" t="n">
        <f aca="false">B1102*(1+Inputs!$B$12)</f>
        <v>0.845044255811527</v>
      </c>
      <c r="S1102" s="11" t="n">
        <f aca="false">IF(Q1102,MIN(P1102*Inputs!$B$3/(R1102-AE1101),P1102*Inputs!$B$11/R1102),0)</f>
        <v>0</v>
      </c>
      <c r="T1102" s="11" t="n">
        <f aca="false">IF(Q1102,S1102,IF(M1102,0,Y1101))</f>
        <v>0</v>
      </c>
      <c r="U1102" s="8" t="n">
        <f aca="false">IF(Q1102,AE1101,AF1101)</f>
        <v>0.839979947684787</v>
      </c>
      <c r="V1102" s="9" t="b">
        <f aca="false">AND(T1102&gt;0,D1102&lt;=U1102)</f>
        <v>0</v>
      </c>
      <c r="W1102" s="10" t="n">
        <f aca="false">IF(V1102,T1102*(AK1102-AB1102)-Inputs!$B$9-T1102*AD1102*Inputs!$B$13*(A1102-AC1102),0)</f>
        <v>0</v>
      </c>
      <c r="X1102" s="10" t="n">
        <f aca="false">P1102-IF(Q1102,Inputs!$B$9,0)+W1102</f>
        <v>945.618668179282</v>
      </c>
      <c r="Y1102" s="11" t="n">
        <f aca="false">IF(V1102,0,T1102)</f>
        <v>0</v>
      </c>
      <c r="Z1102" s="9" t="b">
        <f aca="false">AND(Y1102&gt;0,K1102)</f>
        <v>0</v>
      </c>
      <c r="AA1102" s="9" t="b">
        <f aca="false">AND(Y1102=0,J1102,ISNUMBER(L1102))</f>
        <v>0</v>
      </c>
      <c r="AB1102" s="8" t="n">
        <f aca="false">IF(Q1102,R1102,AB1101)</f>
        <v>0.85718419932201</v>
      </c>
      <c r="AC1102" s="12" t="n">
        <f aca="false">IF(Q1102,A1102,AC1101)</f>
        <v>45834</v>
      </c>
      <c r="AD1102" s="8" t="n">
        <f aca="false">IF(Q1102,B1102,AD1101)</f>
        <v>0.857012796762658</v>
      </c>
      <c r="AE1102" s="8" t="str">
        <f aca="false">IF(AA1102,L1102,"")</f>
        <v/>
      </c>
      <c r="AF1102" s="8" t="n">
        <f aca="false">U1102</f>
        <v>0.839979947684787</v>
      </c>
      <c r="AG1102" s="2" t="n">
        <f aca="false">AG1101+IF(Q1102,1,0)</f>
        <v>11</v>
      </c>
      <c r="AH1102" s="2" t="n">
        <f aca="false">AG1101</f>
        <v>11</v>
      </c>
      <c r="AI1102" s="10" t="n">
        <f aca="false">X1102+Y1102*(E1102-AB1102)-Y1102*AD1102*Inputs!$B$13*(A1102-AC1102)</f>
        <v>945.618668179282</v>
      </c>
      <c r="AJ1102" s="10" t="n">
        <v>0</v>
      </c>
      <c r="AK1102" s="8" t="n">
        <f aca="false">IF(AND(B1102&lt;=U1102,NOT(Q1102)),B1102,U1102)*(1-Inputs!$B$12)</f>
        <v>0.83981195169525</v>
      </c>
    </row>
    <row r="1103" customFormat="false" ht="15" hidden="false" customHeight="false" outlineLevel="0" collapsed="false">
      <c r="A1103" s="6" t="n">
        <v>45887</v>
      </c>
      <c r="B1103" s="7" t="n">
        <v>0.847812006486748</v>
      </c>
      <c r="C1103" s="7" t="n">
        <v>0.852982534952126</v>
      </c>
      <c r="D1103" s="7" t="n">
        <v>0.846513753177854</v>
      </c>
      <c r="E1103" s="7" t="n">
        <v>0.85196916476283</v>
      </c>
      <c r="F1103" s="8" t="n">
        <f aca="true">IF(ROW()-2&gt;=Inputs!$B$4,AVERAGE(OFFSET(E1103,1-Inputs!$B$4,0,Inputs!$B$4,1)),"")</f>
        <v>0.833545896884935</v>
      </c>
      <c r="G1103" s="8" t="n">
        <f aca="true">IF(ROW()-2&gt;=Inputs!$B$5,AVERAGE(OFFSET(E1103,1-Inputs!$B$5,0,Inputs!$B$5,1)),"")</f>
        <v>0.832238873397487</v>
      </c>
      <c r="H1103" s="8" t="n">
        <f aca="false">MAX(C1103-D1103,ABS(C1103-E1102),ABS(D1103-E1102))</f>
        <v>0.00646878177427257</v>
      </c>
      <c r="I1103" s="8" t="n">
        <f aca="true">IF(ROW()-2&lt;14,"",IF(ROW()-2=14,AVERAGE(OFFSET(H1103,-13,0,14,1)),(I1102*13+H1103)/14))</f>
        <v>0.00817239860644977</v>
      </c>
      <c r="J1103" s="9" t="b">
        <f aca="false">IF(AND(ISNUMBER(F1103),ISNUMBER(G1103),ISNUMBER(F1102),ISNUMBER(G1102)),AND(F1103&gt;G1103,F1102&lt;=G1102),FALSE())</f>
        <v>1</v>
      </c>
      <c r="K1103" s="9" t="b">
        <f aca="false">IF(AND(ISNUMBER(F1103),ISNUMBER(G1103),ISNUMBER(F1102),ISNUMBER(G1102)),AND(F1103&lt;G1103,F1102&gt;=G1102),FALSE())</f>
        <v>0</v>
      </c>
      <c r="L1103" s="8" t="n">
        <f aca="false">IF(ISNUMBER(I1103),E1103-Inputs!$B$6*I1103,"")</f>
        <v>0.835624367549931</v>
      </c>
      <c r="M1103" s="9" t="b">
        <f aca="false">AND(Y1102&gt;0,Z1102)</f>
        <v>0</v>
      </c>
      <c r="N1103" s="8" t="n">
        <f aca="false">B1103*(1-Inputs!$B$12)</f>
        <v>0.84764244408545</v>
      </c>
      <c r="O1103" s="10" t="n">
        <f aca="false">IF(M1103,Y1102*(N1103-AB1102)-Inputs!$B$9-Y1102*AD1102*Inputs!$B$13*(A1103-AC1102),0)</f>
        <v>0</v>
      </c>
      <c r="P1103" s="10" t="n">
        <f aca="false">X1102+O1103</f>
        <v>945.618668179282</v>
      </c>
      <c r="Q1103" s="9" t="b">
        <f aca="false">AND(IF(M1103,0,Y1102)=0,AA1102,IF(ISNUMBER(AE1102),B1103&gt;AE1102,FALSE()))</f>
        <v>0</v>
      </c>
      <c r="R1103" s="8" t="n">
        <f aca="false">B1103*(1+Inputs!$B$12)</f>
        <v>0.847981568888045</v>
      </c>
      <c r="S1103" s="11" t="n">
        <f aca="false">IF(Q1103,MIN(P1103*Inputs!$B$3/(R1103-AE1102),P1103*Inputs!$B$11/R1103),0)</f>
        <v>0</v>
      </c>
      <c r="T1103" s="11" t="n">
        <f aca="false">IF(Q1103,S1103,IF(M1103,0,Y1102))</f>
        <v>0</v>
      </c>
      <c r="U1103" s="8" t="n">
        <f aca="false">IF(Q1103,AE1102,AF1102)</f>
        <v>0.839979947684787</v>
      </c>
      <c r="V1103" s="9" t="b">
        <f aca="false">AND(T1103&gt;0,D1103&lt;=U1103)</f>
        <v>0</v>
      </c>
      <c r="W1103" s="10" t="n">
        <f aca="false">IF(V1103,T1103*(AK1103-AB1103)-Inputs!$B$9-T1103*AD1103*Inputs!$B$13*(A1103-AC1103),0)</f>
        <v>0</v>
      </c>
      <c r="X1103" s="10" t="n">
        <f aca="false">P1103-IF(Q1103,Inputs!$B$9,0)+W1103</f>
        <v>945.618668179282</v>
      </c>
      <c r="Y1103" s="11" t="n">
        <f aca="false">IF(V1103,0,T1103)</f>
        <v>0</v>
      </c>
      <c r="Z1103" s="9" t="b">
        <f aca="false">AND(Y1103&gt;0,K1103)</f>
        <v>0</v>
      </c>
      <c r="AA1103" s="9" t="b">
        <f aca="false">AND(Y1103=0,J1103,ISNUMBER(L1103))</f>
        <v>1</v>
      </c>
      <c r="AB1103" s="8" t="n">
        <f aca="false">IF(Q1103,R1103,AB1102)</f>
        <v>0.85718419932201</v>
      </c>
      <c r="AC1103" s="12" t="n">
        <f aca="false">IF(Q1103,A1103,AC1102)</f>
        <v>45834</v>
      </c>
      <c r="AD1103" s="8" t="n">
        <f aca="false">IF(Q1103,B1103,AD1102)</f>
        <v>0.857012796762658</v>
      </c>
      <c r="AE1103" s="8" t="n">
        <f aca="false">IF(AA1103,L1103,"")</f>
        <v>0.835624367549931</v>
      </c>
      <c r="AF1103" s="8" t="n">
        <f aca="false">U1103</f>
        <v>0.839979947684787</v>
      </c>
      <c r="AG1103" s="2" t="n">
        <f aca="false">AG1102+IF(Q1103,1,0)</f>
        <v>11</v>
      </c>
      <c r="AH1103" s="2" t="n">
        <f aca="false">AG1102</f>
        <v>11</v>
      </c>
      <c r="AI1103" s="10" t="n">
        <f aca="false">X1103+Y1103*(E1103-AB1103)-Y1103*AD1103*Inputs!$B$13*(A1103-AC1103)</f>
        <v>945.618668179282</v>
      </c>
      <c r="AJ1103" s="10" t="n">
        <v>0</v>
      </c>
      <c r="AK1103" s="8" t="n">
        <f aca="false">IF(AND(B1103&lt;=U1103,NOT(Q1103)),B1103,U1103)*(1-Inputs!$B$12)</f>
        <v>0.83981195169525</v>
      </c>
    </row>
    <row r="1104" customFormat="false" ht="15" hidden="false" customHeight="false" outlineLevel="0" collapsed="false">
      <c r="A1104" s="6" t="n">
        <v>45888</v>
      </c>
      <c r="B1104" s="7" t="n">
        <v>0.85196916476283</v>
      </c>
      <c r="C1104" s="7" t="n">
        <v>0.85489115886857</v>
      </c>
      <c r="D1104" s="7" t="n">
        <v>0.848658195246828</v>
      </c>
      <c r="E1104" s="7" t="n">
        <v>0.854238163160902</v>
      </c>
      <c r="F1104" s="8" t="n">
        <f aca="true">IF(ROW()-2&gt;=Inputs!$B$4,AVERAGE(OFFSET(E1104,1-Inputs!$B$4,0,Inputs!$B$4,1)),"")</f>
        <v>0.835632926774628</v>
      </c>
      <c r="G1104" s="8" t="n">
        <f aca="true">IF(ROW()-2&gt;=Inputs!$B$5,AVERAGE(OFFSET(E1104,1-Inputs!$B$5,0,Inputs!$B$5,1)),"")</f>
        <v>0.832162312268001</v>
      </c>
      <c r="H1104" s="8" t="n">
        <f aca="false">MAX(C1104-D1104,ABS(C1104-E1103),ABS(D1104-E1103))</f>
        <v>0.00623296362174175</v>
      </c>
      <c r="I1104" s="8" t="n">
        <f aca="true">IF(ROW()-2&lt;14,"",IF(ROW()-2=14,AVERAGE(OFFSET(H1104,-13,0,14,1)),(I1103*13+H1104)/14))</f>
        <v>0.00803386753611348</v>
      </c>
      <c r="J1104" s="9" t="b">
        <f aca="false">IF(AND(ISNUMBER(F1104),ISNUMBER(G1104),ISNUMBER(F1103),ISNUMBER(G1103)),AND(F1104&gt;G1104,F1103&lt;=G1103),FALSE())</f>
        <v>0</v>
      </c>
      <c r="K1104" s="9" t="b">
        <f aca="false">IF(AND(ISNUMBER(F1104),ISNUMBER(G1104),ISNUMBER(F1103),ISNUMBER(G1103)),AND(F1104&lt;G1104,F1103&gt;=G1103),FALSE())</f>
        <v>0</v>
      </c>
      <c r="L1104" s="8" t="n">
        <f aca="false">IF(ISNUMBER(I1104),E1104-Inputs!$B$6*I1104,"")</f>
        <v>0.838170428088675</v>
      </c>
      <c r="M1104" s="9" t="b">
        <f aca="false">AND(Y1103&gt;0,Z1103)</f>
        <v>0</v>
      </c>
      <c r="N1104" s="8" t="n">
        <f aca="false">B1104*(1-Inputs!$B$12)</f>
        <v>0.851798770929878</v>
      </c>
      <c r="O1104" s="10" t="n">
        <f aca="false">IF(M1104,Y1103*(N1104-AB1103)-Inputs!$B$9-Y1103*AD1103*Inputs!$B$13*(A1104-AC1103),0)</f>
        <v>0</v>
      </c>
      <c r="P1104" s="10" t="n">
        <f aca="false">X1103+O1104</f>
        <v>945.618668179282</v>
      </c>
      <c r="Q1104" s="9" t="b">
        <f aca="false">AND(IF(M1104,0,Y1103)=0,AA1103,IF(ISNUMBER(AE1103),B1104&gt;AE1103,FALSE()))</f>
        <v>1</v>
      </c>
      <c r="R1104" s="8" t="n">
        <f aca="false">B1104*(1+Inputs!$B$12)</f>
        <v>0.852139558595783</v>
      </c>
      <c r="S1104" s="11" t="n">
        <f aca="false">IF(Q1104,MIN(P1104*Inputs!$B$3/(R1104-AE1103),P1104*Inputs!$B$11/R1104),0)</f>
        <v>572.575070766003</v>
      </c>
      <c r="T1104" s="11" t="n">
        <f aca="false">IF(Q1104,S1104,IF(M1104,0,Y1103))</f>
        <v>572.575070766003</v>
      </c>
      <c r="U1104" s="8" t="n">
        <f aca="false">IF(Q1104,AE1103,AF1103)</f>
        <v>0.835624367549931</v>
      </c>
      <c r="V1104" s="9" t="b">
        <f aca="false">AND(T1104&gt;0,D1104&lt;=U1104)</f>
        <v>0</v>
      </c>
      <c r="W1104" s="10" t="n">
        <f aca="false">IF(V1104,T1104*(AK1104-AB1104)-Inputs!$B$9-T1104*AD1104*Inputs!$B$13*(A1104-AC1104),0)</f>
        <v>0</v>
      </c>
      <c r="X1104" s="10" t="n">
        <f aca="false">P1104-IF(Q1104,Inputs!$B$9,0)+W1104</f>
        <v>944.618668179282</v>
      </c>
      <c r="Y1104" s="11" t="n">
        <f aca="false">IF(V1104,0,T1104)</f>
        <v>572.575070766003</v>
      </c>
      <c r="Z1104" s="9" t="b">
        <f aca="false">AND(Y1104&gt;0,K1104)</f>
        <v>0</v>
      </c>
      <c r="AA1104" s="9" t="b">
        <f aca="false">AND(Y1104=0,J1104,ISNUMBER(L1104))</f>
        <v>0</v>
      </c>
      <c r="AB1104" s="8" t="n">
        <f aca="false">IF(Q1104,R1104,AB1103)</f>
        <v>0.852139558595783</v>
      </c>
      <c r="AC1104" s="12" t="n">
        <f aca="false">IF(Q1104,A1104,AC1103)</f>
        <v>45888</v>
      </c>
      <c r="AD1104" s="8" t="n">
        <f aca="false">IF(Q1104,B1104,AD1103)</f>
        <v>0.85196916476283</v>
      </c>
      <c r="AE1104" s="8" t="str">
        <f aca="false">IF(AA1104,L1104,"")</f>
        <v/>
      </c>
      <c r="AF1104" s="8" t="n">
        <f aca="false">U1104</f>
        <v>0.835624367549931</v>
      </c>
      <c r="AG1104" s="2" t="n">
        <f aca="false">AG1103+IF(Q1104,1,0)</f>
        <v>12</v>
      </c>
      <c r="AH1104" s="2" t="n">
        <f aca="false">AG1103</f>
        <v>11</v>
      </c>
      <c r="AI1104" s="10" t="n">
        <f aca="false">X1104+Y1104*(E1104-AB1104)-Y1104*AD1104*Inputs!$B$13*(A1104-AC1104)</f>
        <v>945.820276836665</v>
      </c>
      <c r="AJ1104" s="10" t="n">
        <v>0</v>
      </c>
      <c r="AK1104" s="8" t="n">
        <f aca="false">IF(AND(B1104&lt;=U1104,NOT(Q1104)),B1104,U1104)*(1-Inputs!$B$12)</f>
        <v>0.835457242676421</v>
      </c>
    </row>
    <row r="1105" customFormat="false" ht="15" hidden="false" customHeight="false" outlineLevel="0" collapsed="false">
      <c r="A1105" s="6" t="n">
        <v>45889</v>
      </c>
      <c r="B1105" s="7" t="n">
        <v>0.854238163160902</v>
      </c>
      <c r="C1105" s="7" t="n">
        <v>0.859093374700084</v>
      </c>
      <c r="D1105" s="7" t="n">
        <v>0.847226303451301</v>
      </c>
      <c r="E1105" s="7" t="n">
        <v>0.853705028257203</v>
      </c>
      <c r="F1105" s="8" t="n">
        <f aca="true">IF(ROW()-2&gt;=Inputs!$B$4,AVERAGE(OFFSET(E1105,1-Inputs!$B$4,0,Inputs!$B$4,1)),"")</f>
        <v>0.837242377790318</v>
      </c>
      <c r="G1105" s="8" t="n">
        <f aca="true">IF(ROW()-2&gt;=Inputs!$B$5,AVERAGE(OFFSET(E1105,1-Inputs!$B$5,0,Inputs!$B$5,1)),"")</f>
        <v>0.83214267349242</v>
      </c>
      <c r="H1105" s="8" t="n">
        <f aca="false">MAX(C1105-D1105,ABS(C1105-E1104),ABS(D1105-E1104))</f>
        <v>0.0118670712487826</v>
      </c>
      <c r="I1105" s="8" t="n">
        <f aca="true">IF(ROW()-2&lt;14,"",IF(ROW()-2=14,AVERAGE(OFFSET(H1105,-13,0,14,1)),(I1104*13+H1105)/14))</f>
        <v>0.00830766780130413</v>
      </c>
      <c r="J1105" s="9" t="b">
        <f aca="false">IF(AND(ISNUMBER(F1105),ISNUMBER(G1105),ISNUMBER(F1104),ISNUMBER(G1104)),AND(F1105&gt;G1105,F1104&lt;=G1104),FALSE())</f>
        <v>0</v>
      </c>
      <c r="K1105" s="9" t="b">
        <f aca="false">IF(AND(ISNUMBER(F1105),ISNUMBER(G1105),ISNUMBER(F1104),ISNUMBER(G1104)),AND(F1105&lt;G1105,F1104&gt;=G1104),FALSE())</f>
        <v>0</v>
      </c>
      <c r="L1105" s="8" t="n">
        <f aca="false">IF(ISNUMBER(I1105),E1105-Inputs!$B$6*I1105,"")</f>
        <v>0.837089692654594</v>
      </c>
      <c r="M1105" s="9" t="b">
        <f aca="false">AND(Y1104&gt;0,Z1104)</f>
        <v>0</v>
      </c>
      <c r="N1105" s="8" t="n">
        <f aca="false">B1105*(1-Inputs!$B$12)</f>
        <v>0.85406731552827</v>
      </c>
      <c r="O1105" s="10" t="n">
        <f aca="false">IF(M1105,Y1104*(N1105-AB1104)-Inputs!$B$9-Y1104*AD1104*Inputs!$B$13*(A1105-AC1104),0)</f>
        <v>0</v>
      </c>
      <c r="P1105" s="10" t="n">
        <f aca="false">X1104+O1105</f>
        <v>944.618668179282</v>
      </c>
      <c r="Q1105" s="9" t="b">
        <f aca="false">AND(IF(M1105,0,Y1104)=0,AA1104,IF(ISNUMBER(AE1104),B1105&gt;AE1104,FALSE()))</f>
        <v>0</v>
      </c>
      <c r="R1105" s="8" t="n">
        <f aca="false">B1105*(1+Inputs!$B$12)</f>
        <v>0.854409010793534</v>
      </c>
      <c r="S1105" s="11" t="n">
        <f aca="false">IF(Q1105,MIN(P1105*Inputs!$B$3/(R1105-AE1104),P1105*Inputs!$B$11/R1105),0)</f>
        <v>0</v>
      </c>
      <c r="T1105" s="11" t="n">
        <f aca="false">IF(Q1105,S1105,IF(M1105,0,Y1104))</f>
        <v>572.575070766003</v>
      </c>
      <c r="U1105" s="8" t="n">
        <f aca="false">IF(Q1105,AE1104,AF1104)</f>
        <v>0.835624367549931</v>
      </c>
      <c r="V1105" s="9" t="b">
        <f aca="false">AND(T1105&gt;0,D1105&lt;=U1105)</f>
        <v>0</v>
      </c>
      <c r="W1105" s="10" t="n">
        <f aca="false">IF(V1105,T1105*(AK1105-AB1105)-Inputs!$B$9-T1105*AD1105*Inputs!$B$13*(A1105-AC1105),0)</f>
        <v>0</v>
      </c>
      <c r="X1105" s="10" t="n">
        <f aca="false">P1105-IF(Q1105,Inputs!$B$9,0)+W1105</f>
        <v>944.618668179282</v>
      </c>
      <c r="Y1105" s="11" t="n">
        <f aca="false">IF(V1105,0,T1105)</f>
        <v>572.575070766003</v>
      </c>
      <c r="Z1105" s="9" t="b">
        <f aca="false">AND(Y1105&gt;0,K1105)</f>
        <v>0</v>
      </c>
      <c r="AA1105" s="9" t="b">
        <f aca="false">AND(Y1105=0,J1105,ISNUMBER(L1105))</f>
        <v>0</v>
      </c>
      <c r="AB1105" s="8" t="n">
        <f aca="false">IF(Q1105,R1105,AB1104)</f>
        <v>0.852139558595783</v>
      </c>
      <c r="AC1105" s="12" t="n">
        <f aca="false">IF(Q1105,A1105,AC1104)</f>
        <v>45888</v>
      </c>
      <c r="AD1105" s="8" t="n">
        <f aca="false">IF(Q1105,B1105,AD1104)</f>
        <v>0.85196916476283</v>
      </c>
      <c r="AE1105" s="8" t="str">
        <f aca="false">IF(AA1105,L1105,"")</f>
        <v/>
      </c>
      <c r="AF1105" s="8" t="n">
        <f aca="false">U1105</f>
        <v>0.835624367549931</v>
      </c>
      <c r="AG1105" s="2" t="n">
        <f aca="false">AG1104+IF(Q1105,1,0)</f>
        <v>12</v>
      </c>
      <c r="AH1105" s="2" t="n">
        <f aca="false">AG1104</f>
        <v>12</v>
      </c>
      <c r="AI1105" s="10" t="n">
        <f aca="false">X1105+Y1105*(E1105-AB1105)-Y1105*AD1105*Inputs!$B$13*(A1105-AC1105)</f>
        <v>945.428145684705</v>
      </c>
      <c r="AJ1105" s="10" t="n">
        <v>0</v>
      </c>
      <c r="AK1105" s="8" t="n">
        <f aca="false">IF(AND(B1105&lt;=U1105,NOT(Q1105)),B1105,U1105)*(1-Inputs!$B$12)</f>
        <v>0.835457242676421</v>
      </c>
    </row>
    <row r="1106" customFormat="false" ht="15" hidden="false" customHeight="false" outlineLevel="0" collapsed="false">
      <c r="A1106" s="6" t="n">
        <v>45890</v>
      </c>
      <c r="B1106" s="7" t="n">
        <v>0.853705028257203</v>
      </c>
      <c r="C1106" s="7" t="n">
        <v>0.858974605812499</v>
      </c>
      <c r="D1106" s="7" t="n">
        <v>0.852711517785054</v>
      </c>
      <c r="E1106" s="7" t="n">
        <v>0.857208759454325</v>
      </c>
      <c r="F1106" s="8" t="n">
        <f aca="true">IF(ROW()-2&gt;=Inputs!$B$4,AVERAGE(OFFSET(E1106,1-Inputs!$B$4,0,Inputs!$B$4,1)),"")</f>
        <v>0.8394884367975</v>
      </c>
      <c r="G1106" s="8" t="n">
        <f aca="true">IF(ROW()-2&gt;=Inputs!$B$5,AVERAGE(OFFSET(E1106,1-Inputs!$B$5,0,Inputs!$B$5,1)),"")</f>
        <v>0.832340994592887</v>
      </c>
      <c r="H1106" s="8" t="n">
        <f aca="false">MAX(C1106-D1106,ABS(C1106-E1105),ABS(D1106-E1105))</f>
        <v>0.00626308802744557</v>
      </c>
      <c r="I1106" s="8" t="n">
        <f aca="true">IF(ROW()-2&lt;14,"",IF(ROW()-2=14,AVERAGE(OFFSET(H1106,-13,0,14,1)),(I1105*13+H1106)/14))</f>
        <v>0.00816162638888566</v>
      </c>
      <c r="J1106" s="9" t="b">
        <f aca="false">IF(AND(ISNUMBER(F1106),ISNUMBER(G1106),ISNUMBER(F1105),ISNUMBER(G1105)),AND(F1106&gt;G1106,F1105&lt;=G1105),FALSE())</f>
        <v>0</v>
      </c>
      <c r="K1106" s="9" t="b">
        <f aca="false">IF(AND(ISNUMBER(F1106),ISNUMBER(G1106),ISNUMBER(F1105),ISNUMBER(G1105)),AND(F1106&lt;G1106,F1105&gt;=G1105),FALSE())</f>
        <v>0</v>
      </c>
      <c r="L1106" s="8" t="n">
        <f aca="false">IF(ISNUMBER(I1106),E1106-Inputs!$B$6*I1106,"")</f>
        <v>0.840885506676553</v>
      </c>
      <c r="M1106" s="9" t="b">
        <f aca="false">AND(Y1105&gt;0,Z1105)</f>
        <v>0</v>
      </c>
      <c r="N1106" s="8" t="n">
        <f aca="false">B1106*(1-Inputs!$B$12)</f>
        <v>0.853534287251551</v>
      </c>
      <c r="O1106" s="10" t="n">
        <f aca="false">IF(M1106,Y1105*(N1106-AB1105)-Inputs!$B$9-Y1105*AD1105*Inputs!$B$13*(A1106-AC1105),0)</f>
        <v>0</v>
      </c>
      <c r="P1106" s="10" t="n">
        <f aca="false">X1105+O1106</f>
        <v>944.618668179282</v>
      </c>
      <c r="Q1106" s="9" t="b">
        <f aca="false">AND(IF(M1106,0,Y1105)=0,AA1105,IF(ISNUMBER(AE1105),B1106&gt;AE1105,FALSE()))</f>
        <v>0</v>
      </c>
      <c r="R1106" s="8" t="n">
        <f aca="false">B1106*(1+Inputs!$B$12)</f>
        <v>0.853875769262854</v>
      </c>
      <c r="S1106" s="11" t="n">
        <f aca="false">IF(Q1106,MIN(P1106*Inputs!$B$3/(R1106-AE1105),P1106*Inputs!$B$11/R1106),0)</f>
        <v>0</v>
      </c>
      <c r="T1106" s="11" t="n">
        <f aca="false">IF(Q1106,S1106,IF(M1106,0,Y1105))</f>
        <v>572.575070766003</v>
      </c>
      <c r="U1106" s="8" t="n">
        <f aca="false">IF(Q1106,AE1105,AF1105)</f>
        <v>0.835624367549931</v>
      </c>
      <c r="V1106" s="9" t="b">
        <f aca="false">AND(T1106&gt;0,D1106&lt;=U1106)</f>
        <v>0</v>
      </c>
      <c r="W1106" s="10" t="n">
        <f aca="false">IF(V1106,T1106*(AK1106-AB1106)-Inputs!$B$9-T1106*AD1106*Inputs!$B$13*(A1106-AC1106),0)</f>
        <v>0</v>
      </c>
      <c r="X1106" s="10" t="n">
        <f aca="false">P1106-IF(Q1106,Inputs!$B$9,0)+W1106</f>
        <v>944.618668179282</v>
      </c>
      <c r="Y1106" s="11" t="n">
        <f aca="false">IF(V1106,0,T1106)</f>
        <v>572.575070766003</v>
      </c>
      <c r="Z1106" s="9" t="b">
        <f aca="false">AND(Y1106&gt;0,K1106)</f>
        <v>0</v>
      </c>
      <c r="AA1106" s="9" t="b">
        <f aca="false">AND(Y1106=0,J1106,ISNUMBER(L1106))</f>
        <v>0</v>
      </c>
      <c r="AB1106" s="8" t="n">
        <f aca="false">IF(Q1106,R1106,AB1105)</f>
        <v>0.852139558595783</v>
      </c>
      <c r="AC1106" s="12" t="n">
        <f aca="false">IF(Q1106,A1106,AC1105)</f>
        <v>45888</v>
      </c>
      <c r="AD1106" s="8" t="n">
        <f aca="false">IF(Q1106,B1106,AD1105)</f>
        <v>0.85196916476283</v>
      </c>
      <c r="AE1106" s="8" t="str">
        <f aca="false">IF(AA1106,L1106,"")</f>
        <v/>
      </c>
      <c r="AF1106" s="8" t="n">
        <f aca="false">U1106</f>
        <v>0.835624367549931</v>
      </c>
      <c r="AG1106" s="2" t="n">
        <f aca="false">AG1105+IF(Q1106,1,0)</f>
        <v>12</v>
      </c>
      <c r="AH1106" s="2" t="n">
        <f aca="false">AG1105</f>
        <v>12</v>
      </c>
      <c r="AI1106" s="10" t="n">
        <f aca="false">X1106+Y1106*(E1106-AB1106)-Y1106*AD1106*Inputs!$B$13*(A1106-AC1106)</f>
        <v>947.347423426097</v>
      </c>
      <c r="AJ1106" s="10" t="n">
        <v>0</v>
      </c>
      <c r="AK1106" s="8" t="n">
        <f aca="false">IF(AND(B1106&lt;=U1106,NOT(Q1106)),B1106,U1106)*(1-Inputs!$B$12)</f>
        <v>0.835457242676421</v>
      </c>
    </row>
    <row r="1107" customFormat="false" ht="15" hidden="false" customHeight="false" outlineLevel="0" collapsed="false">
      <c r="A1107" s="6" t="n">
        <v>45891</v>
      </c>
      <c r="B1107" s="7" t="n">
        <v>0.857208759454325</v>
      </c>
      <c r="C1107" s="7" t="n">
        <v>0.85841239039616</v>
      </c>
      <c r="D1107" s="7" t="n">
        <v>0.848538675508282</v>
      </c>
      <c r="E1107" s="7" t="n">
        <v>0.852391253525632</v>
      </c>
      <c r="F1107" s="8" t="n">
        <f aca="true">IF(ROW()-2&gt;=Inputs!$B$4,AVERAGE(OFFSET(E1107,1-Inputs!$B$4,0,Inputs!$B$4,1)),"")</f>
        <v>0.841544571928389</v>
      </c>
      <c r="G1107" s="8" t="n">
        <f aca="true">IF(ROW()-2&gt;=Inputs!$B$5,AVERAGE(OFFSET(E1107,1-Inputs!$B$5,0,Inputs!$B$5,1)),"")</f>
        <v>0.832579654729385</v>
      </c>
      <c r="H1107" s="8" t="n">
        <f aca="false">MAX(C1107-D1107,ABS(C1107-E1106),ABS(D1107-E1106))</f>
        <v>0.00987371488787836</v>
      </c>
      <c r="I1107" s="8" t="n">
        <f aca="true">IF(ROW()-2&lt;14,"",IF(ROW()-2=14,AVERAGE(OFFSET(H1107,-13,0,14,1)),(I1106*13+H1107)/14))</f>
        <v>0.008283918424528</v>
      </c>
      <c r="J1107" s="9" t="b">
        <f aca="false">IF(AND(ISNUMBER(F1107),ISNUMBER(G1107),ISNUMBER(F1106),ISNUMBER(G1106)),AND(F1107&gt;G1107,F1106&lt;=G1106),FALSE())</f>
        <v>0</v>
      </c>
      <c r="K1107" s="9" t="b">
        <f aca="false">IF(AND(ISNUMBER(F1107),ISNUMBER(G1107),ISNUMBER(F1106),ISNUMBER(G1106)),AND(F1107&lt;G1107,F1106&gt;=G1106),FALSE())</f>
        <v>0</v>
      </c>
      <c r="L1107" s="8" t="n">
        <f aca="false">IF(ISNUMBER(I1107),E1107-Inputs!$B$6*I1107,"")</f>
        <v>0.835823416676576</v>
      </c>
      <c r="M1107" s="9" t="b">
        <f aca="false">AND(Y1106&gt;0,Z1106)</f>
        <v>0</v>
      </c>
      <c r="N1107" s="8" t="n">
        <f aca="false">B1107*(1-Inputs!$B$12)</f>
        <v>0.857037317702434</v>
      </c>
      <c r="O1107" s="10" t="n">
        <f aca="false">IF(M1107,Y1106*(N1107-AB1106)-Inputs!$B$9-Y1106*AD1106*Inputs!$B$13*(A1107-AC1106),0)</f>
        <v>0</v>
      </c>
      <c r="P1107" s="10" t="n">
        <f aca="false">X1106+O1107</f>
        <v>944.618668179282</v>
      </c>
      <c r="Q1107" s="9" t="b">
        <f aca="false">AND(IF(M1107,0,Y1106)=0,AA1106,IF(ISNUMBER(AE1106),B1107&gt;AE1106,FALSE()))</f>
        <v>0</v>
      </c>
      <c r="R1107" s="8" t="n">
        <f aca="false">B1107*(1+Inputs!$B$12)</f>
        <v>0.857380201206216</v>
      </c>
      <c r="S1107" s="11" t="n">
        <f aca="false">IF(Q1107,MIN(P1107*Inputs!$B$3/(R1107-AE1106),P1107*Inputs!$B$11/R1107),0)</f>
        <v>0</v>
      </c>
      <c r="T1107" s="11" t="n">
        <f aca="false">IF(Q1107,S1107,IF(M1107,0,Y1106))</f>
        <v>572.575070766003</v>
      </c>
      <c r="U1107" s="8" t="n">
        <f aca="false">IF(Q1107,AE1106,AF1106)</f>
        <v>0.835624367549931</v>
      </c>
      <c r="V1107" s="9" t="b">
        <f aca="false">AND(T1107&gt;0,D1107&lt;=U1107)</f>
        <v>0</v>
      </c>
      <c r="W1107" s="10" t="n">
        <f aca="false">IF(V1107,T1107*(AK1107-AB1107)-Inputs!$B$9-T1107*AD1107*Inputs!$B$13*(A1107-AC1107),0)</f>
        <v>0</v>
      </c>
      <c r="X1107" s="10" t="n">
        <f aca="false">P1107-IF(Q1107,Inputs!$B$9,0)+W1107</f>
        <v>944.618668179282</v>
      </c>
      <c r="Y1107" s="11" t="n">
        <f aca="false">IF(V1107,0,T1107)</f>
        <v>572.575070766003</v>
      </c>
      <c r="Z1107" s="9" t="b">
        <f aca="false">AND(Y1107&gt;0,K1107)</f>
        <v>0</v>
      </c>
      <c r="AA1107" s="9" t="b">
        <f aca="false">AND(Y1107=0,J1107,ISNUMBER(L1107))</f>
        <v>0</v>
      </c>
      <c r="AB1107" s="8" t="n">
        <f aca="false">IF(Q1107,R1107,AB1106)</f>
        <v>0.852139558595783</v>
      </c>
      <c r="AC1107" s="12" t="n">
        <f aca="false">IF(Q1107,A1107,AC1106)</f>
        <v>45888</v>
      </c>
      <c r="AD1107" s="8" t="n">
        <f aca="false">IF(Q1107,B1107,AD1106)</f>
        <v>0.85196916476283</v>
      </c>
      <c r="AE1107" s="8" t="str">
        <f aca="false">IF(AA1107,L1107,"")</f>
        <v/>
      </c>
      <c r="AF1107" s="8" t="n">
        <f aca="false">U1107</f>
        <v>0.835624367549931</v>
      </c>
      <c r="AG1107" s="2" t="n">
        <f aca="false">AG1106+IF(Q1107,1,0)</f>
        <v>12</v>
      </c>
      <c r="AH1107" s="2" t="n">
        <f aca="false">AG1106</f>
        <v>12</v>
      </c>
      <c r="AI1107" s="10" t="n">
        <f aca="false">X1107+Y1107*(E1107-AB1107)-Y1107*AD1107*Inputs!$B$13*(A1107-AC1107)</f>
        <v>944.502168231314</v>
      </c>
      <c r="AJ1107" s="10" t="n">
        <v>0</v>
      </c>
      <c r="AK1107" s="8" t="n">
        <f aca="false">IF(AND(B1107&lt;=U1107,NOT(Q1107)),B1107,U1107)*(1-Inputs!$B$12)</f>
        <v>0.835457242676421</v>
      </c>
    </row>
    <row r="1108" customFormat="false" ht="15" hidden="false" customHeight="false" outlineLevel="0" collapsed="false">
      <c r="A1108" s="6" t="n">
        <v>45892</v>
      </c>
      <c r="B1108" s="7" t="n">
        <v>0.852391253525632</v>
      </c>
      <c r="C1108" s="7" t="n">
        <v>0.856973674485134</v>
      </c>
      <c r="D1108" s="7" t="n">
        <v>0.846060385928608</v>
      </c>
      <c r="E1108" s="7" t="n">
        <v>0.852689245567554</v>
      </c>
      <c r="F1108" s="8" t="n">
        <f aca="true">IF(ROW()-2&gt;=Inputs!$B$4,AVERAGE(OFFSET(E1108,1-Inputs!$B$4,0,Inputs!$B$4,1)),"")</f>
        <v>0.843250734685039</v>
      </c>
      <c r="G1108" s="8" t="n">
        <f aca="true">IF(ROW()-2&gt;=Inputs!$B$5,AVERAGE(OFFSET(E1108,1-Inputs!$B$5,0,Inputs!$B$5,1)),"")</f>
        <v>0.832774492337842</v>
      </c>
      <c r="H1108" s="8" t="n">
        <f aca="false">MAX(C1108-D1108,ABS(C1108-E1107),ABS(D1108-E1107))</f>
        <v>0.0109132885565257</v>
      </c>
      <c r="I1108" s="8" t="n">
        <f aca="true">IF(ROW()-2&lt;14,"",IF(ROW()-2=14,AVERAGE(OFFSET(H1108,-13,0,14,1)),(I1107*13+H1108)/14))</f>
        <v>0.00847173057681355</v>
      </c>
      <c r="J1108" s="9" t="b">
        <f aca="false">IF(AND(ISNUMBER(F1108),ISNUMBER(G1108),ISNUMBER(F1107),ISNUMBER(G1107)),AND(F1108&gt;G1108,F1107&lt;=G1107),FALSE())</f>
        <v>0</v>
      </c>
      <c r="K1108" s="9" t="b">
        <f aca="false">IF(AND(ISNUMBER(F1108),ISNUMBER(G1108),ISNUMBER(F1107),ISNUMBER(G1107)),AND(F1108&lt;G1108,F1107&gt;=G1107),FALSE())</f>
        <v>0</v>
      </c>
      <c r="L1108" s="8" t="n">
        <f aca="false">IF(ISNUMBER(I1108),E1108-Inputs!$B$6*I1108,"")</f>
        <v>0.835745784413927</v>
      </c>
      <c r="M1108" s="9" t="b">
        <f aca="false">AND(Y1107&gt;0,Z1107)</f>
        <v>0</v>
      </c>
      <c r="N1108" s="8" t="n">
        <f aca="false">B1108*(1-Inputs!$B$12)</f>
        <v>0.852220775274927</v>
      </c>
      <c r="O1108" s="10" t="n">
        <f aca="false">IF(M1108,Y1107*(N1108-AB1107)-Inputs!$B$9-Y1107*AD1107*Inputs!$B$13*(A1108-AC1107),0)</f>
        <v>0</v>
      </c>
      <c r="P1108" s="10" t="n">
        <f aca="false">X1107+O1108</f>
        <v>944.618668179282</v>
      </c>
      <c r="Q1108" s="9" t="b">
        <f aca="false">AND(IF(M1108,0,Y1107)=0,AA1107,IF(ISNUMBER(AE1107),B1108&gt;AE1107,FALSE()))</f>
        <v>0</v>
      </c>
      <c r="R1108" s="8" t="n">
        <f aca="false">B1108*(1+Inputs!$B$12)</f>
        <v>0.852561731776337</v>
      </c>
      <c r="S1108" s="11" t="n">
        <f aca="false">IF(Q1108,MIN(P1108*Inputs!$B$3/(R1108-AE1107),P1108*Inputs!$B$11/R1108),0)</f>
        <v>0</v>
      </c>
      <c r="T1108" s="11" t="n">
        <f aca="false">IF(Q1108,S1108,IF(M1108,0,Y1107))</f>
        <v>572.575070766003</v>
      </c>
      <c r="U1108" s="8" t="n">
        <f aca="false">IF(Q1108,AE1107,AF1107)</f>
        <v>0.835624367549931</v>
      </c>
      <c r="V1108" s="9" t="b">
        <f aca="false">AND(T1108&gt;0,D1108&lt;=U1108)</f>
        <v>0</v>
      </c>
      <c r="W1108" s="10" t="n">
        <f aca="false">IF(V1108,T1108*(AK1108-AB1108)-Inputs!$B$9-T1108*AD1108*Inputs!$B$13*(A1108-AC1108),0)</f>
        <v>0</v>
      </c>
      <c r="X1108" s="10" t="n">
        <f aca="false">P1108-IF(Q1108,Inputs!$B$9,0)+W1108</f>
        <v>944.618668179282</v>
      </c>
      <c r="Y1108" s="11" t="n">
        <f aca="false">IF(V1108,0,T1108)</f>
        <v>572.575070766003</v>
      </c>
      <c r="Z1108" s="9" t="b">
        <f aca="false">AND(Y1108&gt;0,K1108)</f>
        <v>0</v>
      </c>
      <c r="AA1108" s="9" t="b">
        <f aca="false">AND(Y1108=0,J1108,ISNUMBER(L1108))</f>
        <v>0</v>
      </c>
      <c r="AB1108" s="8" t="n">
        <f aca="false">IF(Q1108,R1108,AB1107)</f>
        <v>0.852139558595783</v>
      </c>
      <c r="AC1108" s="12" t="n">
        <f aca="false">IF(Q1108,A1108,AC1107)</f>
        <v>45888</v>
      </c>
      <c r="AD1108" s="8" t="n">
        <f aca="false">IF(Q1108,B1108,AD1107)</f>
        <v>0.85196916476283</v>
      </c>
      <c r="AE1108" s="8" t="str">
        <f aca="false">IF(AA1108,L1108,"")</f>
        <v/>
      </c>
      <c r="AF1108" s="8" t="n">
        <f aca="false">U1108</f>
        <v>0.835624367549931</v>
      </c>
      <c r="AG1108" s="2" t="n">
        <f aca="false">AG1107+IF(Q1108,1,0)</f>
        <v>12</v>
      </c>
      <c r="AH1108" s="2" t="n">
        <f aca="false">AG1107</f>
        <v>12</v>
      </c>
      <c r="AI1108" s="10" t="n">
        <f aca="false">X1108+Y1108*(E1108-AB1108)-Y1108*AD1108*Inputs!$B$13*(A1108-AC1108)</f>
        <v>944.585919649059</v>
      </c>
      <c r="AJ1108" s="10" t="n">
        <v>0</v>
      </c>
      <c r="AK1108" s="8" t="n">
        <f aca="false">IF(AND(B1108&lt;=U1108,NOT(Q1108)),B1108,U1108)*(1-Inputs!$B$12)</f>
        <v>0.835457242676421</v>
      </c>
    </row>
    <row r="1109" customFormat="false" ht="15" hidden="false" customHeight="false" outlineLevel="0" collapsed="false">
      <c r="A1109" s="6" t="n">
        <v>45893</v>
      </c>
      <c r="B1109" s="7" t="n">
        <v>0.852689245567554</v>
      </c>
      <c r="C1109" s="7" t="n">
        <v>0.860765514304477</v>
      </c>
      <c r="D1109" s="7" t="n">
        <v>0.845066732062385</v>
      </c>
      <c r="E1109" s="7" t="n">
        <v>0.860174669950362</v>
      </c>
      <c r="F1109" s="8" t="n">
        <f aca="true">IF(ROW()-2&gt;=Inputs!$B$4,AVERAGE(OFFSET(E1109,1-Inputs!$B$4,0,Inputs!$B$4,1)),"")</f>
        <v>0.845300984431408</v>
      </c>
      <c r="G1109" s="8" t="n">
        <f aca="true">IF(ROW()-2&gt;=Inputs!$B$5,AVERAGE(OFFSET(E1109,1-Inputs!$B$5,0,Inputs!$B$5,1)),"")</f>
        <v>0.83315570747014</v>
      </c>
      <c r="H1109" s="8" t="n">
        <f aca="false">MAX(C1109-D1109,ABS(C1109-E1108),ABS(D1109-E1108))</f>
        <v>0.0156987822420921</v>
      </c>
      <c r="I1109" s="8" t="n">
        <f aca="true">IF(ROW()-2&lt;14,"",IF(ROW()-2=14,AVERAGE(OFFSET(H1109,-13,0,14,1)),(I1108*13+H1109)/14))</f>
        <v>0.00898794855290487</v>
      </c>
      <c r="J1109" s="9" t="b">
        <f aca="false">IF(AND(ISNUMBER(F1109),ISNUMBER(G1109),ISNUMBER(F1108),ISNUMBER(G1108)),AND(F1109&gt;G1109,F1108&lt;=G1108),FALSE())</f>
        <v>0</v>
      </c>
      <c r="K1109" s="9" t="b">
        <f aca="false">IF(AND(ISNUMBER(F1109),ISNUMBER(G1109),ISNUMBER(F1108),ISNUMBER(G1108)),AND(F1109&lt;G1109,F1108&gt;=G1108),FALSE())</f>
        <v>0</v>
      </c>
      <c r="L1109" s="8" t="n">
        <f aca="false">IF(ISNUMBER(I1109),E1109-Inputs!$B$6*I1109,"")</f>
        <v>0.842198772844552</v>
      </c>
      <c r="M1109" s="9" t="b">
        <f aca="false">AND(Y1108&gt;0,Z1108)</f>
        <v>0</v>
      </c>
      <c r="N1109" s="8" t="n">
        <f aca="false">B1109*(1-Inputs!$B$12)</f>
        <v>0.85251870771844</v>
      </c>
      <c r="O1109" s="10" t="n">
        <f aca="false">IF(M1109,Y1108*(N1109-AB1108)-Inputs!$B$9-Y1108*AD1108*Inputs!$B$13*(A1109-AC1108),0)</f>
        <v>0</v>
      </c>
      <c r="P1109" s="10" t="n">
        <f aca="false">X1108+O1109</f>
        <v>944.618668179282</v>
      </c>
      <c r="Q1109" s="9" t="b">
        <f aca="false">AND(IF(M1109,0,Y1108)=0,AA1108,IF(ISNUMBER(AE1108),B1109&gt;AE1108,FALSE()))</f>
        <v>0</v>
      </c>
      <c r="R1109" s="8" t="n">
        <f aca="false">B1109*(1+Inputs!$B$12)</f>
        <v>0.852859783416667</v>
      </c>
      <c r="S1109" s="11" t="n">
        <f aca="false">IF(Q1109,MIN(P1109*Inputs!$B$3/(R1109-AE1108),P1109*Inputs!$B$11/R1109),0)</f>
        <v>0</v>
      </c>
      <c r="T1109" s="11" t="n">
        <f aca="false">IF(Q1109,S1109,IF(M1109,0,Y1108))</f>
        <v>572.575070766003</v>
      </c>
      <c r="U1109" s="8" t="n">
        <f aca="false">IF(Q1109,AE1108,AF1108)</f>
        <v>0.835624367549931</v>
      </c>
      <c r="V1109" s="9" t="b">
        <f aca="false">AND(T1109&gt;0,D1109&lt;=U1109)</f>
        <v>0</v>
      </c>
      <c r="W1109" s="10" t="n">
        <f aca="false">IF(V1109,T1109*(AK1109-AB1109)-Inputs!$B$9-T1109*AD1109*Inputs!$B$13*(A1109-AC1109),0)</f>
        <v>0</v>
      </c>
      <c r="X1109" s="10" t="n">
        <f aca="false">P1109-IF(Q1109,Inputs!$B$9,0)+W1109</f>
        <v>944.618668179282</v>
      </c>
      <c r="Y1109" s="11" t="n">
        <f aca="false">IF(V1109,0,T1109)</f>
        <v>572.575070766003</v>
      </c>
      <c r="Z1109" s="9" t="b">
        <f aca="false">AND(Y1109&gt;0,K1109)</f>
        <v>0</v>
      </c>
      <c r="AA1109" s="9" t="b">
        <f aca="false">AND(Y1109=0,J1109,ISNUMBER(L1109))</f>
        <v>0</v>
      </c>
      <c r="AB1109" s="8" t="n">
        <f aca="false">IF(Q1109,R1109,AB1108)</f>
        <v>0.852139558595783</v>
      </c>
      <c r="AC1109" s="12" t="n">
        <f aca="false">IF(Q1109,A1109,AC1108)</f>
        <v>45888</v>
      </c>
      <c r="AD1109" s="8" t="n">
        <f aca="false">IF(Q1109,B1109,AD1108)</f>
        <v>0.85196916476283</v>
      </c>
      <c r="AE1109" s="8" t="str">
        <f aca="false">IF(AA1109,L1109,"")</f>
        <v/>
      </c>
      <c r="AF1109" s="8" t="n">
        <f aca="false">U1109</f>
        <v>0.835624367549931</v>
      </c>
      <c r="AG1109" s="2" t="n">
        <f aca="false">AG1108+IF(Q1109,1,0)</f>
        <v>12</v>
      </c>
      <c r="AH1109" s="2" t="n">
        <f aca="false">AG1108</f>
        <v>12</v>
      </c>
      <c r="AI1109" s="10" t="n">
        <f aca="false">X1109+Y1109*(E1109-AB1109)-Y1109*AD1109*Inputs!$B$13*(A1109-AC1109)</f>
        <v>948.785015648013</v>
      </c>
      <c r="AJ1109" s="10" t="n">
        <v>0</v>
      </c>
      <c r="AK1109" s="8" t="n">
        <f aca="false">IF(AND(B1109&lt;=U1109,NOT(Q1109)),B1109,U1109)*(1-Inputs!$B$12)</f>
        <v>0.835457242676421</v>
      </c>
    </row>
    <row r="1110" customFormat="false" ht="15" hidden="false" customHeight="false" outlineLevel="0" collapsed="false">
      <c r="A1110" s="6" t="n">
        <v>45894</v>
      </c>
      <c r="B1110" s="7" t="n">
        <v>0.860174669950362</v>
      </c>
      <c r="C1110" s="7" t="n">
        <v>0.863880939102807</v>
      </c>
      <c r="D1110" s="7" t="n">
        <v>0.857748544527119</v>
      </c>
      <c r="E1110" s="7" t="n">
        <v>0.862945405245943</v>
      </c>
      <c r="F1110" s="8" t="n">
        <f aca="true">IF(ROW()-2&gt;=Inputs!$B$4,AVERAGE(OFFSET(E1110,1-Inputs!$B$4,0,Inputs!$B$4,1)),"")</f>
        <v>0.847270907476126</v>
      </c>
      <c r="G1110" s="8" t="n">
        <f aca="true">IF(ROW()-2&gt;=Inputs!$B$5,AVERAGE(OFFSET(E1110,1-Inputs!$B$5,0,Inputs!$B$5,1)),"")</f>
        <v>0.833715108781785</v>
      </c>
      <c r="H1110" s="8" t="n">
        <f aca="false">MAX(C1110-D1110,ABS(C1110-E1109),ABS(D1110-E1109))</f>
        <v>0.00613239457568837</v>
      </c>
      <c r="I1110" s="8" t="n">
        <f aca="true">IF(ROW()-2&lt;14,"",IF(ROW()-2=14,AVERAGE(OFFSET(H1110,-13,0,14,1)),(I1109*13+H1110)/14))</f>
        <v>0.00878398041167512</v>
      </c>
      <c r="J1110" s="9" t="b">
        <f aca="false">IF(AND(ISNUMBER(F1110),ISNUMBER(G1110),ISNUMBER(F1109),ISNUMBER(G1109)),AND(F1110&gt;G1110,F1109&lt;=G1109),FALSE())</f>
        <v>0</v>
      </c>
      <c r="K1110" s="9" t="b">
        <f aca="false">IF(AND(ISNUMBER(F1110),ISNUMBER(G1110),ISNUMBER(F1109),ISNUMBER(G1109)),AND(F1110&lt;G1110,F1109&gt;=G1109),FALSE())</f>
        <v>0</v>
      </c>
      <c r="L1110" s="8" t="n">
        <f aca="false">IF(ISNUMBER(I1110),E1110-Inputs!$B$6*I1110,"")</f>
        <v>0.845377444422592</v>
      </c>
      <c r="M1110" s="9" t="b">
        <f aca="false">AND(Y1109&gt;0,Z1109)</f>
        <v>0</v>
      </c>
      <c r="N1110" s="8" t="n">
        <f aca="false">B1110*(1-Inputs!$B$12)</f>
        <v>0.860002635016372</v>
      </c>
      <c r="O1110" s="10" t="n">
        <f aca="false">IF(M1110,Y1109*(N1110-AB1109)-Inputs!$B$9-Y1109*AD1109*Inputs!$B$13*(A1110-AC1109),0)</f>
        <v>0</v>
      </c>
      <c r="P1110" s="10" t="n">
        <f aca="false">X1109+O1110</f>
        <v>944.618668179282</v>
      </c>
      <c r="Q1110" s="9" t="b">
        <f aca="false">AND(IF(M1110,0,Y1109)=0,AA1109,IF(ISNUMBER(AE1109),B1110&gt;AE1109,FALSE()))</f>
        <v>0</v>
      </c>
      <c r="R1110" s="8" t="n">
        <f aca="false">B1110*(1+Inputs!$B$12)</f>
        <v>0.860346704884352</v>
      </c>
      <c r="S1110" s="11" t="n">
        <f aca="false">IF(Q1110,MIN(P1110*Inputs!$B$3/(R1110-AE1109),P1110*Inputs!$B$11/R1110),0)</f>
        <v>0</v>
      </c>
      <c r="T1110" s="11" t="n">
        <f aca="false">IF(Q1110,S1110,IF(M1110,0,Y1109))</f>
        <v>572.575070766003</v>
      </c>
      <c r="U1110" s="8" t="n">
        <f aca="false">IF(Q1110,AE1109,AF1109)</f>
        <v>0.835624367549931</v>
      </c>
      <c r="V1110" s="9" t="b">
        <f aca="false">AND(T1110&gt;0,D1110&lt;=U1110)</f>
        <v>0</v>
      </c>
      <c r="W1110" s="10" t="n">
        <f aca="false">IF(V1110,T1110*(AK1110-AB1110)-Inputs!$B$9-T1110*AD1110*Inputs!$B$13*(A1110-AC1110),0)</f>
        <v>0</v>
      </c>
      <c r="X1110" s="10" t="n">
        <f aca="false">P1110-IF(Q1110,Inputs!$B$9,0)+W1110</f>
        <v>944.618668179282</v>
      </c>
      <c r="Y1110" s="11" t="n">
        <f aca="false">IF(V1110,0,T1110)</f>
        <v>572.575070766003</v>
      </c>
      <c r="Z1110" s="9" t="b">
        <f aca="false">AND(Y1110&gt;0,K1110)</f>
        <v>0</v>
      </c>
      <c r="AA1110" s="9" t="b">
        <f aca="false">AND(Y1110=0,J1110,ISNUMBER(L1110))</f>
        <v>0</v>
      </c>
      <c r="AB1110" s="8" t="n">
        <f aca="false">IF(Q1110,R1110,AB1109)</f>
        <v>0.852139558595783</v>
      </c>
      <c r="AC1110" s="12" t="n">
        <f aca="false">IF(Q1110,A1110,AC1109)</f>
        <v>45888</v>
      </c>
      <c r="AD1110" s="8" t="n">
        <f aca="false">IF(Q1110,B1110,AD1109)</f>
        <v>0.85196916476283</v>
      </c>
      <c r="AE1110" s="8" t="str">
        <f aca="false">IF(AA1110,L1110,"")</f>
        <v/>
      </c>
      <c r="AF1110" s="8" t="n">
        <f aca="false">U1110</f>
        <v>0.835624367549931</v>
      </c>
      <c r="AG1110" s="2" t="n">
        <f aca="false">AG1109+IF(Q1110,1,0)</f>
        <v>12</v>
      </c>
      <c r="AH1110" s="2" t="n">
        <f aca="false">AG1109</f>
        <v>12</v>
      </c>
      <c r="AI1110" s="10" t="n">
        <f aca="false">X1110+Y1110*(E1110-AB1110)-Y1110*AD1110*Inputs!$B$13*(A1110-AC1110)</f>
        <v>950.284598209208</v>
      </c>
      <c r="AJ1110" s="10" t="n">
        <v>0</v>
      </c>
      <c r="AK1110" s="8" t="n">
        <f aca="false">IF(AND(B1110&lt;=U1110,NOT(Q1110)),B1110,U1110)*(1-Inputs!$B$12)</f>
        <v>0.835457242676421</v>
      </c>
    </row>
    <row r="1111" customFormat="false" ht="15" hidden="false" customHeight="false" outlineLevel="0" collapsed="false">
      <c r="A1111" s="6" t="n">
        <v>45895</v>
      </c>
      <c r="B1111" s="7" t="n">
        <v>0.862945405245943</v>
      </c>
      <c r="C1111" s="7" t="n">
        <v>0.864349244229942</v>
      </c>
      <c r="D1111" s="7" t="n">
        <v>0.854060890134033</v>
      </c>
      <c r="E1111" s="7" t="n">
        <v>0.86122444531616</v>
      </c>
      <c r="F1111" s="8" t="n">
        <f aca="true">IF(ROW()-2&gt;=Inputs!$B$4,AVERAGE(OFFSET(E1111,1-Inputs!$B$4,0,Inputs!$B$4,1)),"")</f>
        <v>0.848906162496376</v>
      </c>
      <c r="G1111" s="8" t="n">
        <f aca="true">IF(ROW()-2&gt;=Inputs!$B$5,AVERAGE(OFFSET(E1111,1-Inputs!$B$5,0,Inputs!$B$5,1)),"")</f>
        <v>0.834277784242756</v>
      </c>
      <c r="H1111" s="8" t="n">
        <f aca="false">MAX(C1111-D1111,ABS(C1111-E1110),ABS(D1111-E1110))</f>
        <v>0.0102883540959093</v>
      </c>
      <c r="I1111" s="8" t="n">
        <f aca="true">IF(ROW()-2&lt;14,"",IF(ROW()-2=14,AVERAGE(OFFSET(H1111,-13,0,14,1)),(I1110*13+H1111)/14))</f>
        <v>0.00889143567483471</v>
      </c>
      <c r="J1111" s="9" t="b">
        <f aca="false">IF(AND(ISNUMBER(F1111),ISNUMBER(G1111),ISNUMBER(F1110),ISNUMBER(G1110)),AND(F1111&gt;G1111,F1110&lt;=G1110),FALSE())</f>
        <v>0</v>
      </c>
      <c r="K1111" s="9" t="b">
        <f aca="false">IF(AND(ISNUMBER(F1111),ISNUMBER(G1111),ISNUMBER(F1110),ISNUMBER(G1110)),AND(F1111&lt;G1111,F1110&gt;=G1110),FALSE())</f>
        <v>0</v>
      </c>
      <c r="L1111" s="8" t="n">
        <f aca="false">IF(ISNUMBER(I1111),E1111-Inputs!$B$6*I1111,"")</f>
        <v>0.843441573966491</v>
      </c>
      <c r="M1111" s="9" t="b">
        <f aca="false">AND(Y1110&gt;0,Z1110)</f>
        <v>0</v>
      </c>
      <c r="N1111" s="8" t="n">
        <f aca="false">B1111*(1-Inputs!$B$12)</f>
        <v>0.862772816164893</v>
      </c>
      <c r="O1111" s="10" t="n">
        <f aca="false">IF(M1111,Y1110*(N1111-AB1110)-Inputs!$B$9-Y1110*AD1110*Inputs!$B$13*(A1111-AC1110),0)</f>
        <v>0</v>
      </c>
      <c r="P1111" s="10" t="n">
        <f aca="false">X1110+O1111</f>
        <v>944.618668179282</v>
      </c>
      <c r="Q1111" s="9" t="b">
        <f aca="false">AND(IF(M1111,0,Y1110)=0,AA1110,IF(ISNUMBER(AE1110),B1111&gt;AE1110,FALSE()))</f>
        <v>0</v>
      </c>
      <c r="R1111" s="8" t="n">
        <f aca="false">B1111*(1+Inputs!$B$12)</f>
        <v>0.863117994326992</v>
      </c>
      <c r="S1111" s="11" t="n">
        <f aca="false">IF(Q1111,MIN(P1111*Inputs!$B$3/(R1111-AE1110),P1111*Inputs!$B$11/R1111),0)</f>
        <v>0</v>
      </c>
      <c r="T1111" s="11" t="n">
        <f aca="false">IF(Q1111,S1111,IF(M1111,0,Y1110))</f>
        <v>572.575070766003</v>
      </c>
      <c r="U1111" s="8" t="n">
        <f aca="false">IF(Q1111,AE1110,AF1110)</f>
        <v>0.835624367549931</v>
      </c>
      <c r="V1111" s="9" t="b">
        <f aca="false">AND(T1111&gt;0,D1111&lt;=U1111)</f>
        <v>0</v>
      </c>
      <c r="W1111" s="10" t="n">
        <f aca="false">IF(V1111,T1111*(AK1111-AB1111)-Inputs!$B$9-T1111*AD1111*Inputs!$B$13*(A1111-AC1111),0)</f>
        <v>0</v>
      </c>
      <c r="X1111" s="10" t="n">
        <f aca="false">P1111-IF(Q1111,Inputs!$B$9,0)+W1111</f>
        <v>944.618668179282</v>
      </c>
      <c r="Y1111" s="11" t="n">
        <f aca="false">IF(V1111,0,T1111)</f>
        <v>572.575070766003</v>
      </c>
      <c r="Z1111" s="9" t="b">
        <f aca="false">AND(Y1111&gt;0,K1111)</f>
        <v>0</v>
      </c>
      <c r="AA1111" s="9" t="b">
        <f aca="false">AND(Y1111=0,J1111,ISNUMBER(L1111))</f>
        <v>0</v>
      </c>
      <c r="AB1111" s="8" t="n">
        <f aca="false">IF(Q1111,R1111,AB1110)</f>
        <v>0.852139558595783</v>
      </c>
      <c r="AC1111" s="12" t="n">
        <f aca="false">IF(Q1111,A1111,AC1110)</f>
        <v>45888</v>
      </c>
      <c r="AD1111" s="8" t="n">
        <f aca="false">IF(Q1111,B1111,AD1110)</f>
        <v>0.85196916476283</v>
      </c>
      <c r="AE1111" s="8" t="str">
        <f aca="false">IF(AA1111,L1111,"")</f>
        <v/>
      </c>
      <c r="AF1111" s="8" t="n">
        <f aca="false">U1111</f>
        <v>0.835624367549931</v>
      </c>
      <c r="AG1111" s="2" t="n">
        <f aca="false">AG1110+IF(Q1111,1,0)</f>
        <v>12</v>
      </c>
      <c r="AH1111" s="2" t="n">
        <f aca="false">AG1110</f>
        <v>12</v>
      </c>
      <c r="AI1111" s="10" t="n">
        <f aca="false">X1111+Y1111*(E1111-AB1111)-Y1111*AD1111*Inputs!$B$13*(A1111-AC1111)</f>
        <v>949.212348058881</v>
      </c>
      <c r="AJ1111" s="10" t="n">
        <v>0</v>
      </c>
      <c r="AK1111" s="8" t="n">
        <f aca="false">IF(AND(B1111&lt;=U1111,NOT(Q1111)),B1111,U1111)*(1-Inputs!$B$12)</f>
        <v>0.835457242676421</v>
      </c>
    </row>
    <row r="1112" customFormat="false" ht="15" hidden="false" customHeight="false" outlineLevel="0" collapsed="false">
      <c r="A1112" s="6" t="n">
        <v>45896</v>
      </c>
      <c r="B1112" s="7" t="n">
        <v>0.86122444531616</v>
      </c>
      <c r="C1112" s="7" t="n">
        <v>0.864202721456488</v>
      </c>
      <c r="D1112" s="7" t="n">
        <v>0.855205872538476</v>
      </c>
      <c r="E1112" s="7" t="n">
        <v>0.863578913283773</v>
      </c>
      <c r="F1112" s="8" t="n">
        <f aca="true">IF(ROW()-2&gt;=Inputs!$B$4,AVERAGE(OFFSET(E1112,1-Inputs!$B$4,0,Inputs!$B$4,1)),"")</f>
        <v>0.850406642394539</v>
      </c>
      <c r="G1112" s="8" t="n">
        <f aca="true">IF(ROW()-2&gt;=Inputs!$B$5,AVERAGE(OFFSET(E1112,1-Inputs!$B$5,0,Inputs!$B$5,1)),"")</f>
        <v>0.835026619239457</v>
      </c>
      <c r="H1112" s="8" t="n">
        <f aca="false">MAX(C1112-D1112,ABS(C1112-E1111),ABS(D1112-E1111))</f>
        <v>0.00899684891801178</v>
      </c>
      <c r="I1112" s="8" t="n">
        <f aca="true">IF(ROW()-2&lt;14,"",IF(ROW()-2=14,AVERAGE(OFFSET(H1112,-13,0,14,1)),(I1111*13+H1112)/14))</f>
        <v>0.0088989651922045</v>
      </c>
      <c r="J1112" s="9" t="b">
        <f aca="false">IF(AND(ISNUMBER(F1112),ISNUMBER(G1112),ISNUMBER(F1111),ISNUMBER(G1111)),AND(F1112&gt;G1112,F1111&lt;=G1111),FALSE())</f>
        <v>0</v>
      </c>
      <c r="K1112" s="9" t="b">
        <f aca="false">IF(AND(ISNUMBER(F1112),ISNUMBER(G1112),ISNUMBER(F1111),ISNUMBER(G1111)),AND(F1112&lt;G1112,F1111&gt;=G1111),FALSE())</f>
        <v>0</v>
      </c>
      <c r="L1112" s="8" t="n">
        <f aca="false">IF(ISNUMBER(I1112),E1112-Inputs!$B$6*I1112,"")</f>
        <v>0.845780982899364</v>
      </c>
      <c r="M1112" s="9" t="b">
        <f aca="false">AND(Y1111&gt;0,Z1111)</f>
        <v>0</v>
      </c>
      <c r="N1112" s="8" t="n">
        <f aca="false">B1112*(1-Inputs!$B$12)</f>
        <v>0.861052200427097</v>
      </c>
      <c r="O1112" s="10" t="n">
        <f aca="false">IF(M1112,Y1111*(N1112-AB1111)-Inputs!$B$9-Y1111*AD1111*Inputs!$B$13*(A1112-AC1111),0)</f>
        <v>0</v>
      </c>
      <c r="P1112" s="10" t="n">
        <f aca="false">X1111+O1112</f>
        <v>944.618668179282</v>
      </c>
      <c r="Q1112" s="9" t="b">
        <f aca="false">AND(IF(M1112,0,Y1111)=0,AA1111,IF(ISNUMBER(AE1111),B1112&gt;AE1111,FALSE()))</f>
        <v>0</v>
      </c>
      <c r="R1112" s="8" t="n">
        <f aca="false">B1112*(1+Inputs!$B$12)</f>
        <v>0.861396690205223</v>
      </c>
      <c r="S1112" s="11" t="n">
        <f aca="false">IF(Q1112,MIN(P1112*Inputs!$B$3/(R1112-AE1111),P1112*Inputs!$B$11/R1112),0)</f>
        <v>0</v>
      </c>
      <c r="T1112" s="11" t="n">
        <f aca="false">IF(Q1112,S1112,IF(M1112,0,Y1111))</f>
        <v>572.575070766003</v>
      </c>
      <c r="U1112" s="8" t="n">
        <f aca="false">IF(Q1112,AE1111,AF1111)</f>
        <v>0.835624367549931</v>
      </c>
      <c r="V1112" s="9" t="b">
        <f aca="false">AND(T1112&gt;0,D1112&lt;=U1112)</f>
        <v>0</v>
      </c>
      <c r="W1112" s="10" t="n">
        <f aca="false">IF(V1112,T1112*(AK1112-AB1112)-Inputs!$B$9-T1112*AD1112*Inputs!$B$13*(A1112-AC1112),0)</f>
        <v>0</v>
      </c>
      <c r="X1112" s="10" t="n">
        <f aca="false">P1112-IF(Q1112,Inputs!$B$9,0)+W1112</f>
        <v>944.618668179282</v>
      </c>
      <c r="Y1112" s="11" t="n">
        <f aca="false">IF(V1112,0,T1112)</f>
        <v>572.575070766003</v>
      </c>
      <c r="Z1112" s="9" t="b">
        <f aca="false">AND(Y1112&gt;0,K1112)</f>
        <v>0</v>
      </c>
      <c r="AA1112" s="9" t="b">
        <f aca="false">AND(Y1112=0,J1112,ISNUMBER(L1112))</f>
        <v>0</v>
      </c>
      <c r="AB1112" s="8" t="n">
        <f aca="false">IF(Q1112,R1112,AB1111)</f>
        <v>0.852139558595783</v>
      </c>
      <c r="AC1112" s="12" t="n">
        <f aca="false">IF(Q1112,A1112,AC1111)</f>
        <v>45888</v>
      </c>
      <c r="AD1112" s="8" t="n">
        <f aca="false">IF(Q1112,B1112,AD1111)</f>
        <v>0.85196916476283</v>
      </c>
      <c r="AE1112" s="8" t="str">
        <f aca="false">IF(AA1112,L1112,"")</f>
        <v/>
      </c>
      <c r="AF1112" s="8" t="n">
        <f aca="false">U1112</f>
        <v>0.835624367549931</v>
      </c>
      <c r="AG1112" s="2" t="n">
        <f aca="false">AG1111+IF(Q1112,1,0)</f>
        <v>12</v>
      </c>
      <c r="AH1112" s="2" t="n">
        <f aca="false">AG1111</f>
        <v>12</v>
      </c>
      <c r="AI1112" s="10" t="n">
        <f aca="false">X1112+Y1112*(E1112-AB1112)-Y1112*AD1112*Inputs!$B$13*(A1112-AC1112)</f>
        <v>950.473586325307</v>
      </c>
      <c r="AJ1112" s="10" t="n">
        <v>0</v>
      </c>
      <c r="AK1112" s="8" t="n">
        <f aca="false">IF(AND(B1112&lt;=U1112,NOT(Q1112)),B1112,U1112)*(1-Inputs!$B$12)</f>
        <v>0.835457242676421</v>
      </c>
    </row>
    <row r="1113" customFormat="false" ht="15" hidden="false" customHeight="false" outlineLevel="0" collapsed="false">
      <c r="A1113" s="6" t="n">
        <v>45897</v>
      </c>
      <c r="B1113" s="7" t="n">
        <v>0.863578913283773</v>
      </c>
      <c r="C1113" s="7" t="n">
        <v>0.867887403670331</v>
      </c>
      <c r="D1113" s="7" t="n">
        <v>0.86142119616103</v>
      </c>
      <c r="E1113" s="7" t="n">
        <v>0.863638211385973</v>
      </c>
      <c r="F1113" s="8" t="n">
        <f aca="true">IF(ROW()-2&gt;=Inputs!$B$4,AVERAGE(OFFSET(E1113,1-Inputs!$B$4,0,Inputs!$B$4,1)),"")</f>
        <v>0.851494986870324</v>
      </c>
      <c r="G1113" s="8" t="n">
        <f aca="true">IF(ROW()-2&gt;=Inputs!$B$5,AVERAGE(OFFSET(E1113,1-Inputs!$B$5,0,Inputs!$B$5,1)),"")</f>
        <v>0.835632541075826</v>
      </c>
      <c r="H1113" s="8" t="n">
        <f aca="false">MAX(C1113-D1113,ABS(C1113-E1112),ABS(D1113-E1112))</f>
        <v>0.00646620750930182</v>
      </c>
      <c r="I1113" s="8" t="n">
        <f aca="true">IF(ROW()-2&lt;14,"",IF(ROW()-2=14,AVERAGE(OFFSET(H1113,-13,0,14,1)),(I1112*13+H1113)/14))</f>
        <v>0.00872519678628288</v>
      </c>
      <c r="J1113" s="9" t="b">
        <f aca="false">IF(AND(ISNUMBER(F1113),ISNUMBER(G1113),ISNUMBER(F1112),ISNUMBER(G1112)),AND(F1113&gt;G1113,F1112&lt;=G1112),FALSE())</f>
        <v>0</v>
      </c>
      <c r="K1113" s="9" t="b">
        <f aca="false">IF(AND(ISNUMBER(F1113),ISNUMBER(G1113),ISNUMBER(F1112),ISNUMBER(G1112)),AND(F1113&lt;G1113,F1112&gt;=G1112),FALSE())</f>
        <v>0</v>
      </c>
      <c r="L1113" s="8" t="n">
        <f aca="false">IF(ISNUMBER(I1113),E1113-Inputs!$B$6*I1113,"")</f>
        <v>0.846187817813407</v>
      </c>
      <c r="M1113" s="9" t="b">
        <f aca="false">AND(Y1112&gt;0,Z1112)</f>
        <v>0</v>
      </c>
      <c r="N1113" s="8" t="n">
        <f aca="false">B1113*(1-Inputs!$B$12)</f>
        <v>0.863406197501116</v>
      </c>
      <c r="O1113" s="10" t="n">
        <f aca="false">IF(M1113,Y1112*(N1113-AB1112)-Inputs!$B$9-Y1112*AD1112*Inputs!$B$13*(A1113-AC1112),0)</f>
        <v>0</v>
      </c>
      <c r="P1113" s="10" t="n">
        <f aca="false">X1112+O1113</f>
        <v>944.618668179282</v>
      </c>
      <c r="Q1113" s="9" t="b">
        <f aca="false">AND(IF(M1113,0,Y1112)=0,AA1112,IF(ISNUMBER(AE1112),B1113&gt;AE1112,FALSE()))</f>
        <v>0</v>
      </c>
      <c r="R1113" s="8" t="n">
        <f aca="false">B1113*(1+Inputs!$B$12)</f>
        <v>0.86375162906643</v>
      </c>
      <c r="S1113" s="11" t="n">
        <f aca="false">IF(Q1113,MIN(P1113*Inputs!$B$3/(R1113-AE1112),P1113*Inputs!$B$11/R1113),0)</f>
        <v>0</v>
      </c>
      <c r="T1113" s="11" t="n">
        <f aca="false">IF(Q1113,S1113,IF(M1113,0,Y1112))</f>
        <v>572.575070766003</v>
      </c>
      <c r="U1113" s="8" t="n">
        <f aca="false">IF(Q1113,AE1112,AF1112)</f>
        <v>0.835624367549931</v>
      </c>
      <c r="V1113" s="9" t="b">
        <f aca="false">AND(T1113&gt;0,D1113&lt;=U1113)</f>
        <v>0</v>
      </c>
      <c r="W1113" s="10" t="n">
        <f aca="false">IF(V1113,T1113*(AK1113-AB1113)-Inputs!$B$9-T1113*AD1113*Inputs!$B$13*(A1113-AC1113),0)</f>
        <v>0</v>
      </c>
      <c r="X1113" s="10" t="n">
        <f aca="false">P1113-IF(Q1113,Inputs!$B$9,0)+W1113</f>
        <v>944.618668179282</v>
      </c>
      <c r="Y1113" s="11" t="n">
        <f aca="false">IF(V1113,0,T1113)</f>
        <v>572.575070766003</v>
      </c>
      <c r="Z1113" s="9" t="b">
        <f aca="false">AND(Y1113&gt;0,K1113)</f>
        <v>0</v>
      </c>
      <c r="AA1113" s="9" t="b">
        <f aca="false">AND(Y1113=0,J1113,ISNUMBER(L1113))</f>
        <v>0</v>
      </c>
      <c r="AB1113" s="8" t="n">
        <f aca="false">IF(Q1113,R1113,AB1112)</f>
        <v>0.852139558595783</v>
      </c>
      <c r="AC1113" s="12" t="n">
        <f aca="false">IF(Q1113,A1113,AC1112)</f>
        <v>45888</v>
      </c>
      <c r="AD1113" s="8" t="n">
        <f aca="false">IF(Q1113,B1113,AD1112)</f>
        <v>0.85196916476283</v>
      </c>
      <c r="AE1113" s="8" t="str">
        <f aca="false">IF(AA1113,L1113,"")</f>
        <v/>
      </c>
      <c r="AF1113" s="8" t="n">
        <f aca="false">U1113</f>
        <v>0.835624367549931</v>
      </c>
      <c r="AG1113" s="2" t="n">
        <f aca="false">AG1112+IF(Q1113,1,0)</f>
        <v>12</v>
      </c>
      <c r="AH1113" s="2" t="n">
        <f aca="false">AG1112</f>
        <v>12</v>
      </c>
      <c r="AI1113" s="10" t="n">
        <f aca="false">X1113+Y1113*(E1113-AB1113)-Y1113*AD1113*Inputs!$B$13*(A1113-AC1113)</f>
        <v>950.420667543624</v>
      </c>
      <c r="AJ1113" s="10" t="n">
        <v>0</v>
      </c>
      <c r="AK1113" s="8" t="n">
        <f aca="false">IF(AND(B1113&lt;=U1113,NOT(Q1113)),B1113,U1113)*(1-Inputs!$B$12)</f>
        <v>0.835457242676421</v>
      </c>
    </row>
    <row r="1114" customFormat="false" ht="15" hidden="false" customHeight="false" outlineLevel="0" collapsed="false">
      <c r="A1114" s="6" t="n">
        <v>45898</v>
      </c>
      <c r="B1114" s="7" t="n">
        <v>0.863638211385973</v>
      </c>
      <c r="C1114" s="7" t="n">
        <v>0.868198838874093</v>
      </c>
      <c r="D1114" s="7" t="n">
        <v>0.861384072925473</v>
      </c>
      <c r="E1114" s="7" t="n">
        <v>0.86585258448021</v>
      </c>
      <c r="F1114" s="8" t="n">
        <f aca="true">IF(ROW()-2&gt;=Inputs!$B$4,AVERAGE(OFFSET(E1114,1-Inputs!$B$4,0,Inputs!$B$4,1)),"")</f>
        <v>0.852543473697419</v>
      </c>
      <c r="G1114" s="8" t="n">
        <f aca="true">IF(ROW()-2&gt;=Inputs!$B$5,AVERAGE(OFFSET(E1114,1-Inputs!$B$5,0,Inputs!$B$5,1)),"")</f>
        <v>0.836109314195599</v>
      </c>
      <c r="H1114" s="8" t="n">
        <f aca="false">MAX(C1114-D1114,ABS(C1114-E1113),ABS(D1114-E1113))</f>
        <v>0.00681476594862041</v>
      </c>
      <c r="I1114" s="8" t="n">
        <f aca="true">IF(ROW()-2&lt;14,"",IF(ROW()-2=14,AVERAGE(OFFSET(H1114,-13,0,14,1)),(I1113*13+H1114)/14))</f>
        <v>0.00858873744073556</v>
      </c>
      <c r="J1114" s="9" t="b">
        <f aca="false">IF(AND(ISNUMBER(F1114),ISNUMBER(G1114),ISNUMBER(F1113),ISNUMBER(G1113)),AND(F1114&gt;G1114,F1113&lt;=G1113),FALSE())</f>
        <v>0</v>
      </c>
      <c r="K1114" s="9" t="b">
        <f aca="false">IF(AND(ISNUMBER(F1114),ISNUMBER(G1114),ISNUMBER(F1113),ISNUMBER(G1113)),AND(F1114&lt;G1114,F1113&gt;=G1113),FALSE())</f>
        <v>0</v>
      </c>
      <c r="L1114" s="8" t="n">
        <f aca="false">IF(ISNUMBER(I1114),E1114-Inputs!$B$6*I1114,"")</f>
        <v>0.848675109598738</v>
      </c>
      <c r="M1114" s="9" t="b">
        <f aca="false">AND(Y1113&gt;0,Z1113)</f>
        <v>0</v>
      </c>
      <c r="N1114" s="8" t="n">
        <f aca="false">B1114*(1-Inputs!$B$12)</f>
        <v>0.863465483743696</v>
      </c>
      <c r="O1114" s="10" t="n">
        <f aca="false">IF(M1114,Y1113*(N1114-AB1113)-Inputs!$B$9-Y1113*AD1113*Inputs!$B$13*(A1114-AC1113),0)</f>
        <v>0</v>
      </c>
      <c r="P1114" s="10" t="n">
        <f aca="false">X1113+O1114</f>
        <v>944.618668179282</v>
      </c>
      <c r="Q1114" s="9" t="b">
        <f aca="false">AND(IF(M1114,0,Y1113)=0,AA1113,IF(ISNUMBER(AE1113),B1114&gt;AE1113,FALSE()))</f>
        <v>0</v>
      </c>
      <c r="R1114" s="8" t="n">
        <f aca="false">B1114*(1+Inputs!$B$12)</f>
        <v>0.86381093902825</v>
      </c>
      <c r="S1114" s="11" t="n">
        <f aca="false">IF(Q1114,MIN(P1114*Inputs!$B$3/(R1114-AE1113),P1114*Inputs!$B$11/R1114),0)</f>
        <v>0</v>
      </c>
      <c r="T1114" s="11" t="n">
        <f aca="false">IF(Q1114,S1114,IF(M1114,0,Y1113))</f>
        <v>572.575070766003</v>
      </c>
      <c r="U1114" s="8" t="n">
        <f aca="false">IF(Q1114,AE1113,AF1113)</f>
        <v>0.835624367549931</v>
      </c>
      <c r="V1114" s="9" t="b">
        <f aca="false">AND(T1114&gt;0,D1114&lt;=U1114)</f>
        <v>0</v>
      </c>
      <c r="W1114" s="10" t="n">
        <f aca="false">IF(V1114,T1114*(AK1114-AB1114)-Inputs!$B$9-T1114*AD1114*Inputs!$B$13*(A1114-AC1114),0)</f>
        <v>0</v>
      </c>
      <c r="X1114" s="10" t="n">
        <f aca="false">P1114-IF(Q1114,Inputs!$B$9,0)+W1114</f>
        <v>944.618668179282</v>
      </c>
      <c r="Y1114" s="11" t="n">
        <f aca="false">IF(V1114,0,T1114)</f>
        <v>572.575070766003</v>
      </c>
      <c r="Z1114" s="9" t="b">
        <f aca="false">AND(Y1114&gt;0,K1114)</f>
        <v>0</v>
      </c>
      <c r="AA1114" s="9" t="b">
        <f aca="false">AND(Y1114=0,J1114,ISNUMBER(L1114))</f>
        <v>0</v>
      </c>
      <c r="AB1114" s="8" t="n">
        <f aca="false">IF(Q1114,R1114,AB1113)</f>
        <v>0.852139558595783</v>
      </c>
      <c r="AC1114" s="12" t="n">
        <f aca="false">IF(Q1114,A1114,AC1113)</f>
        <v>45888</v>
      </c>
      <c r="AD1114" s="8" t="n">
        <f aca="false">IF(Q1114,B1114,AD1113)</f>
        <v>0.85196916476283</v>
      </c>
      <c r="AE1114" s="8" t="str">
        <f aca="false">IF(AA1114,L1114,"")</f>
        <v/>
      </c>
      <c r="AF1114" s="8" t="n">
        <f aca="false">U1114</f>
        <v>0.835624367549931</v>
      </c>
      <c r="AG1114" s="2" t="n">
        <f aca="false">AG1113+IF(Q1114,1,0)</f>
        <v>12</v>
      </c>
      <c r="AH1114" s="2" t="n">
        <f aca="false">AG1113</f>
        <v>12</v>
      </c>
      <c r="AI1114" s="10" t="n">
        <f aca="false">X1114+Y1114*(E1114-AB1114)-Y1114*AD1114*Inputs!$B$13*(A1114-AC1114)</f>
        <v>951.601690978014</v>
      </c>
      <c r="AJ1114" s="10" t="n">
        <v>0</v>
      </c>
      <c r="AK1114" s="8" t="n">
        <f aca="false">IF(AND(B1114&lt;=U1114,NOT(Q1114)),B1114,U1114)*(1-Inputs!$B$12)</f>
        <v>0.835457242676421</v>
      </c>
    </row>
    <row r="1115" customFormat="false" ht="15" hidden="false" customHeight="false" outlineLevel="0" collapsed="false">
      <c r="A1115" s="6" t="n">
        <v>45899</v>
      </c>
      <c r="B1115" s="7" t="n">
        <v>0.86585258448021</v>
      </c>
      <c r="C1115" s="7" t="n">
        <v>0.866049303144469</v>
      </c>
      <c r="D1115" s="7" t="n">
        <v>0.858399210042076</v>
      </c>
      <c r="E1115" s="7" t="n">
        <v>0.858630106700299</v>
      </c>
      <c r="F1115" s="8" t="n">
        <f aca="true">IF(ROW()-2&gt;=Inputs!$B$4,AVERAGE(OFFSET(E1115,1-Inputs!$B$4,0,Inputs!$B$4,1)),"")</f>
        <v>0.853182637777228</v>
      </c>
      <c r="G1115" s="8" t="n">
        <f aca="true">IF(ROW()-2&gt;=Inputs!$B$5,AVERAGE(OFFSET(E1115,1-Inputs!$B$5,0,Inputs!$B$5,1)),"")</f>
        <v>0.836493174956482</v>
      </c>
      <c r="H1115" s="8" t="n">
        <f aca="false">MAX(C1115-D1115,ABS(C1115-E1114),ABS(D1115-E1114))</f>
        <v>0.00765009310239295</v>
      </c>
      <c r="I1115" s="8" t="n">
        <f aca="true">IF(ROW()-2&lt;14,"",IF(ROW()-2=14,AVERAGE(OFFSET(H1115,-13,0,14,1)),(I1114*13+H1115)/14))</f>
        <v>0.00852169141656823</v>
      </c>
      <c r="J1115" s="9" t="b">
        <f aca="false">IF(AND(ISNUMBER(F1115),ISNUMBER(G1115),ISNUMBER(F1114),ISNUMBER(G1114)),AND(F1115&gt;G1115,F1114&lt;=G1114),FALSE())</f>
        <v>0</v>
      </c>
      <c r="K1115" s="9" t="b">
        <f aca="false">IF(AND(ISNUMBER(F1115),ISNUMBER(G1115),ISNUMBER(F1114),ISNUMBER(G1114)),AND(F1115&lt;G1115,F1114&gt;=G1114),FALSE())</f>
        <v>0</v>
      </c>
      <c r="L1115" s="8" t="n">
        <f aca="false">IF(ISNUMBER(I1115),E1115-Inputs!$B$6*I1115,"")</f>
        <v>0.841586723867163</v>
      </c>
      <c r="M1115" s="9" t="b">
        <f aca="false">AND(Y1114&gt;0,Z1114)</f>
        <v>0</v>
      </c>
      <c r="N1115" s="8" t="n">
        <f aca="false">B1115*(1-Inputs!$B$12)</f>
        <v>0.865679413963314</v>
      </c>
      <c r="O1115" s="10" t="n">
        <f aca="false">IF(M1115,Y1114*(N1115-AB1114)-Inputs!$B$9-Y1114*AD1114*Inputs!$B$13*(A1115-AC1114),0)</f>
        <v>0</v>
      </c>
      <c r="P1115" s="10" t="n">
        <f aca="false">X1114+O1115</f>
        <v>944.618668179282</v>
      </c>
      <c r="Q1115" s="9" t="b">
        <f aca="false">AND(IF(M1115,0,Y1114)=0,AA1114,IF(ISNUMBER(AE1114),B1115&gt;AE1114,FALSE()))</f>
        <v>0</v>
      </c>
      <c r="R1115" s="8" t="n">
        <f aca="false">B1115*(1+Inputs!$B$12)</f>
        <v>0.866025754997106</v>
      </c>
      <c r="S1115" s="11" t="n">
        <f aca="false">IF(Q1115,MIN(P1115*Inputs!$B$3/(R1115-AE1114),P1115*Inputs!$B$11/R1115),0)</f>
        <v>0</v>
      </c>
      <c r="T1115" s="11" t="n">
        <f aca="false">IF(Q1115,S1115,IF(M1115,0,Y1114))</f>
        <v>572.575070766003</v>
      </c>
      <c r="U1115" s="8" t="n">
        <f aca="false">IF(Q1115,AE1114,AF1114)</f>
        <v>0.835624367549931</v>
      </c>
      <c r="V1115" s="9" t="b">
        <f aca="false">AND(T1115&gt;0,D1115&lt;=U1115)</f>
        <v>0</v>
      </c>
      <c r="W1115" s="10" t="n">
        <f aca="false">IF(V1115,T1115*(AK1115-AB1115)-Inputs!$B$9-T1115*AD1115*Inputs!$B$13*(A1115-AC1115),0)</f>
        <v>0</v>
      </c>
      <c r="X1115" s="10" t="n">
        <f aca="false">P1115-IF(Q1115,Inputs!$B$9,0)+W1115</f>
        <v>944.618668179282</v>
      </c>
      <c r="Y1115" s="11" t="n">
        <f aca="false">IF(V1115,0,T1115)</f>
        <v>572.575070766003</v>
      </c>
      <c r="Z1115" s="9" t="b">
        <f aca="false">AND(Y1115&gt;0,K1115)</f>
        <v>0</v>
      </c>
      <c r="AA1115" s="9" t="b">
        <f aca="false">AND(Y1115=0,J1115,ISNUMBER(L1115))</f>
        <v>0</v>
      </c>
      <c r="AB1115" s="8" t="n">
        <f aca="false">IF(Q1115,R1115,AB1114)</f>
        <v>0.852139558595783</v>
      </c>
      <c r="AC1115" s="12" t="n">
        <f aca="false">IF(Q1115,A1115,AC1114)</f>
        <v>45888</v>
      </c>
      <c r="AD1115" s="8" t="n">
        <f aca="false">IF(Q1115,B1115,AD1114)</f>
        <v>0.85196916476283</v>
      </c>
      <c r="AE1115" s="8" t="str">
        <f aca="false">IF(AA1115,L1115,"")</f>
        <v/>
      </c>
      <c r="AF1115" s="8" t="n">
        <f aca="false">U1115</f>
        <v>0.835624367549931</v>
      </c>
      <c r="AG1115" s="2" t="n">
        <f aca="false">AG1114+IF(Q1115,1,0)</f>
        <v>12</v>
      </c>
      <c r="AH1115" s="2" t="n">
        <f aca="false">AG1114</f>
        <v>12</v>
      </c>
      <c r="AI1115" s="10" t="n">
        <f aca="false">X1115+Y1115*(E1115-AB1115)-Y1115*AD1115*Inputs!$B$13*(A1115-AC1115)</f>
        <v>947.379408855329</v>
      </c>
      <c r="AJ1115" s="10" t="n">
        <v>0</v>
      </c>
      <c r="AK1115" s="8" t="n">
        <f aca="false">IF(AND(B1115&lt;=U1115,NOT(Q1115)),B1115,U1115)*(1-Inputs!$B$12)</f>
        <v>0.835457242676421</v>
      </c>
    </row>
    <row r="1116" customFormat="false" ht="15" hidden="false" customHeight="false" outlineLevel="0" collapsed="false">
      <c r="A1116" s="6" t="n">
        <v>45900</v>
      </c>
      <c r="B1116" s="7" t="n">
        <v>0.858630106700299</v>
      </c>
      <c r="C1116" s="7" t="n">
        <v>0.861945143745232</v>
      </c>
      <c r="D1116" s="7" t="n">
        <v>0.858026002561165</v>
      </c>
      <c r="E1116" s="7" t="n">
        <v>0.858124399160243</v>
      </c>
      <c r="F1116" s="8" t="n">
        <f aca="true">IF(ROW()-2&gt;=Inputs!$B$4,AVERAGE(OFFSET(E1116,1-Inputs!$B$4,0,Inputs!$B$4,1)),"")</f>
        <v>0.853754591933071</v>
      </c>
      <c r="G1116" s="8" t="n">
        <f aca="true">IF(ROW()-2&gt;=Inputs!$B$5,AVERAGE(OFFSET(E1116,1-Inputs!$B$5,0,Inputs!$B$5,1)),"")</f>
        <v>0.836886003942838</v>
      </c>
      <c r="H1116" s="8" t="n">
        <f aca="false">MAX(C1116-D1116,ABS(C1116-E1115),ABS(D1116-E1115))</f>
        <v>0.00391914118406722</v>
      </c>
      <c r="I1116" s="8" t="n">
        <f aca="true">IF(ROW()-2&lt;14,"",IF(ROW()-2=14,AVERAGE(OFFSET(H1116,-13,0,14,1)),(I1115*13+H1116)/14))</f>
        <v>0.00819293782853245</v>
      </c>
      <c r="J1116" s="9" t="b">
        <f aca="false">IF(AND(ISNUMBER(F1116),ISNUMBER(G1116),ISNUMBER(F1115),ISNUMBER(G1115)),AND(F1116&gt;G1116,F1115&lt;=G1115),FALSE())</f>
        <v>0</v>
      </c>
      <c r="K1116" s="9" t="b">
        <f aca="false">IF(AND(ISNUMBER(F1116),ISNUMBER(G1116),ISNUMBER(F1115),ISNUMBER(G1115)),AND(F1116&lt;G1116,F1115&gt;=G1115),FALSE())</f>
        <v>0</v>
      </c>
      <c r="L1116" s="8" t="n">
        <f aca="false">IF(ISNUMBER(I1116),E1116-Inputs!$B$6*I1116,"")</f>
        <v>0.841738523503179</v>
      </c>
      <c r="M1116" s="9" t="b">
        <f aca="false">AND(Y1115&gt;0,Z1115)</f>
        <v>0</v>
      </c>
      <c r="N1116" s="8" t="n">
        <f aca="false">B1116*(1-Inputs!$B$12)</f>
        <v>0.858458380678959</v>
      </c>
      <c r="O1116" s="10" t="n">
        <f aca="false">IF(M1116,Y1115*(N1116-AB1115)-Inputs!$B$9-Y1115*AD1115*Inputs!$B$13*(A1116-AC1115),0)</f>
        <v>0</v>
      </c>
      <c r="P1116" s="10" t="n">
        <f aca="false">X1115+O1116</f>
        <v>944.618668179282</v>
      </c>
      <c r="Q1116" s="9" t="b">
        <f aca="false">AND(IF(M1116,0,Y1115)=0,AA1115,IF(ISNUMBER(AE1115),B1116&gt;AE1115,FALSE()))</f>
        <v>0</v>
      </c>
      <c r="R1116" s="8" t="n">
        <f aca="false">B1116*(1+Inputs!$B$12)</f>
        <v>0.858801832721639</v>
      </c>
      <c r="S1116" s="11" t="n">
        <f aca="false">IF(Q1116,MIN(P1116*Inputs!$B$3/(R1116-AE1115),P1116*Inputs!$B$11/R1116),0)</f>
        <v>0</v>
      </c>
      <c r="T1116" s="11" t="n">
        <f aca="false">IF(Q1116,S1116,IF(M1116,0,Y1115))</f>
        <v>572.575070766003</v>
      </c>
      <c r="U1116" s="8" t="n">
        <f aca="false">IF(Q1116,AE1115,AF1115)</f>
        <v>0.835624367549931</v>
      </c>
      <c r="V1116" s="9" t="b">
        <f aca="false">AND(T1116&gt;0,D1116&lt;=U1116)</f>
        <v>0</v>
      </c>
      <c r="W1116" s="10" t="n">
        <f aca="false">IF(V1116,T1116*(AK1116-AB1116)-Inputs!$B$9-T1116*AD1116*Inputs!$B$13*(A1116-AC1116),0)</f>
        <v>0</v>
      </c>
      <c r="X1116" s="10" t="n">
        <f aca="false">P1116-IF(Q1116,Inputs!$B$9,0)+W1116</f>
        <v>944.618668179282</v>
      </c>
      <c r="Y1116" s="11" t="n">
        <f aca="false">IF(V1116,0,T1116)</f>
        <v>572.575070766003</v>
      </c>
      <c r="Z1116" s="9" t="b">
        <f aca="false">AND(Y1116&gt;0,K1116)</f>
        <v>0</v>
      </c>
      <c r="AA1116" s="9" t="b">
        <f aca="false">AND(Y1116=0,J1116,ISNUMBER(L1116))</f>
        <v>0</v>
      </c>
      <c r="AB1116" s="8" t="n">
        <f aca="false">IF(Q1116,R1116,AB1115)</f>
        <v>0.852139558595783</v>
      </c>
      <c r="AC1116" s="12" t="n">
        <f aca="false">IF(Q1116,A1116,AC1115)</f>
        <v>45888</v>
      </c>
      <c r="AD1116" s="8" t="n">
        <f aca="false">IF(Q1116,B1116,AD1115)</f>
        <v>0.85196916476283</v>
      </c>
      <c r="AE1116" s="8" t="str">
        <f aca="false">IF(AA1116,L1116,"")</f>
        <v/>
      </c>
      <c r="AF1116" s="8" t="n">
        <f aca="false">U1116</f>
        <v>0.835624367549931</v>
      </c>
      <c r="AG1116" s="2" t="n">
        <f aca="false">AG1115+IF(Q1116,1,0)</f>
        <v>12</v>
      </c>
      <c r="AH1116" s="2" t="n">
        <f aca="false">AG1115</f>
        <v>12</v>
      </c>
      <c r="AI1116" s="10" t="n">
        <f aca="false">X1116+Y1116*(E1116-AB1116)-Y1116*AD1116*Inputs!$B$13*(A1116-AC1116)</f>
        <v>947.002981928049</v>
      </c>
      <c r="AJ1116" s="10" t="n">
        <v>0</v>
      </c>
      <c r="AK1116" s="8" t="n">
        <f aca="false">IF(AND(B1116&lt;=U1116,NOT(Q1116)),B1116,U1116)*(1-Inputs!$B$12)</f>
        <v>0.835457242676421</v>
      </c>
    </row>
    <row r="1117" customFormat="false" ht="15" hidden="false" customHeight="false" outlineLevel="0" collapsed="false">
      <c r="A1117" s="6" t="n">
        <v>45901</v>
      </c>
      <c r="B1117" s="7" t="n">
        <v>0.858124399160243</v>
      </c>
      <c r="C1117" s="7" t="n">
        <v>0.860689109879617</v>
      </c>
      <c r="D1117" s="7" t="n">
        <v>0.852632003151145</v>
      </c>
      <c r="E1117" s="7" t="n">
        <v>0.856908416701963</v>
      </c>
      <c r="F1117" s="8" t="n">
        <f aca="true">IF(ROW()-2&gt;=Inputs!$B$4,AVERAGE(OFFSET(E1117,1-Inputs!$B$4,0,Inputs!$B$4,1)),"")</f>
        <v>0.854422243990941</v>
      </c>
      <c r="G1117" s="8" t="n">
        <f aca="true">IF(ROW()-2&gt;=Inputs!$B$5,AVERAGE(OFFSET(E1117,1-Inputs!$B$5,0,Inputs!$B$5,1)),"")</f>
        <v>0.837229566848124</v>
      </c>
      <c r="H1117" s="8" t="n">
        <f aca="false">MAX(C1117-D1117,ABS(C1117-E1116),ABS(D1117-E1116))</f>
        <v>0.0080571067284716</v>
      </c>
      <c r="I1117" s="8" t="n">
        <f aca="true">IF(ROW()-2&lt;14,"",IF(ROW()-2=14,AVERAGE(OFFSET(H1117,-13,0,14,1)),(I1116*13+H1117)/14))</f>
        <v>0.00818323560709953</v>
      </c>
      <c r="J1117" s="9" t="b">
        <f aca="false">IF(AND(ISNUMBER(F1117),ISNUMBER(G1117),ISNUMBER(F1116),ISNUMBER(G1116)),AND(F1117&gt;G1117,F1116&lt;=G1116),FALSE())</f>
        <v>0</v>
      </c>
      <c r="K1117" s="9" t="b">
        <f aca="false">IF(AND(ISNUMBER(F1117),ISNUMBER(G1117),ISNUMBER(F1116),ISNUMBER(G1116)),AND(F1117&lt;G1117,F1116&gt;=G1116),FALSE())</f>
        <v>0</v>
      </c>
      <c r="L1117" s="8" t="n">
        <f aca="false">IF(ISNUMBER(I1117),E1117-Inputs!$B$6*I1117,"")</f>
        <v>0.840541945487764</v>
      </c>
      <c r="M1117" s="9" t="b">
        <f aca="false">AND(Y1116&gt;0,Z1116)</f>
        <v>0</v>
      </c>
      <c r="N1117" s="8" t="n">
        <f aca="false">B1117*(1-Inputs!$B$12)</f>
        <v>0.857952774280411</v>
      </c>
      <c r="O1117" s="10" t="n">
        <f aca="false">IF(M1117,Y1116*(N1117-AB1116)-Inputs!$B$9-Y1116*AD1116*Inputs!$B$13*(A1117-AC1116),0)</f>
        <v>0</v>
      </c>
      <c r="P1117" s="10" t="n">
        <f aca="false">X1116+O1117</f>
        <v>944.618668179282</v>
      </c>
      <c r="Q1117" s="9" t="b">
        <f aca="false">AND(IF(M1117,0,Y1116)=0,AA1116,IF(ISNUMBER(AE1116),B1117&gt;AE1116,FALSE()))</f>
        <v>0</v>
      </c>
      <c r="R1117" s="8" t="n">
        <f aca="false">B1117*(1+Inputs!$B$12)</f>
        <v>0.858296024040075</v>
      </c>
      <c r="S1117" s="11" t="n">
        <f aca="false">IF(Q1117,MIN(P1117*Inputs!$B$3/(R1117-AE1116),P1117*Inputs!$B$11/R1117),0)</f>
        <v>0</v>
      </c>
      <c r="T1117" s="11" t="n">
        <f aca="false">IF(Q1117,S1117,IF(M1117,0,Y1116))</f>
        <v>572.575070766003</v>
      </c>
      <c r="U1117" s="8" t="n">
        <f aca="false">IF(Q1117,AE1116,AF1116)</f>
        <v>0.835624367549931</v>
      </c>
      <c r="V1117" s="9" t="b">
        <f aca="false">AND(T1117&gt;0,D1117&lt;=U1117)</f>
        <v>0</v>
      </c>
      <c r="W1117" s="10" t="n">
        <f aca="false">IF(V1117,T1117*(AK1117-AB1117)-Inputs!$B$9-T1117*AD1117*Inputs!$B$13*(A1117-AC1117),0)</f>
        <v>0</v>
      </c>
      <c r="X1117" s="10" t="n">
        <f aca="false">P1117-IF(Q1117,Inputs!$B$9,0)+W1117</f>
        <v>944.618668179282</v>
      </c>
      <c r="Y1117" s="11" t="n">
        <f aca="false">IF(V1117,0,T1117)</f>
        <v>572.575070766003</v>
      </c>
      <c r="Z1117" s="9" t="b">
        <f aca="false">AND(Y1117&gt;0,K1117)</f>
        <v>0</v>
      </c>
      <c r="AA1117" s="9" t="b">
        <f aca="false">AND(Y1117=0,J1117,ISNUMBER(L1117))</f>
        <v>0</v>
      </c>
      <c r="AB1117" s="8" t="n">
        <f aca="false">IF(Q1117,R1117,AB1116)</f>
        <v>0.852139558595783</v>
      </c>
      <c r="AC1117" s="12" t="n">
        <f aca="false">IF(Q1117,A1117,AC1116)</f>
        <v>45888</v>
      </c>
      <c r="AD1117" s="8" t="n">
        <f aca="false">IF(Q1117,B1117,AD1116)</f>
        <v>0.85196916476283</v>
      </c>
      <c r="AE1117" s="8" t="str">
        <f aca="false">IF(AA1117,L1117,"")</f>
        <v/>
      </c>
      <c r="AF1117" s="8" t="n">
        <f aca="false">U1117</f>
        <v>0.835624367549931</v>
      </c>
      <c r="AG1117" s="2" t="n">
        <f aca="false">AG1116+IF(Q1117,1,0)</f>
        <v>12</v>
      </c>
      <c r="AH1117" s="2" t="n">
        <f aca="false">AG1116</f>
        <v>12</v>
      </c>
      <c r="AI1117" s="10" t="n">
        <f aca="false">X1117+Y1117*(E1117-AB1117)-Y1117*AD1117*Inputs!$B$13*(A1117-AC1117)</f>
        <v>946.219869289203</v>
      </c>
      <c r="AJ1117" s="10" t="n">
        <v>0</v>
      </c>
      <c r="AK1117" s="8" t="n">
        <f aca="false">IF(AND(B1117&lt;=U1117,NOT(Q1117)),B1117,U1117)*(1-Inputs!$B$12)</f>
        <v>0.835457242676421</v>
      </c>
    </row>
    <row r="1118" customFormat="false" ht="15" hidden="false" customHeight="false" outlineLevel="0" collapsed="false">
      <c r="A1118" s="6" t="n">
        <v>45902</v>
      </c>
      <c r="B1118" s="7" t="n">
        <v>0.856908416701963</v>
      </c>
      <c r="C1118" s="7" t="n">
        <v>0.864294193520398</v>
      </c>
      <c r="D1118" s="7" t="n">
        <v>0.850317875681231</v>
      </c>
      <c r="E1118" s="7" t="n">
        <v>0.85739426064064</v>
      </c>
      <c r="F1118" s="8" t="n">
        <f aca="true">IF(ROW()-2&gt;=Inputs!$B$4,AVERAGE(OFFSET(E1118,1-Inputs!$B$4,0,Inputs!$B$4,1)),"")</f>
        <v>0.85540374305938</v>
      </c>
      <c r="G1118" s="8" t="n">
        <f aca="true">IF(ROW()-2&gt;=Inputs!$B$5,AVERAGE(OFFSET(E1118,1-Inputs!$B$5,0,Inputs!$B$5,1)),"")</f>
        <v>0.837697267646823</v>
      </c>
      <c r="H1118" s="8" t="n">
        <f aca="false">MAX(C1118-D1118,ABS(C1118-E1117),ABS(D1118-E1117))</f>
        <v>0.0139763178391673</v>
      </c>
      <c r="I1118" s="8" t="n">
        <f aca="true">IF(ROW()-2&lt;14,"",IF(ROW()-2=14,AVERAGE(OFFSET(H1118,-13,0,14,1)),(I1117*13+H1118)/14))</f>
        <v>0.00859702719510437</v>
      </c>
      <c r="J1118" s="9" t="b">
        <f aca="false">IF(AND(ISNUMBER(F1118),ISNUMBER(G1118),ISNUMBER(F1117),ISNUMBER(G1117)),AND(F1118&gt;G1118,F1117&lt;=G1117),FALSE())</f>
        <v>0</v>
      </c>
      <c r="K1118" s="9" t="b">
        <f aca="false">IF(AND(ISNUMBER(F1118),ISNUMBER(G1118),ISNUMBER(F1117),ISNUMBER(G1117)),AND(F1118&lt;G1118,F1117&gt;=G1117),FALSE())</f>
        <v>0</v>
      </c>
      <c r="L1118" s="8" t="n">
        <f aca="false">IF(ISNUMBER(I1118),E1118-Inputs!$B$6*I1118,"")</f>
        <v>0.840200206250431</v>
      </c>
      <c r="M1118" s="9" t="b">
        <f aca="false">AND(Y1117&gt;0,Z1117)</f>
        <v>0</v>
      </c>
      <c r="N1118" s="8" t="n">
        <f aca="false">B1118*(1-Inputs!$B$12)</f>
        <v>0.856737035018622</v>
      </c>
      <c r="O1118" s="10" t="n">
        <f aca="false">IF(M1118,Y1117*(N1118-AB1117)-Inputs!$B$9-Y1117*AD1117*Inputs!$B$13*(A1118-AC1117),0)</f>
        <v>0</v>
      </c>
      <c r="P1118" s="10" t="n">
        <f aca="false">X1117+O1118</f>
        <v>944.618668179282</v>
      </c>
      <c r="Q1118" s="9" t="b">
        <f aca="false">AND(IF(M1118,0,Y1117)=0,AA1117,IF(ISNUMBER(AE1117),B1118&gt;AE1117,FALSE()))</f>
        <v>0</v>
      </c>
      <c r="R1118" s="8" t="n">
        <f aca="false">B1118*(1+Inputs!$B$12)</f>
        <v>0.857079798385303</v>
      </c>
      <c r="S1118" s="11" t="n">
        <f aca="false">IF(Q1118,MIN(P1118*Inputs!$B$3/(R1118-AE1117),P1118*Inputs!$B$11/R1118),0)</f>
        <v>0</v>
      </c>
      <c r="T1118" s="11" t="n">
        <f aca="false">IF(Q1118,S1118,IF(M1118,0,Y1117))</f>
        <v>572.575070766003</v>
      </c>
      <c r="U1118" s="8" t="n">
        <f aca="false">IF(Q1118,AE1117,AF1117)</f>
        <v>0.835624367549931</v>
      </c>
      <c r="V1118" s="9" t="b">
        <f aca="false">AND(T1118&gt;0,D1118&lt;=U1118)</f>
        <v>0</v>
      </c>
      <c r="W1118" s="10" t="n">
        <f aca="false">IF(V1118,T1118*(AK1118-AB1118)-Inputs!$B$9-T1118*AD1118*Inputs!$B$13*(A1118-AC1118),0)</f>
        <v>0</v>
      </c>
      <c r="X1118" s="10" t="n">
        <f aca="false">P1118-IF(Q1118,Inputs!$B$9,0)+W1118</f>
        <v>944.618668179282</v>
      </c>
      <c r="Y1118" s="11" t="n">
        <f aca="false">IF(V1118,0,T1118)</f>
        <v>572.575070766003</v>
      </c>
      <c r="Z1118" s="9" t="b">
        <f aca="false">AND(Y1118&gt;0,K1118)</f>
        <v>0</v>
      </c>
      <c r="AA1118" s="9" t="b">
        <f aca="false">AND(Y1118=0,J1118,ISNUMBER(L1118))</f>
        <v>0</v>
      </c>
      <c r="AB1118" s="8" t="n">
        <f aca="false">IF(Q1118,R1118,AB1117)</f>
        <v>0.852139558595783</v>
      </c>
      <c r="AC1118" s="12" t="n">
        <f aca="false">IF(Q1118,A1118,AC1117)</f>
        <v>45888</v>
      </c>
      <c r="AD1118" s="8" t="n">
        <f aca="false">IF(Q1118,B1118,AD1117)</f>
        <v>0.85196916476283</v>
      </c>
      <c r="AE1118" s="8" t="str">
        <f aca="false">IF(AA1118,L1118,"")</f>
        <v/>
      </c>
      <c r="AF1118" s="8" t="n">
        <f aca="false">U1118</f>
        <v>0.835624367549931</v>
      </c>
      <c r="AG1118" s="2" t="n">
        <f aca="false">AG1117+IF(Q1118,1,0)</f>
        <v>12</v>
      </c>
      <c r="AH1118" s="2" t="n">
        <f aca="false">AG1117</f>
        <v>12</v>
      </c>
      <c r="AI1118" s="10" t="n">
        <f aca="false">X1118+Y1118*(E1118-AB1118)-Y1118*AD1118*Inputs!$B$13*(A1118-AC1118)</f>
        <v>946.411180020026</v>
      </c>
      <c r="AJ1118" s="10" t="n">
        <v>0</v>
      </c>
      <c r="AK1118" s="8" t="n">
        <f aca="false">IF(AND(B1118&lt;=U1118,NOT(Q1118)),B1118,U1118)*(1-Inputs!$B$12)</f>
        <v>0.835457242676421</v>
      </c>
    </row>
    <row r="1119" customFormat="false" ht="15" hidden="false" customHeight="false" outlineLevel="0" collapsed="false">
      <c r="A1119" s="6" t="n">
        <v>45903</v>
      </c>
      <c r="B1119" s="7" t="n">
        <v>0.85739426064064</v>
      </c>
      <c r="C1119" s="7" t="n">
        <v>0.866264054878568</v>
      </c>
      <c r="D1119" s="7" t="n">
        <v>0.854404865176084</v>
      </c>
      <c r="E1119" s="7" t="n">
        <v>0.860262969520731</v>
      </c>
      <c r="F1119" s="8" t="n">
        <f aca="true">IF(ROW()-2&gt;=Inputs!$B$4,AVERAGE(OFFSET(E1119,1-Inputs!$B$4,0,Inputs!$B$4,1)),"")</f>
        <v>0.856535373819671</v>
      </c>
      <c r="G1119" s="8" t="n">
        <f aca="true">IF(ROW()-2&gt;=Inputs!$B$5,AVERAGE(OFFSET(E1119,1-Inputs!$B$5,0,Inputs!$B$5,1)),"")</f>
        <v>0.838357999607239</v>
      </c>
      <c r="H1119" s="8" t="n">
        <f aca="false">MAX(C1119-D1119,ABS(C1119-E1118),ABS(D1119-E1118))</f>
        <v>0.011859189702484</v>
      </c>
      <c r="I1119" s="8" t="n">
        <f aca="true">IF(ROW()-2&lt;14,"",IF(ROW()-2=14,AVERAGE(OFFSET(H1119,-13,0,14,1)),(I1118*13+H1119)/14))</f>
        <v>0.00883003880277434</v>
      </c>
      <c r="J1119" s="9" t="b">
        <f aca="false">IF(AND(ISNUMBER(F1119),ISNUMBER(G1119),ISNUMBER(F1118),ISNUMBER(G1118)),AND(F1119&gt;G1119,F1118&lt;=G1118),FALSE())</f>
        <v>0</v>
      </c>
      <c r="K1119" s="9" t="b">
        <f aca="false">IF(AND(ISNUMBER(F1119),ISNUMBER(G1119),ISNUMBER(F1118),ISNUMBER(G1118)),AND(F1119&lt;G1119,F1118&gt;=G1118),FALSE())</f>
        <v>0</v>
      </c>
      <c r="L1119" s="8" t="n">
        <f aca="false">IF(ISNUMBER(I1119),E1119-Inputs!$B$6*I1119,"")</f>
        <v>0.842602891915183</v>
      </c>
      <c r="M1119" s="9" t="b">
        <f aca="false">AND(Y1118&gt;0,Z1118)</f>
        <v>0</v>
      </c>
      <c r="N1119" s="8" t="n">
        <f aca="false">B1119*(1-Inputs!$B$12)</f>
        <v>0.857222781788512</v>
      </c>
      <c r="O1119" s="10" t="n">
        <f aca="false">IF(M1119,Y1118*(N1119-AB1118)-Inputs!$B$9-Y1118*AD1118*Inputs!$B$13*(A1119-AC1118),0)</f>
        <v>0</v>
      </c>
      <c r="P1119" s="10" t="n">
        <f aca="false">X1118+O1119</f>
        <v>944.618668179282</v>
      </c>
      <c r="Q1119" s="9" t="b">
        <f aca="false">AND(IF(M1119,0,Y1118)=0,AA1118,IF(ISNUMBER(AE1118),B1119&gt;AE1118,FALSE()))</f>
        <v>0</v>
      </c>
      <c r="R1119" s="8" t="n">
        <f aca="false">B1119*(1+Inputs!$B$12)</f>
        <v>0.857565739492768</v>
      </c>
      <c r="S1119" s="11" t="n">
        <f aca="false">IF(Q1119,MIN(P1119*Inputs!$B$3/(R1119-AE1118),P1119*Inputs!$B$11/R1119),0)</f>
        <v>0</v>
      </c>
      <c r="T1119" s="11" t="n">
        <f aca="false">IF(Q1119,S1119,IF(M1119,0,Y1118))</f>
        <v>572.575070766003</v>
      </c>
      <c r="U1119" s="8" t="n">
        <f aca="false">IF(Q1119,AE1118,AF1118)</f>
        <v>0.835624367549931</v>
      </c>
      <c r="V1119" s="9" t="b">
        <f aca="false">AND(T1119&gt;0,D1119&lt;=U1119)</f>
        <v>0</v>
      </c>
      <c r="W1119" s="10" t="n">
        <f aca="false">IF(V1119,T1119*(AK1119-AB1119)-Inputs!$B$9-T1119*AD1119*Inputs!$B$13*(A1119-AC1119),0)</f>
        <v>0</v>
      </c>
      <c r="X1119" s="10" t="n">
        <f aca="false">P1119-IF(Q1119,Inputs!$B$9,0)+W1119</f>
        <v>944.618668179282</v>
      </c>
      <c r="Y1119" s="11" t="n">
        <f aca="false">IF(V1119,0,T1119)</f>
        <v>572.575070766003</v>
      </c>
      <c r="Z1119" s="9" t="b">
        <f aca="false">AND(Y1119&gt;0,K1119)</f>
        <v>0</v>
      </c>
      <c r="AA1119" s="9" t="b">
        <f aca="false">AND(Y1119=0,J1119,ISNUMBER(L1119))</f>
        <v>0</v>
      </c>
      <c r="AB1119" s="8" t="n">
        <f aca="false">IF(Q1119,R1119,AB1118)</f>
        <v>0.852139558595783</v>
      </c>
      <c r="AC1119" s="12" t="n">
        <f aca="false">IF(Q1119,A1119,AC1118)</f>
        <v>45888</v>
      </c>
      <c r="AD1119" s="8" t="n">
        <f aca="false">IF(Q1119,B1119,AD1118)</f>
        <v>0.85196916476283</v>
      </c>
      <c r="AE1119" s="8" t="str">
        <f aca="false">IF(AA1119,L1119,"")</f>
        <v/>
      </c>
      <c r="AF1119" s="8" t="n">
        <f aca="false">U1119</f>
        <v>0.835624367549931</v>
      </c>
      <c r="AG1119" s="2" t="n">
        <f aca="false">AG1118+IF(Q1119,1,0)</f>
        <v>12</v>
      </c>
      <c r="AH1119" s="2" t="n">
        <f aca="false">AG1118</f>
        <v>12</v>
      </c>
      <c r="AI1119" s="10" t="n">
        <f aca="false">X1119+Y1119*(E1119-AB1119)-Y1119*AD1119*Inputs!$B$13*(A1119-AC1119)</f>
        <v>947.966859813306</v>
      </c>
      <c r="AJ1119" s="10" t="n">
        <v>0</v>
      </c>
      <c r="AK1119" s="8" t="n">
        <f aca="false">IF(AND(B1119&lt;=U1119,NOT(Q1119)),B1119,U1119)*(1-Inputs!$B$12)</f>
        <v>0.835457242676421</v>
      </c>
    </row>
    <row r="1120" customFormat="false" ht="15" hidden="false" customHeight="false" outlineLevel="0" collapsed="false">
      <c r="A1120" s="6" t="n">
        <v>45904</v>
      </c>
      <c r="B1120" s="7" t="n">
        <v>0.860262969520731</v>
      </c>
      <c r="C1120" s="7" t="n">
        <v>0.864977785132821</v>
      </c>
      <c r="D1120" s="7" t="n">
        <v>0.854887852936966</v>
      </c>
      <c r="E1120" s="7" t="n">
        <v>0.856970193102189</v>
      </c>
      <c r="F1120" s="8" t="n">
        <f aca="true">IF(ROW()-2&gt;=Inputs!$B$4,AVERAGE(OFFSET(E1120,1-Inputs!$B$4,0,Inputs!$B$4,1)),"")</f>
        <v>0.857029673872953</v>
      </c>
      <c r="G1120" s="8" t="n">
        <f aca="true">IF(ROW()-2&gt;=Inputs!$B$5,AVERAGE(OFFSET(E1120,1-Inputs!$B$5,0,Inputs!$B$5,1)),"")</f>
        <v>0.839086228070854</v>
      </c>
      <c r="H1120" s="8" t="n">
        <f aca="false">MAX(C1120-D1120,ABS(C1120-E1119),ABS(D1120-E1119))</f>
        <v>0.0100899321958545</v>
      </c>
      <c r="I1120" s="8" t="n">
        <f aca="true">IF(ROW()-2&lt;14,"",IF(ROW()-2=14,AVERAGE(OFFSET(H1120,-13,0,14,1)),(I1119*13+H1120)/14))</f>
        <v>0.00892003118799436</v>
      </c>
      <c r="J1120" s="9" t="b">
        <f aca="false">IF(AND(ISNUMBER(F1120),ISNUMBER(G1120),ISNUMBER(F1119),ISNUMBER(G1119)),AND(F1120&gt;G1120,F1119&lt;=G1119),FALSE())</f>
        <v>0</v>
      </c>
      <c r="K1120" s="9" t="b">
        <f aca="false">IF(AND(ISNUMBER(F1120),ISNUMBER(G1120),ISNUMBER(F1119),ISNUMBER(G1119)),AND(F1120&lt;G1120,F1119&gt;=G1119),FALSE())</f>
        <v>0</v>
      </c>
      <c r="L1120" s="8" t="n">
        <f aca="false">IF(ISNUMBER(I1120),E1120-Inputs!$B$6*I1120,"")</f>
        <v>0.839130130726201</v>
      </c>
      <c r="M1120" s="9" t="b">
        <f aca="false">AND(Y1119&gt;0,Z1119)</f>
        <v>0</v>
      </c>
      <c r="N1120" s="8" t="n">
        <f aca="false">B1120*(1-Inputs!$B$12)</f>
        <v>0.860090916926827</v>
      </c>
      <c r="O1120" s="10" t="n">
        <f aca="false">IF(M1120,Y1119*(N1120-AB1119)-Inputs!$B$9-Y1119*AD1119*Inputs!$B$13*(A1120-AC1119),0)</f>
        <v>0</v>
      </c>
      <c r="P1120" s="10" t="n">
        <f aca="false">X1119+O1120</f>
        <v>944.618668179282</v>
      </c>
      <c r="Q1120" s="9" t="b">
        <f aca="false">AND(IF(M1120,0,Y1119)=0,AA1119,IF(ISNUMBER(AE1119),B1120&gt;AE1119,FALSE()))</f>
        <v>0</v>
      </c>
      <c r="R1120" s="8" t="n">
        <f aca="false">B1120*(1+Inputs!$B$12)</f>
        <v>0.860435022114636</v>
      </c>
      <c r="S1120" s="11" t="n">
        <f aca="false">IF(Q1120,MIN(P1120*Inputs!$B$3/(R1120-AE1119),P1120*Inputs!$B$11/R1120),0)</f>
        <v>0</v>
      </c>
      <c r="T1120" s="11" t="n">
        <f aca="false">IF(Q1120,S1120,IF(M1120,0,Y1119))</f>
        <v>572.575070766003</v>
      </c>
      <c r="U1120" s="8" t="n">
        <f aca="false">IF(Q1120,AE1119,AF1119)</f>
        <v>0.835624367549931</v>
      </c>
      <c r="V1120" s="9" t="b">
        <f aca="false">AND(T1120&gt;0,D1120&lt;=U1120)</f>
        <v>0</v>
      </c>
      <c r="W1120" s="10" t="n">
        <f aca="false">IF(V1120,T1120*(AK1120-AB1120)-Inputs!$B$9-T1120*AD1120*Inputs!$B$13*(A1120-AC1120),0)</f>
        <v>0</v>
      </c>
      <c r="X1120" s="10" t="n">
        <f aca="false">P1120-IF(Q1120,Inputs!$B$9,0)+W1120</f>
        <v>944.618668179282</v>
      </c>
      <c r="Y1120" s="11" t="n">
        <f aca="false">IF(V1120,0,T1120)</f>
        <v>572.575070766003</v>
      </c>
      <c r="Z1120" s="9" t="b">
        <f aca="false">AND(Y1120&gt;0,K1120)</f>
        <v>0</v>
      </c>
      <c r="AA1120" s="9" t="b">
        <f aca="false">AND(Y1120=0,J1120,ISNUMBER(L1120))</f>
        <v>0</v>
      </c>
      <c r="AB1120" s="8" t="n">
        <f aca="false">IF(Q1120,R1120,AB1119)</f>
        <v>0.852139558595783</v>
      </c>
      <c r="AC1120" s="12" t="n">
        <f aca="false">IF(Q1120,A1120,AC1119)</f>
        <v>45888</v>
      </c>
      <c r="AD1120" s="8" t="n">
        <f aca="false">IF(Q1120,B1120,AD1119)</f>
        <v>0.85196916476283</v>
      </c>
      <c r="AE1120" s="8" t="str">
        <f aca="false">IF(AA1120,L1120,"")</f>
        <v/>
      </c>
      <c r="AF1120" s="8" t="n">
        <f aca="false">U1120</f>
        <v>0.835624367549931</v>
      </c>
      <c r="AG1120" s="2" t="n">
        <f aca="false">AG1119+IF(Q1120,1,0)</f>
        <v>12</v>
      </c>
      <c r="AH1120" s="2" t="n">
        <f aca="false">AG1119</f>
        <v>12</v>
      </c>
      <c r="AI1120" s="10" t="n">
        <f aca="false">X1120+Y1120*(E1120-AB1120)-Y1120*AD1120*Inputs!$B$13*(A1120-AC1120)</f>
        <v>945.994626725696</v>
      </c>
      <c r="AJ1120" s="10" t="n">
        <v>0</v>
      </c>
      <c r="AK1120" s="8" t="n">
        <f aca="false">IF(AND(B1120&lt;=U1120,NOT(Q1120)),B1120,U1120)*(1-Inputs!$B$12)</f>
        <v>0.835457242676421</v>
      </c>
    </row>
    <row r="1121" customFormat="false" ht="15" hidden="false" customHeight="false" outlineLevel="0" collapsed="false">
      <c r="A1121" s="6" t="n">
        <v>45905</v>
      </c>
      <c r="B1121" s="7" t="n">
        <v>0.856970193102189</v>
      </c>
      <c r="C1121" s="7" t="n">
        <v>0.862906754361999</v>
      </c>
      <c r="D1121" s="7" t="n">
        <v>0.856280066154214</v>
      </c>
      <c r="E1121" s="7" t="n">
        <v>0.862214215425505</v>
      </c>
      <c r="F1121" s="8" t="n">
        <f aca="true">IF(ROW()-2&gt;=Inputs!$B$4,AVERAGE(OFFSET(E1121,1-Inputs!$B$4,0,Inputs!$B$4,1)),"")</f>
        <v>0.857896620606459</v>
      </c>
      <c r="G1121" s="8" t="n">
        <f aca="true">IF(ROW()-2&gt;=Inputs!$B$5,AVERAGE(OFFSET(E1121,1-Inputs!$B$5,0,Inputs!$B$5,1)),"")</f>
        <v>0.839830931845697</v>
      </c>
      <c r="H1121" s="8" t="n">
        <f aca="false">MAX(C1121-D1121,ABS(C1121-E1120),ABS(D1121-E1120))</f>
        <v>0.006626688207785</v>
      </c>
      <c r="I1121" s="8" t="n">
        <f aca="true">IF(ROW()-2&lt;14,"",IF(ROW()-2=14,AVERAGE(OFFSET(H1121,-13,0,14,1)),(I1120*13+H1121)/14))</f>
        <v>0.00875622097512226</v>
      </c>
      <c r="J1121" s="9" t="b">
        <f aca="false">IF(AND(ISNUMBER(F1121),ISNUMBER(G1121),ISNUMBER(F1120),ISNUMBER(G1120)),AND(F1121&gt;G1121,F1120&lt;=G1120),FALSE())</f>
        <v>0</v>
      </c>
      <c r="K1121" s="9" t="b">
        <f aca="false">IF(AND(ISNUMBER(F1121),ISNUMBER(G1121),ISNUMBER(F1120),ISNUMBER(G1120)),AND(F1121&lt;G1121,F1120&gt;=G1120),FALSE())</f>
        <v>0</v>
      </c>
      <c r="L1121" s="8" t="n">
        <f aca="false">IF(ISNUMBER(I1121),E1121-Inputs!$B$6*I1121,"")</f>
        <v>0.84470177347526</v>
      </c>
      <c r="M1121" s="9" t="b">
        <f aca="false">AND(Y1120&gt;0,Z1120)</f>
        <v>0</v>
      </c>
      <c r="N1121" s="8" t="n">
        <f aca="false">B1121*(1-Inputs!$B$12)</f>
        <v>0.856798799063569</v>
      </c>
      <c r="O1121" s="10" t="n">
        <f aca="false">IF(M1121,Y1120*(N1121-AB1120)-Inputs!$B$9-Y1120*AD1120*Inputs!$B$13*(A1121-AC1120),0)</f>
        <v>0</v>
      </c>
      <c r="P1121" s="10" t="n">
        <f aca="false">X1120+O1121</f>
        <v>944.618668179282</v>
      </c>
      <c r="Q1121" s="9" t="b">
        <f aca="false">AND(IF(M1121,0,Y1120)=0,AA1120,IF(ISNUMBER(AE1120),B1121&gt;AE1120,FALSE()))</f>
        <v>0</v>
      </c>
      <c r="R1121" s="8" t="n">
        <f aca="false">B1121*(1+Inputs!$B$12)</f>
        <v>0.85714158714081</v>
      </c>
      <c r="S1121" s="11" t="n">
        <f aca="false">IF(Q1121,MIN(P1121*Inputs!$B$3/(R1121-AE1120),P1121*Inputs!$B$11/R1121),0)</f>
        <v>0</v>
      </c>
      <c r="T1121" s="11" t="n">
        <f aca="false">IF(Q1121,S1121,IF(M1121,0,Y1120))</f>
        <v>572.575070766003</v>
      </c>
      <c r="U1121" s="8" t="n">
        <f aca="false">IF(Q1121,AE1120,AF1120)</f>
        <v>0.835624367549931</v>
      </c>
      <c r="V1121" s="9" t="b">
        <f aca="false">AND(T1121&gt;0,D1121&lt;=U1121)</f>
        <v>0</v>
      </c>
      <c r="W1121" s="10" t="n">
        <f aca="false">IF(V1121,T1121*(AK1121-AB1121)-Inputs!$B$9-T1121*AD1121*Inputs!$B$13*(A1121-AC1121),0)</f>
        <v>0</v>
      </c>
      <c r="X1121" s="10" t="n">
        <f aca="false">P1121-IF(Q1121,Inputs!$B$9,0)+W1121</f>
        <v>944.618668179282</v>
      </c>
      <c r="Y1121" s="11" t="n">
        <f aca="false">IF(V1121,0,T1121)</f>
        <v>572.575070766003</v>
      </c>
      <c r="Z1121" s="9" t="b">
        <f aca="false">AND(Y1121&gt;0,K1121)</f>
        <v>0</v>
      </c>
      <c r="AA1121" s="9" t="b">
        <f aca="false">AND(Y1121=0,J1121,ISNUMBER(L1121))</f>
        <v>0</v>
      </c>
      <c r="AB1121" s="8" t="n">
        <f aca="false">IF(Q1121,R1121,AB1120)</f>
        <v>0.852139558595783</v>
      </c>
      <c r="AC1121" s="12" t="n">
        <f aca="false">IF(Q1121,A1121,AC1120)</f>
        <v>45888</v>
      </c>
      <c r="AD1121" s="8" t="n">
        <f aca="false">IF(Q1121,B1121,AD1120)</f>
        <v>0.85196916476283</v>
      </c>
      <c r="AE1121" s="8" t="str">
        <f aca="false">IF(AA1121,L1121,"")</f>
        <v/>
      </c>
      <c r="AF1121" s="8" t="n">
        <f aca="false">U1121</f>
        <v>0.835624367549931</v>
      </c>
      <c r="AG1121" s="2" t="n">
        <f aca="false">AG1120+IF(Q1121,1,0)</f>
        <v>12</v>
      </c>
      <c r="AH1121" s="2" t="n">
        <f aca="false">AG1120</f>
        <v>12</v>
      </c>
      <c r="AI1121" s="10" t="n">
        <f aca="false">X1121+Y1121*(E1121-AB1121)-Y1121*AD1121*Inputs!$B$13*(A1121-AC1121)</f>
        <v>948.910351781821</v>
      </c>
      <c r="AJ1121" s="10" t="n">
        <v>0</v>
      </c>
      <c r="AK1121" s="8" t="n">
        <f aca="false">IF(AND(B1121&lt;=U1121,NOT(Q1121)),B1121,U1121)*(1-Inputs!$B$12)</f>
        <v>0.835457242676421</v>
      </c>
    </row>
    <row r="1122" customFormat="false" ht="15" hidden="false" customHeight="false" outlineLevel="0" collapsed="false">
      <c r="A1122" s="6" t="n">
        <v>45906</v>
      </c>
      <c r="B1122" s="7" t="n">
        <v>0.862214215425505</v>
      </c>
      <c r="C1122" s="7" t="n">
        <v>0.873034462504516</v>
      </c>
      <c r="D1122" s="7" t="n">
        <v>0.859229563544868</v>
      </c>
      <c r="E1122" s="7" t="n">
        <v>0.871418434030008</v>
      </c>
      <c r="F1122" s="8" t="n">
        <f aca="true">IF(ROW()-2&gt;=Inputs!$B$4,AVERAGE(OFFSET(E1122,1-Inputs!$B$4,0,Inputs!$B$4,1)),"")</f>
        <v>0.859076941983622</v>
      </c>
      <c r="G1122" s="8" t="n">
        <f aca="true">IF(ROW()-2&gt;=Inputs!$B$5,AVERAGE(OFFSET(E1122,1-Inputs!$B$5,0,Inputs!$B$5,1)),"")</f>
        <v>0.840668007837309</v>
      </c>
      <c r="H1122" s="8" t="n">
        <f aca="false">MAX(C1122-D1122,ABS(C1122-E1121),ABS(D1122-E1121))</f>
        <v>0.0138048989596485</v>
      </c>
      <c r="I1122" s="8" t="n">
        <f aca="true">IF(ROW()-2&lt;14,"",IF(ROW()-2=14,AVERAGE(OFFSET(H1122,-13,0,14,1)),(I1121*13+H1122)/14))</f>
        <v>0.00911684083115985</v>
      </c>
      <c r="J1122" s="9" t="b">
        <f aca="false">IF(AND(ISNUMBER(F1122),ISNUMBER(G1122),ISNUMBER(F1121),ISNUMBER(G1121)),AND(F1122&gt;G1122,F1121&lt;=G1121),FALSE())</f>
        <v>0</v>
      </c>
      <c r="K1122" s="9" t="b">
        <f aca="false">IF(AND(ISNUMBER(F1122),ISNUMBER(G1122),ISNUMBER(F1121),ISNUMBER(G1121)),AND(F1122&lt;G1122,F1121&gt;=G1121),FALSE())</f>
        <v>0</v>
      </c>
      <c r="L1122" s="8" t="n">
        <f aca="false">IF(ISNUMBER(I1122),E1122-Inputs!$B$6*I1122,"")</f>
        <v>0.853184752367688</v>
      </c>
      <c r="M1122" s="9" t="b">
        <f aca="false">AND(Y1121&gt;0,Z1121)</f>
        <v>0</v>
      </c>
      <c r="N1122" s="8" t="n">
        <f aca="false">B1122*(1-Inputs!$B$12)</f>
        <v>0.86204177258242</v>
      </c>
      <c r="O1122" s="10" t="n">
        <f aca="false">IF(M1122,Y1121*(N1122-AB1121)-Inputs!$B$9-Y1121*AD1121*Inputs!$B$13*(A1122-AC1121),0)</f>
        <v>0</v>
      </c>
      <c r="P1122" s="10" t="n">
        <f aca="false">X1121+O1122</f>
        <v>944.618668179282</v>
      </c>
      <c r="Q1122" s="9" t="b">
        <f aca="false">AND(IF(M1122,0,Y1121)=0,AA1121,IF(ISNUMBER(AE1121),B1122&gt;AE1121,FALSE()))</f>
        <v>0</v>
      </c>
      <c r="R1122" s="8" t="n">
        <f aca="false">B1122*(1+Inputs!$B$12)</f>
        <v>0.86238665826859</v>
      </c>
      <c r="S1122" s="11" t="n">
        <f aca="false">IF(Q1122,MIN(P1122*Inputs!$B$3/(R1122-AE1121),P1122*Inputs!$B$11/R1122),0)</f>
        <v>0</v>
      </c>
      <c r="T1122" s="11" t="n">
        <f aca="false">IF(Q1122,S1122,IF(M1122,0,Y1121))</f>
        <v>572.575070766003</v>
      </c>
      <c r="U1122" s="8" t="n">
        <f aca="false">IF(Q1122,AE1121,AF1121)</f>
        <v>0.835624367549931</v>
      </c>
      <c r="V1122" s="9" t="b">
        <f aca="false">AND(T1122&gt;0,D1122&lt;=U1122)</f>
        <v>0</v>
      </c>
      <c r="W1122" s="10" t="n">
        <f aca="false">IF(V1122,T1122*(AK1122-AB1122)-Inputs!$B$9-T1122*AD1122*Inputs!$B$13*(A1122-AC1122),0)</f>
        <v>0</v>
      </c>
      <c r="X1122" s="10" t="n">
        <f aca="false">P1122-IF(Q1122,Inputs!$B$9,0)+W1122</f>
        <v>944.618668179282</v>
      </c>
      <c r="Y1122" s="11" t="n">
        <f aca="false">IF(V1122,0,T1122)</f>
        <v>572.575070766003</v>
      </c>
      <c r="Z1122" s="9" t="b">
        <f aca="false">AND(Y1122&gt;0,K1122)</f>
        <v>0</v>
      </c>
      <c r="AA1122" s="9" t="b">
        <f aca="false">AND(Y1122=0,J1122,ISNUMBER(L1122))</f>
        <v>0</v>
      </c>
      <c r="AB1122" s="8" t="n">
        <f aca="false">IF(Q1122,R1122,AB1121)</f>
        <v>0.852139558595783</v>
      </c>
      <c r="AC1122" s="12" t="n">
        <f aca="false">IF(Q1122,A1122,AC1121)</f>
        <v>45888</v>
      </c>
      <c r="AD1122" s="8" t="n">
        <f aca="false">IF(Q1122,B1122,AD1121)</f>
        <v>0.85196916476283</v>
      </c>
      <c r="AE1122" s="8" t="str">
        <f aca="false">IF(AA1122,L1122,"")</f>
        <v/>
      </c>
      <c r="AF1122" s="8" t="n">
        <f aca="false">U1122</f>
        <v>0.835624367549931</v>
      </c>
      <c r="AG1122" s="2" t="n">
        <f aca="false">AG1121+IF(Q1122,1,0)</f>
        <v>12</v>
      </c>
      <c r="AH1122" s="2" t="n">
        <f aca="false">AG1121</f>
        <v>12</v>
      </c>
      <c r="AI1122" s="10" t="n">
        <f aca="false">X1122+Y1122*(E1122-AB1122)-Y1122*AD1122*Inputs!$B$13*(A1122-AC1122)</f>
        <v>954.093586503894</v>
      </c>
      <c r="AJ1122" s="10" t="n">
        <v>0</v>
      </c>
      <c r="AK1122" s="8" t="n">
        <f aca="false">IF(AND(B1122&lt;=U1122,NOT(Q1122)),B1122,U1122)*(1-Inputs!$B$12)</f>
        <v>0.835457242676421</v>
      </c>
    </row>
    <row r="1123" customFormat="false" ht="15" hidden="false" customHeight="false" outlineLevel="0" collapsed="false">
      <c r="A1123" s="6" t="n">
        <v>45907</v>
      </c>
      <c r="B1123" s="7" t="n">
        <v>0.871418434030008</v>
      </c>
      <c r="C1123" s="7" t="n">
        <v>0.873567507122926</v>
      </c>
      <c r="D1123" s="7" t="n">
        <v>0.869398057640052</v>
      </c>
      <c r="E1123" s="7" t="n">
        <v>0.87155337553491</v>
      </c>
      <c r="F1123" s="8" t="n">
        <f aca="true">IF(ROW()-2&gt;=Inputs!$B$4,AVERAGE(OFFSET(E1123,1-Inputs!$B$4,0,Inputs!$B$4,1)),"")</f>
        <v>0.860056152522226</v>
      </c>
      <c r="G1123" s="8" t="n">
        <f aca="true">IF(ROW()-2&gt;=Inputs!$B$5,AVERAGE(OFFSET(E1123,1-Inputs!$B$5,0,Inputs!$B$5,1)),"")</f>
        <v>0.841532679433611</v>
      </c>
      <c r="H1123" s="8" t="n">
        <f aca="false">MAX(C1123-D1123,ABS(C1123-E1122),ABS(D1123-E1122))</f>
        <v>0.00416944948287479</v>
      </c>
      <c r="I1123" s="8" t="n">
        <f aca="true">IF(ROW()-2&lt;14,"",IF(ROW()-2=14,AVERAGE(OFFSET(H1123,-13,0,14,1)),(I1122*13+H1123)/14))</f>
        <v>0.00876345573485378</v>
      </c>
      <c r="J1123" s="9" t="b">
        <f aca="false">IF(AND(ISNUMBER(F1123),ISNUMBER(G1123),ISNUMBER(F1122),ISNUMBER(G1122)),AND(F1123&gt;G1123,F1122&lt;=G1122),FALSE())</f>
        <v>0</v>
      </c>
      <c r="K1123" s="9" t="b">
        <f aca="false">IF(AND(ISNUMBER(F1123),ISNUMBER(G1123),ISNUMBER(F1122),ISNUMBER(G1122)),AND(F1123&lt;G1123,F1122&gt;=G1122),FALSE())</f>
        <v>0</v>
      </c>
      <c r="L1123" s="8" t="n">
        <f aca="false">IF(ISNUMBER(I1123),E1123-Inputs!$B$6*I1123,"")</f>
        <v>0.854026464065202</v>
      </c>
      <c r="M1123" s="9" t="b">
        <f aca="false">AND(Y1122&gt;0,Z1122)</f>
        <v>0</v>
      </c>
      <c r="N1123" s="8" t="n">
        <f aca="false">B1123*(1-Inputs!$B$12)</f>
        <v>0.871244150343202</v>
      </c>
      <c r="O1123" s="10" t="n">
        <f aca="false">IF(M1123,Y1122*(N1123-AB1122)-Inputs!$B$9-Y1122*AD1122*Inputs!$B$13*(A1123-AC1122),0)</f>
        <v>0</v>
      </c>
      <c r="P1123" s="10" t="n">
        <f aca="false">X1122+O1123</f>
        <v>944.618668179282</v>
      </c>
      <c r="Q1123" s="9" t="b">
        <f aca="false">AND(IF(M1123,0,Y1122)=0,AA1122,IF(ISNUMBER(AE1122),B1123&gt;AE1122,FALSE()))</f>
        <v>0</v>
      </c>
      <c r="R1123" s="8" t="n">
        <f aca="false">B1123*(1+Inputs!$B$12)</f>
        <v>0.871592717716814</v>
      </c>
      <c r="S1123" s="11" t="n">
        <f aca="false">IF(Q1123,MIN(P1123*Inputs!$B$3/(R1123-AE1122),P1123*Inputs!$B$11/R1123),0)</f>
        <v>0</v>
      </c>
      <c r="T1123" s="11" t="n">
        <f aca="false">IF(Q1123,S1123,IF(M1123,0,Y1122))</f>
        <v>572.575070766003</v>
      </c>
      <c r="U1123" s="8" t="n">
        <f aca="false">IF(Q1123,AE1122,AF1122)</f>
        <v>0.835624367549931</v>
      </c>
      <c r="V1123" s="9" t="b">
        <f aca="false">AND(T1123&gt;0,D1123&lt;=U1123)</f>
        <v>0</v>
      </c>
      <c r="W1123" s="10" t="n">
        <f aca="false">IF(V1123,T1123*(AK1123-AB1123)-Inputs!$B$9-T1123*AD1123*Inputs!$B$13*(A1123-AC1123),0)</f>
        <v>0</v>
      </c>
      <c r="X1123" s="10" t="n">
        <f aca="false">P1123-IF(Q1123,Inputs!$B$9,0)+W1123</f>
        <v>944.618668179282</v>
      </c>
      <c r="Y1123" s="11" t="n">
        <f aca="false">IF(V1123,0,T1123)</f>
        <v>572.575070766003</v>
      </c>
      <c r="Z1123" s="9" t="b">
        <f aca="false">AND(Y1123&gt;0,K1123)</f>
        <v>0</v>
      </c>
      <c r="AA1123" s="9" t="b">
        <f aca="false">AND(Y1123=0,J1123,ISNUMBER(L1123))</f>
        <v>0</v>
      </c>
      <c r="AB1123" s="8" t="n">
        <f aca="false">IF(Q1123,R1123,AB1122)</f>
        <v>0.852139558595783</v>
      </c>
      <c r="AC1123" s="12" t="n">
        <f aca="false">IF(Q1123,A1123,AC1122)</f>
        <v>45888</v>
      </c>
      <c r="AD1123" s="8" t="n">
        <f aca="false">IF(Q1123,B1123,AD1122)</f>
        <v>0.85196916476283</v>
      </c>
      <c r="AE1123" s="8" t="str">
        <f aca="false">IF(AA1123,L1123,"")</f>
        <v/>
      </c>
      <c r="AF1123" s="8" t="n">
        <f aca="false">U1123</f>
        <v>0.835624367549931</v>
      </c>
      <c r="AG1123" s="2" t="n">
        <f aca="false">AG1122+IF(Q1123,1,0)</f>
        <v>12</v>
      </c>
      <c r="AH1123" s="2" t="n">
        <f aca="false">AG1122</f>
        <v>12</v>
      </c>
      <c r="AI1123" s="10" t="n">
        <f aca="false">X1123+Y1123*(E1123-AB1123)-Y1123*AD1123*Inputs!$B$13*(A1123-AC1123)</f>
        <v>954.083979248867</v>
      </c>
      <c r="AJ1123" s="10" t="n">
        <v>0</v>
      </c>
      <c r="AK1123" s="8" t="n">
        <f aca="false">IF(AND(B1123&lt;=U1123,NOT(Q1123)),B1123,U1123)*(1-Inputs!$B$12)</f>
        <v>0.835457242676421</v>
      </c>
    </row>
    <row r="1124" customFormat="false" ht="15" hidden="false" customHeight="false" outlineLevel="0" collapsed="false">
      <c r="A1124" s="6" t="n">
        <v>45908</v>
      </c>
      <c r="B1124" s="7" t="n">
        <v>0.87155337553491</v>
      </c>
      <c r="C1124" s="7" t="n">
        <v>0.874441610311707</v>
      </c>
      <c r="D1124" s="7" t="n">
        <v>0.857925583520472</v>
      </c>
      <c r="E1124" s="7" t="n">
        <v>0.865016384903566</v>
      </c>
      <c r="F1124" s="8" t="n">
        <f aca="true">IF(ROW()-2&gt;=Inputs!$B$4,AVERAGE(OFFSET(E1124,1-Inputs!$B$4,0,Inputs!$B$4,1)),"")</f>
        <v>0.860595063609359</v>
      </c>
      <c r="G1124" s="8" t="n">
        <f aca="true">IF(ROW()-2&gt;=Inputs!$B$5,AVERAGE(OFFSET(E1124,1-Inputs!$B$5,0,Inputs!$B$5,1)),"")</f>
        <v>0.842230391719569</v>
      </c>
      <c r="H1124" s="8" t="n">
        <f aca="false">MAX(C1124-D1124,ABS(C1124-E1123),ABS(D1124-E1123))</f>
        <v>0.0165160267912353</v>
      </c>
      <c r="I1124" s="8" t="n">
        <f aca="true">IF(ROW()-2&lt;14,"",IF(ROW()-2=14,AVERAGE(OFFSET(H1124,-13,0,14,1)),(I1123*13+H1124)/14))</f>
        <v>0.0093172108103096</v>
      </c>
      <c r="J1124" s="9" t="b">
        <f aca="false">IF(AND(ISNUMBER(F1124),ISNUMBER(G1124),ISNUMBER(F1123),ISNUMBER(G1123)),AND(F1124&gt;G1124,F1123&lt;=G1123),FALSE())</f>
        <v>0</v>
      </c>
      <c r="K1124" s="9" t="b">
        <f aca="false">IF(AND(ISNUMBER(F1124),ISNUMBER(G1124),ISNUMBER(F1123),ISNUMBER(G1123)),AND(F1124&lt;G1124,F1123&gt;=G1123),FALSE())</f>
        <v>0</v>
      </c>
      <c r="L1124" s="8" t="n">
        <f aca="false">IF(ISNUMBER(I1124),E1124-Inputs!$B$6*I1124,"")</f>
        <v>0.846381963282947</v>
      </c>
      <c r="M1124" s="9" t="b">
        <f aca="false">AND(Y1123&gt;0,Z1123)</f>
        <v>0</v>
      </c>
      <c r="N1124" s="8" t="n">
        <f aca="false">B1124*(1-Inputs!$B$12)</f>
        <v>0.871379064859803</v>
      </c>
      <c r="O1124" s="10" t="n">
        <f aca="false">IF(M1124,Y1123*(N1124-AB1123)-Inputs!$B$9-Y1123*AD1123*Inputs!$B$13*(A1124-AC1123),0)</f>
        <v>0</v>
      </c>
      <c r="P1124" s="10" t="n">
        <f aca="false">X1123+O1124</f>
        <v>944.618668179282</v>
      </c>
      <c r="Q1124" s="9" t="b">
        <f aca="false">AND(IF(M1124,0,Y1123)=0,AA1123,IF(ISNUMBER(AE1123),B1124&gt;AE1123,FALSE()))</f>
        <v>0</v>
      </c>
      <c r="R1124" s="8" t="n">
        <f aca="false">B1124*(1+Inputs!$B$12)</f>
        <v>0.871727686210017</v>
      </c>
      <c r="S1124" s="11" t="n">
        <f aca="false">IF(Q1124,MIN(P1124*Inputs!$B$3/(R1124-AE1123),P1124*Inputs!$B$11/R1124),0)</f>
        <v>0</v>
      </c>
      <c r="T1124" s="11" t="n">
        <f aca="false">IF(Q1124,S1124,IF(M1124,0,Y1123))</f>
        <v>572.575070766003</v>
      </c>
      <c r="U1124" s="8" t="n">
        <f aca="false">IF(Q1124,AE1123,AF1123)</f>
        <v>0.835624367549931</v>
      </c>
      <c r="V1124" s="9" t="b">
        <f aca="false">AND(T1124&gt;0,D1124&lt;=U1124)</f>
        <v>0</v>
      </c>
      <c r="W1124" s="10" t="n">
        <f aca="false">IF(V1124,T1124*(AK1124-AB1124)-Inputs!$B$9-T1124*AD1124*Inputs!$B$13*(A1124-AC1124),0)</f>
        <v>0</v>
      </c>
      <c r="X1124" s="10" t="n">
        <f aca="false">P1124-IF(Q1124,Inputs!$B$9,0)+W1124</f>
        <v>944.618668179282</v>
      </c>
      <c r="Y1124" s="11" t="n">
        <f aca="false">IF(V1124,0,T1124)</f>
        <v>572.575070766003</v>
      </c>
      <c r="Z1124" s="9" t="b">
        <f aca="false">AND(Y1124&gt;0,K1124)</f>
        <v>0</v>
      </c>
      <c r="AA1124" s="9" t="b">
        <f aca="false">AND(Y1124=0,J1124,ISNUMBER(L1124))</f>
        <v>0</v>
      </c>
      <c r="AB1124" s="8" t="n">
        <f aca="false">IF(Q1124,R1124,AB1123)</f>
        <v>0.852139558595783</v>
      </c>
      <c r="AC1124" s="12" t="n">
        <f aca="false">IF(Q1124,A1124,AC1123)</f>
        <v>45888</v>
      </c>
      <c r="AD1124" s="8" t="n">
        <f aca="false">IF(Q1124,B1124,AD1123)</f>
        <v>0.85196916476283</v>
      </c>
      <c r="AE1124" s="8" t="str">
        <f aca="false">IF(AA1124,L1124,"")</f>
        <v/>
      </c>
      <c r="AF1124" s="8" t="n">
        <f aca="false">U1124</f>
        <v>0.835624367549931</v>
      </c>
      <c r="AG1124" s="2" t="n">
        <f aca="false">AG1123+IF(Q1124,1,0)</f>
        <v>12</v>
      </c>
      <c r="AH1124" s="2" t="n">
        <f aca="false">AG1123</f>
        <v>12</v>
      </c>
      <c r="AI1124" s="10" t="n">
        <f aca="false">X1124+Y1124*(E1124-AB1124)-Y1124*AD1124*Inputs!$B$13*(A1124-AC1124)</f>
        <v>950.254189978782</v>
      </c>
      <c r="AJ1124" s="10" t="n">
        <v>0</v>
      </c>
      <c r="AK1124" s="8" t="n">
        <f aca="false">IF(AND(B1124&lt;=U1124,NOT(Q1124)),B1124,U1124)*(1-Inputs!$B$12)</f>
        <v>0.835457242676421</v>
      </c>
    </row>
    <row r="1125" customFormat="false" ht="15" hidden="false" customHeight="false" outlineLevel="0" collapsed="false">
      <c r="A1125" s="6" t="n">
        <v>45909</v>
      </c>
      <c r="B1125" s="7" t="n">
        <v>0.865016384903566</v>
      </c>
      <c r="C1125" s="7" t="n">
        <v>0.865909242192718</v>
      </c>
      <c r="D1125" s="7" t="n">
        <v>0.857651011107024</v>
      </c>
      <c r="E1125" s="7" t="n">
        <v>0.86453263255573</v>
      </c>
      <c r="F1125" s="8" t="n">
        <f aca="true">IF(ROW()-2&gt;=Inputs!$B$4,AVERAGE(OFFSET(E1125,1-Inputs!$B$4,0,Inputs!$B$4,1)),"")</f>
        <v>0.861136443824286</v>
      </c>
      <c r="G1125" s="8" t="n">
        <f aca="true">IF(ROW()-2&gt;=Inputs!$B$5,AVERAGE(OFFSET(E1125,1-Inputs!$B$5,0,Inputs!$B$5,1)),"")</f>
        <v>0.842971307284633</v>
      </c>
      <c r="H1125" s="8" t="n">
        <f aca="false">MAX(C1125-D1125,ABS(C1125-E1124),ABS(D1125-E1124))</f>
        <v>0.00825823108569435</v>
      </c>
      <c r="I1125" s="8" t="n">
        <f aca="true">IF(ROW()-2&lt;14,"",IF(ROW()-2=14,AVERAGE(OFFSET(H1125,-13,0,14,1)),(I1124*13+H1125)/14))</f>
        <v>0.00924156940140851</v>
      </c>
      <c r="J1125" s="9" t="b">
        <f aca="false">IF(AND(ISNUMBER(F1125),ISNUMBER(G1125),ISNUMBER(F1124),ISNUMBER(G1124)),AND(F1125&gt;G1125,F1124&lt;=G1124),FALSE())</f>
        <v>0</v>
      </c>
      <c r="K1125" s="9" t="b">
        <f aca="false">IF(AND(ISNUMBER(F1125),ISNUMBER(G1125),ISNUMBER(F1124),ISNUMBER(G1124)),AND(F1125&lt;G1125,F1124&gt;=G1124),FALSE())</f>
        <v>0</v>
      </c>
      <c r="L1125" s="8" t="n">
        <f aca="false">IF(ISNUMBER(I1125),E1125-Inputs!$B$6*I1125,"")</f>
        <v>0.846049493752913</v>
      </c>
      <c r="M1125" s="9" t="b">
        <f aca="false">AND(Y1124&gt;0,Z1124)</f>
        <v>0</v>
      </c>
      <c r="N1125" s="8" t="n">
        <f aca="false">B1125*(1-Inputs!$B$12)</f>
        <v>0.864843381626585</v>
      </c>
      <c r="O1125" s="10" t="n">
        <f aca="false">IF(M1125,Y1124*(N1125-AB1124)-Inputs!$B$9-Y1124*AD1124*Inputs!$B$13*(A1125-AC1124),0)</f>
        <v>0</v>
      </c>
      <c r="P1125" s="10" t="n">
        <f aca="false">X1124+O1125</f>
        <v>944.618668179282</v>
      </c>
      <c r="Q1125" s="9" t="b">
        <f aca="false">AND(IF(M1125,0,Y1124)=0,AA1124,IF(ISNUMBER(AE1124),B1125&gt;AE1124,FALSE()))</f>
        <v>0</v>
      </c>
      <c r="R1125" s="8" t="n">
        <f aca="false">B1125*(1+Inputs!$B$12)</f>
        <v>0.865189388180547</v>
      </c>
      <c r="S1125" s="11" t="n">
        <f aca="false">IF(Q1125,MIN(P1125*Inputs!$B$3/(R1125-AE1124),P1125*Inputs!$B$11/R1125),0)</f>
        <v>0</v>
      </c>
      <c r="T1125" s="11" t="n">
        <f aca="false">IF(Q1125,S1125,IF(M1125,0,Y1124))</f>
        <v>572.575070766003</v>
      </c>
      <c r="U1125" s="8" t="n">
        <f aca="false">IF(Q1125,AE1124,AF1124)</f>
        <v>0.835624367549931</v>
      </c>
      <c r="V1125" s="9" t="b">
        <f aca="false">AND(T1125&gt;0,D1125&lt;=U1125)</f>
        <v>0</v>
      </c>
      <c r="W1125" s="10" t="n">
        <f aca="false">IF(V1125,T1125*(AK1125-AB1125)-Inputs!$B$9-T1125*AD1125*Inputs!$B$13*(A1125-AC1125),0)</f>
        <v>0</v>
      </c>
      <c r="X1125" s="10" t="n">
        <f aca="false">P1125-IF(Q1125,Inputs!$B$9,0)+W1125</f>
        <v>944.618668179282</v>
      </c>
      <c r="Y1125" s="11" t="n">
        <f aca="false">IF(V1125,0,T1125)</f>
        <v>572.575070766003</v>
      </c>
      <c r="Z1125" s="9" t="b">
        <f aca="false">AND(Y1125&gt;0,K1125)</f>
        <v>0</v>
      </c>
      <c r="AA1125" s="9" t="b">
        <f aca="false">AND(Y1125=0,J1125,ISNUMBER(L1125))</f>
        <v>0</v>
      </c>
      <c r="AB1125" s="8" t="n">
        <f aca="false">IF(Q1125,R1125,AB1124)</f>
        <v>0.852139558595783</v>
      </c>
      <c r="AC1125" s="12" t="n">
        <f aca="false">IF(Q1125,A1125,AC1124)</f>
        <v>45888</v>
      </c>
      <c r="AD1125" s="8" t="n">
        <f aca="false">IF(Q1125,B1125,AD1124)</f>
        <v>0.85196916476283</v>
      </c>
      <c r="AE1125" s="8" t="str">
        <f aca="false">IF(AA1125,L1125,"")</f>
        <v/>
      </c>
      <c r="AF1125" s="8" t="n">
        <f aca="false">U1125</f>
        <v>0.835624367549931</v>
      </c>
      <c r="AG1125" s="2" t="n">
        <f aca="false">AG1124+IF(Q1125,1,0)</f>
        <v>12</v>
      </c>
      <c r="AH1125" s="2" t="n">
        <f aca="false">AG1124</f>
        <v>12</v>
      </c>
      <c r="AI1125" s="10" t="n">
        <f aca="false">X1125+Y1125*(E1125-AB1125)-Y1125*AD1125*Inputs!$B$13*(A1125-AC1125)</f>
        <v>949.890334047241</v>
      </c>
      <c r="AJ1125" s="10" t="n">
        <v>0</v>
      </c>
      <c r="AK1125" s="8" t="n">
        <f aca="false">IF(AND(B1125&lt;=U1125,NOT(Q1125)),B1125,U1125)*(1-Inputs!$B$12)</f>
        <v>0.835457242676421</v>
      </c>
    </row>
    <row r="1126" customFormat="false" ht="15" hidden="false" customHeight="false" outlineLevel="0" collapsed="false">
      <c r="A1126" s="6" t="n">
        <v>45910</v>
      </c>
      <c r="B1126" s="7" t="n">
        <v>0.86453263255573</v>
      </c>
      <c r="C1126" s="7" t="n">
        <v>0.865793119310248</v>
      </c>
      <c r="D1126" s="7" t="n">
        <v>0.85652214528697</v>
      </c>
      <c r="E1126" s="7" t="n">
        <v>0.8569008284801</v>
      </c>
      <c r="F1126" s="8" t="n">
        <f aca="true">IF(ROW()-2&gt;=Inputs!$B$4,AVERAGE(OFFSET(E1126,1-Inputs!$B$4,0,Inputs!$B$4,1)),"")</f>
        <v>0.861121047275575</v>
      </c>
      <c r="G1126" s="8" t="n">
        <f aca="true">IF(ROW()-2&gt;=Inputs!$B$5,AVERAGE(OFFSET(E1126,1-Inputs!$B$5,0,Inputs!$B$5,1)),"")</f>
        <v>0.843661333699385</v>
      </c>
      <c r="H1126" s="8" t="n">
        <f aca="false">MAX(C1126-D1126,ABS(C1126-E1125),ABS(D1126-E1125))</f>
        <v>0.00927097402327781</v>
      </c>
      <c r="I1126" s="8" t="n">
        <f aca="true">IF(ROW()-2&lt;14,"",IF(ROW()-2=14,AVERAGE(OFFSET(H1126,-13,0,14,1)),(I1125*13+H1126)/14))</f>
        <v>0.00924366973154203</v>
      </c>
      <c r="J1126" s="9" t="b">
        <f aca="false">IF(AND(ISNUMBER(F1126),ISNUMBER(G1126),ISNUMBER(F1125),ISNUMBER(G1125)),AND(F1126&gt;G1126,F1125&lt;=G1125),FALSE())</f>
        <v>0</v>
      </c>
      <c r="K1126" s="9" t="b">
        <f aca="false">IF(AND(ISNUMBER(F1126),ISNUMBER(G1126),ISNUMBER(F1125),ISNUMBER(G1125)),AND(F1126&lt;G1126,F1125&gt;=G1125),FALSE())</f>
        <v>0</v>
      </c>
      <c r="L1126" s="8" t="n">
        <f aca="false">IF(ISNUMBER(I1126),E1126-Inputs!$B$6*I1126,"")</f>
        <v>0.838413489017015</v>
      </c>
      <c r="M1126" s="9" t="b">
        <f aca="false">AND(Y1125&gt;0,Z1125)</f>
        <v>0</v>
      </c>
      <c r="N1126" s="8" t="n">
        <f aca="false">B1126*(1-Inputs!$B$12)</f>
        <v>0.864359726029219</v>
      </c>
      <c r="O1126" s="10" t="n">
        <f aca="false">IF(M1126,Y1125*(N1126-AB1125)-Inputs!$B$9-Y1125*AD1125*Inputs!$B$13*(A1126-AC1125),0)</f>
        <v>0</v>
      </c>
      <c r="P1126" s="10" t="n">
        <f aca="false">X1125+O1126</f>
        <v>944.618668179282</v>
      </c>
      <c r="Q1126" s="9" t="b">
        <f aca="false">AND(IF(M1126,0,Y1125)=0,AA1125,IF(ISNUMBER(AE1125),B1126&gt;AE1125,FALSE()))</f>
        <v>0</v>
      </c>
      <c r="R1126" s="8" t="n">
        <f aca="false">B1126*(1+Inputs!$B$12)</f>
        <v>0.864705539082242</v>
      </c>
      <c r="S1126" s="11" t="n">
        <f aca="false">IF(Q1126,MIN(P1126*Inputs!$B$3/(R1126-AE1125),P1126*Inputs!$B$11/R1126),0)</f>
        <v>0</v>
      </c>
      <c r="T1126" s="11" t="n">
        <f aca="false">IF(Q1126,S1126,IF(M1126,0,Y1125))</f>
        <v>572.575070766003</v>
      </c>
      <c r="U1126" s="8" t="n">
        <f aca="false">IF(Q1126,AE1125,AF1125)</f>
        <v>0.835624367549931</v>
      </c>
      <c r="V1126" s="9" t="b">
        <f aca="false">AND(T1126&gt;0,D1126&lt;=U1126)</f>
        <v>0</v>
      </c>
      <c r="W1126" s="10" t="n">
        <f aca="false">IF(V1126,T1126*(AK1126-AB1126)-Inputs!$B$9-T1126*AD1126*Inputs!$B$13*(A1126-AC1126),0)</f>
        <v>0</v>
      </c>
      <c r="X1126" s="10" t="n">
        <f aca="false">P1126-IF(Q1126,Inputs!$B$9,0)+W1126</f>
        <v>944.618668179282</v>
      </c>
      <c r="Y1126" s="11" t="n">
        <f aca="false">IF(V1126,0,T1126)</f>
        <v>572.575070766003</v>
      </c>
      <c r="Z1126" s="9" t="b">
        <f aca="false">AND(Y1126&gt;0,K1126)</f>
        <v>0</v>
      </c>
      <c r="AA1126" s="9" t="b">
        <f aca="false">AND(Y1126=0,J1126,ISNUMBER(L1126))</f>
        <v>0</v>
      </c>
      <c r="AB1126" s="8" t="n">
        <f aca="false">IF(Q1126,R1126,AB1125)</f>
        <v>0.852139558595783</v>
      </c>
      <c r="AC1126" s="12" t="n">
        <f aca="false">IF(Q1126,A1126,AC1125)</f>
        <v>45888</v>
      </c>
      <c r="AD1126" s="8" t="n">
        <f aca="false">IF(Q1126,B1126,AD1125)</f>
        <v>0.85196916476283</v>
      </c>
      <c r="AE1126" s="8" t="str">
        <f aca="false">IF(AA1126,L1126,"")</f>
        <v/>
      </c>
      <c r="AF1126" s="8" t="n">
        <f aca="false">U1126</f>
        <v>0.835624367549931</v>
      </c>
      <c r="AG1126" s="2" t="n">
        <f aca="false">AG1125+IF(Q1126,1,0)</f>
        <v>12</v>
      </c>
      <c r="AH1126" s="2" t="n">
        <f aca="false">AG1125</f>
        <v>12</v>
      </c>
      <c r="AI1126" s="10" t="n">
        <f aca="false">X1126+Y1126*(E1126-AB1126)-Y1126*AD1126*Inputs!$B$13*(A1126-AC1126)</f>
        <v>945.433681891818</v>
      </c>
      <c r="AJ1126" s="10" t="n">
        <v>0</v>
      </c>
      <c r="AK1126" s="8" t="n">
        <f aca="false">IF(AND(B1126&lt;=U1126,NOT(Q1126)),B1126,U1126)*(1-Inputs!$B$12)</f>
        <v>0.835457242676421</v>
      </c>
    </row>
    <row r="1127" customFormat="false" ht="15" hidden="false" customHeight="false" outlineLevel="0" collapsed="false">
      <c r="A1127" s="6" t="n">
        <v>45911</v>
      </c>
      <c r="B1127" s="7" t="n">
        <v>0.8569008284801</v>
      </c>
      <c r="C1127" s="7" t="n">
        <v>0.86510088764785</v>
      </c>
      <c r="D1127" s="7" t="n">
        <v>0.852165258720122</v>
      </c>
      <c r="E1127" s="7" t="n">
        <v>0.862548721266789</v>
      </c>
      <c r="F1127" s="8" t="n">
        <f aca="true">IF(ROW()-2&gt;=Inputs!$B$4,AVERAGE(OFFSET(E1127,1-Inputs!$B$4,0,Inputs!$B$4,1)),"")</f>
        <v>0.861628920662632</v>
      </c>
      <c r="G1127" s="8" t="n">
        <f aca="true">IF(ROW()-2&gt;=Inputs!$B$5,AVERAGE(OFFSET(E1127,1-Inputs!$B$5,0,Inputs!$B$5,1)),"")</f>
        <v>0.844327892856237</v>
      </c>
      <c r="H1127" s="8" t="n">
        <f aca="false">MAX(C1127-D1127,ABS(C1127-E1126),ABS(D1127-E1126))</f>
        <v>0.0129356289277276</v>
      </c>
      <c r="I1127" s="8" t="n">
        <f aca="true">IF(ROW()-2&lt;14,"",IF(ROW()-2=14,AVERAGE(OFFSET(H1127,-13,0,14,1)),(I1126*13+H1127)/14))</f>
        <v>0.00950738110269814</v>
      </c>
      <c r="J1127" s="9" t="b">
        <f aca="false">IF(AND(ISNUMBER(F1127),ISNUMBER(G1127),ISNUMBER(F1126),ISNUMBER(G1126)),AND(F1127&gt;G1127,F1126&lt;=G1126),FALSE())</f>
        <v>0</v>
      </c>
      <c r="K1127" s="9" t="b">
        <f aca="false">IF(AND(ISNUMBER(F1127),ISNUMBER(G1127),ISNUMBER(F1126),ISNUMBER(G1126)),AND(F1127&lt;G1127,F1126&gt;=G1126),FALSE())</f>
        <v>0</v>
      </c>
      <c r="L1127" s="8" t="n">
        <f aca="false">IF(ISNUMBER(I1127),E1127-Inputs!$B$6*I1127,"")</f>
        <v>0.843533959061392</v>
      </c>
      <c r="M1127" s="9" t="b">
        <f aca="false">AND(Y1126&gt;0,Z1126)</f>
        <v>0</v>
      </c>
      <c r="N1127" s="8" t="n">
        <f aca="false">B1127*(1-Inputs!$B$12)</f>
        <v>0.856729448314404</v>
      </c>
      <c r="O1127" s="10" t="n">
        <f aca="false">IF(M1127,Y1126*(N1127-AB1126)-Inputs!$B$9-Y1126*AD1126*Inputs!$B$13*(A1127-AC1126),0)</f>
        <v>0</v>
      </c>
      <c r="P1127" s="10" t="n">
        <f aca="false">X1126+O1127</f>
        <v>944.618668179282</v>
      </c>
      <c r="Q1127" s="9" t="b">
        <f aca="false">AND(IF(M1127,0,Y1126)=0,AA1126,IF(ISNUMBER(AE1126),B1127&gt;AE1126,FALSE()))</f>
        <v>0</v>
      </c>
      <c r="R1127" s="8" t="n">
        <f aca="false">B1127*(1+Inputs!$B$12)</f>
        <v>0.857072208645796</v>
      </c>
      <c r="S1127" s="11" t="n">
        <f aca="false">IF(Q1127,MIN(P1127*Inputs!$B$3/(R1127-AE1126),P1127*Inputs!$B$11/R1127),0)</f>
        <v>0</v>
      </c>
      <c r="T1127" s="11" t="n">
        <f aca="false">IF(Q1127,S1127,IF(M1127,0,Y1126))</f>
        <v>572.575070766003</v>
      </c>
      <c r="U1127" s="8" t="n">
        <f aca="false">IF(Q1127,AE1126,AF1126)</f>
        <v>0.835624367549931</v>
      </c>
      <c r="V1127" s="9" t="b">
        <f aca="false">AND(T1127&gt;0,D1127&lt;=U1127)</f>
        <v>0</v>
      </c>
      <c r="W1127" s="10" t="n">
        <f aca="false">IF(V1127,T1127*(AK1127-AB1127)-Inputs!$B$9-T1127*AD1127*Inputs!$B$13*(A1127-AC1127),0)</f>
        <v>0</v>
      </c>
      <c r="X1127" s="10" t="n">
        <f aca="false">P1127-IF(Q1127,Inputs!$B$9,0)+W1127</f>
        <v>944.618668179282</v>
      </c>
      <c r="Y1127" s="11" t="n">
        <f aca="false">IF(V1127,0,T1127)</f>
        <v>572.575070766003</v>
      </c>
      <c r="Z1127" s="9" t="b">
        <f aca="false">AND(Y1127&gt;0,K1127)</f>
        <v>0</v>
      </c>
      <c r="AA1127" s="9" t="b">
        <f aca="false">AND(Y1127=0,J1127,ISNUMBER(L1127))</f>
        <v>0</v>
      </c>
      <c r="AB1127" s="8" t="n">
        <f aca="false">IF(Q1127,R1127,AB1126)</f>
        <v>0.852139558595783</v>
      </c>
      <c r="AC1127" s="12" t="n">
        <f aca="false">IF(Q1127,A1127,AC1126)</f>
        <v>45888</v>
      </c>
      <c r="AD1127" s="8" t="n">
        <f aca="false">IF(Q1127,B1127,AD1126)</f>
        <v>0.85196916476283</v>
      </c>
      <c r="AE1127" s="8" t="str">
        <f aca="false">IF(AA1127,L1127,"")</f>
        <v/>
      </c>
      <c r="AF1127" s="8" t="n">
        <f aca="false">U1127</f>
        <v>0.835624367549931</v>
      </c>
      <c r="AG1127" s="2" t="n">
        <f aca="false">AG1126+IF(Q1127,1,0)</f>
        <v>12</v>
      </c>
      <c r="AH1127" s="2" t="n">
        <f aca="false">AG1126</f>
        <v>12</v>
      </c>
      <c r="AI1127" s="10" t="n">
        <f aca="false">X1127+Y1127*(E1127-AB1127)-Y1127*AD1127*Inputs!$B$13*(A1127-AC1127)</f>
        <v>948.58065310709</v>
      </c>
      <c r="AJ1127" s="10" t="n">
        <v>0</v>
      </c>
      <c r="AK1127" s="8" t="n">
        <f aca="false">IF(AND(B1127&lt;=U1127,NOT(Q1127)),B1127,U1127)*(1-Inputs!$B$12)</f>
        <v>0.835457242676421</v>
      </c>
    </row>
    <row r="1128" customFormat="false" ht="15" hidden="false" customHeight="false" outlineLevel="0" collapsed="false">
      <c r="A1128" s="6" t="n">
        <v>45912</v>
      </c>
      <c r="B1128" s="7" t="n">
        <v>0.862548721266789</v>
      </c>
      <c r="C1128" s="7" t="n">
        <v>0.865206846159265</v>
      </c>
      <c r="D1128" s="7" t="n">
        <v>0.860291389315543</v>
      </c>
      <c r="E1128" s="7" t="n">
        <v>0.863245988450207</v>
      </c>
      <c r="F1128" s="8" t="n">
        <f aca="true">IF(ROW()-2&gt;=Inputs!$B$4,AVERAGE(OFFSET(E1128,1-Inputs!$B$4,0,Inputs!$B$4,1)),"")</f>
        <v>0.862156757806765</v>
      </c>
      <c r="G1128" s="8" t="n">
        <f aca="true">IF(ROW()-2&gt;=Inputs!$B$5,AVERAGE(OFFSET(E1128,1-Inputs!$B$5,0,Inputs!$B$5,1)),"")</f>
        <v>0.845211176031889</v>
      </c>
      <c r="H1128" s="8" t="n">
        <f aca="false">MAX(C1128-D1128,ABS(C1128-E1127),ABS(D1128-E1127))</f>
        <v>0.00491545684372263</v>
      </c>
      <c r="I1128" s="8" t="n">
        <f aca="true">IF(ROW()-2&lt;14,"",IF(ROW()-2=14,AVERAGE(OFFSET(H1128,-13,0,14,1)),(I1127*13+H1128)/14))</f>
        <v>0.00917938651277132</v>
      </c>
      <c r="J1128" s="9" t="b">
        <f aca="false">IF(AND(ISNUMBER(F1128),ISNUMBER(G1128),ISNUMBER(F1127),ISNUMBER(G1127)),AND(F1128&gt;G1128,F1127&lt;=G1127),FALSE())</f>
        <v>0</v>
      </c>
      <c r="K1128" s="9" t="b">
        <f aca="false">IF(AND(ISNUMBER(F1128),ISNUMBER(G1128),ISNUMBER(F1127),ISNUMBER(G1127)),AND(F1128&lt;G1128,F1127&gt;=G1127),FALSE())</f>
        <v>0</v>
      </c>
      <c r="L1128" s="8" t="n">
        <f aca="false">IF(ISNUMBER(I1128),E1128-Inputs!$B$6*I1128,"")</f>
        <v>0.844887215424664</v>
      </c>
      <c r="M1128" s="9" t="b">
        <f aca="false">AND(Y1127&gt;0,Z1127)</f>
        <v>0</v>
      </c>
      <c r="N1128" s="8" t="n">
        <f aca="false">B1128*(1-Inputs!$B$12)</f>
        <v>0.862376211522535</v>
      </c>
      <c r="O1128" s="10" t="n">
        <f aca="false">IF(M1128,Y1127*(N1128-AB1127)-Inputs!$B$9-Y1127*AD1127*Inputs!$B$13*(A1128-AC1127),0)</f>
        <v>0</v>
      </c>
      <c r="P1128" s="10" t="n">
        <f aca="false">X1127+O1128</f>
        <v>944.618668179282</v>
      </c>
      <c r="Q1128" s="9" t="b">
        <f aca="false">AND(IF(M1128,0,Y1127)=0,AA1127,IF(ISNUMBER(AE1127),B1128&gt;AE1127,FALSE()))</f>
        <v>0</v>
      </c>
      <c r="R1128" s="8" t="n">
        <f aca="false">B1128*(1+Inputs!$B$12)</f>
        <v>0.862721231011042</v>
      </c>
      <c r="S1128" s="11" t="n">
        <f aca="false">IF(Q1128,MIN(P1128*Inputs!$B$3/(R1128-AE1127),P1128*Inputs!$B$11/R1128),0)</f>
        <v>0</v>
      </c>
      <c r="T1128" s="11" t="n">
        <f aca="false">IF(Q1128,S1128,IF(M1128,0,Y1127))</f>
        <v>572.575070766003</v>
      </c>
      <c r="U1128" s="8" t="n">
        <f aca="false">IF(Q1128,AE1127,AF1127)</f>
        <v>0.835624367549931</v>
      </c>
      <c r="V1128" s="9" t="b">
        <f aca="false">AND(T1128&gt;0,D1128&lt;=U1128)</f>
        <v>0</v>
      </c>
      <c r="W1128" s="10" t="n">
        <f aca="false">IF(V1128,T1128*(AK1128-AB1128)-Inputs!$B$9-T1128*AD1128*Inputs!$B$13*(A1128-AC1128),0)</f>
        <v>0</v>
      </c>
      <c r="X1128" s="10" t="n">
        <f aca="false">P1128-IF(Q1128,Inputs!$B$9,0)+W1128</f>
        <v>944.618668179282</v>
      </c>
      <c r="Y1128" s="11" t="n">
        <f aca="false">IF(V1128,0,T1128)</f>
        <v>572.575070766003</v>
      </c>
      <c r="Z1128" s="9" t="b">
        <f aca="false">AND(Y1128&gt;0,K1128)</f>
        <v>0</v>
      </c>
      <c r="AA1128" s="9" t="b">
        <f aca="false">AND(Y1128=0,J1128,ISNUMBER(L1128))</f>
        <v>0</v>
      </c>
      <c r="AB1128" s="8" t="n">
        <f aca="false">IF(Q1128,R1128,AB1127)</f>
        <v>0.852139558595783</v>
      </c>
      <c r="AC1128" s="12" t="n">
        <f aca="false">IF(Q1128,A1128,AC1127)</f>
        <v>45888</v>
      </c>
      <c r="AD1128" s="8" t="n">
        <f aca="false">IF(Q1128,B1128,AD1127)</f>
        <v>0.85196916476283</v>
      </c>
      <c r="AE1128" s="8" t="str">
        <f aca="false">IF(AA1128,L1128,"")</f>
        <v/>
      </c>
      <c r="AF1128" s="8" t="n">
        <f aca="false">U1128</f>
        <v>0.835624367549931</v>
      </c>
      <c r="AG1128" s="2" t="n">
        <f aca="false">AG1127+IF(Q1128,1,0)</f>
        <v>12</v>
      </c>
      <c r="AH1128" s="2" t="n">
        <f aca="false">AG1127</f>
        <v>12</v>
      </c>
      <c r="AI1128" s="10" t="n">
        <f aca="false">X1128+Y1128*(E1128-AB1128)-Y1128*AD1128*Inputs!$B$13*(A1128-AC1128)</f>
        <v>948.893019517232</v>
      </c>
      <c r="AJ1128" s="10" t="n">
        <v>0</v>
      </c>
      <c r="AK1128" s="8" t="n">
        <f aca="false">IF(AND(B1128&lt;=U1128,NOT(Q1128)),B1128,U1128)*(1-Inputs!$B$12)</f>
        <v>0.835457242676421</v>
      </c>
    </row>
    <row r="1129" customFormat="false" ht="15" hidden="false" customHeight="false" outlineLevel="0" collapsed="false">
      <c r="A1129" s="6" t="n">
        <v>45913</v>
      </c>
      <c r="B1129" s="7" t="n">
        <v>0.863245988450207</v>
      </c>
      <c r="C1129" s="7" t="n">
        <v>0.864258543541987</v>
      </c>
      <c r="D1129" s="7" t="n">
        <v>0.862955281287216</v>
      </c>
      <c r="E1129" s="7" t="n">
        <v>0.863212266528242</v>
      </c>
      <c r="F1129" s="8" t="n">
        <f aca="true">IF(ROW()-2&gt;=Inputs!$B$4,AVERAGE(OFFSET(E1129,1-Inputs!$B$4,0,Inputs!$B$4,1)),"")</f>
        <v>0.862308637635659</v>
      </c>
      <c r="G1129" s="8" t="n">
        <f aca="true">IF(ROW()-2&gt;=Inputs!$B$5,AVERAGE(OFFSET(E1129,1-Inputs!$B$5,0,Inputs!$B$5,1)),"")</f>
        <v>0.846157157191561</v>
      </c>
      <c r="H1129" s="8" t="n">
        <f aca="false">MAX(C1129-D1129,ABS(C1129-E1128),ABS(D1129-E1128))</f>
        <v>0.00130326225477084</v>
      </c>
      <c r="I1129" s="8" t="n">
        <f aca="true">IF(ROW()-2&lt;14,"",IF(ROW()-2=14,AVERAGE(OFFSET(H1129,-13,0,14,1)),(I1128*13+H1129)/14))</f>
        <v>0.00861680620862843</v>
      </c>
      <c r="J1129" s="9" t="b">
        <f aca="false">IF(AND(ISNUMBER(F1129),ISNUMBER(G1129),ISNUMBER(F1128),ISNUMBER(G1128)),AND(F1129&gt;G1129,F1128&lt;=G1128),FALSE())</f>
        <v>0</v>
      </c>
      <c r="K1129" s="9" t="b">
        <f aca="false">IF(AND(ISNUMBER(F1129),ISNUMBER(G1129),ISNUMBER(F1128),ISNUMBER(G1128)),AND(F1129&lt;G1129,F1128&gt;=G1128),FALSE())</f>
        <v>0</v>
      </c>
      <c r="L1129" s="8" t="n">
        <f aca="false">IF(ISNUMBER(I1129),E1129-Inputs!$B$6*I1129,"")</f>
        <v>0.845978654110985</v>
      </c>
      <c r="M1129" s="9" t="b">
        <f aca="false">AND(Y1128&gt;0,Z1128)</f>
        <v>0</v>
      </c>
      <c r="N1129" s="8" t="n">
        <f aca="false">B1129*(1-Inputs!$B$12)</f>
        <v>0.863073339252517</v>
      </c>
      <c r="O1129" s="10" t="n">
        <f aca="false">IF(M1129,Y1128*(N1129-AB1128)-Inputs!$B$9-Y1128*AD1128*Inputs!$B$13*(A1129-AC1128),0)</f>
        <v>0</v>
      </c>
      <c r="P1129" s="10" t="n">
        <f aca="false">X1128+O1129</f>
        <v>944.618668179282</v>
      </c>
      <c r="Q1129" s="9" t="b">
        <f aca="false">AND(IF(M1129,0,Y1128)=0,AA1128,IF(ISNUMBER(AE1128),B1129&gt;AE1128,FALSE()))</f>
        <v>0</v>
      </c>
      <c r="R1129" s="8" t="n">
        <f aca="false">B1129*(1+Inputs!$B$12)</f>
        <v>0.863418637647897</v>
      </c>
      <c r="S1129" s="11" t="n">
        <f aca="false">IF(Q1129,MIN(P1129*Inputs!$B$3/(R1129-AE1128),P1129*Inputs!$B$11/R1129),0)</f>
        <v>0</v>
      </c>
      <c r="T1129" s="11" t="n">
        <f aca="false">IF(Q1129,S1129,IF(M1129,0,Y1128))</f>
        <v>572.575070766003</v>
      </c>
      <c r="U1129" s="8" t="n">
        <f aca="false">IF(Q1129,AE1128,AF1128)</f>
        <v>0.835624367549931</v>
      </c>
      <c r="V1129" s="9" t="b">
        <f aca="false">AND(T1129&gt;0,D1129&lt;=U1129)</f>
        <v>0</v>
      </c>
      <c r="W1129" s="10" t="n">
        <f aca="false">IF(V1129,T1129*(AK1129-AB1129)-Inputs!$B$9-T1129*AD1129*Inputs!$B$13*(A1129-AC1129),0)</f>
        <v>0</v>
      </c>
      <c r="X1129" s="10" t="n">
        <f aca="false">P1129-IF(Q1129,Inputs!$B$9,0)+W1129</f>
        <v>944.618668179282</v>
      </c>
      <c r="Y1129" s="11" t="n">
        <f aca="false">IF(V1129,0,T1129)</f>
        <v>572.575070766003</v>
      </c>
      <c r="Z1129" s="9" t="b">
        <f aca="false">AND(Y1129&gt;0,K1129)</f>
        <v>0</v>
      </c>
      <c r="AA1129" s="9" t="b">
        <f aca="false">AND(Y1129=0,J1129,ISNUMBER(L1129))</f>
        <v>0</v>
      </c>
      <c r="AB1129" s="8" t="n">
        <f aca="false">IF(Q1129,R1129,AB1128)</f>
        <v>0.852139558595783</v>
      </c>
      <c r="AC1129" s="12" t="n">
        <f aca="false">IF(Q1129,A1129,AC1128)</f>
        <v>45888</v>
      </c>
      <c r="AD1129" s="8" t="n">
        <f aca="false">IF(Q1129,B1129,AD1128)</f>
        <v>0.85196916476283</v>
      </c>
      <c r="AE1129" s="8" t="str">
        <f aca="false">IF(AA1129,L1129,"")</f>
        <v/>
      </c>
      <c r="AF1129" s="8" t="n">
        <f aca="false">U1129</f>
        <v>0.835624367549931</v>
      </c>
      <c r="AG1129" s="2" t="n">
        <f aca="false">AG1128+IF(Q1129,1,0)</f>
        <v>12</v>
      </c>
      <c r="AH1129" s="2" t="n">
        <f aca="false">AG1128</f>
        <v>12</v>
      </c>
      <c r="AI1129" s="10" t="n">
        <f aca="false">X1129+Y1129*(E1129-AB1129)-Y1129*AD1129*Inputs!$B$13*(A1129-AC1129)</f>
        <v>948.786839788631</v>
      </c>
      <c r="AJ1129" s="10" t="n">
        <v>0</v>
      </c>
      <c r="AK1129" s="8" t="n">
        <f aca="false">IF(AND(B1129&lt;=U1129,NOT(Q1129)),B1129,U1129)*(1-Inputs!$B$12)</f>
        <v>0.835457242676421</v>
      </c>
    </row>
    <row r="1130" customFormat="false" ht="15" hidden="false" customHeight="false" outlineLevel="0" collapsed="false">
      <c r="A1130" s="6" t="n">
        <v>45914</v>
      </c>
      <c r="B1130" s="7" t="n">
        <v>0.863212266528242</v>
      </c>
      <c r="C1130" s="7" t="n">
        <v>0.87313256464021</v>
      </c>
      <c r="D1130" s="7" t="n">
        <v>0.862854515775829</v>
      </c>
      <c r="E1130" s="7" t="n">
        <v>0.867742689870455</v>
      </c>
      <c r="F1130" s="8" t="n">
        <f aca="true">IF(ROW()-2&gt;=Inputs!$B$4,AVERAGE(OFFSET(E1130,1-Inputs!$B$4,0,Inputs!$B$4,1)),"")</f>
        <v>0.862548501866885</v>
      </c>
      <c r="G1130" s="8" t="n">
        <f aca="true">IF(ROW()-2&gt;=Inputs!$B$5,AVERAGE(OFFSET(E1130,1-Inputs!$B$5,0,Inputs!$B$5,1)),"")</f>
        <v>0.847106605116679</v>
      </c>
      <c r="H1130" s="8" t="n">
        <f aca="false">MAX(C1130-D1130,ABS(C1130-E1129),ABS(D1130-E1129))</f>
        <v>0.0102780488643813</v>
      </c>
      <c r="I1130" s="8" t="n">
        <f aca="true">IF(ROW()-2&lt;14,"",IF(ROW()-2=14,AVERAGE(OFFSET(H1130,-13,0,14,1)),(I1129*13+H1130)/14))</f>
        <v>0.00873546639832507</v>
      </c>
      <c r="J1130" s="9" t="b">
        <f aca="false">IF(AND(ISNUMBER(F1130),ISNUMBER(G1130),ISNUMBER(F1129),ISNUMBER(G1129)),AND(F1130&gt;G1130,F1129&lt;=G1129),FALSE())</f>
        <v>0</v>
      </c>
      <c r="K1130" s="9" t="b">
        <f aca="false">IF(AND(ISNUMBER(F1130),ISNUMBER(G1130),ISNUMBER(F1129),ISNUMBER(G1129)),AND(F1130&lt;G1130,F1129&gt;=G1129),FALSE())</f>
        <v>0</v>
      </c>
      <c r="L1130" s="8" t="n">
        <f aca="false">IF(ISNUMBER(I1130),E1130-Inputs!$B$6*I1130,"")</f>
        <v>0.850271757073805</v>
      </c>
      <c r="M1130" s="9" t="b">
        <f aca="false">AND(Y1129&gt;0,Z1129)</f>
        <v>0</v>
      </c>
      <c r="N1130" s="8" t="n">
        <f aca="false">B1130*(1-Inputs!$B$12)</f>
        <v>0.863039624074936</v>
      </c>
      <c r="O1130" s="10" t="n">
        <f aca="false">IF(M1130,Y1129*(N1130-AB1129)-Inputs!$B$9-Y1129*AD1129*Inputs!$B$13*(A1130-AC1129),0)</f>
        <v>0</v>
      </c>
      <c r="P1130" s="10" t="n">
        <f aca="false">X1129+O1130</f>
        <v>944.618668179282</v>
      </c>
      <c r="Q1130" s="9" t="b">
        <f aca="false">AND(IF(M1130,0,Y1129)=0,AA1129,IF(ISNUMBER(AE1129),B1130&gt;AE1129,FALSE()))</f>
        <v>0</v>
      </c>
      <c r="R1130" s="8" t="n">
        <f aca="false">B1130*(1+Inputs!$B$12)</f>
        <v>0.863384908981547</v>
      </c>
      <c r="S1130" s="11" t="n">
        <f aca="false">IF(Q1130,MIN(P1130*Inputs!$B$3/(R1130-AE1129),P1130*Inputs!$B$11/R1130),0)</f>
        <v>0</v>
      </c>
      <c r="T1130" s="11" t="n">
        <f aca="false">IF(Q1130,S1130,IF(M1130,0,Y1129))</f>
        <v>572.575070766003</v>
      </c>
      <c r="U1130" s="8" t="n">
        <f aca="false">IF(Q1130,AE1129,AF1129)</f>
        <v>0.835624367549931</v>
      </c>
      <c r="V1130" s="9" t="b">
        <f aca="false">AND(T1130&gt;0,D1130&lt;=U1130)</f>
        <v>0</v>
      </c>
      <c r="W1130" s="10" t="n">
        <f aca="false">IF(V1130,T1130*(AK1130-AB1130)-Inputs!$B$9-T1130*AD1130*Inputs!$B$13*(A1130-AC1130),0)</f>
        <v>0</v>
      </c>
      <c r="X1130" s="10" t="n">
        <f aca="false">P1130-IF(Q1130,Inputs!$B$9,0)+W1130</f>
        <v>944.618668179282</v>
      </c>
      <c r="Y1130" s="11" t="n">
        <f aca="false">IF(V1130,0,T1130)</f>
        <v>572.575070766003</v>
      </c>
      <c r="Z1130" s="9" t="b">
        <f aca="false">AND(Y1130&gt;0,K1130)</f>
        <v>0</v>
      </c>
      <c r="AA1130" s="9" t="b">
        <f aca="false">AND(Y1130=0,J1130,ISNUMBER(L1130))</f>
        <v>0</v>
      </c>
      <c r="AB1130" s="8" t="n">
        <f aca="false">IF(Q1130,R1130,AB1129)</f>
        <v>0.852139558595783</v>
      </c>
      <c r="AC1130" s="12" t="n">
        <f aca="false">IF(Q1130,A1130,AC1129)</f>
        <v>45888</v>
      </c>
      <c r="AD1130" s="8" t="n">
        <f aca="false">IF(Q1130,B1130,AD1129)</f>
        <v>0.85196916476283</v>
      </c>
      <c r="AE1130" s="8" t="str">
        <f aca="false">IF(AA1130,L1130,"")</f>
        <v/>
      </c>
      <c r="AF1130" s="8" t="n">
        <f aca="false">U1130</f>
        <v>0.835624367549931</v>
      </c>
      <c r="AG1130" s="2" t="n">
        <f aca="false">AG1129+IF(Q1130,1,0)</f>
        <v>12</v>
      </c>
      <c r="AH1130" s="2" t="n">
        <f aca="false">AG1129</f>
        <v>12</v>
      </c>
      <c r="AI1130" s="10" t="n">
        <f aca="false">X1130+Y1130*(E1130-AB1130)-Y1130*AD1130*Inputs!$B$13*(A1130-AC1130)</f>
        <v>951.293975857652</v>
      </c>
      <c r="AJ1130" s="10" t="n">
        <v>0</v>
      </c>
      <c r="AK1130" s="8" t="n">
        <f aca="false">IF(AND(B1130&lt;=U1130,NOT(Q1130)),B1130,U1130)*(1-Inputs!$B$12)</f>
        <v>0.835457242676421</v>
      </c>
    </row>
    <row r="1131" customFormat="false" ht="15" hidden="false" customHeight="false" outlineLevel="0" collapsed="false">
      <c r="A1131" s="6" t="n">
        <v>45915</v>
      </c>
      <c r="B1131" s="7" t="n">
        <v>0.867742689870455</v>
      </c>
      <c r="C1131" s="7" t="n">
        <v>0.869776865450885</v>
      </c>
      <c r="D1131" s="7" t="n">
        <v>0.866118497966591</v>
      </c>
      <c r="E1131" s="7" t="n">
        <v>0.869180915788623</v>
      </c>
      <c r="F1131" s="8" t="n">
        <f aca="true">IF(ROW()-2&gt;=Inputs!$B$4,AVERAGE(OFFSET(E1131,1-Inputs!$B$4,0,Inputs!$B$4,1)),"")</f>
        <v>0.862946325390508</v>
      </c>
      <c r="G1131" s="8" t="n">
        <f aca="true">IF(ROW()-2&gt;=Inputs!$B$5,AVERAGE(OFFSET(E1131,1-Inputs!$B$5,0,Inputs!$B$5,1)),"")</f>
        <v>0.848177543141513</v>
      </c>
      <c r="H1131" s="8" t="n">
        <f aca="false">MAX(C1131-D1131,ABS(C1131-E1130),ABS(D1131-E1130))</f>
        <v>0.00365836748429338</v>
      </c>
      <c r="I1131" s="8" t="n">
        <f aca="true">IF(ROW()-2&lt;14,"",IF(ROW()-2=14,AVERAGE(OFFSET(H1131,-13,0,14,1)),(I1130*13+H1131)/14))</f>
        <v>0.00837281647589423</v>
      </c>
      <c r="J1131" s="9" t="b">
        <f aca="false">IF(AND(ISNUMBER(F1131),ISNUMBER(G1131),ISNUMBER(F1130),ISNUMBER(G1130)),AND(F1131&gt;G1131,F1130&lt;=G1130),FALSE())</f>
        <v>0</v>
      </c>
      <c r="K1131" s="9" t="b">
        <f aca="false">IF(AND(ISNUMBER(F1131),ISNUMBER(G1131),ISNUMBER(F1130),ISNUMBER(G1130)),AND(F1131&lt;G1131,F1130&gt;=G1130),FALSE())</f>
        <v>0</v>
      </c>
      <c r="L1131" s="8" t="n">
        <f aca="false">IF(ISNUMBER(I1131),E1131-Inputs!$B$6*I1131,"")</f>
        <v>0.852435282836835</v>
      </c>
      <c r="M1131" s="9" t="b">
        <f aca="false">AND(Y1130&gt;0,Z1130)</f>
        <v>0</v>
      </c>
      <c r="N1131" s="8" t="n">
        <f aca="false">B1131*(1-Inputs!$B$12)</f>
        <v>0.867569141332481</v>
      </c>
      <c r="O1131" s="10" t="n">
        <f aca="false">IF(M1131,Y1130*(N1131-AB1130)-Inputs!$B$9-Y1130*AD1130*Inputs!$B$13*(A1131-AC1130),0)</f>
        <v>0</v>
      </c>
      <c r="P1131" s="10" t="n">
        <f aca="false">X1130+O1131</f>
        <v>944.618668179282</v>
      </c>
      <c r="Q1131" s="9" t="b">
        <f aca="false">AND(IF(M1131,0,Y1130)=0,AA1130,IF(ISNUMBER(AE1130),B1131&gt;AE1130,FALSE()))</f>
        <v>0</v>
      </c>
      <c r="R1131" s="8" t="n">
        <f aca="false">B1131*(1+Inputs!$B$12)</f>
        <v>0.867916238408429</v>
      </c>
      <c r="S1131" s="11" t="n">
        <f aca="false">IF(Q1131,MIN(P1131*Inputs!$B$3/(R1131-AE1130),P1131*Inputs!$B$11/R1131),0)</f>
        <v>0</v>
      </c>
      <c r="T1131" s="11" t="n">
        <f aca="false">IF(Q1131,S1131,IF(M1131,0,Y1130))</f>
        <v>572.575070766003</v>
      </c>
      <c r="U1131" s="8" t="n">
        <f aca="false">IF(Q1131,AE1130,AF1130)</f>
        <v>0.835624367549931</v>
      </c>
      <c r="V1131" s="9" t="b">
        <f aca="false">AND(T1131&gt;0,D1131&lt;=U1131)</f>
        <v>0</v>
      </c>
      <c r="W1131" s="10" t="n">
        <f aca="false">IF(V1131,T1131*(AK1131-AB1131)-Inputs!$B$9-T1131*AD1131*Inputs!$B$13*(A1131-AC1131),0)</f>
        <v>0</v>
      </c>
      <c r="X1131" s="10" t="n">
        <f aca="false">P1131-IF(Q1131,Inputs!$B$9,0)+W1131</f>
        <v>944.618668179282</v>
      </c>
      <c r="Y1131" s="11" t="n">
        <f aca="false">IF(V1131,0,T1131)</f>
        <v>572.575070766003</v>
      </c>
      <c r="Z1131" s="9" t="b">
        <f aca="false">AND(Y1131&gt;0,K1131)</f>
        <v>0</v>
      </c>
      <c r="AA1131" s="9" t="b">
        <f aca="false">AND(Y1131=0,J1131,ISNUMBER(L1131))</f>
        <v>0</v>
      </c>
      <c r="AB1131" s="8" t="n">
        <f aca="false">IF(Q1131,R1131,AB1130)</f>
        <v>0.852139558595783</v>
      </c>
      <c r="AC1131" s="12" t="n">
        <f aca="false">IF(Q1131,A1131,AC1130)</f>
        <v>45888</v>
      </c>
      <c r="AD1131" s="8" t="n">
        <f aca="false">IF(Q1131,B1131,AD1130)</f>
        <v>0.85196916476283</v>
      </c>
      <c r="AE1131" s="8" t="str">
        <f aca="false">IF(AA1131,L1131,"")</f>
        <v/>
      </c>
      <c r="AF1131" s="8" t="n">
        <f aca="false">U1131</f>
        <v>0.835624367549931</v>
      </c>
      <c r="AG1131" s="2" t="n">
        <f aca="false">AG1130+IF(Q1131,1,0)</f>
        <v>12</v>
      </c>
      <c r="AH1131" s="2" t="n">
        <f aca="false">AG1130</f>
        <v>12</v>
      </c>
      <c r="AI1131" s="10" t="n">
        <f aca="false">X1131+Y1131*(E1131-AB1131)-Y1131*AD1131*Inputs!$B$13*(A1131-AC1131)</f>
        <v>952.030596767779</v>
      </c>
      <c r="AJ1131" s="10" t="n">
        <v>0</v>
      </c>
      <c r="AK1131" s="8" t="n">
        <f aca="false">IF(AND(B1131&lt;=U1131,NOT(Q1131)),B1131,U1131)*(1-Inputs!$B$12)</f>
        <v>0.835457242676421</v>
      </c>
    </row>
    <row r="1132" customFormat="false" ht="15" hidden="false" customHeight="false" outlineLevel="0" collapsed="false">
      <c r="A1132" s="6" t="n">
        <v>45916</v>
      </c>
      <c r="B1132" s="7" t="n">
        <v>0.869180915788623</v>
      </c>
      <c r="C1132" s="7" t="n">
        <v>0.876902294458153</v>
      </c>
      <c r="D1132" s="7" t="n">
        <v>0.867681762176956</v>
      </c>
      <c r="E1132" s="7" t="n">
        <v>0.874483031277362</v>
      </c>
      <c r="F1132" s="8" t="n">
        <f aca="true">IF(ROW()-2&gt;=Inputs!$B$4,AVERAGE(OFFSET(E1132,1-Inputs!$B$4,0,Inputs!$B$4,1)),"")</f>
        <v>0.863491531290187</v>
      </c>
      <c r="G1132" s="8" t="n">
        <f aca="true">IF(ROW()-2&gt;=Inputs!$B$5,AVERAGE(OFFSET(E1132,1-Inputs!$B$5,0,Inputs!$B$5,1)),"")</f>
        <v>0.84947320137789</v>
      </c>
      <c r="H1132" s="8" t="n">
        <f aca="false">MAX(C1132-D1132,ABS(C1132-E1131),ABS(D1132-E1131))</f>
        <v>0.00922053228119713</v>
      </c>
      <c r="I1132" s="8" t="n">
        <f aca="true">IF(ROW()-2&lt;14,"",IF(ROW()-2=14,AVERAGE(OFFSET(H1132,-13,0,14,1)),(I1131*13+H1132)/14))</f>
        <v>0.00843336760484444</v>
      </c>
      <c r="J1132" s="9" t="b">
        <f aca="false">IF(AND(ISNUMBER(F1132),ISNUMBER(G1132),ISNUMBER(F1131),ISNUMBER(G1131)),AND(F1132&gt;G1132,F1131&lt;=G1131),FALSE())</f>
        <v>0</v>
      </c>
      <c r="K1132" s="9" t="b">
        <f aca="false">IF(AND(ISNUMBER(F1132),ISNUMBER(G1132),ISNUMBER(F1131),ISNUMBER(G1131)),AND(F1132&lt;G1132,F1131&gt;=G1131),FALSE())</f>
        <v>0</v>
      </c>
      <c r="L1132" s="8" t="n">
        <f aca="false">IF(ISNUMBER(I1132),E1132-Inputs!$B$6*I1132,"")</f>
        <v>0.857616296067673</v>
      </c>
      <c r="M1132" s="9" t="b">
        <f aca="false">AND(Y1131&gt;0,Z1131)</f>
        <v>0</v>
      </c>
      <c r="N1132" s="8" t="n">
        <f aca="false">B1132*(1-Inputs!$B$12)</f>
        <v>0.869007079605466</v>
      </c>
      <c r="O1132" s="10" t="n">
        <f aca="false">IF(M1132,Y1131*(N1132-AB1131)-Inputs!$B$9-Y1131*AD1131*Inputs!$B$13*(A1132-AC1131),0)</f>
        <v>0</v>
      </c>
      <c r="P1132" s="10" t="n">
        <f aca="false">X1131+O1132</f>
        <v>944.618668179282</v>
      </c>
      <c r="Q1132" s="9" t="b">
        <f aca="false">AND(IF(M1132,0,Y1131)=0,AA1131,IF(ISNUMBER(AE1131),B1132&gt;AE1131,FALSE()))</f>
        <v>0</v>
      </c>
      <c r="R1132" s="8" t="n">
        <f aca="false">B1132*(1+Inputs!$B$12)</f>
        <v>0.869354751971781</v>
      </c>
      <c r="S1132" s="11" t="n">
        <f aca="false">IF(Q1132,MIN(P1132*Inputs!$B$3/(R1132-AE1131),P1132*Inputs!$B$11/R1132),0)</f>
        <v>0</v>
      </c>
      <c r="T1132" s="11" t="n">
        <f aca="false">IF(Q1132,S1132,IF(M1132,0,Y1131))</f>
        <v>572.575070766003</v>
      </c>
      <c r="U1132" s="8" t="n">
        <f aca="false">IF(Q1132,AE1131,AF1131)</f>
        <v>0.835624367549931</v>
      </c>
      <c r="V1132" s="9" t="b">
        <f aca="false">AND(T1132&gt;0,D1132&lt;=U1132)</f>
        <v>0</v>
      </c>
      <c r="W1132" s="10" t="n">
        <f aca="false">IF(V1132,T1132*(AK1132-AB1132)-Inputs!$B$9-T1132*AD1132*Inputs!$B$13*(A1132-AC1132),0)</f>
        <v>0</v>
      </c>
      <c r="X1132" s="10" t="n">
        <f aca="false">P1132-IF(Q1132,Inputs!$B$9,0)+W1132</f>
        <v>944.618668179282</v>
      </c>
      <c r="Y1132" s="11" t="n">
        <f aca="false">IF(V1132,0,T1132)</f>
        <v>572.575070766003</v>
      </c>
      <c r="Z1132" s="9" t="b">
        <f aca="false">AND(Y1132&gt;0,K1132)</f>
        <v>0</v>
      </c>
      <c r="AA1132" s="9" t="b">
        <f aca="false">AND(Y1132=0,J1132,ISNUMBER(L1132))</f>
        <v>0</v>
      </c>
      <c r="AB1132" s="8" t="n">
        <f aca="false">IF(Q1132,R1132,AB1131)</f>
        <v>0.852139558595783</v>
      </c>
      <c r="AC1132" s="12" t="n">
        <f aca="false">IF(Q1132,A1132,AC1131)</f>
        <v>45888</v>
      </c>
      <c r="AD1132" s="8" t="n">
        <f aca="false">IF(Q1132,B1132,AD1131)</f>
        <v>0.85196916476283</v>
      </c>
      <c r="AE1132" s="8" t="str">
        <f aca="false">IF(AA1132,L1132,"")</f>
        <v/>
      </c>
      <c r="AF1132" s="8" t="n">
        <f aca="false">U1132</f>
        <v>0.835624367549931</v>
      </c>
      <c r="AG1132" s="2" t="n">
        <f aca="false">AG1131+IF(Q1132,1,0)</f>
        <v>12</v>
      </c>
      <c r="AH1132" s="2" t="n">
        <f aca="false">AG1131</f>
        <v>12</v>
      </c>
      <c r="AI1132" s="10" t="n">
        <f aca="false">X1132+Y1132*(E1132-AB1132)-Y1132*AD1132*Inputs!$B$13*(A1132-AC1132)</f>
        <v>954.979584522207</v>
      </c>
      <c r="AJ1132" s="10" t="n">
        <v>0</v>
      </c>
      <c r="AK1132" s="8" t="n">
        <f aca="false">IF(AND(B1132&lt;=U1132,NOT(Q1132)),B1132,U1132)*(1-Inputs!$B$12)</f>
        <v>0.835457242676421</v>
      </c>
    </row>
    <row r="1133" customFormat="false" ht="15" hidden="false" customHeight="false" outlineLevel="0" collapsed="false">
      <c r="A1133" s="6" t="n">
        <v>45917</v>
      </c>
      <c r="B1133" s="7" t="n">
        <v>0.874483031277362</v>
      </c>
      <c r="C1133" s="7" t="n">
        <v>0.875799323970979</v>
      </c>
      <c r="D1133" s="7" t="n">
        <v>0.868857271284916</v>
      </c>
      <c r="E1133" s="7" t="n">
        <v>0.872635491423714</v>
      </c>
      <c r="F1133" s="8" t="n">
        <f aca="true">IF(ROW()-2&gt;=Inputs!$B$4,AVERAGE(OFFSET(E1133,1-Inputs!$B$4,0,Inputs!$B$4,1)),"")</f>
        <v>0.863941395292074</v>
      </c>
      <c r="G1133" s="8" t="n">
        <f aca="true">IF(ROW()-2&gt;=Inputs!$B$5,AVERAGE(OFFSET(E1133,1-Inputs!$B$5,0,Inputs!$B$5,1)),"")</f>
        <v>0.85063079877376</v>
      </c>
      <c r="H1133" s="8" t="n">
        <f aca="false">MAX(C1133-D1133,ABS(C1133-E1132),ABS(D1133-E1132))</f>
        <v>0.00694205268606296</v>
      </c>
      <c r="I1133" s="8" t="n">
        <f aca="true">IF(ROW()-2&lt;14,"",IF(ROW()-2=14,AVERAGE(OFFSET(H1133,-13,0,14,1)),(I1132*13+H1133)/14))</f>
        <v>0.00832684511064576</v>
      </c>
      <c r="J1133" s="9" t="b">
        <f aca="false">IF(AND(ISNUMBER(F1133),ISNUMBER(G1133),ISNUMBER(F1132),ISNUMBER(G1132)),AND(F1133&gt;G1133,F1132&lt;=G1132),FALSE())</f>
        <v>0</v>
      </c>
      <c r="K1133" s="9" t="b">
        <f aca="false">IF(AND(ISNUMBER(F1133),ISNUMBER(G1133),ISNUMBER(F1132),ISNUMBER(G1132)),AND(F1133&lt;G1133,F1132&gt;=G1132),FALSE())</f>
        <v>0</v>
      </c>
      <c r="L1133" s="8" t="n">
        <f aca="false">IF(ISNUMBER(I1133),E1133-Inputs!$B$6*I1133,"")</f>
        <v>0.855981801202423</v>
      </c>
      <c r="M1133" s="9" t="b">
        <f aca="false">AND(Y1132&gt;0,Z1132)</f>
        <v>0</v>
      </c>
      <c r="N1133" s="8" t="n">
        <f aca="false">B1133*(1-Inputs!$B$12)</f>
        <v>0.874308134671106</v>
      </c>
      <c r="O1133" s="10" t="n">
        <f aca="false">IF(M1133,Y1132*(N1133-AB1132)-Inputs!$B$9-Y1132*AD1132*Inputs!$B$13*(A1133-AC1132),0)</f>
        <v>0</v>
      </c>
      <c r="P1133" s="10" t="n">
        <f aca="false">X1132+O1133</f>
        <v>944.618668179282</v>
      </c>
      <c r="Q1133" s="9" t="b">
        <f aca="false">AND(IF(M1133,0,Y1132)=0,AA1132,IF(ISNUMBER(AE1132),B1133&gt;AE1132,FALSE()))</f>
        <v>0</v>
      </c>
      <c r="R1133" s="8" t="n">
        <f aca="false">B1133*(1+Inputs!$B$12)</f>
        <v>0.874657927883617</v>
      </c>
      <c r="S1133" s="11" t="n">
        <f aca="false">IF(Q1133,MIN(P1133*Inputs!$B$3/(R1133-AE1132),P1133*Inputs!$B$11/R1133),0)</f>
        <v>0</v>
      </c>
      <c r="T1133" s="11" t="n">
        <f aca="false">IF(Q1133,S1133,IF(M1133,0,Y1132))</f>
        <v>572.575070766003</v>
      </c>
      <c r="U1133" s="8" t="n">
        <f aca="false">IF(Q1133,AE1132,AF1132)</f>
        <v>0.835624367549931</v>
      </c>
      <c r="V1133" s="9" t="b">
        <f aca="false">AND(T1133&gt;0,D1133&lt;=U1133)</f>
        <v>0</v>
      </c>
      <c r="W1133" s="10" t="n">
        <f aca="false">IF(V1133,T1133*(AK1133-AB1133)-Inputs!$B$9-T1133*AD1133*Inputs!$B$13*(A1133-AC1133),0)</f>
        <v>0</v>
      </c>
      <c r="X1133" s="10" t="n">
        <f aca="false">P1133-IF(Q1133,Inputs!$B$9,0)+W1133</f>
        <v>944.618668179282</v>
      </c>
      <c r="Y1133" s="11" t="n">
        <f aca="false">IF(V1133,0,T1133)</f>
        <v>572.575070766003</v>
      </c>
      <c r="Z1133" s="9" t="b">
        <f aca="false">AND(Y1133&gt;0,K1133)</f>
        <v>0</v>
      </c>
      <c r="AA1133" s="9" t="b">
        <f aca="false">AND(Y1133=0,J1133,ISNUMBER(L1133))</f>
        <v>0</v>
      </c>
      <c r="AB1133" s="8" t="n">
        <f aca="false">IF(Q1133,R1133,AB1132)</f>
        <v>0.852139558595783</v>
      </c>
      <c r="AC1133" s="12" t="n">
        <f aca="false">IF(Q1133,A1133,AC1132)</f>
        <v>45888</v>
      </c>
      <c r="AD1133" s="8" t="n">
        <f aca="false">IF(Q1133,B1133,AD1132)</f>
        <v>0.85196916476283</v>
      </c>
      <c r="AE1133" s="8" t="str">
        <f aca="false">IF(AA1133,L1133,"")</f>
        <v/>
      </c>
      <c r="AF1133" s="8" t="n">
        <f aca="false">U1133</f>
        <v>0.835624367549931</v>
      </c>
      <c r="AG1133" s="2" t="n">
        <f aca="false">AG1132+IF(Q1133,1,0)</f>
        <v>12</v>
      </c>
      <c r="AH1133" s="2" t="n">
        <f aca="false">AG1132</f>
        <v>12</v>
      </c>
      <c r="AI1133" s="10" t="n">
        <f aca="false">X1133+Y1133*(E1133-AB1133)-Y1133*AD1133*Inputs!$B$13*(A1133-AC1133)</f>
        <v>953.834857863016</v>
      </c>
      <c r="AJ1133" s="10" t="n">
        <v>0</v>
      </c>
      <c r="AK1133" s="8" t="n">
        <f aca="false">IF(AND(B1133&lt;=U1133,NOT(Q1133)),B1133,U1133)*(1-Inputs!$B$12)</f>
        <v>0.835457242676421</v>
      </c>
    </row>
    <row r="1134" customFormat="false" ht="15" hidden="false" customHeight="false" outlineLevel="0" collapsed="false">
      <c r="A1134" s="6" t="n">
        <v>45918</v>
      </c>
      <c r="B1134" s="7" t="n">
        <v>0.872635491423714</v>
      </c>
      <c r="C1134" s="7" t="n">
        <v>0.879714723572318</v>
      </c>
      <c r="D1134" s="7" t="n">
        <v>0.868566318469279</v>
      </c>
      <c r="E1134" s="7" t="n">
        <v>0.878977097726121</v>
      </c>
      <c r="F1134" s="8" t="n">
        <f aca="true">IF(ROW()-2&gt;=Inputs!$B$4,AVERAGE(OFFSET(E1134,1-Inputs!$B$4,0,Inputs!$B$4,1)),"")</f>
        <v>0.86459762095437</v>
      </c>
      <c r="G1134" s="8" t="n">
        <f aca="true">IF(ROW()-2&gt;=Inputs!$B$5,AVERAGE(OFFSET(E1134,1-Inputs!$B$5,0,Inputs!$B$5,1)),"")</f>
        <v>0.851960389420942</v>
      </c>
      <c r="H1134" s="8" t="n">
        <f aca="false">MAX(C1134-D1134,ABS(C1134-E1133),ABS(D1134-E1133))</f>
        <v>0.0111484051030387</v>
      </c>
      <c r="I1134" s="8" t="n">
        <f aca="true">IF(ROW()-2&lt;14,"",IF(ROW()-2=14,AVERAGE(OFFSET(H1134,-13,0,14,1)),(I1133*13+H1134)/14))</f>
        <v>0.0085283851101024</v>
      </c>
      <c r="J1134" s="9" t="b">
        <f aca="false">IF(AND(ISNUMBER(F1134),ISNUMBER(G1134),ISNUMBER(F1133),ISNUMBER(G1133)),AND(F1134&gt;G1134,F1133&lt;=G1133),FALSE())</f>
        <v>0</v>
      </c>
      <c r="K1134" s="9" t="b">
        <f aca="false">IF(AND(ISNUMBER(F1134),ISNUMBER(G1134),ISNUMBER(F1133),ISNUMBER(G1133)),AND(F1134&lt;G1134,F1133&gt;=G1133),FALSE())</f>
        <v>0</v>
      </c>
      <c r="L1134" s="8" t="n">
        <f aca="false">IF(ISNUMBER(I1134),E1134-Inputs!$B$6*I1134,"")</f>
        <v>0.861920327505917</v>
      </c>
      <c r="M1134" s="9" t="b">
        <f aca="false">AND(Y1133&gt;0,Z1133)</f>
        <v>0</v>
      </c>
      <c r="N1134" s="8" t="n">
        <f aca="false">B1134*(1-Inputs!$B$12)</f>
        <v>0.87246096432543</v>
      </c>
      <c r="O1134" s="10" t="n">
        <f aca="false">IF(M1134,Y1133*(N1134-AB1133)-Inputs!$B$9-Y1133*AD1133*Inputs!$B$13*(A1134-AC1133),0)</f>
        <v>0</v>
      </c>
      <c r="P1134" s="10" t="n">
        <f aca="false">X1133+O1134</f>
        <v>944.618668179282</v>
      </c>
      <c r="Q1134" s="9" t="b">
        <f aca="false">AND(IF(M1134,0,Y1133)=0,AA1133,IF(ISNUMBER(AE1133),B1134&gt;AE1133,FALSE()))</f>
        <v>0</v>
      </c>
      <c r="R1134" s="8" t="n">
        <f aca="false">B1134*(1+Inputs!$B$12)</f>
        <v>0.872810018521999</v>
      </c>
      <c r="S1134" s="11" t="n">
        <f aca="false">IF(Q1134,MIN(P1134*Inputs!$B$3/(R1134-AE1133),P1134*Inputs!$B$11/R1134),0)</f>
        <v>0</v>
      </c>
      <c r="T1134" s="11" t="n">
        <f aca="false">IF(Q1134,S1134,IF(M1134,0,Y1133))</f>
        <v>572.575070766003</v>
      </c>
      <c r="U1134" s="8" t="n">
        <f aca="false">IF(Q1134,AE1133,AF1133)</f>
        <v>0.835624367549931</v>
      </c>
      <c r="V1134" s="9" t="b">
        <f aca="false">AND(T1134&gt;0,D1134&lt;=U1134)</f>
        <v>0</v>
      </c>
      <c r="W1134" s="10" t="n">
        <f aca="false">IF(V1134,T1134*(AK1134-AB1134)-Inputs!$B$9-T1134*AD1134*Inputs!$B$13*(A1134-AC1134),0)</f>
        <v>0</v>
      </c>
      <c r="X1134" s="10" t="n">
        <f aca="false">P1134-IF(Q1134,Inputs!$B$9,0)+W1134</f>
        <v>944.618668179282</v>
      </c>
      <c r="Y1134" s="11" t="n">
        <f aca="false">IF(V1134,0,T1134)</f>
        <v>572.575070766003</v>
      </c>
      <c r="Z1134" s="9" t="b">
        <f aca="false">AND(Y1134&gt;0,K1134)</f>
        <v>0</v>
      </c>
      <c r="AA1134" s="9" t="b">
        <f aca="false">AND(Y1134=0,J1134,ISNUMBER(L1134))</f>
        <v>0</v>
      </c>
      <c r="AB1134" s="8" t="n">
        <f aca="false">IF(Q1134,R1134,AB1133)</f>
        <v>0.852139558595783</v>
      </c>
      <c r="AC1134" s="12" t="n">
        <f aca="false">IF(Q1134,A1134,AC1133)</f>
        <v>45888</v>
      </c>
      <c r="AD1134" s="8" t="n">
        <f aca="false">IF(Q1134,B1134,AD1133)</f>
        <v>0.85196916476283</v>
      </c>
      <c r="AE1134" s="8" t="str">
        <f aca="false">IF(AA1134,L1134,"")</f>
        <v/>
      </c>
      <c r="AF1134" s="8" t="n">
        <f aca="false">U1134</f>
        <v>0.835624367549931</v>
      </c>
      <c r="AG1134" s="2" t="n">
        <f aca="false">AG1133+IF(Q1134,1,0)</f>
        <v>12</v>
      </c>
      <c r="AH1134" s="2" t="n">
        <f aca="false">AG1133</f>
        <v>12</v>
      </c>
      <c r="AI1134" s="10" t="n">
        <f aca="false">X1134+Y1134*(E1134-AB1134)-Y1134*AD1134*Inputs!$B$13*(A1134-AC1134)</f>
        <v>957.379032143641</v>
      </c>
      <c r="AJ1134" s="10" t="n">
        <v>0</v>
      </c>
      <c r="AK1134" s="8" t="n">
        <f aca="false">IF(AND(B1134&lt;=U1134,NOT(Q1134)),B1134,U1134)*(1-Inputs!$B$12)</f>
        <v>0.835457242676421</v>
      </c>
    </row>
    <row r="1135" customFormat="false" ht="15" hidden="false" customHeight="false" outlineLevel="0" collapsed="false">
      <c r="A1135" s="6" t="n">
        <v>45919</v>
      </c>
      <c r="B1135" s="7" t="n">
        <v>0.878977097726121</v>
      </c>
      <c r="C1135" s="7" t="n">
        <v>0.87926774032726</v>
      </c>
      <c r="D1135" s="7" t="n">
        <v>0.86738629799169</v>
      </c>
      <c r="E1135" s="7" t="n">
        <v>0.869020921760719</v>
      </c>
      <c r="F1135" s="8" t="n">
        <f aca="true">IF(ROW()-2&gt;=Inputs!$B$4,AVERAGE(OFFSET(E1135,1-Inputs!$B$4,0,Inputs!$B$4,1)),"")</f>
        <v>0.865117161707391</v>
      </c>
      <c r="G1135" s="8" t="n">
        <f aca="true">IF(ROW()-2&gt;=Inputs!$B$5,AVERAGE(OFFSET(E1135,1-Inputs!$B$5,0,Inputs!$B$5,1)),"")</f>
        <v>0.852910487697288</v>
      </c>
      <c r="H1135" s="8" t="n">
        <f aca="false">MAX(C1135-D1135,ABS(C1135-E1134),ABS(D1135-E1134))</f>
        <v>0.0118814423355696</v>
      </c>
      <c r="I1135" s="8" t="n">
        <f aca="true">IF(ROW()-2&lt;14,"",IF(ROW()-2=14,AVERAGE(OFFSET(H1135,-13,0,14,1)),(I1134*13+H1135)/14))</f>
        <v>0.00876788919763578</v>
      </c>
      <c r="J1135" s="9" t="b">
        <f aca="false">IF(AND(ISNUMBER(F1135),ISNUMBER(G1135),ISNUMBER(F1134),ISNUMBER(G1134)),AND(F1135&gt;G1135,F1134&lt;=G1134),FALSE())</f>
        <v>0</v>
      </c>
      <c r="K1135" s="9" t="b">
        <f aca="false">IF(AND(ISNUMBER(F1135),ISNUMBER(G1135),ISNUMBER(F1134),ISNUMBER(G1134)),AND(F1135&lt;G1135,F1134&gt;=G1134),FALSE())</f>
        <v>0</v>
      </c>
      <c r="L1135" s="8" t="n">
        <f aca="false">IF(ISNUMBER(I1135),E1135-Inputs!$B$6*I1135,"")</f>
        <v>0.851485143365448</v>
      </c>
      <c r="M1135" s="9" t="b">
        <f aca="false">AND(Y1134&gt;0,Z1134)</f>
        <v>0</v>
      </c>
      <c r="N1135" s="8" t="n">
        <f aca="false">B1135*(1-Inputs!$B$12)</f>
        <v>0.878801302306576</v>
      </c>
      <c r="O1135" s="10" t="n">
        <f aca="false">IF(M1135,Y1134*(N1135-AB1134)-Inputs!$B$9-Y1134*AD1134*Inputs!$B$13*(A1135-AC1134),0)</f>
        <v>0</v>
      </c>
      <c r="P1135" s="10" t="n">
        <f aca="false">X1134+O1135</f>
        <v>944.618668179282</v>
      </c>
      <c r="Q1135" s="9" t="b">
        <f aca="false">AND(IF(M1135,0,Y1134)=0,AA1134,IF(ISNUMBER(AE1134),B1135&gt;AE1134,FALSE()))</f>
        <v>0</v>
      </c>
      <c r="R1135" s="8" t="n">
        <f aca="false">B1135*(1+Inputs!$B$12)</f>
        <v>0.879152893145667</v>
      </c>
      <c r="S1135" s="11" t="n">
        <f aca="false">IF(Q1135,MIN(P1135*Inputs!$B$3/(R1135-AE1134),P1135*Inputs!$B$11/R1135),0)</f>
        <v>0</v>
      </c>
      <c r="T1135" s="11" t="n">
        <f aca="false">IF(Q1135,S1135,IF(M1135,0,Y1134))</f>
        <v>572.575070766003</v>
      </c>
      <c r="U1135" s="8" t="n">
        <f aca="false">IF(Q1135,AE1134,AF1134)</f>
        <v>0.835624367549931</v>
      </c>
      <c r="V1135" s="9" t="b">
        <f aca="false">AND(T1135&gt;0,D1135&lt;=U1135)</f>
        <v>0</v>
      </c>
      <c r="W1135" s="10" t="n">
        <f aca="false">IF(V1135,T1135*(AK1135-AB1135)-Inputs!$B$9-T1135*AD1135*Inputs!$B$13*(A1135-AC1135),0)</f>
        <v>0</v>
      </c>
      <c r="X1135" s="10" t="n">
        <f aca="false">P1135-IF(Q1135,Inputs!$B$9,0)+W1135</f>
        <v>944.618668179282</v>
      </c>
      <c r="Y1135" s="11" t="n">
        <f aca="false">IF(V1135,0,T1135)</f>
        <v>572.575070766003</v>
      </c>
      <c r="Z1135" s="9" t="b">
        <f aca="false">AND(Y1135&gt;0,K1135)</f>
        <v>0</v>
      </c>
      <c r="AA1135" s="9" t="b">
        <f aca="false">AND(Y1135=0,J1135,ISNUMBER(L1135))</f>
        <v>0</v>
      </c>
      <c r="AB1135" s="8" t="n">
        <f aca="false">IF(Q1135,R1135,AB1134)</f>
        <v>0.852139558595783</v>
      </c>
      <c r="AC1135" s="12" t="n">
        <f aca="false">IF(Q1135,A1135,AC1134)</f>
        <v>45888</v>
      </c>
      <c r="AD1135" s="8" t="n">
        <f aca="false">IF(Q1135,B1135,AD1134)</f>
        <v>0.85196916476283</v>
      </c>
      <c r="AE1135" s="8" t="str">
        <f aca="false">IF(AA1135,L1135,"")</f>
        <v/>
      </c>
      <c r="AF1135" s="8" t="n">
        <f aca="false">U1135</f>
        <v>0.835624367549931</v>
      </c>
      <c r="AG1135" s="2" t="n">
        <f aca="false">AG1134+IF(Q1135,1,0)</f>
        <v>12</v>
      </c>
      <c r="AH1135" s="2" t="n">
        <f aca="false">AG1134</f>
        <v>12</v>
      </c>
      <c r="AI1135" s="10" t="n">
        <f aca="false">X1135+Y1135*(E1135-AB1135)-Y1135*AD1135*Inputs!$B$13*(A1135-AC1135)</f>
        <v>951.591502588946</v>
      </c>
      <c r="AJ1135" s="10" t="n">
        <v>0</v>
      </c>
      <c r="AK1135" s="8" t="n">
        <f aca="false">IF(AND(B1135&lt;=U1135,NOT(Q1135)),B1135,U1135)*(1-Inputs!$B$12)</f>
        <v>0.835457242676421</v>
      </c>
    </row>
    <row r="1136" customFormat="false" ht="15" hidden="false" customHeight="false" outlineLevel="0" collapsed="false">
      <c r="A1136" s="6" t="n">
        <v>45920</v>
      </c>
      <c r="B1136" s="7" t="n">
        <v>0.869020921760719</v>
      </c>
      <c r="C1136" s="7" t="n">
        <v>0.877461557969445</v>
      </c>
      <c r="D1136" s="7" t="n">
        <v>0.868959396622665</v>
      </c>
      <c r="E1136" s="7" t="n">
        <v>0.87422301073291</v>
      </c>
      <c r="F1136" s="8" t="n">
        <f aca="true">IF(ROW()-2&gt;=Inputs!$B$4,AVERAGE(OFFSET(E1136,1-Inputs!$B$4,0,Inputs!$B$4,1)),"")</f>
        <v>0.865922092286024</v>
      </c>
      <c r="G1136" s="8" t="n">
        <f aca="true">IF(ROW()-2&gt;=Inputs!$B$5,AVERAGE(OFFSET(E1136,1-Inputs!$B$5,0,Inputs!$B$5,1)),"")</f>
        <v>0.854149196325733</v>
      </c>
      <c r="H1136" s="8" t="n">
        <f aca="false">MAX(C1136-D1136,ABS(C1136-E1135),ABS(D1136-E1135))</f>
        <v>0.00850216134677961</v>
      </c>
      <c r="I1136" s="8" t="n">
        <f aca="true">IF(ROW()-2&lt;14,"",IF(ROW()-2=14,AVERAGE(OFFSET(H1136,-13,0,14,1)),(I1135*13+H1136)/14))</f>
        <v>0.00874890863686034</v>
      </c>
      <c r="J1136" s="9" t="b">
        <f aca="false">IF(AND(ISNUMBER(F1136),ISNUMBER(G1136),ISNUMBER(F1135),ISNUMBER(G1135)),AND(F1136&gt;G1136,F1135&lt;=G1135),FALSE())</f>
        <v>0</v>
      </c>
      <c r="K1136" s="9" t="b">
        <f aca="false">IF(AND(ISNUMBER(F1136),ISNUMBER(G1136),ISNUMBER(F1135),ISNUMBER(G1135)),AND(F1136&lt;G1136,F1135&gt;=G1135),FALSE())</f>
        <v>0</v>
      </c>
      <c r="L1136" s="8" t="n">
        <f aca="false">IF(ISNUMBER(I1136),E1136-Inputs!$B$6*I1136,"")</f>
        <v>0.856725193459189</v>
      </c>
      <c r="M1136" s="9" t="b">
        <f aca="false">AND(Y1135&gt;0,Z1135)</f>
        <v>0</v>
      </c>
      <c r="N1136" s="8" t="n">
        <f aca="false">B1136*(1-Inputs!$B$12)</f>
        <v>0.868847117576367</v>
      </c>
      <c r="O1136" s="10" t="n">
        <f aca="false">IF(M1136,Y1135*(N1136-AB1135)-Inputs!$B$9-Y1135*AD1135*Inputs!$B$13*(A1136-AC1135),0)</f>
        <v>0</v>
      </c>
      <c r="P1136" s="10" t="n">
        <f aca="false">X1135+O1136</f>
        <v>944.618668179282</v>
      </c>
      <c r="Q1136" s="9" t="b">
        <f aca="false">AND(IF(M1136,0,Y1135)=0,AA1135,IF(ISNUMBER(AE1135),B1136&gt;AE1135,FALSE()))</f>
        <v>0</v>
      </c>
      <c r="R1136" s="8" t="n">
        <f aca="false">B1136*(1+Inputs!$B$12)</f>
        <v>0.869194725945072</v>
      </c>
      <c r="S1136" s="11" t="n">
        <f aca="false">IF(Q1136,MIN(P1136*Inputs!$B$3/(R1136-AE1135),P1136*Inputs!$B$11/R1136),0)</f>
        <v>0</v>
      </c>
      <c r="T1136" s="11" t="n">
        <f aca="false">IF(Q1136,S1136,IF(M1136,0,Y1135))</f>
        <v>572.575070766003</v>
      </c>
      <c r="U1136" s="8" t="n">
        <f aca="false">IF(Q1136,AE1135,AF1135)</f>
        <v>0.835624367549931</v>
      </c>
      <c r="V1136" s="9" t="b">
        <f aca="false">AND(T1136&gt;0,D1136&lt;=U1136)</f>
        <v>0</v>
      </c>
      <c r="W1136" s="10" t="n">
        <f aca="false">IF(V1136,T1136*(AK1136-AB1136)-Inputs!$B$9-T1136*AD1136*Inputs!$B$13*(A1136-AC1136),0)</f>
        <v>0</v>
      </c>
      <c r="X1136" s="10" t="n">
        <f aca="false">P1136-IF(Q1136,Inputs!$B$9,0)+W1136</f>
        <v>944.618668179282</v>
      </c>
      <c r="Y1136" s="11" t="n">
        <f aca="false">IF(V1136,0,T1136)</f>
        <v>572.575070766003</v>
      </c>
      <c r="Z1136" s="9" t="b">
        <f aca="false">AND(Y1136&gt;0,K1136)</f>
        <v>0</v>
      </c>
      <c r="AA1136" s="9" t="b">
        <f aca="false">AND(Y1136=0,J1136,ISNUMBER(L1136))</f>
        <v>0</v>
      </c>
      <c r="AB1136" s="8" t="n">
        <f aca="false">IF(Q1136,R1136,AB1135)</f>
        <v>0.852139558595783</v>
      </c>
      <c r="AC1136" s="12" t="n">
        <f aca="false">IF(Q1136,A1136,AC1135)</f>
        <v>45888</v>
      </c>
      <c r="AD1136" s="8" t="n">
        <f aca="false">IF(Q1136,B1136,AD1135)</f>
        <v>0.85196916476283</v>
      </c>
      <c r="AE1136" s="8" t="str">
        <f aca="false">IF(AA1136,L1136,"")</f>
        <v/>
      </c>
      <c r="AF1136" s="8" t="n">
        <f aca="false">U1136</f>
        <v>0.835624367549931</v>
      </c>
      <c r="AG1136" s="2" t="n">
        <f aca="false">AG1135+IF(Q1136,1,0)</f>
        <v>12</v>
      </c>
      <c r="AH1136" s="2" t="n">
        <f aca="false">AG1135</f>
        <v>12</v>
      </c>
      <c r="AI1136" s="10" t="n">
        <f aca="false">X1136+Y1136*(E1136-AB1136)-Y1136*AD1136*Inputs!$B$13*(A1136-AC1136)</f>
        <v>954.483217653583</v>
      </c>
      <c r="AJ1136" s="10" t="n">
        <v>0</v>
      </c>
      <c r="AK1136" s="8" t="n">
        <f aca="false">IF(AND(B1136&lt;=U1136,NOT(Q1136)),B1136,U1136)*(1-Inputs!$B$12)</f>
        <v>0.835457242676421</v>
      </c>
    </row>
    <row r="1137" customFormat="false" ht="15" hidden="false" customHeight="false" outlineLevel="0" collapsed="false">
      <c r="A1137" s="6" t="n">
        <v>45921</v>
      </c>
      <c r="B1137" s="7" t="n">
        <v>0.87422301073291</v>
      </c>
      <c r="C1137" s="7" t="n">
        <v>0.882198660685458</v>
      </c>
      <c r="D1137" s="7" t="n">
        <v>0.866960238236383</v>
      </c>
      <c r="E1137" s="7" t="n">
        <v>0.880606968582477</v>
      </c>
      <c r="F1137" s="8" t="n">
        <f aca="true">IF(ROW()-2&gt;=Inputs!$B$4,AVERAGE(OFFSET(E1137,1-Inputs!$B$4,0,Inputs!$B$4,1)),"")</f>
        <v>0.86710701988005</v>
      </c>
      <c r="G1137" s="8" t="n">
        <f aca="true">IF(ROW()-2&gt;=Inputs!$B$5,AVERAGE(OFFSET(E1137,1-Inputs!$B$5,0,Inputs!$B$5,1)),"")</f>
        <v>0.855535964679225</v>
      </c>
      <c r="H1137" s="8" t="n">
        <f aca="false">MAX(C1137-D1137,ABS(C1137-E1136),ABS(D1137-E1136))</f>
        <v>0.015238422449075</v>
      </c>
      <c r="I1137" s="8" t="n">
        <f aca="true">IF(ROW()-2&lt;14,"",IF(ROW()-2=14,AVERAGE(OFFSET(H1137,-13,0,14,1)),(I1136*13+H1137)/14))</f>
        <v>0.00921244533773281</v>
      </c>
      <c r="J1137" s="9" t="b">
        <f aca="false">IF(AND(ISNUMBER(F1137),ISNUMBER(G1137),ISNUMBER(F1136),ISNUMBER(G1136)),AND(F1137&gt;G1137,F1136&lt;=G1136),FALSE())</f>
        <v>0</v>
      </c>
      <c r="K1137" s="9" t="b">
        <f aca="false">IF(AND(ISNUMBER(F1137),ISNUMBER(G1137),ISNUMBER(F1136),ISNUMBER(G1136)),AND(F1137&lt;G1137,F1136&gt;=G1136),FALSE())</f>
        <v>0</v>
      </c>
      <c r="L1137" s="8" t="n">
        <f aca="false">IF(ISNUMBER(I1137),E1137-Inputs!$B$6*I1137,"")</f>
        <v>0.862182077907012</v>
      </c>
      <c r="M1137" s="9" t="b">
        <f aca="false">AND(Y1136&gt;0,Z1136)</f>
        <v>0</v>
      </c>
      <c r="N1137" s="8" t="n">
        <f aca="false">B1137*(1-Inputs!$B$12)</f>
        <v>0.874048166130764</v>
      </c>
      <c r="O1137" s="10" t="n">
        <f aca="false">IF(M1137,Y1136*(N1137-AB1136)-Inputs!$B$9-Y1136*AD1136*Inputs!$B$13*(A1137-AC1136),0)</f>
        <v>0</v>
      </c>
      <c r="P1137" s="10" t="n">
        <f aca="false">X1136+O1137</f>
        <v>944.618668179282</v>
      </c>
      <c r="Q1137" s="9" t="b">
        <f aca="false">AND(IF(M1137,0,Y1136)=0,AA1136,IF(ISNUMBER(AE1136),B1137&gt;AE1136,FALSE()))</f>
        <v>0</v>
      </c>
      <c r="R1137" s="8" t="n">
        <f aca="false">B1137*(1+Inputs!$B$12)</f>
        <v>0.874397855335057</v>
      </c>
      <c r="S1137" s="11" t="n">
        <f aca="false">IF(Q1137,MIN(P1137*Inputs!$B$3/(R1137-AE1136),P1137*Inputs!$B$11/R1137),0)</f>
        <v>0</v>
      </c>
      <c r="T1137" s="11" t="n">
        <f aca="false">IF(Q1137,S1137,IF(M1137,0,Y1136))</f>
        <v>572.575070766003</v>
      </c>
      <c r="U1137" s="8" t="n">
        <f aca="false">IF(Q1137,AE1136,AF1136)</f>
        <v>0.835624367549931</v>
      </c>
      <c r="V1137" s="9" t="b">
        <f aca="false">AND(T1137&gt;0,D1137&lt;=U1137)</f>
        <v>0</v>
      </c>
      <c r="W1137" s="10" t="n">
        <f aca="false">IF(V1137,T1137*(AK1137-AB1137)-Inputs!$B$9-T1137*AD1137*Inputs!$B$13*(A1137-AC1137),0)</f>
        <v>0</v>
      </c>
      <c r="X1137" s="10" t="n">
        <f aca="false">P1137-IF(Q1137,Inputs!$B$9,0)+W1137</f>
        <v>944.618668179282</v>
      </c>
      <c r="Y1137" s="11" t="n">
        <f aca="false">IF(V1137,0,T1137)</f>
        <v>572.575070766003</v>
      </c>
      <c r="Z1137" s="9" t="b">
        <f aca="false">AND(Y1137&gt;0,K1137)</f>
        <v>0</v>
      </c>
      <c r="AA1137" s="9" t="b">
        <f aca="false">AND(Y1137=0,J1137,ISNUMBER(L1137))</f>
        <v>0</v>
      </c>
      <c r="AB1137" s="8" t="n">
        <f aca="false">IF(Q1137,R1137,AB1136)</f>
        <v>0.852139558595783</v>
      </c>
      <c r="AC1137" s="12" t="n">
        <f aca="false">IF(Q1137,A1137,AC1136)</f>
        <v>45888</v>
      </c>
      <c r="AD1137" s="8" t="n">
        <f aca="false">IF(Q1137,B1137,AD1136)</f>
        <v>0.85196916476283</v>
      </c>
      <c r="AE1137" s="8" t="str">
        <f aca="false">IF(AA1137,L1137,"")</f>
        <v/>
      </c>
      <c r="AF1137" s="8" t="n">
        <f aca="false">U1137</f>
        <v>0.835624367549931</v>
      </c>
      <c r="AG1137" s="2" t="n">
        <f aca="false">AG1136+IF(Q1137,1,0)</f>
        <v>12</v>
      </c>
      <c r="AH1137" s="2" t="n">
        <f aca="false">AG1136</f>
        <v>12</v>
      </c>
      <c r="AI1137" s="10" t="n">
        <f aca="false">X1137+Y1137*(E1137-AB1137)-Y1137*AD1137*Inputs!$B$13*(A1137-AC1137)</f>
        <v>958.05164137432</v>
      </c>
      <c r="AJ1137" s="10" t="n">
        <v>0</v>
      </c>
      <c r="AK1137" s="8" t="n">
        <f aca="false">IF(AND(B1137&lt;=U1137,NOT(Q1137)),B1137,U1137)*(1-Inputs!$B$12)</f>
        <v>0.835457242676421</v>
      </c>
    </row>
    <row r="1138" customFormat="false" ht="15" hidden="false" customHeight="false" outlineLevel="0" collapsed="false">
      <c r="A1138" s="6" t="n">
        <v>45922</v>
      </c>
      <c r="B1138" s="7" t="n">
        <v>0.880606968582477</v>
      </c>
      <c r="C1138" s="7" t="n">
        <v>0.892162820561085</v>
      </c>
      <c r="D1138" s="7" t="n">
        <v>0.879984644645271</v>
      </c>
      <c r="E1138" s="7" t="n">
        <v>0.887658050001478</v>
      </c>
      <c r="F1138" s="8" t="n">
        <f aca="true">IF(ROW()-2&gt;=Inputs!$B$4,AVERAGE(OFFSET(E1138,1-Inputs!$B$4,0,Inputs!$B$4,1)),"")</f>
        <v>0.868620209348092</v>
      </c>
      <c r="G1138" s="8" t="n">
        <f aca="true">IF(ROW()-2&gt;=Inputs!$B$5,AVERAGE(OFFSET(E1138,1-Inputs!$B$5,0,Inputs!$B$5,1)),"")</f>
        <v>0.856917805870564</v>
      </c>
      <c r="H1138" s="8" t="n">
        <f aca="false">MAX(C1138-D1138,ABS(C1138-E1137),ABS(D1138-E1137))</f>
        <v>0.0121781759158146</v>
      </c>
      <c r="I1138" s="8" t="n">
        <f aca="true">IF(ROW()-2&lt;14,"",IF(ROW()-2=14,AVERAGE(OFFSET(H1138,-13,0,14,1)),(I1137*13+H1138)/14))</f>
        <v>0.00942428323616723</v>
      </c>
      <c r="J1138" s="9" t="b">
        <f aca="false">IF(AND(ISNUMBER(F1138),ISNUMBER(G1138),ISNUMBER(F1137),ISNUMBER(G1137)),AND(F1138&gt;G1138,F1137&lt;=G1137),FALSE())</f>
        <v>0</v>
      </c>
      <c r="K1138" s="9" t="b">
        <f aca="false">IF(AND(ISNUMBER(F1138),ISNUMBER(G1138),ISNUMBER(F1137),ISNUMBER(G1137)),AND(F1138&lt;G1138,F1137&gt;=G1137),FALSE())</f>
        <v>0</v>
      </c>
      <c r="L1138" s="8" t="n">
        <f aca="false">IF(ISNUMBER(I1138),E1138-Inputs!$B$6*I1138,"")</f>
        <v>0.868809483529143</v>
      </c>
      <c r="M1138" s="9" t="b">
        <f aca="false">AND(Y1137&gt;0,Z1137)</f>
        <v>0</v>
      </c>
      <c r="N1138" s="8" t="n">
        <f aca="false">B1138*(1-Inputs!$B$12)</f>
        <v>0.880430847188761</v>
      </c>
      <c r="O1138" s="10" t="n">
        <f aca="false">IF(M1138,Y1137*(N1138-AB1137)-Inputs!$B$9-Y1137*AD1137*Inputs!$B$13*(A1138-AC1137),0)</f>
        <v>0</v>
      </c>
      <c r="P1138" s="10" t="n">
        <f aca="false">X1137+O1138</f>
        <v>944.618668179282</v>
      </c>
      <c r="Q1138" s="9" t="b">
        <f aca="false">AND(IF(M1138,0,Y1137)=0,AA1137,IF(ISNUMBER(AE1137),B1138&gt;AE1137,FALSE()))</f>
        <v>0</v>
      </c>
      <c r="R1138" s="8" t="n">
        <f aca="false">B1138*(1+Inputs!$B$12)</f>
        <v>0.880783089976194</v>
      </c>
      <c r="S1138" s="11" t="n">
        <f aca="false">IF(Q1138,MIN(P1138*Inputs!$B$3/(R1138-AE1137),P1138*Inputs!$B$11/R1138),0)</f>
        <v>0</v>
      </c>
      <c r="T1138" s="11" t="n">
        <f aca="false">IF(Q1138,S1138,IF(M1138,0,Y1137))</f>
        <v>572.575070766003</v>
      </c>
      <c r="U1138" s="8" t="n">
        <f aca="false">IF(Q1138,AE1137,AF1137)</f>
        <v>0.835624367549931</v>
      </c>
      <c r="V1138" s="9" t="b">
        <f aca="false">AND(T1138&gt;0,D1138&lt;=U1138)</f>
        <v>0</v>
      </c>
      <c r="W1138" s="10" t="n">
        <f aca="false">IF(V1138,T1138*(AK1138-AB1138)-Inputs!$B$9-T1138*AD1138*Inputs!$B$13*(A1138-AC1138),0)</f>
        <v>0</v>
      </c>
      <c r="X1138" s="10" t="n">
        <f aca="false">P1138-IF(Q1138,Inputs!$B$9,0)+W1138</f>
        <v>944.618668179282</v>
      </c>
      <c r="Y1138" s="11" t="n">
        <f aca="false">IF(V1138,0,T1138)</f>
        <v>572.575070766003</v>
      </c>
      <c r="Z1138" s="9" t="b">
        <f aca="false">AND(Y1138&gt;0,K1138)</f>
        <v>0</v>
      </c>
      <c r="AA1138" s="9" t="b">
        <f aca="false">AND(Y1138=0,J1138,ISNUMBER(L1138))</f>
        <v>0</v>
      </c>
      <c r="AB1138" s="8" t="n">
        <f aca="false">IF(Q1138,R1138,AB1137)</f>
        <v>0.852139558595783</v>
      </c>
      <c r="AC1138" s="12" t="n">
        <f aca="false">IF(Q1138,A1138,AC1137)</f>
        <v>45888</v>
      </c>
      <c r="AD1138" s="8" t="n">
        <f aca="false">IF(Q1138,B1138,AD1137)</f>
        <v>0.85196916476283</v>
      </c>
      <c r="AE1138" s="8" t="str">
        <f aca="false">IF(AA1138,L1138,"")</f>
        <v/>
      </c>
      <c r="AF1138" s="8" t="n">
        <f aca="false">U1138</f>
        <v>0.835624367549931</v>
      </c>
      <c r="AG1138" s="2" t="n">
        <f aca="false">AG1137+IF(Q1138,1,0)</f>
        <v>12</v>
      </c>
      <c r="AH1138" s="2" t="n">
        <f aca="false">AG1137</f>
        <v>12</v>
      </c>
      <c r="AI1138" s="10" t="n">
        <f aca="false">X1138+Y1138*(E1138-AB1138)-Y1138*AD1138*Inputs!$B$13*(A1138-AC1138)</f>
        <v>962.002043420035</v>
      </c>
      <c r="AJ1138" s="10" t="n">
        <v>0</v>
      </c>
      <c r="AK1138" s="8" t="n">
        <f aca="false">IF(AND(B1138&lt;=U1138,NOT(Q1138)),B1138,U1138)*(1-Inputs!$B$12)</f>
        <v>0.835457242676421</v>
      </c>
    </row>
    <row r="1139" customFormat="false" ht="15" hidden="false" customHeight="false" outlineLevel="0" collapsed="false">
      <c r="A1139" s="6" t="n">
        <v>45923</v>
      </c>
      <c r="B1139" s="7" t="n">
        <v>0.887658050001478</v>
      </c>
      <c r="C1139" s="7" t="n">
        <v>0.89069114472686</v>
      </c>
      <c r="D1139" s="7" t="n">
        <v>0.886447542216437</v>
      </c>
      <c r="E1139" s="7" t="n">
        <v>0.889187082559861</v>
      </c>
      <c r="F1139" s="8" t="n">
        <f aca="true">IF(ROW()-2&gt;=Inputs!$B$4,AVERAGE(OFFSET(E1139,1-Inputs!$B$4,0,Inputs!$B$4,1)),"")</f>
        <v>0.870066415000048</v>
      </c>
      <c r="G1139" s="8" t="n">
        <f aca="true">IF(ROW()-2&gt;=Inputs!$B$5,AVERAGE(OFFSET(E1139,1-Inputs!$B$5,0,Inputs!$B$5,1)),"")</f>
        <v>0.858318154021301</v>
      </c>
      <c r="H1139" s="8" t="n">
        <f aca="false">MAX(C1139-D1139,ABS(C1139-E1138),ABS(D1139-E1138))</f>
        <v>0.00424360251042322</v>
      </c>
      <c r="I1139" s="8" t="n">
        <f aca="true">IF(ROW()-2&lt;14,"",IF(ROW()-2=14,AVERAGE(OFFSET(H1139,-13,0,14,1)),(I1138*13+H1139)/14))</f>
        <v>0.0090542346128998</v>
      </c>
      <c r="J1139" s="9" t="b">
        <f aca="false">IF(AND(ISNUMBER(F1139),ISNUMBER(G1139),ISNUMBER(F1138),ISNUMBER(G1138)),AND(F1139&gt;G1139,F1138&lt;=G1138),FALSE())</f>
        <v>0</v>
      </c>
      <c r="K1139" s="9" t="b">
        <f aca="false">IF(AND(ISNUMBER(F1139),ISNUMBER(G1139),ISNUMBER(F1138),ISNUMBER(G1138)),AND(F1139&lt;G1139,F1138&gt;=G1138),FALSE())</f>
        <v>0</v>
      </c>
      <c r="L1139" s="8" t="n">
        <f aca="false">IF(ISNUMBER(I1139),E1139-Inputs!$B$6*I1139,"")</f>
        <v>0.871078613334061</v>
      </c>
      <c r="M1139" s="9" t="b">
        <f aca="false">AND(Y1138&gt;0,Z1138)</f>
        <v>0</v>
      </c>
      <c r="N1139" s="8" t="n">
        <f aca="false">B1139*(1-Inputs!$B$12)</f>
        <v>0.887480518391477</v>
      </c>
      <c r="O1139" s="10" t="n">
        <f aca="false">IF(M1139,Y1138*(N1139-AB1138)-Inputs!$B$9-Y1138*AD1138*Inputs!$B$13*(A1139-AC1138),0)</f>
        <v>0</v>
      </c>
      <c r="P1139" s="10" t="n">
        <f aca="false">X1138+O1139</f>
        <v>944.618668179282</v>
      </c>
      <c r="Q1139" s="9" t="b">
        <f aca="false">AND(IF(M1139,0,Y1138)=0,AA1138,IF(ISNUMBER(AE1138),B1139&gt;AE1138,FALSE()))</f>
        <v>0</v>
      </c>
      <c r="R1139" s="8" t="n">
        <f aca="false">B1139*(1+Inputs!$B$12)</f>
        <v>0.887835581611478</v>
      </c>
      <c r="S1139" s="11" t="n">
        <f aca="false">IF(Q1139,MIN(P1139*Inputs!$B$3/(R1139-AE1138),P1139*Inputs!$B$11/R1139),0)</f>
        <v>0</v>
      </c>
      <c r="T1139" s="11" t="n">
        <f aca="false">IF(Q1139,S1139,IF(M1139,0,Y1138))</f>
        <v>572.575070766003</v>
      </c>
      <c r="U1139" s="8" t="n">
        <f aca="false">IF(Q1139,AE1138,AF1138)</f>
        <v>0.835624367549931</v>
      </c>
      <c r="V1139" s="9" t="b">
        <f aca="false">AND(T1139&gt;0,D1139&lt;=U1139)</f>
        <v>0</v>
      </c>
      <c r="W1139" s="10" t="n">
        <f aca="false">IF(V1139,T1139*(AK1139-AB1139)-Inputs!$B$9-T1139*AD1139*Inputs!$B$13*(A1139-AC1139),0)</f>
        <v>0</v>
      </c>
      <c r="X1139" s="10" t="n">
        <f aca="false">P1139-IF(Q1139,Inputs!$B$9,0)+W1139</f>
        <v>944.618668179282</v>
      </c>
      <c r="Y1139" s="11" t="n">
        <f aca="false">IF(V1139,0,T1139)</f>
        <v>572.575070766003</v>
      </c>
      <c r="Z1139" s="9" t="b">
        <f aca="false">AND(Y1139&gt;0,K1139)</f>
        <v>0</v>
      </c>
      <c r="AA1139" s="9" t="b">
        <f aca="false">AND(Y1139=0,J1139,ISNUMBER(L1139))</f>
        <v>0</v>
      </c>
      <c r="AB1139" s="8" t="n">
        <f aca="false">IF(Q1139,R1139,AB1138)</f>
        <v>0.852139558595783</v>
      </c>
      <c r="AC1139" s="12" t="n">
        <f aca="false">IF(Q1139,A1139,AC1138)</f>
        <v>45888</v>
      </c>
      <c r="AD1139" s="8" t="n">
        <f aca="false">IF(Q1139,B1139,AD1138)</f>
        <v>0.85196916476283</v>
      </c>
      <c r="AE1139" s="8" t="str">
        <f aca="false">IF(AA1139,L1139,"")</f>
        <v/>
      </c>
      <c r="AF1139" s="8" t="n">
        <f aca="false">U1139</f>
        <v>0.835624367549931</v>
      </c>
      <c r="AG1139" s="2" t="n">
        <f aca="false">AG1138+IF(Q1139,1,0)</f>
        <v>12</v>
      </c>
      <c r="AH1139" s="2" t="n">
        <f aca="false">AG1138</f>
        <v>12</v>
      </c>
      <c r="AI1139" s="10" t="n">
        <f aca="false">X1139+Y1139*(E1139-AB1139)-Y1139*AD1139*Inputs!$B$13*(A1139-AC1139)</f>
        <v>962.790657948609</v>
      </c>
      <c r="AJ1139" s="10" t="n">
        <v>0</v>
      </c>
      <c r="AK1139" s="8" t="n">
        <f aca="false">IF(AND(B1139&lt;=U1139,NOT(Q1139)),B1139,U1139)*(1-Inputs!$B$12)</f>
        <v>0.835457242676421</v>
      </c>
    </row>
    <row r="1140" customFormat="false" ht="15" hidden="false" customHeight="false" outlineLevel="0" collapsed="false">
      <c r="A1140" s="6" t="n">
        <v>45924</v>
      </c>
      <c r="B1140" s="7" t="n">
        <v>0.889187082559861</v>
      </c>
      <c r="C1140" s="7" t="n">
        <v>0.894788653404046</v>
      </c>
      <c r="D1140" s="7" t="n">
        <v>0.886109338912188</v>
      </c>
      <c r="E1140" s="7" t="n">
        <v>0.893416298512841</v>
      </c>
      <c r="F1140" s="8" t="n">
        <f aca="true">IF(ROW()-2&gt;=Inputs!$B$4,AVERAGE(OFFSET(E1140,1-Inputs!$B$4,0,Inputs!$B$4,1)),"")</f>
        <v>0.871888720270581</v>
      </c>
      <c r="G1140" s="8" t="n">
        <f aca="true">IF(ROW()-2&gt;=Inputs!$B$5,AVERAGE(OFFSET(E1140,1-Inputs!$B$5,0,Inputs!$B$5,1)),"")</f>
        <v>0.859715541104526</v>
      </c>
      <c r="H1140" s="8" t="n">
        <f aca="false">MAX(C1140-D1140,ABS(C1140-E1139),ABS(D1140-E1139))</f>
        <v>0.00867931449185844</v>
      </c>
      <c r="I1140" s="8" t="n">
        <f aca="true">IF(ROW()-2&lt;14,"",IF(ROW()-2=14,AVERAGE(OFFSET(H1140,-13,0,14,1)),(I1139*13+H1140)/14))</f>
        <v>0.00902745460425399</v>
      </c>
      <c r="J1140" s="9" t="b">
        <f aca="false">IF(AND(ISNUMBER(F1140),ISNUMBER(G1140),ISNUMBER(F1139),ISNUMBER(G1139)),AND(F1140&gt;G1140,F1139&lt;=G1139),FALSE())</f>
        <v>0</v>
      </c>
      <c r="K1140" s="9" t="b">
        <f aca="false">IF(AND(ISNUMBER(F1140),ISNUMBER(G1140),ISNUMBER(F1139),ISNUMBER(G1139)),AND(F1140&lt;G1140,F1139&gt;=G1139),FALSE())</f>
        <v>0</v>
      </c>
      <c r="L1140" s="8" t="n">
        <f aca="false">IF(ISNUMBER(I1140),E1140-Inputs!$B$6*I1140,"")</f>
        <v>0.875361389304333</v>
      </c>
      <c r="M1140" s="9" t="b">
        <f aca="false">AND(Y1139&gt;0,Z1139)</f>
        <v>0</v>
      </c>
      <c r="N1140" s="8" t="n">
        <f aca="false">B1140*(1-Inputs!$B$12)</f>
        <v>0.889009245143349</v>
      </c>
      <c r="O1140" s="10" t="n">
        <f aca="false">IF(M1140,Y1139*(N1140-AB1139)-Inputs!$B$9-Y1139*AD1139*Inputs!$B$13*(A1140-AC1139),0)</f>
        <v>0</v>
      </c>
      <c r="P1140" s="10" t="n">
        <f aca="false">X1139+O1140</f>
        <v>944.618668179282</v>
      </c>
      <c r="Q1140" s="9" t="b">
        <f aca="false">AND(IF(M1140,0,Y1139)=0,AA1139,IF(ISNUMBER(AE1139),B1140&gt;AE1139,FALSE()))</f>
        <v>0</v>
      </c>
      <c r="R1140" s="8" t="n">
        <f aca="false">B1140*(1+Inputs!$B$12)</f>
        <v>0.889364919976373</v>
      </c>
      <c r="S1140" s="11" t="n">
        <f aca="false">IF(Q1140,MIN(P1140*Inputs!$B$3/(R1140-AE1139),P1140*Inputs!$B$11/R1140),0)</f>
        <v>0</v>
      </c>
      <c r="T1140" s="11" t="n">
        <f aca="false">IF(Q1140,S1140,IF(M1140,0,Y1139))</f>
        <v>572.575070766003</v>
      </c>
      <c r="U1140" s="8" t="n">
        <f aca="false">IF(Q1140,AE1139,AF1139)</f>
        <v>0.835624367549931</v>
      </c>
      <c r="V1140" s="9" t="b">
        <f aca="false">AND(T1140&gt;0,D1140&lt;=U1140)</f>
        <v>0</v>
      </c>
      <c r="W1140" s="10" t="n">
        <f aca="false">IF(V1140,T1140*(AK1140-AB1140)-Inputs!$B$9-T1140*AD1140*Inputs!$B$13*(A1140-AC1140),0)</f>
        <v>0</v>
      </c>
      <c r="X1140" s="10" t="n">
        <f aca="false">P1140-IF(Q1140,Inputs!$B$9,0)+W1140</f>
        <v>944.618668179282</v>
      </c>
      <c r="Y1140" s="11" t="n">
        <f aca="false">IF(V1140,0,T1140)</f>
        <v>572.575070766003</v>
      </c>
      <c r="Z1140" s="9" t="b">
        <f aca="false">AND(Y1140&gt;0,K1140)</f>
        <v>0</v>
      </c>
      <c r="AA1140" s="9" t="b">
        <f aca="false">AND(Y1140=0,J1140,ISNUMBER(L1140))</f>
        <v>0</v>
      </c>
      <c r="AB1140" s="8" t="n">
        <f aca="false">IF(Q1140,R1140,AB1139)</f>
        <v>0.852139558595783</v>
      </c>
      <c r="AC1140" s="12" t="n">
        <f aca="false">IF(Q1140,A1140,AC1139)</f>
        <v>45888</v>
      </c>
      <c r="AD1140" s="8" t="n">
        <f aca="false">IF(Q1140,B1140,AD1139)</f>
        <v>0.85196916476283</v>
      </c>
      <c r="AE1140" s="8" t="str">
        <f aca="false">IF(AA1140,L1140,"")</f>
        <v/>
      </c>
      <c r="AF1140" s="8" t="n">
        <f aca="false">U1140</f>
        <v>0.835624367549931</v>
      </c>
      <c r="AG1140" s="2" t="n">
        <f aca="false">AG1139+IF(Q1140,1,0)</f>
        <v>12</v>
      </c>
      <c r="AH1140" s="2" t="n">
        <f aca="false">AG1139</f>
        <v>12</v>
      </c>
      <c r="AI1140" s="10" t="n">
        <f aca="false">X1140+Y1140*(E1140-AB1140)-Y1140*AD1140*Inputs!$B$13*(A1140-AC1140)</f>
        <v>965.125330175425</v>
      </c>
      <c r="AJ1140" s="10" t="n">
        <v>0</v>
      </c>
      <c r="AK1140" s="8" t="n">
        <f aca="false">IF(AND(B1140&lt;=U1140,NOT(Q1140)),B1140,U1140)*(1-Inputs!$B$12)</f>
        <v>0.835457242676421</v>
      </c>
    </row>
    <row r="1141" customFormat="false" ht="15" hidden="false" customHeight="false" outlineLevel="0" collapsed="false">
      <c r="A1141" s="6" t="n">
        <v>45925</v>
      </c>
      <c r="B1141" s="7" t="n">
        <v>0.893416298512841</v>
      </c>
      <c r="C1141" s="7" t="n">
        <v>0.897166877131609</v>
      </c>
      <c r="D1141" s="7" t="n">
        <v>0.888811395821995</v>
      </c>
      <c r="E1141" s="7" t="n">
        <v>0.889815709054524</v>
      </c>
      <c r="F1141" s="8" t="n">
        <f aca="true">IF(ROW()-2&gt;=Inputs!$B$4,AVERAGE(OFFSET(E1141,1-Inputs!$B$4,0,Inputs!$B$4,1)),"")</f>
        <v>0.873268794952032</v>
      </c>
      <c r="G1141" s="8" t="n">
        <f aca="true">IF(ROW()-2&gt;=Inputs!$B$5,AVERAGE(OFFSET(E1141,1-Inputs!$B$5,0,Inputs!$B$5,1)),"")</f>
        <v>0.860941468387394</v>
      </c>
      <c r="H1141" s="8" t="n">
        <f aca="false">MAX(C1141-D1141,ABS(C1141-E1140),ABS(D1141-E1140))</f>
        <v>0.00835548130961383</v>
      </c>
      <c r="I1141" s="8" t="n">
        <f aca="true">IF(ROW()-2&lt;14,"",IF(ROW()-2=14,AVERAGE(OFFSET(H1141,-13,0,14,1)),(I1140*13+H1141)/14))</f>
        <v>0.00897945651177969</v>
      </c>
      <c r="J1141" s="9" t="b">
        <f aca="false">IF(AND(ISNUMBER(F1141),ISNUMBER(G1141),ISNUMBER(F1140),ISNUMBER(G1140)),AND(F1141&gt;G1141,F1140&lt;=G1140),FALSE())</f>
        <v>0</v>
      </c>
      <c r="K1141" s="9" t="b">
        <f aca="false">IF(AND(ISNUMBER(F1141),ISNUMBER(G1141),ISNUMBER(F1140),ISNUMBER(G1140)),AND(F1141&lt;G1141,F1140&gt;=G1140),FALSE())</f>
        <v>0</v>
      </c>
      <c r="L1141" s="8" t="n">
        <f aca="false">IF(ISNUMBER(I1141),E1141-Inputs!$B$6*I1141,"")</f>
        <v>0.871856796030964</v>
      </c>
      <c r="M1141" s="9" t="b">
        <f aca="false">AND(Y1140&gt;0,Z1140)</f>
        <v>0</v>
      </c>
      <c r="N1141" s="8" t="n">
        <f aca="false">B1141*(1-Inputs!$B$12)</f>
        <v>0.893237615253138</v>
      </c>
      <c r="O1141" s="10" t="n">
        <f aca="false">IF(M1141,Y1140*(N1141-AB1140)-Inputs!$B$9-Y1140*AD1140*Inputs!$B$13*(A1141-AC1140),0)</f>
        <v>0</v>
      </c>
      <c r="P1141" s="10" t="n">
        <f aca="false">X1140+O1141</f>
        <v>944.618668179282</v>
      </c>
      <c r="Q1141" s="9" t="b">
        <f aca="false">AND(IF(M1141,0,Y1140)=0,AA1140,IF(ISNUMBER(AE1140),B1141&gt;AE1140,FALSE()))</f>
        <v>0</v>
      </c>
      <c r="R1141" s="8" t="n">
        <f aca="false">B1141*(1+Inputs!$B$12)</f>
        <v>0.893594981772543</v>
      </c>
      <c r="S1141" s="11" t="n">
        <f aca="false">IF(Q1141,MIN(P1141*Inputs!$B$3/(R1141-AE1140),P1141*Inputs!$B$11/R1141),0)</f>
        <v>0</v>
      </c>
      <c r="T1141" s="11" t="n">
        <f aca="false">IF(Q1141,S1141,IF(M1141,0,Y1140))</f>
        <v>572.575070766003</v>
      </c>
      <c r="U1141" s="8" t="n">
        <f aca="false">IF(Q1141,AE1140,AF1140)</f>
        <v>0.835624367549931</v>
      </c>
      <c r="V1141" s="9" t="b">
        <f aca="false">AND(T1141&gt;0,D1141&lt;=U1141)</f>
        <v>0</v>
      </c>
      <c r="W1141" s="10" t="n">
        <f aca="false">IF(V1141,T1141*(AK1141-AB1141)-Inputs!$B$9-T1141*AD1141*Inputs!$B$13*(A1141-AC1141),0)</f>
        <v>0</v>
      </c>
      <c r="X1141" s="10" t="n">
        <f aca="false">P1141-IF(Q1141,Inputs!$B$9,0)+W1141</f>
        <v>944.618668179282</v>
      </c>
      <c r="Y1141" s="11" t="n">
        <f aca="false">IF(V1141,0,T1141)</f>
        <v>572.575070766003</v>
      </c>
      <c r="Z1141" s="9" t="b">
        <f aca="false">AND(Y1141&gt;0,K1141)</f>
        <v>0</v>
      </c>
      <c r="AA1141" s="9" t="b">
        <f aca="false">AND(Y1141=0,J1141,ISNUMBER(L1141))</f>
        <v>0</v>
      </c>
      <c r="AB1141" s="8" t="n">
        <f aca="false">IF(Q1141,R1141,AB1140)</f>
        <v>0.852139558595783</v>
      </c>
      <c r="AC1141" s="12" t="n">
        <f aca="false">IF(Q1141,A1141,AC1140)</f>
        <v>45888</v>
      </c>
      <c r="AD1141" s="8" t="n">
        <f aca="false">IF(Q1141,B1141,AD1140)</f>
        <v>0.85196916476283</v>
      </c>
      <c r="AE1141" s="8" t="str">
        <f aca="false">IF(AA1141,L1141,"")</f>
        <v/>
      </c>
      <c r="AF1141" s="8" t="n">
        <f aca="false">U1141</f>
        <v>0.835624367549931</v>
      </c>
      <c r="AG1141" s="2" t="n">
        <f aca="false">AG1140+IF(Q1141,1,0)</f>
        <v>12</v>
      </c>
      <c r="AH1141" s="2" t="n">
        <f aca="false">AG1140</f>
        <v>12</v>
      </c>
      <c r="AI1141" s="10" t="n">
        <f aca="false">X1141+Y1141*(E1141-AB1141)-Y1141*AD1141*Inputs!$B$13*(A1141-AC1141)</f>
        <v>962.976851014784</v>
      </c>
      <c r="AJ1141" s="10" t="n">
        <v>0</v>
      </c>
      <c r="AK1141" s="8" t="n">
        <f aca="false">IF(AND(B1141&lt;=U1141,NOT(Q1141)),B1141,U1141)*(1-Inputs!$B$12)</f>
        <v>0.835457242676421</v>
      </c>
    </row>
    <row r="1142" customFormat="false" ht="15" hidden="false" customHeight="false" outlineLevel="0" collapsed="false">
      <c r="A1142" s="6" t="n">
        <v>45926</v>
      </c>
      <c r="B1142" s="7" t="n">
        <v>0.889815709054524</v>
      </c>
      <c r="C1142" s="7" t="n">
        <v>0.893501292180448</v>
      </c>
      <c r="D1142" s="7" t="n">
        <v>0.882305039097439</v>
      </c>
      <c r="E1142" s="7" t="n">
        <v>0.889787598212102</v>
      </c>
      <c r="F1142" s="8" t="n">
        <f aca="true">IF(ROW()-2&gt;=Inputs!$B$4,AVERAGE(OFFSET(E1142,1-Inputs!$B$4,0,Inputs!$B$4,1)),"")</f>
        <v>0.874187253161136</v>
      </c>
      <c r="G1142" s="8" t="n">
        <f aca="true">IF(ROW()-2&gt;=Inputs!$B$5,AVERAGE(OFFSET(E1142,1-Inputs!$B$5,0,Inputs!$B$5,1)),"")</f>
        <v>0.862065834045225</v>
      </c>
      <c r="H1142" s="8" t="n">
        <f aca="false">MAX(C1142-D1142,ABS(C1142-E1141),ABS(D1142-E1141))</f>
        <v>0.0111962530830091</v>
      </c>
      <c r="I1142" s="8" t="n">
        <f aca="true">IF(ROW()-2&lt;14,"",IF(ROW()-2=14,AVERAGE(OFFSET(H1142,-13,0,14,1)),(I1141*13+H1142)/14))</f>
        <v>0.00913779912401036</v>
      </c>
      <c r="J1142" s="9" t="b">
        <f aca="false">IF(AND(ISNUMBER(F1142),ISNUMBER(G1142),ISNUMBER(F1141),ISNUMBER(G1141)),AND(F1142&gt;G1142,F1141&lt;=G1141),FALSE())</f>
        <v>0</v>
      </c>
      <c r="K1142" s="9" t="b">
        <f aca="false">IF(AND(ISNUMBER(F1142),ISNUMBER(G1142),ISNUMBER(F1141),ISNUMBER(G1141)),AND(F1142&lt;G1142,F1141&gt;=G1141),FALSE())</f>
        <v>0</v>
      </c>
      <c r="L1142" s="8" t="n">
        <f aca="false">IF(ISNUMBER(I1142),E1142-Inputs!$B$6*I1142,"")</f>
        <v>0.871511999964081</v>
      </c>
      <c r="M1142" s="9" t="b">
        <f aca="false">AND(Y1141&gt;0,Z1141)</f>
        <v>0</v>
      </c>
      <c r="N1142" s="8" t="n">
        <f aca="false">B1142*(1-Inputs!$B$12)</f>
        <v>0.889637745912713</v>
      </c>
      <c r="O1142" s="10" t="n">
        <f aca="false">IF(M1142,Y1141*(N1142-AB1141)-Inputs!$B$9-Y1141*AD1141*Inputs!$B$13*(A1142-AC1141),0)</f>
        <v>0</v>
      </c>
      <c r="P1142" s="10" t="n">
        <f aca="false">X1141+O1142</f>
        <v>944.618668179282</v>
      </c>
      <c r="Q1142" s="9" t="b">
        <f aca="false">AND(IF(M1142,0,Y1141)=0,AA1141,IF(ISNUMBER(AE1141),B1142&gt;AE1141,FALSE()))</f>
        <v>0</v>
      </c>
      <c r="R1142" s="8" t="n">
        <f aca="false">B1142*(1+Inputs!$B$12)</f>
        <v>0.889993672196334</v>
      </c>
      <c r="S1142" s="11" t="n">
        <f aca="false">IF(Q1142,MIN(P1142*Inputs!$B$3/(R1142-AE1141),P1142*Inputs!$B$11/R1142),0)</f>
        <v>0</v>
      </c>
      <c r="T1142" s="11" t="n">
        <f aca="false">IF(Q1142,S1142,IF(M1142,0,Y1141))</f>
        <v>572.575070766003</v>
      </c>
      <c r="U1142" s="8" t="n">
        <f aca="false">IF(Q1142,AE1141,AF1141)</f>
        <v>0.835624367549931</v>
      </c>
      <c r="V1142" s="9" t="b">
        <f aca="false">AND(T1142&gt;0,D1142&lt;=U1142)</f>
        <v>0</v>
      </c>
      <c r="W1142" s="10" t="n">
        <f aca="false">IF(V1142,T1142*(AK1142-AB1142)-Inputs!$B$9-T1142*AD1142*Inputs!$B$13*(A1142-AC1142),0)</f>
        <v>0</v>
      </c>
      <c r="X1142" s="10" t="n">
        <f aca="false">P1142-IF(Q1142,Inputs!$B$9,0)+W1142</f>
        <v>944.618668179282</v>
      </c>
      <c r="Y1142" s="11" t="n">
        <f aca="false">IF(V1142,0,T1142)</f>
        <v>572.575070766003</v>
      </c>
      <c r="Z1142" s="9" t="b">
        <f aca="false">AND(Y1142&gt;0,K1142)</f>
        <v>0</v>
      </c>
      <c r="AA1142" s="9" t="b">
        <f aca="false">AND(Y1142=0,J1142,ISNUMBER(L1142))</f>
        <v>0</v>
      </c>
      <c r="AB1142" s="8" t="n">
        <f aca="false">IF(Q1142,R1142,AB1141)</f>
        <v>0.852139558595783</v>
      </c>
      <c r="AC1142" s="12" t="n">
        <f aca="false">IF(Q1142,A1142,AC1141)</f>
        <v>45888</v>
      </c>
      <c r="AD1142" s="8" t="n">
        <f aca="false">IF(Q1142,B1142,AD1141)</f>
        <v>0.85196916476283</v>
      </c>
      <c r="AE1142" s="8" t="str">
        <f aca="false">IF(AA1142,L1142,"")</f>
        <v/>
      </c>
      <c r="AF1142" s="8" t="n">
        <f aca="false">U1142</f>
        <v>0.835624367549931</v>
      </c>
      <c r="AG1142" s="2" t="n">
        <f aca="false">AG1141+IF(Q1142,1,0)</f>
        <v>12</v>
      </c>
      <c r="AH1142" s="2" t="n">
        <f aca="false">AG1141</f>
        <v>12</v>
      </c>
      <c r="AI1142" s="10" t="n">
        <f aca="false">X1142+Y1142*(E1142-AB1142)-Y1142*AD1142*Inputs!$B$13*(A1142-AC1142)</f>
        <v>962.873884050449</v>
      </c>
      <c r="AJ1142" s="10" t="n">
        <v>0</v>
      </c>
      <c r="AK1142" s="8" t="n">
        <f aca="false">IF(AND(B1142&lt;=U1142,NOT(Q1142)),B1142,U1142)*(1-Inputs!$B$12)</f>
        <v>0.835457242676421</v>
      </c>
    </row>
    <row r="1143" customFormat="false" ht="15" hidden="false" customHeight="false" outlineLevel="0" collapsed="false">
      <c r="A1143" s="6" t="n">
        <v>45927</v>
      </c>
      <c r="B1143" s="7" t="n">
        <v>0.889787598212102</v>
      </c>
      <c r="C1143" s="7" t="n">
        <v>0.894468222154044</v>
      </c>
      <c r="D1143" s="7" t="n">
        <v>0.886303005431484</v>
      </c>
      <c r="E1143" s="7" t="n">
        <v>0.893416787868737</v>
      </c>
      <c r="F1143" s="8" t="n">
        <f aca="true">IF(ROW()-2&gt;=Inputs!$B$4,AVERAGE(OFFSET(E1143,1-Inputs!$B$4,0,Inputs!$B$4,1)),"")</f>
        <v>0.875280423777828</v>
      </c>
      <c r="G1143" s="8" t="n">
        <f aca="true">IF(ROW()-2&gt;=Inputs!$B$5,AVERAGE(OFFSET(E1143,1-Inputs!$B$5,0,Inputs!$B$5,1)),"")</f>
        <v>0.863096743365195</v>
      </c>
      <c r="H1143" s="8" t="n">
        <f aca="false">MAX(C1143-D1143,ABS(C1143-E1142),ABS(D1143-E1142))</f>
        <v>0.00816521672256043</v>
      </c>
      <c r="I1143" s="8" t="n">
        <f aca="true">IF(ROW()-2&lt;14,"",IF(ROW()-2=14,AVERAGE(OFFSET(H1143,-13,0,14,1)),(I1142*13+H1143)/14))</f>
        <v>0.00906832895247822</v>
      </c>
      <c r="J1143" s="9" t="b">
        <f aca="false">IF(AND(ISNUMBER(F1143),ISNUMBER(G1143),ISNUMBER(F1142),ISNUMBER(G1142)),AND(F1143&gt;G1143,F1142&lt;=G1142),FALSE())</f>
        <v>0</v>
      </c>
      <c r="K1143" s="9" t="b">
        <f aca="false">IF(AND(ISNUMBER(F1143),ISNUMBER(G1143),ISNUMBER(F1142),ISNUMBER(G1142)),AND(F1143&lt;G1143,F1142&gt;=G1142),FALSE())</f>
        <v>0</v>
      </c>
      <c r="L1143" s="8" t="n">
        <f aca="false">IF(ISNUMBER(I1143),E1143-Inputs!$B$6*I1143,"")</f>
        <v>0.875280129963781</v>
      </c>
      <c r="M1143" s="9" t="b">
        <f aca="false">AND(Y1142&gt;0,Z1142)</f>
        <v>0</v>
      </c>
      <c r="N1143" s="8" t="n">
        <f aca="false">B1143*(1-Inputs!$B$12)</f>
        <v>0.88960964069246</v>
      </c>
      <c r="O1143" s="10" t="n">
        <f aca="false">IF(M1143,Y1142*(N1143-AB1142)-Inputs!$B$9-Y1142*AD1142*Inputs!$B$13*(A1143-AC1142),0)</f>
        <v>0</v>
      </c>
      <c r="P1143" s="10" t="n">
        <f aca="false">X1142+O1143</f>
        <v>944.618668179282</v>
      </c>
      <c r="Q1143" s="9" t="b">
        <f aca="false">AND(IF(M1143,0,Y1142)=0,AA1142,IF(ISNUMBER(AE1142),B1143&gt;AE1142,FALSE()))</f>
        <v>0</v>
      </c>
      <c r="R1143" s="8" t="n">
        <f aca="false">B1143*(1+Inputs!$B$12)</f>
        <v>0.889965555731745</v>
      </c>
      <c r="S1143" s="11" t="n">
        <f aca="false">IF(Q1143,MIN(P1143*Inputs!$B$3/(R1143-AE1142),P1143*Inputs!$B$11/R1143),0)</f>
        <v>0</v>
      </c>
      <c r="T1143" s="11" t="n">
        <f aca="false">IF(Q1143,S1143,IF(M1143,0,Y1142))</f>
        <v>572.575070766003</v>
      </c>
      <c r="U1143" s="8" t="n">
        <f aca="false">IF(Q1143,AE1142,AF1142)</f>
        <v>0.835624367549931</v>
      </c>
      <c r="V1143" s="9" t="b">
        <f aca="false">AND(T1143&gt;0,D1143&lt;=U1143)</f>
        <v>0</v>
      </c>
      <c r="W1143" s="10" t="n">
        <f aca="false">IF(V1143,T1143*(AK1143-AB1143)-Inputs!$B$9-T1143*AD1143*Inputs!$B$13*(A1143-AC1143),0)</f>
        <v>0</v>
      </c>
      <c r="X1143" s="10" t="n">
        <f aca="false">P1143-IF(Q1143,Inputs!$B$9,0)+W1143</f>
        <v>944.618668179282</v>
      </c>
      <c r="Y1143" s="11" t="n">
        <f aca="false">IF(V1143,0,T1143)</f>
        <v>572.575070766003</v>
      </c>
      <c r="Z1143" s="9" t="b">
        <f aca="false">AND(Y1143&gt;0,K1143)</f>
        <v>0</v>
      </c>
      <c r="AA1143" s="9" t="b">
        <f aca="false">AND(Y1143=0,J1143,ISNUMBER(L1143))</f>
        <v>0</v>
      </c>
      <c r="AB1143" s="8" t="n">
        <f aca="false">IF(Q1143,R1143,AB1142)</f>
        <v>0.852139558595783</v>
      </c>
      <c r="AC1143" s="12" t="n">
        <f aca="false">IF(Q1143,A1143,AC1142)</f>
        <v>45888</v>
      </c>
      <c r="AD1143" s="8" t="n">
        <f aca="false">IF(Q1143,B1143,AD1142)</f>
        <v>0.85196916476283</v>
      </c>
      <c r="AE1143" s="8" t="str">
        <f aca="false">IF(AA1143,L1143,"")</f>
        <v/>
      </c>
      <c r="AF1143" s="8" t="n">
        <f aca="false">U1143</f>
        <v>0.835624367549931</v>
      </c>
      <c r="AG1143" s="2" t="n">
        <f aca="false">AG1142+IF(Q1143,1,0)</f>
        <v>12</v>
      </c>
      <c r="AH1143" s="2" t="n">
        <f aca="false">AG1142</f>
        <v>12</v>
      </c>
      <c r="AI1143" s="10" t="n">
        <f aca="false">X1143+Y1143*(E1143-AB1143)-Y1143*AD1143*Inputs!$B$13*(A1143-AC1143)</f>
        <v>964.864996178174</v>
      </c>
      <c r="AJ1143" s="10" t="n">
        <v>0</v>
      </c>
      <c r="AK1143" s="8" t="n">
        <f aca="false">IF(AND(B1143&lt;=U1143,NOT(Q1143)),B1143,U1143)*(1-Inputs!$B$12)</f>
        <v>0.835457242676421</v>
      </c>
    </row>
    <row r="1144" customFormat="false" ht="15" hidden="false" customHeight="false" outlineLevel="0" collapsed="false">
      <c r="A1144" s="6" t="n">
        <v>45928</v>
      </c>
      <c r="B1144" s="7" t="n">
        <v>0.893416787868737</v>
      </c>
      <c r="C1144" s="7" t="n">
        <v>0.895172281349446</v>
      </c>
      <c r="D1144" s="7" t="n">
        <v>0.890712955253142</v>
      </c>
      <c r="E1144" s="7" t="n">
        <v>0.893810794633077</v>
      </c>
      <c r="F1144" s="8" t="n">
        <f aca="true">IF(ROW()-2&gt;=Inputs!$B$4,AVERAGE(OFFSET(E1144,1-Inputs!$B$4,0,Inputs!$B$4,1)),"")</f>
        <v>0.876720144264303</v>
      </c>
      <c r="G1144" s="8" t="n">
        <f aca="true">IF(ROW()-2&gt;=Inputs!$B$5,AVERAGE(OFFSET(E1144,1-Inputs!$B$5,0,Inputs!$B$5,1)),"")</f>
        <v>0.86407530229909</v>
      </c>
      <c r="H1144" s="8" t="n">
        <f aca="false">MAX(C1144-D1144,ABS(C1144-E1143),ABS(D1144-E1143))</f>
        <v>0.00445932609630351</v>
      </c>
      <c r="I1144" s="8" t="n">
        <f aca="true">IF(ROW()-2&lt;14,"",IF(ROW()-2=14,AVERAGE(OFFSET(H1144,-13,0,14,1)),(I1143*13+H1144)/14))</f>
        <v>0.00873911446275146</v>
      </c>
      <c r="J1144" s="9" t="b">
        <f aca="false">IF(AND(ISNUMBER(F1144),ISNUMBER(G1144),ISNUMBER(F1143),ISNUMBER(G1143)),AND(F1144&gt;G1144,F1143&lt;=G1143),FALSE())</f>
        <v>0</v>
      </c>
      <c r="K1144" s="9" t="b">
        <f aca="false">IF(AND(ISNUMBER(F1144),ISNUMBER(G1144),ISNUMBER(F1143),ISNUMBER(G1143)),AND(F1144&lt;G1144,F1143&gt;=G1143),FALSE())</f>
        <v>0</v>
      </c>
      <c r="L1144" s="8" t="n">
        <f aca="false">IF(ISNUMBER(I1144),E1144-Inputs!$B$6*I1144,"")</f>
        <v>0.876332565707574</v>
      </c>
      <c r="M1144" s="9" t="b">
        <f aca="false">AND(Y1143&gt;0,Z1143)</f>
        <v>0</v>
      </c>
      <c r="N1144" s="8" t="n">
        <f aca="false">B1144*(1-Inputs!$B$12)</f>
        <v>0.893238104511163</v>
      </c>
      <c r="O1144" s="10" t="n">
        <f aca="false">IF(M1144,Y1143*(N1144-AB1143)-Inputs!$B$9-Y1143*AD1143*Inputs!$B$13*(A1144-AC1143),0)</f>
        <v>0</v>
      </c>
      <c r="P1144" s="10" t="n">
        <f aca="false">X1143+O1144</f>
        <v>944.618668179282</v>
      </c>
      <c r="Q1144" s="9" t="b">
        <f aca="false">AND(IF(M1144,0,Y1143)=0,AA1143,IF(ISNUMBER(AE1143),B1144&gt;AE1143,FALSE()))</f>
        <v>0</v>
      </c>
      <c r="R1144" s="8" t="n">
        <f aca="false">B1144*(1+Inputs!$B$12)</f>
        <v>0.893595471226311</v>
      </c>
      <c r="S1144" s="11" t="n">
        <f aca="false">IF(Q1144,MIN(P1144*Inputs!$B$3/(R1144-AE1143),P1144*Inputs!$B$11/R1144),0)</f>
        <v>0</v>
      </c>
      <c r="T1144" s="11" t="n">
        <f aca="false">IF(Q1144,S1144,IF(M1144,0,Y1143))</f>
        <v>572.575070766003</v>
      </c>
      <c r="U1144" s="8" t="n">
        <f aca="false">IF(Q1144,AE1143,AF1143)</f>
        <v>0.835624367549931</v>
      </c>
      <c r="V1144" s="9" t="b">
        <f aca="false">AND(T1144&gt;0,D1144&lt;=U1144)</f>
        <v>0</v>
      </c>
      <c r="W1144" s="10" t="n">
        <f aca="false">IF(V1144,T1144*(AK1144-AB1144)-Inputs!$B$9-T1144*AD1144*Inputs!$B$13*(A1144-AC1144),0)</f>
        <v>0</v>
      </c>
      <c r="X1144" s="10" t="n">
        <f aca="false">P1144-IF(Q1144,Inputs!$B$9,0)+W1144</f>
        <v>944.618668179282</v>
      </c>
      <c r="Y1144" s="11" t="n">
        <f aca="false">IF(V1144,0,T1144)</f>
        <v>572.575070766003</v>
      </c>
      <c r="Z1144" s="9" t="b">
        <f aca="false">AND(Y1144&gt;0,K1144)</f>
        <v>0</v>
      </c>
      <c r="AA1144" s="9" t="b">
        <f aca="false">AND(Y1144=0,J1144,ISNUMBER(L1144))</f>
        <v>0</v>
      </c>
      <c r="AB1144" s="8" t="n">
        <f aca="false">IF(Q1144,R1144,AB1143)</f>
        <v>0.852139558595783</v>
      </c>
      <c r="AC1144" s="12" t="n">
        <f aca="false">IF(Q1144,A1144,AC1143)</f>
        <v>45888</v>
      </c>
      <c r="AD1144" s="8" t="n">
        <f aca="false">IF(Q1144,B1144,AD1143)</f>
        <v>0.85196916476283</v>
      </c>
      <c r="AE1144" s="8" t="str">
        <f aca="false">IF(AA1144,L1144,"")</f>
        <v/>
      </c>
      <c r="AF1144" s="8" t="n">
        <f aca="false">U1144</f>
        <v>0.835624367549931</v>
      </c>
      <c r="AG1144" s="2" t="n">
        <f aca="false">AG1143+IF(Q1144,1,0)</f>
        <v>12</v>
      </c>
      <c r="AH1144" s="2" t="n">
        <f aca="false">AG1143</f>
        <v>12</v>
      </c>
      <c r="AI1144" s="10" t="n">
        <f aca="false">X1144+Y1144*(E1144-AB1144)-Y1144*AD1144*Inputs!$B$13*(A1144-AC1144)</f>
        <v>965.003723232402</v>
      </c>
      <c r="AJ1144" s="10" t="n">
        <v>0</v>
      </c>
      <c r="AK1144" s="8" t="n">
        <f aca="false">IF(AND(B1144&lt;=U1144,NOT(Q1144)),B1144,U1144)*(1-Inputs!$B$12)</f>
        <v>0.835457242676421</v>
      </c>
    </row>
    <row r="1145" customFormat="false" ht="15" hidden="false" customHeight="false" outlineLevel="0" collapsed="false">
      <c r="A1145" s="6" t="n">
        <v>45929</v>
      </c>
      <c r="B1145" s="7" t="n">
        <v>0.893810794633077</v>
      </c>
      <c r="C1145" s="7" t="n">
        <v>0.896132285342801</v>
      </c>
      <c r="D1145" s="7" t="n">
        <v>0.892904671408092</v>
      </c>
      <c r="E1145" s="7" t="n">
        <v>0.894456796136124</v>
      </c>
      <c r="F1145" s="8" t="n">
        <f aca="true">IF(ROW()-2&gt;=Inputs!$B$4,AVERAGE(OFFSET(E1145,1-Inputs!$B$4,0,Inputs!$B$4,1)),"")</f>
        <v>0.878216352443323</v>
      </c>
      <c r="G1145" s="8" t="n">
        <f aca="true">IF(ROW()-2&gt;=Inputs!$B$5,AVERAGE(OFFSET(E1145,1-Inputs!$B$5,0,Inputs!$B$5,1)),"")</f>
        <v>0.86504750171973</v>
      </c>
      <c r="H1145" s="8" t="n">
        <f aca="false">MAX(C1145-D1145,ABS(C1145-E1144),ABS(D1145-E1144))</f>
        <v>0.00322761393470927</v>
      </c>
      <c r="I1145" s="8" t="n">
        <f aca="true">IF(ROW()-2&lt;14,"",IF(ROW()-2=14,AVERAGE(OFFSET(H1145,-13,0,14,1)),(I1144*13+H1145)/14))</f>
        <v>0.00834543585360559</v>
      </c>
      <c r="J1145" s="9" t="b">
        <f aca="false">IF(AND(ISNUMBER(F1145),ISNUMBER(G1145),ISNUMBER(F1144),ISNUMBER(G1144)),AND(F1145&gt;G1145,F1144&lt;=G1144),FALSE())</f>
        <v>0</v>
      </c>
      <c r="K1145" s="9" t="b">
        <f aca="false">IF(AND(ISNUMBER(F1145),ISNUMBER(G1145),ISNUMBER(F1144),ISNUMBER(G1144)),AND(F1145&lt;G1145,F1144&gt;=G1144),FALSE())</f>
        <v>0</v>
      </c>
      <c r="L1145" s="8" t="n">
        <f aca="false">IF(ISNUMBER(I1145),E1145-Inputs!$B$6*I1145,"")</f>
        <v>0.877765924428913</v>
      </c>
      <c r="M1145" s="9" t="b">
        <f aca="false">AND(Y1144&gt;0,Z1144)</f>
        <v>0</v>
      </c>
      <c r="N1145" s="8" t="n">
        <f aca="false">B1145*(1-Inputs!$B$12)</f>
        <v>0.893632032474151</v>
      </c>
      <c r="O1145" s="10" t="n">
        <f aca="false">IF(M1145,Y1144*(N1145-AB1144)-Inputs!$B$9-Y1144*AD1144*Inputs!$B$13*(A1145-AC1144),0)</f>
        <v>0</v>
      </c>
      <c r="P1145" s="10" t="n">
        <f aca="false">X1144+O1145</f>
        <v>944.618668179282</v>
      </c>
      <c r="Q1145" s="9" t="b">
        <f aca="false">AND(IF(M1145,0,Y1144)=0,AA1144,IF(ISNUMBER(AE1144),B1145&gt;AE1144,FALSE()))</f>
        <v>0</v>
      </c>
      <c r="R1145" s="8" t="n">
        <f aca="false">B1145*(1+Inputs!$B$12)</f>
        <v>0.893989556792004</v>
      </c>
      <c r="S1145" s="11" t="n">
        <f aca="false">IF(Q1145,MIN(P1145*Inputs!$B$3/(R1145-AE1144),P1145*Inputs!$B$11/R1145),0)</f>
        <v>0</v>
      </c>
      <c r="T1145" s="11" t="n">
        <f aca="false">IF(Q1145,S1145,IF(M1145,0,Y1144))</f>
        <v>572.575070766003</v>
      </c>
      <c r="U1145" s="8" t="n">
        <f aca="false">IF(Q1145,AE1144,AF1144)</f>
        <v>0.835624367549931</v>
      </c>
      <c r="V1145" s="9" t="b">
        <f aca="false">AND(T1145&gt;0,D1145&lt;=U1145)</f>
        <v>0</v>
      </c>
      <c r="W1145" s="10" t="n">
        <f aca="false">IF(V1145,T1145*(AK1145-AB1145)-Inputs!$B$9-T1145*AD1145*Inputs!$B$13*(A1145-AC1145),0)</f>
        <v>0</v>
      </c>
      <c r="X1145" s="10" t="n">
        <f aca="false">P1145-IF(Q1145,Inputs!$B$9,0)+W1145</f>
        <v>944.618668179282</v>
      </c>
      <c r="Y1145" s="11" t="n">
        <f aca="false">IF(V1145,0,T1145)</f>
        <v>572.575070766003</v>
      </c>
      <c r="Z1145" s="9" t="b">
        <f aca="false">AND(Y1145&gt;0,K1145)</f>
        <v>0</v>
      </c>
      <c r="AA1145" s="9" t="b">
        <f aca="false">AND(Y1145=0,J1145,ISNUMBER(L1145))</f>
        <v>0</v>
      </c>
      <c r="AB1145" s="8" t="n">
        <f aca="false">IF(Q1145,R1145,AB1144)</f>
        <v>0.852139558595783</v>
      </c>
      <c r="AC1145" s="12" t="n">
        <f aca="false">IF(Q1145,A1145,AC1144)</f>
        <v>45888</v>
      </c>
      <c r="AD1145" s="8" t="n">
        <f aca="false">IF(Q1145,B1145,AD1144)</f>
        <v>0.85196916476283</v>
      </c>
      <c r="AE1145" s="8" t="str">
        <f aca="false">IF(AA1145,L1145,"")</f>
        <v/>
      </c>
      <c r="AF1145" s="8" t="n">
        <f aca="false">U1145</f>
        <v>0.835624367549931</v>
      </c>
      <c r="AG1145" s="2" t="n">
        <f aca="false">AG1144+IF(Q1145,1,0)</f>
        <v>12</v>
      </c>
      <c r="AH1145" s="2" t="n">
        <f aca="false">AG1144</f>
        <v>12</v>
      </c>
      <c r="AI1145" s="10" t="n">
        <f aca="false">X1145+Y1145*(E1145-AB1145)-Y1145*AD1145*Inputs!$B$13*(A1145-AC1145)</f>
        <v>965.286736191978</v>
      </c>
      <c r="AJ1145" s="10" t="n">
        <v>0</v>
      </c>
      <c r="AK1145" s="8" t="n">
        <f aca="false">IF(AND(B1145&lt;=U1145,NOT(Q1145)),B1145,U1145)*(1-Inputs!$B$12)</f>
        <v>0.835457242676421</v>
      </c>
    </row>
    <row r="1146" customFormat="false" ht="15" hidden="false" customHeight="false" outlineLevel="0" collapsed="false">
      <c r="A1146" s="6" t="n">
        <v>45930</v>
      </c>
      <c r="B1146" s="7" t="n">
        <v>0.894456796136124</v>
      </c>
      <c r="C1146" s="7" t="n">
        <v>0.89855079106084</v>
      </c>
      <c r="D1146" s="7" t="n">
        <v>0.893915209938971</v>
      </c>
      <c r="E1146" s="7" t="n">
        <v>0.895029057329049</v>
      </c>
      <c r="F1146" s="8" t="n">
        <f aca="true">IF(ROW()-2&gt;=Inputs!$B$4,AVERAGE(OFFSET(E1146,1-Inputs!$B$4,0,Inputs!$B$4,1)),"")</f>
        <v>0.880122763885771</v>
      </c>
      <c r="G1146" s="8" t="n">
        <f aca="true">IF(ROW()-2&gt;=Inputs!$B$5,AVERAGE(OFFSET(E1146,1-Inputs!$B$5,0,Inputs!$B$5,1)),"")</f>
        <v>0.866014376545444</v>
      </c>
      <c r="H1146" s="8" t="n">
        <f aca="false">MAX(C1146-D1146,ABS(C1146-E1145),ABS(D1146-E1145))</f>
        <v>0.00463558112186846</v>
      </c>
      <c r="I1146" s="8" t="n">
        <f aca="true">IF(ROW()-2&lt;14,"",IF(ROW()-2=14,AVERAGE(OFFSET(H1146,-13,0,14,1)),(I1145*13+H1146)/14))</f>
        <v>0.00808044622991008</v>
      </c>
      <c r="J1146" s="9" t="b">
        <f aca="false">IF(AND(ISNUMBER(F1146),ISNUMBER(G1146),ISNUMBER(F1145),ISNUMBER(G1145)),AND(F1146&gt;G1146,F1145&lt;=G1145),FALSE())</f>
        <v>0</v>
      </c>
      <c r="K1146" s="9" t="b">
        <f aca="false">IF(AND(ISNUMBER(F1146),ISNUMBER(G1146),ISNUMBER(F1145),ISNUMBER(G1145)),AND(F1146&lt;G1146,F1145&gt;=G1145),FALSE())</f>
        <v>0</v>
      </c>
      <c r="L1146" s="8" t="n">
        <f aca="false">IF(ISNUMBER(I1146),E1146-Inputs!$B$6*I1146,"")</f>
        <v>0.878868164869229</v>
      </c>
      <c r="M1146" s="9" t="b">
        <f aca="false">AND(Y1145&gt;0,Z1145)</f>
        <v>0</v>
      </c>
      <c r="N1146" s="8" t="n">
        <f aca="false">B1146*(1-Inputs!$B$12)</f>
        <v>0.894277904776897</v>
      </c>
      <c r="O1146" s="10" t="n">
        <f aca="false">IF(M1146,Y1145*(N1146-AB1145)-Inputs!$B$9-Y1145*AD1145*Inputs!$B$13*(A1146-AC1145),0)</f>
        <v>0</v>
      </c>
      <c r="P1146" s="10" t="n">
        <f aca="false">X1145+O1146</f>
        <v>944.618668179282</v>
      </c>
      <c r="Q1146" s="9" t="b">
        <f aca="false">AND(IF(M1146,0,Y1145)=0,AA1145,IF(ISNUMBER(AE1145),B1146&gt;AE1145,FALSE()))</f>
        <v>0</v>
      </c>
      <c r="R1146" s="8" t="n">
        <f aca="false">B1146*(1+Inputs!$B$12)</f>
        <v>0.894635687495351</v>
      </c>
      <c r="S1146" s="11" t="n">
        <f aca="false">IF(Q1146,MIN(P1146*Inputs!$B$3/(R1146-AE1145),P1146*Inputs!$B$11/R1146),0)</f>
        <v>0</v>
      </c>
      <c r="T1146" s="11" t="n">
        <f aca="false">IF(Q1146,S1146,IF(M1146,0,Y1145))</f>
        <v>572.575070766003</v>
      </c>
      <c r="U1146" s="8" t="n">
        <f aca="false">IF(Q1146,AE1145,AF1145)</f>
        <v>0.835624367549931</v>
      </c>
      <c r="V1146" s="9" t="b">
        <f aca="false">AND(T1146&gt;0,D1146&lt;=U1146)</f>
        <v>0</v>
      </c>
      <c r="W1146" s="10" t="n">
        <f aca="false">IF(V1146,T1146*(AK1146-AB1146)-Inputs!$B$9-T1146*AD1146*Inputs!$B$13*(A1146-AC1146),0)</f>
        <v>0</v>
      </c>
      <c r="X1146" s="10" t="n">
        <f aca="false">P1146-IF(Q1146,Inputs!$B$9,0)+W1146</f>
        <v>944.618668179282</v>
      </c>
      <c r="Y1146" s="11" t="n">
        <f aca="false">IF(V1146,0,T1146)</f>
        <v>572.575070766003</v>
      </c>
      <c r="Z1146" s="9" t="b">
        <f aca="false">AND(Y1146&gt;0,K1146)</f>
        <v>0</v>
      </c>
      <c r="AA1146" s="9" t="b">
        <f aca="false">AND(Y1146=0,J1146,ISNUMBER(L1146))</f>
        <v>0</v>
      </c>
      <c r="AB1146" s="8" t="n">
        <f aca="false">IF(Q1146,R1146,AB1145)</f>
        <v>0.852139558595783</v>
      </c>
      <c r="AC1146" s="12" t="n">
        <f aca="false">IF(Q1146,A1146,AC1145)</f>
        <v>45888</v>
      </c>
      <c r="AD1146" s="8" t="n">
        <f aca="false">IF(Q1146,B1146,AD1145)</f>
        <v>0.85196916476283</v>
      </c>
      <c r="AE1146" s="8" t="str">
        <f aca="false">IF(AA1146,L1146,"")</f>
        <v/>
      </c>
      <c r="AF1146" s="8" t="n">
        <f aca="false">U1146</f>
        <v>0.835624367549931</v>
      </c>
      <c r="AG1146" s="2" t="n">
        <f aca="false">AG1145+IF(Q1146,1,0)</f>
        <v>12</v>
      </c>
      <c r="AH1146" s="2" t="n">
        <f aca="false">AG1145</f>
        <v>12</v>
      </c>
      <c r="AI1146" s="10" t="n">
        <f aca="false">X1146+Y1146*(E1146-AB1146)-Y1146*AD1146*Inputs!$B$13*(A1146-AC1146)</f>
        <v>965.527527288268</v>
      </c>
      <c r="AJ1146" s="10" t="n">
        <v>0</v>
      </c>
      <c r="AK1146" s="8" t="n">
        <f aca="false">IF(AND(B1146&lt;=U1146,NOT(Q1146)),B1146,U1146)*(1-Inputs!$B$12)</f>
        <v>0.835457242676421</v>
      </c>
    </row>
    <row r="1147" customFormat="false" ht="15" hidden="false" customHeight="false" outlineLevel="0" collapsed="false">
      <c r="A1147" s="6" t="n">
        <v>45931</v>
      </c>
      <c r="B1147" s="7" t="n">
        <v>0.895029057329049</v>
      </c>
      <c r="C1147" s="7" t="n">
        <v>0.898942957968946</v>
      </c>
      <c r="D1147" s="7" t="n">
        <v>0.892730389313663</v>
      </c>
      <c r="E1147" s="7" t="n">
        <v>0.893039831028846</v>
      </c>
      <c r="F1147" s="8" t="n">
        <f aca="true">IF(ROW()-2&gt;=Inputs!$B$4,AVERAGE(OFFSET(E1147,1-Inputs!$B$4,0,Inputs!$B$4,1)),"")</f>
        <v>0.881647319373873</v>
      </c>
      <c r="G1147" s="8" t="n">
        <f aca="true">IF(ROW()-2&gt;=Inputs!$B$5,AVERAGE(OFFSET(E1147,1-Inputs!$B$5,0,Inputs!$B$5,1)),"")</f>
        <v>0.867004065655129</v>
      </c>
      <c r="H1147" s="8" t="n">
        <f aca="false">MAX(C1147-D1147,ABS(C1147-E1146),ABS(D1147-E1146))</f>
        <v>0.00621256865528308</v>
      </c>
      <c r="I1147" s="8" t="n">
        <f aca="true">IF(ROW()-2&lt;14,"",IF(ROW()-2=14,AVERAGE(OFFSET(H1147,-13,0,14,1)),(I1146*13+H1147)/14))</f>
        <v>0.00794702640315101</v>
      </c>
      <c r="J1147" s="9" t="b">
        <f aca="false">IF(AND(ISNUMBER(F1147),ISNUMBER(G1147),ISNUMBER(F1146),ISNUMBER(G1146)),AND(F1147&gt;G1147,F1146&lt;=G1146),FALSE())</f>
        <v>0</v>
      </c>
      <c r="K1147" s="9" t="b">
        <f aca="false">IF(AND(ISNUMBER(F1147),ISNUMBER(G1147),ISNUMBER(F1146),ISNUMBER(G1146)),AND(F1147&lt;G1147,F1146&gt;=G1146),FALSE())</f>
        <v>0</v>
      </c>
      <c r="L1147" s="8" t="n">
        <f aca="false">IF(ISNUMBER(I1147),E1147-Inputs!$B$6*I1147,"")</f>
        <v>0.877145778222544</v>
      </c>
      <c r="M1147" s="9" t="b">
        <f aca="false">AND(Y1146&gt;0,Z1146)</f>
        <v>0</v>
      </c>
      <c r="N1147" s="8" t="n">
        <f aca="false">B1147*(1-Inputs!$B$12)</f>
        <v>0.894850051517583</v>
      </c>
      <c r="O1147" s="10" t="n">
        <f aca="false">IF(M1147,Y1146*(N1147-AB1146)-Inputs!$B$9-Y1146*AD1146*Inputs!$B$13*(A1147-AC1146),0)</f>
        <v>0</v>
      </c>
      <c r="P1147" s="10" t="n">
        <f aca="false">X1146+O1147</f>
        <v>944.618668179282</v>
      </c>
      <c r="Q1147" s="9" t="b">
        <f aca="false">AND(IF(M1147,0,Y1146)=0,AA1146,IF(ISNUMBER(AE1146),B1147&gt;AE1146,FALSE()))</f>
        <v>0</v>
      </c>
      <c r="R1147" s="8" t="n">
        <f aca="false">B1147*(1+Inputs!$B$12)</f>
        <v>0.895208063140515</v>
      </c>
      <c r="S1147" s="11" t="n">
        <f aca="false">IF(Q1147,MIN(P1147*Inputs!$B$3/(R1147-AE1146),P1147*Inputs!$B$11/R1147),0)</f>
        <v>0</v>
      </c>
      <c r="T1147" s="11" t="n">
        <f aca="false">IF(Q1147,S1147,IF(M1147,0,Y1146))</f>
        <v>572.575070766003</v>
      </c>
      <c r="U1147" s="8" t="n">
        <f aca="false">IF(Q1147,AE1146,AF1146)</f>
        <v>0.835624367549931</v>
      </c>
      <c r="V1147" s="9" t="b">
        <f aca="false">AND(T1147&gt;0,D1147&lt;=U1147)</f>
        <v>0</v>
      </c>
      <c r="W1147" s="10" t="n">
        <f aca="false">IF(V1147,T1147*(AK1147-AB1147)-Inputs!$B$9-T1147*AD1147*Inputs!$B$13*(A1147-AC1147),0)</f>
        <v>0</v>
      </c>
      <c r="X1147" s="10" t="n">
        <f aca="false">P1147-IF(Q1147,Inputs!$B$9,0)+W1147</f>
        <v>944.618668179282</v>
      </c>
      <c r="Y1147" s="11" t="n">
        <f aca="false">IF(V1147,0,T1147)</f>
        <v>572.575070766003</v>
      </c>
      <c r="Z1147" s="9" t="b">
        <f aca="false">AND(Y1147&gt;0,K1147)</f>
        <v>0</v>
      </c>
      <c r="AA1147" s="9" t="b">
        <f aca="false">AND(Y1147=0,J1147,ISNUMBER(L1147))</f>
        <v>0</v>
      </c>
      <c r="AB1147" s="8" t="n">
        <f aca="false">IF(Q1147,R1147,AB1146)</f>
        <v>0.852139558595783</v>
      </c>
      <c r="AC1147" s="12" t="n">
        <f aca="false">IF(Q1147,A1147,AC1146)</f>
        <v>45888</v>
      </c>
      <c r="AD1147" s="8" t="n">
        <f aca="false">IF(Q1147,B1147,AD1146)</f>
        <v>0.85196916476283</v>
      </c>
      <c r="AE1147" s="8" t="str">
        <f aca="false">IF(AA1147,L1147,"")</f>
        <v/>
      </c>
      <c r="AF1147" s="8" t="n">
        <f aca="false">U1147</f>
        <v>0.835624367549931</v>
      </c>
      <c r="AG1147" s="2" t="n">
        <f aca="false">AG1146+IF(Q1147,1,0)</f>
        <v>12</v>
      </c>
      <c r="AH1147" s="2" t="n">
        <f aca="false">AG1146</f>
        <v>12</v>
      </c>
      <c r="AI1147" s="10" t="n">
        <f aca="false">X1147+Y1147*(E1147-AB1147)-Y1147*AD1147*Inputs!$B$13*(A1147-AC1147)</f>
        <v>964.301674501914</v>
      </c>
      <c r="AJ1147" s="10" t="n">
        <v>0</v>
      </c>
      <c r="AK1147" s="8" t="n">
        <f aca="false">IF(AND(B1147&lt;=U1147,NOT(Q1147)),B1147,U1147)*(1-Inputs!$B$12)</f>
        <v>0.835457242676421</v>
      </c>
    </row>
    <row r="1148" customFormat="false" ht="15" hidden="false" customHeight="false" outlineLevel="0" collapsed="false">
      <c r="A1148" s="6" t="n">
        <v>45932</v>
      </c>
      <c r="B1148" s="7" t="n">
        <v>0.893039831028846</v>
      </c>
      <c r="C1148" s="7" t="n">
        <v>0.898964209573602</v>
      </c>
      <c r="D1148" s="7" t="n">
        <v>0.892981766494534</v>
      </c>
      <c r="E1148" s="7" t="n">
        <v>0.897719395921146</v>
      </c>
      <c r="F1148" s="8" t="n">
        <f aca="true">IF(ROW()-2&gt;=Inputs!$B$4,AVERAGE(OFFSET(E1148,1-Inputs!$B$4,0,Inputs!$B$4,1)),"")</f>
        <v>0.883370989747421</v>
      </c>
      <c r="G1148" s="8" t="n">
        <f aca="true">IF(ROW()-2&gt;=Inputs!$B$5,AVERAGE(OFFSET(E1148,1-Inputs!$B$5,0,Inputs!$B$5,1)),"")</f>
        <v>0.868203167988115</v>
      </c>
      <c r="H1148" s="8" t="n">
        <f aca="false">MAX(C1148-D1148,ABS(C1148-E1147),ABS(D1148-E1147))</f>
        <v>0.00598244307906881</v>
      </c>
      <c r="I1148" s="8" t="n">
        <f aca="true">IF(ROW()-2&lt;14,"",IF(ROW()-2=14,AVERAGE(OFFSET(H1148,-13,0,14,1)),(I1147*13+H1148)/14))</f>
        <v>0.00780669902285942</v>
      </c>
      <c r="J1148" s="9" t="b">
        <f aca="false">IF(AND(ISNUMBER(F1148),ISNUMBER(G1148),ISNUMBER(F1147),ISNUMBER(G1147)),AND(F1148&gt;G1148,F1147&lt;=G1147),FALSE())</f>
        <v>0</v>
      </c>
      <c r="K1148" s="9" t="b">
        <f aca="false">IF(AND(ISNUMBER(F1148),ISNUMBER(G1148),ISNUMBER(F1147),ISNUMBER(G1147)),AND(F1148&lt;G1148,F1147&gt;=G1147),FALSE())</f>
        <v>0</v>
      </c>
      <c r="L1148" s="8" t="n">
        <f aca="false">IF(ISNUMBER(I1148),E1148-Inputs!$B$6*I1148,"")</f>
        <v>0.882105997875427</v>
      </c>
      <c r="M1148" s="9" t="b">
        <f aca="false">AND(Y1147&gt;0,Z1147)</f>
        <v>0</v>
      </c>
      <c r="N1148" s="8" t="n">
        <f aca="false">B1148*(1-Inputs!$B$12)</f>
        <v>0.89286122306264</v>
      </c>
      <c r="O1148" s="10" t="n">
        <f aca="false">IF(M1148,Y1147*(N1148-AB1147)-Inputs!$B$9-Y1147*AD1147*Inputs!$B$13*(A1148-AC1147),0)</f>
        <v>0</v>
      </c>
      <c r="P1148" s="10" t="n">
        <f aca="false">X1147+O1148</f>
        <v>944.618668179282</v>
      </c>
      <c r="Q1148" s="9" t="b">
        <f aca="false">AND(IF(M1148,0,Y1147)=0,AA1147,IF(ISNUMBER(AE1147),B1148&gt;AE1147,FALSE()))</f>
        <v>0</v>
      </c>
      <c r="R1148" s="8" t="n">
        <f aca="false">B1148*(1+Inputs!$B$12)</f>
        <v>0.893218438995052</v>
      </c>
      <c r="S1148" s="11" t="n">
        <f aca="false">IF(Q1148,MIN(P1148*Inputs!$B$3/(R1148-AE1147),P1148*Inputs!$B$11/R1148),0)</f>
        <v>0</v>
      </c>
      <c r="T1148" s="11" t="n">
        <f aca="false">IF(Q1148,S1148,IF(M1148,0,Y1147))</f>
        <v>572.575070766003</v>
      </c>
      <c r="U1148" s="8" t="n">
        <f aca="false">IF(Q1148,AE1147,AF1147)</f>
        <v>0.835624367549931</v>
      </c>
      <c r="V1148" s="9" t="b">
        <f aca="false">AND(T1148&gt;0,D1148&lt;=U1148)</f>
        <v>0</v>
      </c>
      <c r="W1148" s="10" t="n">
        <f aca="false">IF(V1148,T1148*(AK1148-AB1148)-Inputs!$B$9-T1148*AD1148*Inputs!$B$13*(A1148-AC1148),0)</f>
        <v>0</v>
      </c>
      <c r="X1148" s="10" t="n">
        <f aca="false">P1148-IF(Q1148,Inputs!$B$9,0)+W1148</f>
        <v>944.618668179282</v>
      </c>
      <c r="Y1148" s="11" t="n">
        <f aca="false">IF(V1148,0,T1148)</f>
        <v>572.575070766003</v>
      </c>
      <c r="Z1148" s="9" t="b">
        <f aca="false">AND(Y1148&gt;0,K1148)</f>
        <v>0</v>
      </c>
      <c r="AA1148" s="9" t="b">
        <f aca="false">AND(Y1148=0,J1148,ISNUMBER(L1148))</f>
        <v>0</v>
      </c>
      <c r="AB1148" s="8" t="n">
        <f aca="false">IF(Q1148,R1148,AB1147)</f>
        <v>0.852139558595783</v>
      </c>
      <c r="AC1148" s="12" t="n">
        <f aca="false">IF(Q1148,A1148,AC1147)</f>
        <v>45888</v>
      </c>
      <c r="AD1148" s="8" t="n">
        <f aca="false">IF(Q1148,B1148,AD1147)</f>
        <v>0.85196916476283</v>
      </c>
      <c r="AE1148" s="8" t="str">
        <f aca="false">IF(AA1148,L1148,"")</f>
        <v/>
      </c>
      <c r="AF1148" s="8" t="n">
        <f aca="false">U1148</f>
        <v>0.835624367549931</v>
      </c>
      <c r="AG1148" s="2" t="n">
        <f aca="false">AG1147+IF(Q1148,1,0)</f>
        <v>12</v>
      </c>
      <c r="AH1148" s="2" t="n">
        <f aca="false">AG1147</f>
        <v>12</v>
      </c>
      <c r="AI1148" s="10" t="n">
        <f aca="false">X1148+Y1148*(E1148-AB1148)-Y1148*AD1148*Inputs!$B$13*(A1148-AC1148)</f>
        <v>966.89420530453</v>
      </c>
      <c r="AJ1148" s="10" t="n">
        <v>0</v>
      </c>
      <c r="AK1148" s="8" t="n">
        <f aca="false">IF(AND(B1148&lt;=U1148,NOT(Q1148)),B1148,U1148)*(1-Inputs!$B$12)</f>
        <v>0.835457242676421</v>
      </c>
    </row>
    <row r="1149" customFormat="false" ht="15" hidden="false" customHeight="false" outlineLevel="0" collapsed="false">
      <c r="A1149" s="6" t="n">
        <v>45933</v>
      </c>
      <c r="B1149" s="7" t="n">
        <v>0.897719395921146</v>
      </c>
      <c r="C1149" s="7" t="n">
        <v>0.899690968686533</v>
      </c>
      <c r="D1149" s="7" t="n">
        <v>0.896888069844827</v>
      </c>
      <c r="E1149" s="7" t="n">
        <v>0.897322046027653</v>
      </c>
      <c r="F1149" s="8" t="n">
        <f aca="true">IF(ROW()-2&gt;=Inputs!$B$4,AVERAGE(OFFSET(E1149,1-Inputs!$B$4,0,Inputs!$B$4,1)),"")</f>
        <v>0.885076478722391</v>
      </c>
      <c r="G1149" s="8" t="n">
        <f aca="true">IF(ROW()-2&gt;=Inputs!$B$5,AVERAGE(OFFSET(E1149,1-Inputs!$B$5,0,Inputs!$B$5,1)),"")</f>
        <v>0.86939700182237</v>
      </c>
      <c r="H1149" s="8" t="n">
        <f aca="false">MAX(C1149-D1149,ABS(C1149-E1148),ABS(D1149-E1148))</f>
        <v>0.00280289884170604</v>
      </c>
      <c r="I1149" s="8" t="n">
        <f aca="true">IF(ROW()-2&lt;14,"",IF(ROW()-2=14,AVERAGE(OFFSET(H1149,-13,0,14,1)),(I1148*13+H1149)/14))</f>
        <v>0.00744928472420561</v>
      </c>
      <c r="J1149" s="9" t="b">
        <f aca="false">IF(AND(ISNUMBER(F1149),ISNUMBER(G1149),ISNUMBER(F1148),ISNUMBER(G1148)),AND(F1149&gt;G1149,F1148&lt;=G1148),FALSE())</f>
        <v>0</v>
      </c>
      <c r="K1149" s="9" t="b">
        <f aca="false">IF(AND(ISNUMBER(F1149),ISNUMBER(G1149),ISNUMBER(F1148),ISNUMBER(G1148)),AND(F1149&lt;G1149,F1148&gt;=G1148),FALSE())</f>
        <v>0</v>
      </c>
      <c r="L1149" s="8" t="n">
        <f aca="false">IF(ISNUMBER(I1149),E1149-Inputs!$B$6*I1149,"")</f>
        <v>0.882423476579242</v>
      </c>
      <c r="M1149" s="9" t="b">
        <f aca="false">AND(Y1148&gt;0,Z1148)</f>
        <v>0</v>
      </c>
      <c r="N1149" s="8" t="n">
        <f aca="false">B1149*(1-Inputs!$B$12)</f>
        <v>0.897539852041962</v>
      </c>
      <c r="O1149" s="10" t="n">
        <f aca="false">IF(M1149,Y1148*(N1149-AB1148)-Inputs!$B$9-Y1148*AD1148*Inputs!$B$13*(A1149-AC1148),0)</f>
        <v>0</v>
      </c>
      <c r="P1149" s="10" t="n">
        <f aca="false">X1148+O1149</f>
        <v>944.618668179282</v>
      </c>
      <c r="Q1149" s="9" t="b">
        <f aca="false">AND(IF(M1149,0,Y1148)=0,AA1148,IF(ISNUMBER(AE1148),B1149&gt;AE1148,FALSE()))</f>
        <v>0</v>
      </c>
      <c r="R1149" s="8" t="n">
        <f aca="false">B1149*(1+Inputs!$B$12)</f>
        <v>0.89789893980033</v>
      </c>
      <c r="S1149" s="11" t="n">
        <f aca="false">IF(Q1149,MIN(P1149*Inputs!$B$3/(R1149-AE1148),P1149*Inputs!$B$11/R1149),0)</f>
        <v>0</v>
      </c>
      <c r="T1149" s="11" t="n">
        <f aca="false">IF(Q1149,S1149,IF(M1149,0,Y1148))</f>
        <v>572.575070766003</v>
      </c>
      <c r="U1149" s="8" t="n">
        <f aca="false">IF(Q1149,AE1148,AF1148)</f>
        <v>0.835624367549931</v>
      </c>
      <c r="V1149" s="9" t="b">
        <f aca="false">AND(T1149&gt;0,D1149&lt;=U1149)</f>
        <v>0</v>
      </c>
      <c r="W1149" s="10" t="n">
        <f aca="false">IF(V1149,T1149*(AK1149-AB1149)-Inputs!$B$9-T1149*AD1149*Inputs!$B$13*(A1149-AC1149),0)</f>
        <v>0</v>
      </c>
      <c r="X1149" s="10" t="n">
        <f aca="false">P1149-IF(Q1149,Inputs!$B$9,0)+W1149</f>
        <v>944.618668179282</v>
      </c>
      <c r="Y1149" s="11" t="n">
        <f aca="false">IF(V1149,0,T1149)</f>
        <v>572.575070766003</v>
      </c>
      <c r="Z1149" s="9" t="b">
        <f aca="false">AND(Y1149&gt;0,K1149)</f>
        <v>0</v>
      </c>
      <c r="AA1149" s="9" t="b">
        <f aca="false">AND(Y1149=0,J1149,ISNUMBER(L1149))</f>
        <v>0</v>
      </c>
      <c r="AB1149" s="8" t="n">
        <f aca="false">IF(Q1149,R1149,AB1148)</f>
        <v>0.852139558595783</v>
      </c>
      <c r="AC1149" s="12" t="n">
        <f aca="false">IF(Q1149,A1149,AC1148)</f>
        <v>45888</v>
      </c>
      <c r="AD1149" s="8" t="n">
        <f aca="false">IF(Q1149,B1149,AD1148)</f>
        <v>0.85196916476283</v>
      </c>
      <c r="AE1149" s="8" t="str">
        <f aca="false">IF(AA1149,L1149,"")</f>
        <v/>
      </c>
      <c r="AF1149" s="8" t="n">
        <f aca="false">U1149</f>
        <v>0.835624367549931</v>
      </c>
      <c r="AG1149" s="2" t="n">
        <f aca="false">AG1148+IF(Q1149,1,0)</f>
        <v>12</v>
      </c>
      <c r="AH1149" s="2" t="n">
        <f aca="false">AG1148</f>
        <v>12</v>
      </c>
      <c r="AI1149" s="10" t="n">
        <f aca="false">X1149+Y1149*(E1149-AB1149)-Y1149*AD1149*Inputs!$B$13*(A1149-AC1149)</f>
        <v>966.579821264399</v>
      </c>
      <c r="AJ1149" s="10" t="n">
        <v>0</v>
      </c>
      <c r="AK1149" s="8" t="n">
        <f aca="false">IF(AND(B1149&lt;=U1149,NOT(Q1149)),B1149,U1149)*(1-Inputs!$B$12)</f>
        <v>0.835457242676421</v>
      </c>
    </row>
    <row r="1150" customFormat="false" ht="15" hidden="false" customHeight="false" outlineLevel="0" collapsed="false">
      <c r="A1150" s="6" t="n">
        <v>45934</v>
      </c>
      <c r="B1150" s="7" t="n">
        <v>0.897322046027653</v>
      </c>
      <c r="C1150" s="7" t="n">
        <v>0.903170536758715</v>
      </c>
      <c r="D1150" s="7" t="n">
        <v>0.887587822551929</v>
      </c>
      <c r="E1150" s="7" t="n">
        <v>0.891021760423157</v>
      </c>
      <c r="F1150" s="8" t="n">
        <f aca="true">IF(ROW()-2&gt;=Inputs!$B$4,AVERAGE(OFFSET(E1150,1-Inputs!$B$4,0,Inputs!$B$4,1)),"")</f>
        <v>0.886240432250026</v>
      </c>
      <c r="G1150" s="8" t="n">
        <f aca="true">IF(ROW()-2&gt;=Inputs!$B$5,AVERAGE(OFFSET(E1150,1-Inputs!$B$5,0,Inputs!$B$5,1)),"")</f>
        <v>0.870275753190102</v>
      </c>
      <c r="H1150" s="8" t="n">
        <f aca="false">MAX(C1150-D1150,ABS(C1150-E1149),ABS(D1150-E1149))</f>
        <v>0.0155827142067861</v>
      </c>
      <c r="I1150" s="8" t="n">
        <f aca="true">IF(ROW()-2&lt;14,"",IF(ROW()-2=14,AVERAGE(OFFSET(H1150,-13,0,14,1)),(I1149*13+H1150)/14))</f>
        <v>0.00803024397296136</v>
      </c>
      <c r="J1150" s="9" t="b">
        <f aca="false">IF(AND(ISNUMBER(F1150),ISNUMBER(G1150),ISNUMBER(F1149),ISNUMBER(G1149)),AND(F1150&gt;G1150,F1149&lt;=G1149),FALSE())</f>
        <v>0</v>
      </c>
      <c r="K1150" s="9" t="b">
        <f aca="false">IF(AND(ISNUMBER(F1150),ISNUMBER(G1150),ISNUMBER(F1149),ISNUMBER(G1149)),AND(F1150&lt;G1150,F1149&gt;=G1149),FALSE())</f>
        <v>0</v>
      </c>
      <c r="L1150" s="8" t="n">
        <f aca="false">IF(ISNUMBER(I1150),E1150-Inputs!$B$6*I1150,"")</f>
        <v>0.874961272477234</v>
      </c>
      <c r="M1150" s="9" t="b">
        <f aca="false">AND(Y1149&gt;0,Z1149)</f>
        <v>0</v>
      </c>
      <c r="N1150" s="8" t="n">
        <f aca="false">B1150*(1-Inputs!$B$12)</f>
        <v>0.897142581618448</v>
      </c>
      <c r="O1150" s="10" t="n">
        <f aca="false">IF(M1150,Y1149*(N1150-AB1149)-Inputs!$B$9-Y1149*AD1149*Inputs!$B$13*(A1150-AC1149),0)</f>
        <v>0</v>
      </c>
      <c r="P1150" s="10" t="n">
        <f aca="false">X1149+O1150</f>
        <v>944.618668179282</v>
      </c>
      <c r="Q1150" s="9" t="b">
        <f aca="false">AND(IF(M1150,0,Y1149)=0,AA1149,IF(ISNUMBER(AE1149),B1150&gt;AE1149,FALSE()))</f>
        <v>0</v>
      </c>
      <c r="R1150" s="8" t="n">
        <f aca="false">B1150*(1+Inputs!$B$12)</f>
        <v>0.897501510436859</v>
      </c>
      <c r="S1150" s="11" t="n">
        <f aca="false">IF(Q1150,MIN(P1150*Inputs!$B$3/(R1150-AE1149),P1150*Inputs!$B$11/R1150),0)</f>
        <v>0</v>
      </c>
      <c r="T1150" s="11" t="n">
        <f aca="false">IF(Q1150,S1150,IF(M1150,0,Y1149))</f>
        <v>572.575070766003</v>
      </c>
      <c r="U1150" s="8" t="n">
        <f aca="false">IF(Q1150,AE1149,AF1149)</f>
        <v>0.835624367549931</v>
      </c>
      <c r="V1150" s="9" t="b">
        <f aca="false">AND(T1150&gt;0,D1150&lt;=U1150)</f>
        <v>0</v>
      </c>
      <c r="W1150" s="10" t="n">
        <f aca="false">IF(V1150,T1150*(AK1150-AB1150)-Inputs!$B$9-T1150*AD1150*Inputs!$B$13*(A1150-AC1150),0)</f>
        <v>0</v>
      </c>
      <c r="X1150" s="10" t="n">
        <f aca="false">P1150-IF(Q1150,Inputs!$B$9,0)+W1150</f>
        <v>944.618668179282</v>
      </c>
      <c r="Y1150" s="11" t="n">
        <f aca="false">IF(V1150,0,T1150)</f>
        <v>572.575070766003</v>
      </c>
      <c r="Z1150" s="9" t="b">
        <f aca="false">AND(Y1150&gt;0,K1150)</f>
        <v>0</v>
      </c>
      <c r="AA1150" s="9" t="b">
        <f aca="false">AND(Y1150=0,J1150,ISNUMBER(L1150))</f>
        <v>0</v>
      </c>
      <c r="AB1150" s="8" t="n">
        <f aca="false">IF(Q1150,R1150,AB1149)</f>
        <v>0.852139558595783</v>
      </c>
      <c r="AC1150" s="12" t="n">
        <f aca="false">IF(Q1150,A1150,AC1149)</f>
        <v>45888</v>
      </c>
      <c r="AD1150" s="8" t="n">
        <f aca="false">IF(Q1150,B1150,AD1149)</f>
        <v>0.85196916476283</v>
      </c>
      <c r="AE1150" s="8" t="str">
        <f aca="false">IF(AA1150,L1150,"")</f>
        <v/>
      </c>
      <c r="AF1150" s="8" t="n">
        <f aca="false">U1150</f>
        <v>0.835624367549931</v>
      </c>
      <c r="AG1150" s="2" t="n">
        <f aca="false">AG1149+IF(Q1150,1,0)</f>
        <v>12</v>
      </c>
      <c r="AH1150" s="2" t="n">
        <f aca="false">AG1149</f>
        <v>12</v>
      </c>
      <c r="AI1150" s="10" t="n">
        <f aca="false">X1150+Y1150*(E1150-AB1150)-Y1150*AD1150*Inputs!$B$13*(A1150-AC1150)</f>
        <v>962.885563391812</v>
      </c>
      <c r="AJ1150" s="10" t="n">
        <v>0</v>
      </c>
      <c r="AK1150" s="8" t="n">
        <f aca="false">IF(AND(B1150&lt;=U1150,NOT(Q1150)),B1150,U1150)*(1-Inputs!$B$12)</f>
        <v>0.835457242676421</v>
      </c>
    </row>
    <row r="1151" customFormat="false" ht="15" hidden="false" customHeight="false" outlineLevel="0" collapsed="false">
      <c r="A1151" s="6" t="n">
        <v>45935</v>
      </c>
      <c r="B1151" s="7" t="n">
        <v>0.891021760423157</v>
      </c>
      <c r="C1151" s="7" t="n">
        <v>0.89282831345</v>
      </c>
      <c r="D1151" s="7" t="n">
        <v>0.887909088077427</v>
      </c>
      <c r="E1151" s="7" t="n">
        <v>0.889636676064738</v>
      </c>
      <c r="F1151" s="8" t="n">
        <f aca="true">IF(ROW()-2&gt;=Inputs!$B$4,AVERAGE(OFFSET(E1151,1-Inputs!$B$4,0,Inputs!$B$4,1)),"")</f>
        <v>0.887263220263832</v>
      </c>
      <c r="G1151" s="8" t="n">
        <f aca="true">IF(ROW()-2&gt;=Inputs!$B$5,AVERAGE(OFFSET(E1151,1-Inputs!$B$5,0,Inputs!$B$5,1)),"")</f>
        <v>0.871170981096289</v>
      </c>
      <c r="H1151" s="8" t="n">
        <f aca="false">MAX(C1151-D1151,ABS(C1151-E1150),ABS(D1151-E1150))</f>
        <v>0.00491922537257339</v>
      </c>
      <c r="I1151" s="8" t="n">
        <f aca="true">IF(ROW()-2&lt;14,"",IF(ROW()-2=14,AVERAGE(OFFSET(H1151,-13,0,14,1)),(I1150*13+H1151)/14))</f>
        <v>0.00780802835864793</v>
      </c>
      <c r="J1151" s="9" t="b">
        <f aca="false">IF(AND(ISNUMBER(F1151),ISNUMBER(G1151),ISNUMBER(F1150),ISNUMBER(G1150)),AND(F1151&gt;G1151,F1150&lt;=G1150),FALSE())</f>
        <v>0</v>
      </c>
      <c r="K1151" s="9" t="b">
        <f aca="false">IF(AND(ISNUMBER(F1151),ISNUMBER(G1151),ISNUMBER(F1150),ISNUMBER(G1150)),AND(F1151&lt;G1151,F1150&gt;=G1150),FALSE())</f>
        <v>0</v>
      </c>
      <c r="L1151" s="8" t="n">
        <f aca="false">IF(ISNUMBER(I1151),E1151-Inputs!$B$6*I1151,"")</f>
        <v>0.874020619347443</v>
      </c>
      <c r="M1151" s="9" t="b">
        <f aca="false">AND(Y1150&gt;0,Z1150)</f>
        <v>0</v>
      </c>
      <c r="N1151" s="8" t="n">
        <f aca="false">B1151*(1-Inputs!$B$12)</f>
        <v>0.890843556071072</v>
      </c>
      <c r="O1151" s="10" t="n">
        <f aca="false">IF(M1151,Y1150*(N1151-AB1150)-Inputs!$B$9-Y1150*AD1150*Inputs!$B$13*(A1151-AC1150),0)</f>
        <v>0</v>
      </c>
      <c r="P1151" s="10" t="n">
        <f aca="false">X1150+O1151</f>
        <v>944.618668179282</v>
      </c>
      <c r="Q1151" s="9" t="b">
        <f aca="false">AND(IF(M1151,0,Y1150)=0,AA1150,IF(ISNUMBER(AE1150),B1151&gt;AE1150,FALSE()))</f>
        <v>0</v>
      </c>
      <c r="R1151" s="8" t="n">
        <f aca="false">B1151*(1+Inputs!$B$12)</f>
        <v>0.891199964775242</v>
      </c>
      <c r="S1151" s="11" t="n">
        <f aca="false">IF(Q1151,MIN(P1151*Inputs!$B$3/(R1151-AE1150),P1151*Inputs!$B$11/R1151),0)</f>
        <v>0</v>
      </c>
      <c r="T1151" s="11" t="n">
        <f aca="false">IF(Q1151,S1151,IF(M1151,0,Y1150))</f>
        <v>572.575070766003</v>
      </c>
      <c r="U1151" s="8" t="n">
        <f aca="false">IF(Q1151,AE1150,AF1150)</f>
        <v>0.835624367549931</v>
      </c>
      <c r="V1151" s="9" t="b">
        <f aca="false">AND(T1151&gt;0,D1151&lt;=U1151)</f>
        <v>0</v>
      </c>
      <c r="W1151" s="10" t="n">
        <f aca="false">IF(V1151,T1151*(AK1151-AB1151)-Inputs!$B$9-T1151*AD1151*Inputs!$B$13*(A1151-AC1151),0)</f>
        <v>0</v>
      </c>
      <c r="X1151" s="10" t="n">
        <f aca="false">P1151-IF(Q1151,Inputs!$B$9,0)+W1151</f>
        <v>944.618668179282</v>
      </c>
      <c r="Y1151" s="11" t="n">
        <f aca="false">IF(V1151,0,T1151)</f>
        <v>572.575070766003</v>
      </c>
      <c r="Z1151" s="9" t="b">
        <f aca="false">AND(Y1151&gt;0,K1151)</f>
        <v>0</v>
      </c>
      <c r="AA1151" s="9" t="b">
        <f aca="false">AND(Y1151=0,J1151,ISNUMBER(L1151))</f>
        <v>0</v>
      </c>
      <c r="AB1151" s="8" t="n">
        <f aca="false">IF(Q1151,R1151,AB1150)</f>
        <v>0.852139558595783</v>
      </c>
      <c r="AC1151" s="12" t="n">
        <f aca="false">IF(Q1151,A1151,AC1150)</f>
        <v>45888</v>
      </c>
      <c r="AD1151" s="8" t="n">
        <f aca="false">IF(Q1151,B1151,AD1150)</f>
        <v>0.85196916476283</v>
      </c>
      <c r="AE1151" s="8" t="str">
        <f aca="false">IF(AA1151,L1151,"")</f>
        <v/>
      </c>
      <c r="AF1151" s="8" t="n">
        <f aca="false">U1151</f>
        <v>0.835624367549931</v>
      </c>
      <c r="AG1151" s="2" t="n">
        <f aca="false">AG1150+IF(Q1151,1,0)</f>
        <v>12</v>
      </c>
      <c r="AH1151" s="2" t="n">
        <f aca="false">AG1150</f>
        <v>12</v>
      </c>
      <c r="AI1151" s="10" t="n">
        <f aca="false">X1151+Y1151*(E1151-AB1151)-Y1151*AD1151*Inputs!$B$13*(A1151-AC1151)</f>
        <v>962.005627220528</v>
      </c>
      <c r="AJ1151" s="10" t="n">
        <v>0</v>
      </c>
      <c r="AK1151" s="8" t="n">
        <f aca="false">IF(AND(B1151&lt;=U1151,NOT(Q1151)),B1151,U1151)*(1-Inputs!$B$12)</f>
        <v>0.835457242676421</v>
      </c>
    </row>
    <row r="1152" customFormat="false" ht="15" hidden="false" customHeight="false" outlineLevel="0" collapsed="false">
      <c r="A1152" s="6" t="n">
        <v>45936</v>
      </c>
      <c r="B1152" s="7" t="n">
        <v>0.889636676064738</v>
      </c>
      <c r="C1152" s="7" t="n">
        <v>0.893850740130774</v>
      </c>
      <c r="D1152" s="7" t="n">
        <v>0.88957410170375</v>
      </c>
      <c r="E1152" s="7" t="n">
        <v>0.892870230301818</v>
      </c>
      <c r="F1152" s="8" t="n">
        <f aca="true">IF(ROW()-2&gt;=Inputs!$B$4,AVERAGE(OFFSET(E1152,1-Inputs!$B$4,0,Inputs!$B$4,1)),"")</f>
        <v>0.888182580215055</v>
      </c>
      <c r="G1152" s="8" t="n">
        <f aca="true">IF(ROW()-2&gt;=Inputs!$B$5,AVERAGE(OFFSET(E1152,1-Inputs!$B$5,0,Inputs!$B$5,1)),"")</f>
        <v>0.87207214557259</v>
      </c>
      <c r="H1152" s="8" t="n">
        <f aca="false">MAX(C1152-D1152,ABS(C1152-E1151),ABS(D1152-E1151))</f>
        <v>0.00427663842702364</v>
      </c>
      <c r="I1152" s="8" t="n">
        <f aca="true">IF(ROW()-2&lt;14,"",IF(ROW()-2=14,AVERAGE(OFFSET(H1152,-13,0,14,1)),(I1151*13+H1152)/14))</f>
        <v>0.00755578622067477</v>
      </c>
      <c r="J1152" s="9" t="b">
        <f aca="false">IF(AND(ISNUMBER(F1152),ISNUMBER(G1152),ISNUMBER(F1151),ISNUMBER(G1151)),AND(F1152&gt;G1152,F1151&lt;=G1151),FALSE())</f>
        <v>0</v>
      </c>
      <c r="K1152" s="9" t="b">
        <f aca="false">IF(AND(ISNUMBER(F1152),ISNUMBER(G1152),ISNUMBER(F1151),ISNUMBER(G1151)),AND(F1152&lt;G1152,F1151&gt;=G1151),FALSE())</f>
        <v>0</v>
      </c>
      <c r="L1152" s="8" t="n">
        <f aca="false">IF(ISNUMBER(I1152),E1152-Inputs!$B$6*I1152,"")</f>
        <v>0.877758657860469</v>
      </c>
      <c r="M1152" s="9" t="b">
        <f aca="false">AND(Y1151&gt;0,Z1151)</f>
        <v>0</v>
      </c>
      <c r="N1152" s="8" t="n">
        <f aca="false">B1152*(1-Inputs!$B$12)</f>
        <v>0.889458748729525</v>
      </c>
      <c r="O1152" s="10" t="n">
        <f aca="false">IF(M1152,Y1151*(N1152-AB1151)-Inputs!$B$9-Y1151*AD1151*Inputs!$B$13*(A1152-AC1151),0)</f>
        <v>0</v>
      </c>
      <c r="P1152" s="10" t="n">
        <f aca="false">X1151+O1152</f>
        <v>944.618668179282</v>
      </c>
      <c r="Q1152" s="9" t="b">
        <f aca="false">AND(IF(M1152,0,Y1151)=0,AA1151,IF(ISNUMBER(AE1151),B1152&gt;AE1151,FALSE()))</f>
        <v>0</v>
      </c>
      <c r="R1152" s="8" t="n">
        <f aca="false">B1152*(1+Inputs!$B$12)</f>
        <v>0.889814603399951</v>
      </c>
      <c r="S1152" s="11" t="n">
        <f aca="false">IF(Q1152,MIN(P1152*Inputs!$B$3/(R1152-AE1151),P1152*Inputs!$B$11/R1152),0)</f>
        <v>0</v>
      </c>
      <c r="T1152" s="11" t="n">
        <f aca="false">IF(Q1152,S1152,IF(M1152,0,Y1151))</f>
        <v>572.575070766003</v>
      </c>
      <c r="U1152" s="8" t="n">
        <f aca="false">IF(Q1152,AE1151,AF1151)</f>
        <v>0.835624367549931</v>
      </c>
      <c r="V1152" s="9" t="b">
        <f aca="false">AND(T1152&gt;0,D1152&lt;=U1152)</f>
        <v>0</v>
      </c>
      <c r="W1152" s="10" t="n">
        <f aca="false">IF(V1152,T1152*(AK1152-AB1152)-Inputs!$B$9-T1152*AD1152*Inputs!$B$13*(A1152-AC1152),0)</f>
        <v>0</v>
      </c>
      <c r="X1152" s="10" t="n">
        <f aca="false">P1152-IF(Q1152,Inputs!$B$9,0)+W1152</f>
        <v>944.618668179282</v>
      </c>
      <c r="Y1152" s="11" t="n">
        <f aca="false">IF(V1152,0,T1152)</f>
        <v>572.575070766003</v>
      </c>
      <c r="Z1152" s="9" t="b">
        <f aca="false">AND(Y1152&gt;0,K1152)</f>
        <v>0</v>
      </c>
      <c r="AA1152" s="9" t="b">
        <f aca="false">AND(Y1152=0,J1152,ISNUMBER(L1152))</f>
        <v>0</v>
      </c>
      <c r="AB1152" s="8" t="n">
        <f aca="false">IF(Q1152,R1152,AB1151)</f>
        <v>0.852139558595783</v>
      </c>
      <c r="AC1152" s="12" t="n">
        <f aca="false">IF(Q1152,A1152,AC1151)</f>
        <v>45888</v>
      </c>
      <c r="AD1152" s="8" t="n">
        <f aca="false">IF(Q1152,B1152,AD1151)</f>
        <v>0.85196916476283</v>
      </c>
      <c r="AE1152" s="8" t="str">
        <f aca="false">IF(AA1152,L1152,"")</f>
        <v/>
      </c>
      <c r="AF1152" s="8" t="n">
        <f aca="false">U1152</f>
        <v>0.835624367549931</v>
      </c>
      <c r="AG1152" s="2" t="n">
        <f aca="false">AG1151+IF(Q1152,1,0)</f>
        <v>12</v>
      </c>
      <c r="AH1152" s="2" t="n">
        <f aca="false">AG1151</f>
        <v>12</v>
      </c>
      <c r="AI1152" s="10" t="n">
        <f aca="false">X1152+Y1152*(E1152-AB1152)-Y1152*AD1152*Inputs!$B$13*(A1152-AC1152)</f>
        <v>963.770208369903</v>
      </c>
      <c r="AJ1152" s="10" t="n">
        <v>0</v>
      </c>
      <c r="AK1152" s="8" t="n">
        <f aca="false">IF(AND(B1152&lt;=U1152,NOT(Q1152)),B1152,U1152)*(1-Inputs!$B$12)</f>
        <v>0.835457242676421</v>
      </c>
    </row>
    <row r="1153" customFormat="false" ht="15" hidden="false" customHeight="false" outlineLevel="0" collapsed="false">
      <c r="A1153" s="6" t="n">
        <v>45937</v>
      </c>
      <c r="B1153" s="7" t="n">
        <v>0.892870230301818</v>
      </c>
      <c r="C1153" s="7" t="n">
        <v>0.897217361815714</v>
      </c>
      <c r="D1153" s="7" t="n">
        <v>0.887149490056786</v>
      </c>
      <c r="E1153" s="7" t="n">
        <v>0.888227673380703</v>
      </c>
      <c r="F1153" s="8" t="n">
        <f aca="true">IF(ROW()-2&gt;=Inputs!$B$4,AVERAGE(OFFSET(E1153,1-Inputs!$B$4,0,Inputs!$B$4,1)),"")</f>
        <v>0.888962189312904</v>
      </c>
      <c r="G1153" s="8" t="n">
        <f aca="true">IF(ROW()-2&gt;=Inputs!$B$5,AVERAGE(OFFSET(E1153,1-Inputs!$B$5,0,Inputs!$B$5,1)),"")</f>
        <v>0.872797315744948</v>
      </c>
      <c r="H1153" s="8" t="n">
        <f aca="false">MAX(C1153-D1153,ABS(C1153-E1152),ABS(D1153-E1152))</f>
        <v>0.0100678717589279</v>
      </c>
      <c r="I1153" s="8" t="n">
        <f aca="true">IF(ROW()-2&lt;14,"",IF(ROW()-2=14,AVERAGE(OFFSET(H1153,-13,0,14,1)),(I1152*13+H1153)/14))</f>
        <v>0.00773522090197856</v>
      </c>
      <c r="J1153" s="9" t="b">
        <f aca="false">IF(AND(ISNUMBER(F1153),ISNUMBER(G1153),ISNUMBER(F1152),ISNUMBER(G1152)),AND(F1153&gt;G1153,F1152&lt;=G1152),FALSE())</f>
        <v>0</v>
      </c>
      <c r="K1153" s="9" t="b">
        <f aca="false">IF(AND(ISNUMBER(F1153),ISNUMBER(G1153),ISNUMBER(F1152),ISNUMBER(G1152)),AND(F1153&lt;G1153,F1152&gt;=G1152),FALSE())</f>
        <v>0</v>
      </c>
      <c r="L1153" s="8" t="n">
        <f aca="false">IF(ISNUMBER(I1153),E1153-Inputs!$B$6*I1153,"")</f>
        <v>0.872757231576746</v>
      </c>
      <c r="M1153" s="9" t="b">
        <f aca="false">AND(Y1152&gt;0,Z1152)</f>
        <v>0</v>
      </c>
      <c r="N1153" s="8" t="n">
        <f aca="false">B1153*(1-Inputs!$B$12)</f>
        <v>0.892691656255758</v>
      </c>
      <c r="O1153" s="10" t="n">
        <f aca="false">IF(M1153,Y1152*(N1153-AB1152)-Inputs!$B$9-Y1152*AD1152*Inputs!$B$13*(A1153-AC1152),0)</f>
        <v>0</v>
      </c>
      <c r="P1153" s="10" t="n">
        <f aca="false">X1152+O1153</f>
        <v>944.618668179282</v>
      </c>
      <c r="Q1153" s="9" t="b">
        <f aca="false">AND(IF(M1153,0,Y1152)=0,AA1152,IF(ISNUMBER(AE1152),B1153&gt;AE1152,FALSE()))</f>
        <v>0</v>
      </c>
      <c r="R1153" s="8" t="n">
        <f aca="false">B1153*(1+Inputs!$B$12)</f>
        <v>0.893048804347878</v>
      </c>
      <c r="S1153" s="11" t="n">
        <f aca="false">IF(Q1153,MIN(P1153*Inputs!$B$3/(R1153-AE1152),P1153*Inputs!$B$11/R1153),0)</f>
        <v>0</v>
      </c>
      <c r="T1153" s="11" t="n">
        <f aca="false">IF(Q1153,S1153,IF(M1153,0,Y1152))</f>
        <v>572.575070766003</v>
      </c>
      <c r="U1153" s="8" t="n">
        <f aca="false">IF(Q1153,AE1152,AF1152)</f>
        <v>0.835624367549931</v>
      </c>
      <c r="V1153" s="9" t="b">
        <f aca="false">AND(T1153&gt;0,D1153&lt;=U1153)</f>
        <v>0</v>
      </c>
      <c r="W1153" s="10" t="n">
        <f aca="false">IF(V1153,T1153*(AK1153-AB1153)-Inputs!$B$9-T1153*AD1153*Inputs!$B$13*(A1153-AC1153),0)</f>
        <v>0</v>
      </c>
      <c r="X1153" s="10" t="n">
        <f aca="false">P1153-IF(Q1153,Inputs!$B$9,0)+W1153</f>
        <v>944.618668179282</v>
      </c>
      <c r="Y1153" s="11" t="n">
        <f aca="false">IF(V1153,0,T1153)</f>
        <v>572.575070766003</v>
      </c>
      <c r="Z1153" s="9" t="b">
        <f aca="false">AND(Y1153&gt;0,K1153)</f>
        <v>0</v>
      </c>
      <c r="AA1153" s="9" t="b">
        <f aca="false">AND(Y1153=0,J1153,ISNUMBER(L1153))</f>
        <v>0</v>
      </c>
      <c r="AB1153" s="8" t="n">
        <f aca="false">IF(Q1153,R1153,AB1152)</f>
        <v>0.852139558595783</v>
      </c>
      <c r="AC1153" s="12" t="n">
        <f aca="false">IF(Q1153,A1153,AC1152)</f>
        <v>45888</v>
      </c>
      <c r="AD1153" s="8" t="n">
        <f aca="false">IF(Q1153,B1153,AD1152)</f>
        <v>0.85196916476283</v>
      </c>
      <c r="AE1153" s="8" t="str">
        <f aca="false">IF(AA1153,L1153,"")</f>
        <v/>
      </c>
      <c r="AF1153" s="8" t="n">
        <f aca="false">U1153</f>
        <v>0.835624367549931</v>
      </c>
      <c r="AG1153" s="2" t="n">
        <f aca="false">AG1152+IF(Q1153,1,0)</f>
        <v>12</v>
      </c>
      <c r="AH1153" s="2" t="n">
        <f aca="false">AG1152</f>
        <v>12</v>
      </c>
      <c r="AI1153" s="10" t="n">
        <f aca="false">X1153+Y1153*(E1153-AB1153)-Y1153*AD1153*Inputs!$B$13*(A1153-AC1153)</f>
        <v>961.025124615515</v>
      </c>
      <c r="AJ1153" s="10" t="n">
        <v>0</v>
      </c>
      <c r="AK1153" s="8" t="n">
        <f aca="false">IF(AND(B1153&lt;=U1153,NOT(Q1153)),B1153,U1153)*(1-Inputs!$B$12)</f>
        <v>0.835457242676421</v>
      </c>
    </row>
    <row r="1154" customFormat="false" ht="15" hidden="false" customHeight="false" outlineLevel="0" collapsed="false">
      <c r="A1154" s="6" t="n">
        <v>45938</v>
      </c>
      <c r="B1154" s="7" t="n">
        <v>0.888227673380703</v>
      </c>
      <c r="C1154" s="7" t="n">
        <v>0.898336351662922</v>
      </c>
      <c r="D1154" s="7" t="n">
        <v>0.887539556641139</v>
      </c>
      <c r="E1154" s="7" t="n">
        <v>0.892321128661903</v>
      </c>
      <c r="F1154" s="8" t="n">
        <f aca="true">IF(ROW()-2&gt;=Inputs!$B$4,AVERAGE(OFFSET(E1154,1-Inputs!$B$4,0,Inputs!$B$4,1)),"")</f>
        <v>0.889629390859693</v>
      </c>
      <c r="G1154" s="8" t="n">
        <f aca="true">IF(ROW()-2&gt;=Inputs!$B$5,AVERAGE(OFFSET(E1154,1-Inputs!$B$5,0,Inputs!$B$5,1)),"")</f>
        <v>0.873558975054968</v>
      </c>
      <c r="H1154" s="8" t="n">
        <f aca="false">MAX(C1154-D1154,ABS(C1154-E1153),ABS(D1154-E1153))</f>
        <v>0.0107967950217828</v>
      </c>
      <c r="I1154" s="8" t="n">
        <f aca="true">IF(ROW()-2&lt;14,"",IF(ROW()-2=14,AVERAGE(OFFSET(H1154,-13,0,14,1)),(I1153*13+H1154)/14))</f>
        <v>0.00795390476767886</v>
      </c>
      <c r="J1154" s="9" t="b">
        <f aca="false">IF(AND(ISNUMBER(F1154),ISNUMBER(G1154),ISNUMBER(F1153),ISNUMBER(G1153)),AND(F1154&gt;G1154,F1153&lt;=G1153),FALSE())</f>
        <v>0</v>
      </c>
      <c r="K1154" s="9" t="b">
        <f aca="false">IF(AND(ISNUMBER(F1154),ISNUMBER(G1154),ISNUMBER(F1153),ISNUMBER(G1153)),AND(F1154&lt;G1154,F1153&gt;=G1153),FALSE())</f>
        <v>0</v>
      </c>
      <c r="L1154" s="8" t="n">
        <f aca="false">IF(ISNUMBER(I1154),E1154-Inputs!$B$6*I1154,"")</f>
        <v>0.876413319126545</v>
      </c>
      <c r="M1154" s="9" t="b">
        <f aca="false">AND(Y1153&gt;0,Z1153)</f>
        <v>0</v>
      </c>
      <c r="N1154" s="8" t="n">
        <f aca="false">B1154*(1-Inputs!$B$12)</f>
        <v>0.888050027846027</v>
      </c>
      <c r="O1154" s="10" t="n">
        <f aca="false">IF(M1154,Y1153*(N1154-AB1153)-Inputs!$B$9-Y1153*AD1153*Inputs!$B$13*(A1154-AC1153),0)</f>
        <v>0</v>
      </c>
      <c r="P1154" s="10" t="n">
        <f aca="false">X1153+O1154</f>
        <v>944.618668179282</v>
      </c>
      <c r="Q1154" s="9" t="b">
        <f aca="false">AND(IF(M1154,0,Y1153)=0,AA1153,IF(ISNUMBER(AE1153),B1154&gt;AE1153,FALSE()))</f>
        <v>0</v>
      </c>
      <c r="R1154" s="8" t="n">
        <f aca="false">B1154*(1+Inputs!$B$12)</f>
        <v>0.888405318915379</v>
      </c>
      <c r="S1154" s="11" t="n">
        <f aca="false">IF(Q1154,MIN(P1154*Inputs!$B$3/(R1154-AE1153),P1154*Inputs!$B$11/R1154),0)</f>
        <v>0</v>
      </c>
      <c r="T1154" s="11" t="n">
        <f aca="false">IF(Q1154,S1154,IF(M1154,0,Y1153))</f>
        <v>572.575070766003</v>
      </c>
      <c r="U1154" s="8" t="n">
        <f aca="false">IF(Q1154,AE1153,AF1153)</f>
        <v>0.835624367549931</v>
      </c>
      <c r="V1154" s="9" t="b">
        <f aca="false">AND(T1154&gt;0,D1154&lt;=U1154)</f>
        <v>0</v>
      </c>
      <c r="W1154" s="10" t="n">
        <f aca="false">IF(V1154,T1154*(AK1154-AB1154)-Inputs!$B$9-T1154*AD1154*Inputs!$B$13*(A1154-AC1154),0)</f>
        <v>0</v>
      </c>
      <c r="X1154" s="10" t="n">
        <f aca="false">P1154-IF(Q1154,Inputs!$B$9,0)+W1154</f>
        <v>944.618668179282</v>
      </c>
      <c r="Y1154" s="11" t="n">
        <f aca="false">IF(V1154,0,T1154)</f>
        <v>572.575070766003</v>
      </c>
      <c r="Z1154" s="9" t="b">
        <f aca="false">AND(Y1154&gt;0,K1154)</f>
        <v>0</v>
      </c>
      <c r="AA1154" s="9" t="b">
        <f aca="false">AND(Y1154=0,J1154,ISNUMBER(L1154))</f>
        <v>0</v>
      </c>
      <c r="AB1154" s="8" t="n">
        <f aca="false">IF(Q1154,R1154,AB1153)</f>
        <v>0.852139558595783</v>
      </c>
      <c r="AC1154" s="12" t="n">
        <f aca="false">IF(Q1154,A1154,AC1153)</f>
        <v>45888</v>
      </c>
      <c r="AD1154" s="8" t="n">
        <f aca="false">IF(Q1154,B1154,AD1153)</f>
        <v>0.85196916476283</v>
      </c>
      <c r="AE1154" s="8" t="str">
        <f aca="false">IF(AA1154,L1154,"")</f>
        <v/>
      </c>
      <c r="AF1154" s="8" t="n">
        <f aca="false">U1154</f>
        <v>0.835624367549931</v>
      </c>
      <c r="AG1154" s="2" t="n">
        <f aca="false">AG1153+IF(Q1154,1,0)</f>
        <v>12</v>
      </c>
      <c r="AH1154" s="2" t="n">
        <f aca="false">AG1153</f>
        <v>12</v>
      </c>
      <c r="AI1154" s="10" t="n">
        <f aca="false">X1154+Y1154*(E1154-AB1154)-Y1154*AD1154*Inputs!$B$13*(A1154-AC1154)</f>
        <v>963.282063666079</v>
      </c>
      <c r="AJ1154" s="10" t="n">
        <v>0</v>
      </c>
      <c r="AK1154" s="8" t="n">
        <f aca="false">IF(AND(B1154&lt;=U1154,NOT(Q1154)),B1154,U1154)*(1-Inputs!$B$12)</f>
        <v>0.835457242676421</v>
      </c>
    </row>
    <row r="1155" customFormat="false" ht="15" hidden="false" customHeight="false" outlineLevel="0" collapsed="false">
      <c r="A1155" s="6" t="n">
        <v>45939</v>
      </c>
      <c r="B1155" s="7" t="n">
        <v>0.892321128661903</v>
      </c>
      <c r="C1155" s="7" t="n">
        <v>0.895001014229983</v>
      </c>
      <c r="D1155" s="7" t="n">
        <v>0.887158606253104</v>
      </c>
      <c r="E1155" s="7" t="n">
        <v>0.89368157072511</v>
      </c>
      <c r="F1155" s="8" t="n">
        <f aca="true">IF(ROW()-2&gt;=Inputs!$B$4,AVERAGE(OFFSET(E1155,1-Inputs!$B$4,0,Inputs!$B$4,1)),"")</f>
        <v>0.890862423307913</v>
      </c>
      <c r="G1155" s="8" t="n">
        <f aca="true">IF(ROW()-2&gt;=Inputs!$B$5,AVERAGE(OFFSET(E1155,1-Inputs!$B$5,0,Inputs!$B$5,1)),"")</f>
        <v>0.874358505904326</v>
      </c>
      <c r="H1155" s="8" t="n">
        <f aca="false">MAX(C1155-D1155,ABS(C1155-E1154),ABS(D1155-E1154))</f>
        <v>0.00784240797687863</v>
      </c>
      <c r="I1155" s="8" t="n">
        <f aca="true">IF(ROW()-2&lt;14,"",IF(ROW()-2=14,AVERAGE(OFFSET(H1155,-13,0,14,1)),(I1154*13+H1155)/14))</f>
        <v>0.00794594071119313</v>
      </c>
      <c r="J1155" s="9" t="b">
        <f aca="false">IF(AND(ISNUMBER(F1155),ISNUMBER(G1155),ISNUMBER(F1154),ISNUMBER(G1154)),AND(F1155&gt;G1155,F1154&lt;=G1154),FALSE())</f>
        <v>0</v>
      </c>
      <c r="K1155" s="9" t="b">
        <f aca="false">IF(AND(ISNUMBER(F1155),ISNUMBER(G1155),ISNUMBER(F1154),ISNUMBER(G1154)),AND(F1155&lt;G1155,F1154&gt;=G1154),FALSE())</f>
        <v>0</v>
      </c>
      <c r="L1155" s="8" t="n">
        <f aca="false">IF(ISNUMBER(I1155),E1155-Inputs!$B$6*I1155,"")</f>
        <v>0.877789689302724</v>
      </c>
      <c r="M1155" s="9" t="b">
        <f aca="false">AND(Y1154&gt;0,Z1154)</f>
        <v>0</v>
      </c>
      <c r="N1155" s="8" t="n">
        <f aca="false">B1155*(1-Inputs!$B$12)</f>
        <v>0.89214266443617</v>
      </c>
      <c r="O1155" s="10" t="n">
        <f aca="false">IF(M1155,Y1154*(N1155-AB1154)-Inputs!$B$9-Y1154*AD1154*Inputs!$B$13*(A1155-AC1154),0)</f>
        <v>0</v>
      </c>
      <c r="P1155" s="10" t="n">
        <f aca="false">X1154+O1155</f>
        <v>944.618668179282</v>
      </c>
      <c r="Q1155" s="9" t="b">
        <f aca="false">AND(IF(M1155,0,Y1154)=0,AA1154,IF(ISNUMBER(AE1154),B1155&gt;AE1154,FALSE()))</f>
        <v>0</v>
      </c>
      <c r="R1155" s="8" t="n">
        <f aca="false">B1155*(1+Inputs!$B$12)</f>
        <v>0.892499592887635</v>
      </c>
      <c r="S1155" s="11" t="n">
        <f aca="false">IF(Q1155,MIN(P1155*Inputs!$B$3/(R1155-AE1154),P1155*Inputs!$B$11/R1155),0)</f>
        <v>0</v>
      </c>
      <c r="T1155" s="11" t="n">
        <f aca="false">IF(Q1155,S1155,IF(M1155,0,Y1154))</f>
        <v>572.575070766003</v>
      </c>
      <c r="U1155" s="8" t="n">
        <f aca="false">IF(Q1155,AE1154,AF1154)</f>
        <v>0.835624367549931</v>
      </c>
      <c r="V1155" s="9" t="b">
        <f aca="false">AND(T1155&gt;0,D1155&lt;=U1155)</f>
        <v>0</v>
      </c>
      <c r="W1155" s="10" t="n">
        <f aca="false">IF(V1155,T1155*(AK1155-AB1155)-Inputs!$B$9-T1155*AD1155*Inputs!$B$13*(A1155-AC1155),0)</f>
        <v>0</v>
      </c>
      <c r="X1155" s="10" t="n">
        <f aca="false">P1155-IF(Q1155,Inputs!$B$9,0)+W1155</f>
        <v>944.618668179282</v>
      </c>
      <c r="Y1155" s="11" t="n">
        <f aca="false">IF(V1155,0,T1155)</f>
        <v>572.575070766003</v>
      </c>
      <c r="Z1155" s="9" t="b">
        <f aca="false">AND(Y1155&gt;0,K1155)</f>
        <v>0</v>
      </c>
      <c r="AA1155" s="9" t="b">
        <f aca="false">AND(Y1155=0,J1155,ISNUMBER(L1155))</f>
        <v>0</v>
      </c>
      <c r="AB1155" s="8" t="n">
        <f aca="false">IF(Q1155,R1155,AB1154)</f>
        <v>0.852139558595783</v>
      </c>
      <c r="AC1155" s="12" t="n">
        <f aca="false">IF(Q1155,A1155,AC1154)</f>
        <v>45888</v>
      </c>
      <c r="AD1155" s="8" t="n">
        <f aca="false">IF(Q1155,B1155,AD1154)</f>
        <v>0.85196916476283</v>
      </c>
      <c r="AE1155" s="8" t="str">
        <f aca="false">IF(AA1155,L1155,"")</f>
        <v/>
      </c>
      <c r="AF1155" s="8" t="n">
        <f aca="false">U1155</f>
        <v>0.835624367549931</v>
      </c>
      <c r="AG1155" s="2" t="n">
        <f aca="false">AG1154+IF(Q1155,1,0)</f>
        <v>12</v>
      </c>
      <c r="AH1155" s="2" t="n">
        <f aca="false">AG1154</f>
        <v>12</v>
      </c>
      <c r="AI1155" s="10" t="n">
        <f aca="false">X1155+Y1155*(E1155-AB1155)-Y1155*AD1155*Inputs!$B$13*(A1155-AC1155)</f>
        <v>963.974147479947</v>
      </c>
      <c r="AJ1155" s="10" t="n">
        <v>0</v>
      </c>
      <c r="AK1155" s="8" t="n">
        <f aca="false">IF(AND(B1155&lt;=U1155,NOT(Q1155)),B1155,U1155)*(1-Inputs!$B$12)</f>
        <v>0.835457242676421</v>
      </c>
    </row>
    <row r="1156" customFormat="false" ht="15" hidden="false" customHeight="false" outlineLevel="0" collapsed="false">
      <c r="A1156" s="6" t="n">
        <v>45940</v>
      </c>
      <c r="B1156" s="7" t="n">
        <v>0.89368157072511</v>
      </c>
      <c r="C1156" s="7" t="n">
        <v>0.895464125020487</v>
      </c>
      <c r="D1156" s="7" t="n">
        <v>0.884958465137194</v>
      </c>
      <c r="E1156" s="7" t="n">
        <v>0.887217043732702</v>
      </c>
      <c r="F1156" s="8" t="n">
        <f aca="true">IF(ROW()-2&gt;=Inputs!$B$4,AVERAGE(OFFSET(E1156,1-Inputs!$B$4,0,Inputs!$B$4,1)),"")</f>
        <v>0.891512124957902</v>
      </c>
      <c r="G1156" s="8" t="n">
        <f aca="true">IF(ROW()-2&gt;=Inputs!$B$5,AVERAGE(OFFSET(E1156,1-Inputs!$B$5,0,Inputs!$B$5,1)),"")</f>
        <v>0.874958671589894</v>
      </c>
      <c r="H1156" s="8" t="n">
        <f aca="false">MAX(C1156-D1156,ABS(C1156-E1155),ABS(D1156-E1155))</f>
        <v>0.0105056598832932</v>
      </c>
      <c r="I1156" s="8" t="n">
        <f aca="true">IF(ROW()-2&lt;14,"",IF(ROW()-2=14,AVERAGE(OFFSET(H1156,-13,0,14,1)),(I1155*13+H1156)/14))</f>
        <v>0.00812877779491457</v>
      </c>
      <c r="J1156" s="9" t="b">
        <f aca="false">IF(AND(ISNUMBER(F1156),ISNUMBER(G1156),ISNUMBER(F1155),ISNUMBER(G1155)),AND(F1156&gt;G1156,F1155&lt;=G1155),FALSE())</f>
        <v>0</v>
      </c>
      <c r="K1156" s="9" t="b">
        <f aca="false">IF(AND(ISNUMBER(F1156),ISNUMBER(G1156),ISNUMBER(F1155),ISNUMBER(G1155)),AND(F1156&lt;G1156,F1155&gt;=G1155),FALSE())</f>
        <v>0</v>
      </c>
      <c r="L1156" s="8" t="n">
        <f aca="false">IF(ISNUMBER(I1156),E1156-Inputs!$B$6*I1156,"")</f>
        <v>0.870959488142873</v>
      </c>
      <c r="M1156" s="9" t="b">
        <f aca="false">AND(Y1155&gt;0,Z1155)</f>
        <v>0</v>
      </c>
      <c r="N1156" s="8" t="n">
        <f aca="false">B1156*(1-Inputs!$B$12)</f>
        <v>0.893502834410965</v>
      </c>
      <c r="O1156" s="10" t="n">
        <f aca="false">IF(M1156,Y1155*(N1156-AB1155)-Inputs!$B$9-Y1155*AD1155*Inputs!$B$13*(A1156-AC1155),0)</f>
        <v>0</v>
      </c>
      <c r="P1156" s="10" t="n">
        <f aca="false">X1155+O1156</f>
        <v>944.618668179282</v>
      </c>
      <c r="Q1156" s="9" t="b">
        <f aca="false">AND(IF(M1156,0,Y1155)=0,AA1155,IF(ISNUMBER(AE1155),B1156&gt;AE1155,FALSE()))</f>
        <v>0</v>
      </c>
      <c r="R1156" s="8" t="n">
        <f aca="false">B1156*(1+Inputs!$B$12)</f>
        <v>0.893860307039255</v>
      </c>
      <c r="S1156" s="11" t="n">
        <f aca="false">IF(Q1156,MIN(P1156*Inputs!$B$3/(R1156-AE1155),P1156*Inputs!$B$11/R1156),0)</f>
        <v>0</v>
      </c>
      <c r="T1156" s="11" t="n">
        <f aca="false">IF(Q1156,S1156,IF(M1156,0,Y1155))</f>
        <v>572.575070766003</v>
      </c>
      <c r="U1156" s="8" t="n">
        <f aca="false">IF(Q1156,AE1155,AF1155)</f>
        <v>0.835624367549931</v>
      </c>
      <c r="V1156" s="9" t="b">
        <f aca="false">AND(T1156&gt;0,D1156&lt;=U1156)</f>
        <v>0</v>
      </c>
      <c r="W1156" s="10" t="n">
        <f aca="false">IF(V1156,T1156*(AK1156-AB1156)-Inputs!$B$9-T1156*AD1156*Inputs!$B$13*(A1156-AC1156),0)</f>
        <v>0</v>
      </c>
      <c r="X1156" s="10" t="n">
        <f aca="false">P1156-IF(Q1156,Inputs!$B$9,0)+W1156</f>
        <v>944.618668179282</v>
      </c>
      <c r="Y1156" s="11" t="n">
        <f aca="false">IF(V1156,0,T1156)</f>
        <v>572.575070766003</v>
      </c>
      <c r="Z1156" s="9" t="b">
        <f aca="false">AND(Y1156&gt;0,K1156)</f>
        <v>0</v>
      </c>
      <c r="AA1156" s="9" t="b">
        <f aca="false">AND(Y1156=0,J1156,ISNUMBER(L1156))</f>
        <v>0</v>
      </c>
      <c r="AB1156" s="8" t="n">
        <f aca="false">IF(Q1156,R1156,AB1155)</f>
        <v>0.852139558595783</v>
      </c>
      <c r="AC1156" s="12" t="n">
        <f aca="false">IF(Q1156,A1156,AC1155)</f>
        <v>45888</v>
      </c>
      <c r="AD1156" s="8" t="n">
        <f aca="false">IF(Q1156,B1156,AD1155)</f>
        <v>0.85196916476283</v>
      </c>
      <c r="AE1156" s="8" t="str">
        <f aca="false">IF(AA1156,L1156,"")</f>
        <v/>
      </c>
      <c r="AF1156" s="8" t="n">
        <f aca="false">U1156</f>
        <v>0.835624367549931</v>
      </c>
      <c r="AG1156" s="2" t="n">
        <f aca="false">AG1155+IF(Q1156,1,0)</f>
        <v>12</v>
      </c>
      <c r="AH1156" s="2" t="n">
        <f aca="false">AG1155</f>
        <v>12</v>
      </c>
      <c r="AI1156" s="10" t="n">
        <f aca="false">X1156+Y1156*(E1156-AB1156)-Y1156*AD1156*Inputs!$B$13*(A1156-AC1156)</f>
        <v>960.185849083054</v>
      </c>
      <c r="AJ1156" s="10" t="n">
        <v>0</v>
      </c>
      <c r="AK1156" s="8" t="n">
        <f aca="false">IF(AND(B1156&lt;=U1156,NOT(Q1156)),B1156,U1156)*(1-Inputs!$B$12)</f>
        <v>0.835457242676421</v>
      </c>
    </row>
    <row r="1157" customFormat="false" ht="15" hidden="false" customHeight="false" outlineLevel="0" collapsed="false">
      <c r="A1157" s="6" t="n">
        <v>45941</v>
      </c>
      <c r="B1157" s="7" t="n">
        <v>0.887217043732702</v>
      </c>
      <c r="C1157" s="7" t="n">
        <v>0.890665510156083</v>
      </c>
      <c r="D1157" s="7" t="n">
        <v>0.8816030605655</v>
      </c>
      <c r="E1157" s="7" t="n">
        <v>0.88580755017232</v>
      </c>
      <c r="F1157" s="8" t="n">
        <f aca="true">IF(ROW()-2&gt;=Inputs!$B$4,AVERAGE(OFFSET(E1157,1-Inputs!$B$4,0,Inputs!$B$4,1)),"")</f>
        <v>0.891772154037394</v>
      </c>
      <c r="G1157" s="8" t="n">
        <f aca="true">IF(ROW()-2&gt;=Inputs!$B$5,AVERAGE(OFFSET(E1157,1-Inputs!$B$5,0,Inputs!$B$5,1)),"")</f>
        <v>0.875626997522827</v>
      </c>
      <c r="H1157" s="8" t="n">
        <f aca="false">MAX(C1157-D1157,ABS(C1157-E1156),ABS(D1157-E1156))</f>
        <v>0.00906244959058322</v>
      </c>
      <c r="I1157" s="8" t="n">
        <f aca="true">IF(ROW()-2&lt;14,"",IF(ROW()-2=14,AVERAGE(OFFSET(H1157,-13,0,14,1)),(I1156*13+H1157)/14))</f>
        <v>0.00819546863746233</v>
      </c>
      <c r="J1157" s="9" t="b">
        <f aca="false">IF(AND(ISNUMBER(F1157),ISNUMBER(G1157),ISNUMBER(F1156),ISNUMBER(G1156)),AND(F1157&gt;G1157,F1156&lt;=G1156),FALSE())</f>
        <v>0</v>
      </c>
      <c r="K1157" s="9" t="b">
        <f aca="false">IF(AND(ISNUMBER(F1157),ISNUMBER(G1157),ISNUMBER(F1156),ISNUMBER(G1156)),AND(F1157&lt;G1157,F1156&gt;=G1156),FALSE())</f>
        <v>0</v>
      </c>
      <c r="L1157" s="8" t="n">
        <f aca="false">IF(ISNUMBER(I1157),E1157-Inputs!$B$6*I1157,"")</f>
        <v>0.869416612897395</v>
      </c>
      <c r="M1157" s="9" t="b">
        <f aca="false">AND(Y1156&gt;0,Z1156)</f>
        <v>0</v>
      </c>
      <c r="N1157" s="8" t="n">
        <f aca="false">B1157*(1-Inputs!$B$12)</f>
        <v>0.887039600323956</v>
      </c>
      <c r="O1157" s="10" t="n">
        <f aca="false">IF(M1157,Y1156*(N1157-AB1156)-Inputs!$B$9-Y1156*AD1156*Inputs!$B$13*(A1157-AC1156),0)</f>
        <v>0</v>
      </c>
      <c r="P1157" s="10" t="n">
        <f aca="false">X1156+O1157</f>
        <v>944.618668179282</v>
      </c>
      <c r="Q1157" s="9" t="b">
        <f aca="false">AND(IF(M1157,0,Y1156)=0,AA1156,IF(ISNUMBER(AE1156),B1157&gt;AE1156,FALSE()))</f>
        <v>0</v>
      </c>
      <c r="R1157" s="8" t="n">
        <f aca="false">B1157*(1+Inputs!$B$12)</f>
        <v>0.887394487141449</v>
      </c>
      <c r="S1157" s="11" t="n">
        <f aca="false">IF(Q1157,MIN(P1157*Inputs!$B$3/(R1157-AE1156),P1157*Inputs!$B$11/R1157),0)</f>
        <v>0</v>
      </c>
      <c r="T1157" s="11" t="n">
        <f aca="false">IF(Q1157,S1157,IF(M1157,0,Y1156))</f>
        <v>572.575070766003</v>
      </c>
      <c r="U1157" s="8" t="n">
        <f aca="false">IF(Q1157,AE1156,AF1156)</f>
        <v>0.835624367549931</v>
      </c>
      <c r="V1157" s="9" t="b">
        <f aca="false">AND(T1157&gt;0,D1157&lt;=U1157)</f>
        <v>0</v>
      </c>
      <c r="W1157" s="10" t="n">
        <f aca="false">IF(V1157,T1157*(AK1157-AB1157)-Inputs!$B$9-T1157*AD1157*Inputs!$B$13*(A1157-AC1157),0)</f>
        <v>0</v>
      </c>
      <c r="X1157" s="10" t="n">
        <f aca="false">P1157-IF(Q1157,Inputs!$B$9,0)+W1157</f>
        <v>944.618668179282</v>
      </c>
      <c r="Y1157" s="11" t="n">
        <f aca="false">IF(V1157,0,T1157)</f>
        <v>572.575070766003</v>
      </c>
      <c r="Z1157" s="9" t="b">
        <f aca="false">AND(Y1157&gt;0,K1157)</f>
        <v>0</v>
      </c>
      <c r="AA1157" s="9" t="b">
        <f aca="false">AND(Y1157=0,J1157,ISNUMBER(L1157))</f>
        <v>0</v>
      </c>
      <c r="AB1157" s="8" t="n">
        <f aca="false">IF(Q1157,R1157,AB1156)</f>
        <v>0.852139558595783</v>
      </c>
      <c r="AC1157" s="12" t="n">
        <f aca="false">IF(Q1157,A1157,AC1156)</f>
        <v>45888</v>
      </c>
      <c r="AD1157" s="8" t="n">
        <f aca="false">IF(Q1157,B1157,AD1156)</f>
        <v>0.85196916476283</v>
      </c>
      <c r="AE1157" s="8" t="str">
        <f aca="false">IF(AA1157,L1157,"")</f>
        <v/>
      </c>
      <c r="AF1157" s="8" t="n">
        <f aca="false">U1157</f>
        <v>0.835624367549931</v>
      </c>
      <c r="AG1157" s="2" t="n">
        <f aca="false">AG1156+IF(Q1157,1,0)</f>
        <v>12</v>
      </c>
      <c r="AH1157" s="2" t="n">
        <f aca="false">AG1156</f>
        <v>12</v>
      </c>
      <c r="AI1157" s="10" t="n">
        <f aca="false">X1157+Y1157*(E1157-AB1157)-Y1157*AD1157*Inputs!$B$13*(A1157-AC1157)</f>
        <v>959.291936811228</v>
      </c>
      <c r="AJ1157" s="10" t="n">
        <v>0</v>
      </c>
      <c r="AK1157" s="8" t="n">
        <f aca="false">IF(AND(B1157&lt;=U1157,NOT(Q1157)),B1157,U1157)*(1-Inputs!$B$12)</f>
        <v>0.835457242676421</v>
      </c>
    </row>
    <row r="1158" customFormat="false" ht="15" hidden="false" customHeight="false" outlineLevel="0" collapsed="false">
      <c r="A1158" s="6" t="n">
        <v>45942</v>
      </c>
      <c r="B1158" s="7" t="n">
        <v>0.88580755017232</v>
      </c>
      <c r="C1158" s="7" t="n">
        <v>0.889970404362081</v>
      </c>
      <c r="D1158" s="7" t="n">
        <v>0.878790065306075</v>
      </c>
      <c r="E1158" s="7" t="n">
        <v>0.887416601943914</v>
      </c>
      <c r="F1158" s="8" t="n">
        <f aca="true">IF(ROW()-2&gt;=Inputs!$B$4,AVERAGE(OFFSET(E1158,1-Inputs!$B$4,0,Inputs!$B$4,1)),"")</f>
        <v>0.891760081634516</v>
      </c>
      <c r="G1158" s="8" t="n">
        <f aca="true">IF(ROW()-2&gt;=Inputs!$B$5,AVERAGE(OFFSET(E1158,1-Inputs!$B$5,0,Inputs!$B$5,1)),"")</f>
        <v>0.876321544650355</v>
      </c>
      <c r="H1158" s="8" t="n">
        <f aca="false">MAX(C1158-D1158,ABS(C1158-E1157),ABS(D1158-E1157))</f>
        <v>0.0111803390560051</v>
      </c>
      <c r="I1158" s="8" t="n">
        <f aca="true">IF(ROW()-2&lt;14,"",IF(ROW()-2=14,AVERAGE(OFFSET(H1158,-13,0,14,1)),(I1157*13+H1158)/14))</f>
        <v>0.00840867366735824</v>
      </c>
      <c r="J1158" s="9" t="b">
        <f aca="false">IF(AND(ISNUMBER(F1158),ISNUMBER(G1158),ISNUMBER(F1157),ISNUMBER(G1157)),AND(F1158&gt;G1158,F1157&lt;=G1157),FALSE())</f>
        <v>0</v>
      </c>
      <c r="K1158" s="9" t="b">
        <f aca="false">IF(AND(ISNUMBER(F1158),ISNUMBER(G1158),ISNUMBER(F1157),ISNUMBER(G1157)),AND(F1158&lt;G1158,F1157&gt;=G1157),FALSE())</f>
        <v>0</v>
      </c>
      <c r="L1158" s="8" t="n">
        <f aca="false">IF(ISNUMBER(I1158),E1158-Inputs!$B$6*I1158,"")</f>
        <v>0.870599254609198</v>
      </c>
      <c r="M1158" s="9" t="b">
        <f aca="false">AND(Y1157&gt;0,Z1157)</f>
        <v>0</v>
      </c>
      <c r="N1158" s="8" t="n">
        <f aca="false">B1158*(1-Inputs!$B$12)</f>
        <v>0.885630388662286</v>
      </c>
      <c r="O1158" s="10" t="n">
        <f aca="false">IF(M1158,Y1157*(N1158-AB1157)-Inputs!$B$9-Y1157*AD1157*Inputs!$B$13*(A1158-AC1157),0)</f>
        <v>0</v>
      </c>
      <c r="P1158" s="10" t="n">
        <f aca="false">X1157+O1158</f>
        <v>944.618668179282</v>
      </c>
      <c r="Q1158" s="9" t="b">
        <f aca="false">AND(IF(M1158,0,Y1157)=0,AA1157,IF(ISNUMBER(AE1157),B1158&gt;AE1157,FALSE()))</f>
        <v>0</v>
      </c>
      <c r="R1158" s="8" t="n">
        <f aca="false">B1158*(1+Inputs!$B$12)</f>
        <v>0.885984711682354</v>
      </c>
      <c r="S1158" s="11" t="n">
        <f aca="false">IF(Q1158,MIN(P1158*Inputs!$B$3/(R1158-AE1157),P1158*Inputs!$B$11/R1158),0)</f>
        <v>0</v>
      </c>
      <c r="T1158" s="11" t="n">
        <f aca="false">IF(Q1158,S1158,IF(M1158,0,Y1157))</f>
        <v>572.575070766003</v>
      </c>
      <c r="U1158" s="8" t="n">
        <f aca="false">IF(Q1158,AE1157,AF1157)</f>
        <v>0.835624367549931</v>
      </c>
      <c r="V1158" s="9" t="b">
        <f aca="false">AND(T1158&gt;0,D1158&lt;=U1158)</f>
        <v>0</v>
      </c>
      <c r="W1158" s="10" t="n">
        <f aca="false">IF(V1158,T1158*(AK1158-AB1158)-Inputs!$B$9-T1158*AD1158*Inputs!$B$13*(A1158-AC1158),0)</f>
        <v>0</v>
      </c>
      <c r="X1158" s="10" t="n">
        <f aca="false">P1158-IF(Q1158,Inputs!$B$9,0)+W1158</f>
        <v>944.618668179282</v>
      </c>
      <c r="Y1158" s="11" t="n">
        <f aca="false">IF(V1158,0,T1158)</f>
        <v>572.575070766003</v>
      </c>
      <c r="Z1158" s="9" t="b">
        <f aca="false">AND(Y1158&gt;0,K1158)</f>
        <v>0</v>
      </c>
      <c r="AA1158" s="9" t="b">
        <f aca="false">AND(Y1158=0,J1158,ISNUMBER(L1158))</f>
        <v>0</v>
      </c>
      <c r="AB1158" s="8" t="n">
        <f aca="false">IF(Q1158,R1158,AB1157)</f>
        <v>0.852139558595783</v>
      </c>
      <c r="AC1158" s="12" t="n">
        <f aca="false">IF(Q1158,A1158,AC1157)</f>
        <v>45888</v>
      </c>
      <c r="AD1158" s="8" t="n">
        <f aca="false">IF(Q1158,B1158,AD1157)</f>
        <v>0.85196916476283</v>
      </c>
      <c r="AE1158" s="8" t="str">
        <f aca="false">IF(AA1158,L1158,"")</f>
        <v/>
      </c>
      <c r="AF1158" s="8" t="n">
        <f aca="false">U1158</f>
        <v>0.835624367549931</v>
      </c>
      <c r="AG1158" s="2" t="n">
        <f aca="false">AG1157+IF(Q1158,1,0)</f>
        <v>12</v>
      </c>
      <c r="AH1158" s="2" t="n">
        <f aca="false">AG1157</f>
        <v>12</v>
      </c>
      <c r="AI1158" s="10" t="n">
        <f aca="false">X1158+Y1158*(E1158-AB1158)-Y1158*AD1158*Inputs!$B$13*(A1158-AC1158)</f>
        <v>960.126368346469</v>
      </c>
      <c r="AJ1158" s="10" t="n">
        <v>0</v>
      </c>
      <c r="AK1158" s="8" t="n">
        <f aca="false">IF(AND(B1158&lt;=U1158,NOT(Q1158)),B1158,U1158)*(1-Inputs!$B$12)</f>
        <v>0.835457242676421</v>
      </c>
    </row>
    <row r="1159" customFormat="false" ht="15" hidden="false" customHeight="false" outlineLevel="0" collapsed="false">
      <c r="A1159" s="6" t="n">
        <v>45943</v>
      </c>
      <c r="B1159" s="7" t="n">
        <v>0.887416601943914</v>
      </c>
      <c r="C1159" s="7" t="n">
        <v>0.900779378336501</v>
      </c>
      <c r="D1159" s="7" t="n">
        <v>0.883495289437929</v>
      </c>
      <c r="E1159" s="7" t="n">
        <v>0.898135990738967</v>
      </c>
      <c r="F1159" s="8" t="n">
        <f aca="true">IF(ROW()-2&gt;=Inputs!$B$4,AVERAGE(OFFSET(E1159,1-Inputs!$B$4,0,Inputs!$B$4,1)),"")</f>
        <v>0.892207527043471</v>
      </c>
      <c r="G1159" s="8" t="n">
        <f aca="true">IF(ROW()-2&gt;=Inputs!$B$5,AVERAGE(OFFSET(E1159,1-Inputs!$B$5,0,Inputs!$B$5,1)),"")</f>
        <v>0.877080771066127</v>
      </c>
      <c r="H1159" s="8" t="n">
        <f aca="false">MAX(C1159-D1159,ABS(C1159-E1158),ABS(D1159-E1158))</f>
        <v>0.0172840888985719</v>
      </c>
      <c r="I1159" s="8" t="n">
        <f aca="true">IF(ROW()-2&lt;14,"",IF(ROW()-2=14,AVERAGE(OFFSET(H1159,-13,0,14,1)),(I1158*13+H1159)/14))</f>
        <v>0.00904263189815922</v>
      </c>
      <c r="J1159" s="9" t="b">
        <f aca="false">IF(AND(ISNUMBER(F1159),ISNUMBER(G1159),ISNUMBER(F1158),ISNUMBER(G1158)),AND(F1159&gt;G1159,F1158&lt;=G1158),FALSE())</f>
        <v>0</v>
      </c>
      <c r="K1159" s="9" t="b">
        <f aca="false">IF(AND(ISNUMBER(F1159),ISNUMBER(G1159),ISNUMBER(F1158),ISNUMBER(G1158)),AND(F1159&lt;G1159,F1158&gt;=G1158),FALSE())</f>
        <v>0</v>
      </c>
      <c r="L1159" s="8" t="n">
        <f aca="false">IF(ISNUMBER(I1159),E1159-Inputs!$B$6*I1159,"")</f>
        <v>0.880050726942649</v>
      </c>
      <c r="M1159" s="9" t="b">
        <f aca="false">AND(Y1158&gt;0,Z1158)</f>
        <v>0</v>
      </c>
      <c r="N1159" s="8" t="n">
        <f aca="false">B1159*(1-Inputs!$B$12)</f>
        <v>0.887239118623525</v>
      </c>
      <c r="O1159" s="10" t="n">
        <f aca="false">IF(M1159,Y1158*(N1159-AB1158)-Inputs!$B$9-Y1158*AD1158*Inputs!$B$13*(A1159-AC1158),0)</f>
        <v>0</v>
      </c>
      <c r="P1159" s="10" t="n">
        <f aca="false">X1158+O1159</f>
        <v>944.618668179282</v>
      </c>
      <c r="Q1159" s="9" t="b">
        <f aca="false">AND(IF(M1159,0,Y1158)=0,AA1158,IF(ISNUMBER(AE1158),B1159&gt;AE1158,FALSE()))</f>
        <v>0</v>
      </c>
      <c r="R1159" s="8" t="n">
        <f aca="false">B1159*(1+Inputs!$B$12)</f>
        <v>0.887594085264303</v>
      </c>
      <c r="S1159" s="11" t="n">
        <f aca="false">IF(Q1159,MIN(P1159*Inputs!$B$3/(R1159-AE1158),P1159*Inputs!$B$11/R1159),0)</f>
        <v>0</v>
      </c>
      <c r="T1159" s="11" t="n">
        <f aca="false">IF(Q1159,S1159,IF(M1159,0,Y1158))</f>
        <v>572.575070766003</v>
      </c>
      <c r="U1159" s="8" t="n">
        <f aca="false">IF(Q1159,AE1158,AF1158)</f>
        <v>0.835624367549931</v>
      </c>
      <c r="V1159" s="9" t="b">
        <f aca="false">AND(T1159&gt;0,D1159&lt;=U1159)</f>
        <v>0</v>
      </c>
      <c r="W1159" s="10" t="n">
        <f aca="false">IF(V1159,T1159*(AK1159-AB1159)-Inputs!$B$9-T1159*AD1159*Inputs!$B$13*(A1159-AC1159),0)</f>
        <v>0</v>
      </c>
      <c r="X1159" s="10" t="n">
        <f aca="false">P1159-IF(Q1159,Inputs!$B$9,0)+W1159</f>
        <v>944.618668179282</v>
      </c>
      <c r="Y1159" s="11" t="n">
        <f aca="false">IF(V1159,0,T1159)</f>
        <v>572.575070766003</v>
      </c>
      <c r="Z1159" s="9" t="b">
        <f aca="false">AND(Y1159&gt;0,K1159)</f>
        <v>0</v>
      </c>
      <c r="AA1159" s="9" t="b">
        <f aca="false">AND(Y1159=0,J1159,ISNUMBER(L1159))</f>
        <v>0</v>
      </c>
      <c r="AB1159" s="8" t="n">
        <f aca="false">IF(Q1159,R1159,AB1158)</f>
        <v>0.852139558595783</v>
      </c>
      <c r="AC1159" s="12" t="n">
        <f aca="false">IF(Q1159,A1159,AC1158)</f>
        <v>45888</v>
      </c>
      <c r="AD1159" s="8" t="n">
        <f aca="false">IF(Q1159,B1159,AD1158)</f>
        <v>0.85196916476283</v>
      </c>
      <c r="AE1159" s="8" t="str">
        <f aca="false">IF(AA1159,L1159,"")</f>
        <v/>
      </c>
      <c r="AF1159" s="8" t="n">
        <f aca="false">U1159</f>
        <v>0.835624367549931</v>
      </c>
      <c r="AG1159" s="2" t="n">
        <f aca="false">AG1158+IF(Q1159,1,0)</f>
        <v>12</v>
      </c>
      <c r="AH1159" s="2" t="n">
        <f aca="false">AG1158</f>
        <v>12</v>
      </c>
      <c r="AI1159" s="10" t="n">
        <f aca="false">X1159+Y1159*(E1159-AB1159)-Y1159*AD1159*Inputs!$B$13*(A1159-AC1159)</f>
        <v>966.177151747619</v>
      </c>
      <c r="AJ1159" s="10" t="n">
        <v>0</v>
      </c>
      <c r="AK1159" s="8" t="n">
        <f aca="false">IF(AND(B1159&lt;=U1159,NOT(Q1159)),B1159,U1159)*(1-Inputs!$B$12)</f>
        <v>0.835457242676421</v>
      </c>
    </row>
    <row r="1160" customFormat="false" ht="15" hidden="false" customHeight="false" outlineLevel="0" collapsed="false">
      <c r="A1160" s="6" t="n">
        <v>45944</v>
      </c>
      <c r="B1160" s="7" t="n">
        <v>0.898135990738967</v>
      </c>
      <c r="C1160" s="7" t="n">
        <v>0.901815383778717</v>
      </c>
      <c r="D1160" s="7" t="n">
        <v>0.891209990723925</v>
      </c>
      <c r="E1160" s="7" t="n">
        <v>0.89374661114472</v>
      </c>
      <c r="F1160" s="8" t="n">
        <f aca="true">IF(ROW()-2&gt;=Inputs!$B$4,AVERAGE(OFFSET(E1160,1-Inputs!$B$4,0,Inputs!$B$4,1)),"")</f>
        <v>0.892224042675066</v>
      </c>
      <c r="G1160" s="8" t="n">
        <f aca="true">IF(ROW()-2&gt;=Inputs!$B$5,AVERAGE(OFFSET(E1160,1-Inputs!$B$5,0,Inputs!$B$5,1)),"")</f>
        <v>0.877696795184102</v>
      </c>
      <c r="H1160" s="8" t="n">
        <f aca="false">MAX(C1160-D1160,ABS(C1160-E1159),ABS(D1160-E1159))</f>
        <v>0.0106053930547921</v>
      </c>
      <c r="I1160" s="8" t="n">
        <f aca="true">IF(ROW()-2&lt;14,"",IF(ROW()-2=14,AVERAGE(OFFSET(H1160,-13,0,14,1)),(I1159*13+H1160)/14))</f>
        <v>0.00915425769506157</v>
      </c>
      <c r="J1160" s="9" t="b">
        <f aca="false">IF(AND(ISNUMBER(F1160),ISNUMBER(G1160),ISNUMBER(F1159),ISNUMBER(G1159)),AND(F1160&gt;G1160,F1159&lt;=G1159),FALSE())</f>
        <v>0</v>
      </c>
      <c r="K1160" s="9" t="b">
        <f aca="false">IF(AND(ISNUMBER(F1160),ISNUMBER(G1160),ISNUMBER(F1159),ISNUMBER(G1159)),AND(F1160&lt;G1160,F1159&gt;=G1159),FALSE())</f>
        <v>0</v>
      </c>
      <c r="L1160" s="8" t="n">
        <f aca="false">IF(ISNUMBER(I1160),E1160-Inputs!$B$6*I1160,"")</f>
        <v>0.875438095754596</v>
      </c>
      <c r="M1160" s="9" t="b">
        <f aca="false">AND(Y1159&gt;0,Z1159)</f>
        <v>0</v>
      </c>
      <c r="N1160" s="8" t="n">
        <f aca="false">B1160*(1-Inputs!$B$12)</f>
        <v>0.897956363540819</v>
      </c>
      <c r="O1160" s="10" t="n">
        <f aca="false">IF(M1160,Y1159*(N1160-AB1159)-Inputs!$B$9-Y1159*AD1159*Inputs!$B$13*(A1160-AC1159),0)</f>
        <v>0</v>
      </c>
      <c r="P1160" s="10" t="n">
        <f aca="false">X1159+O1160</f>
        <v>944.618668179282</v>
      </c>
      <c r="Q1160" s="9" t="b">
        <f aca="false">AND(IF(M1160,0,Y1159)=0,AA1159,IF(ISNUMBER(AE1159),B1160&gt;AE1159,FALSE()))</f>
        <v>0</v>
      </c>
      <c r="R1160" s="8" t="n">
        <f aca="false">B1160*(1+Inputs!$B$12)</f>
        <v>0.898315617937115</v>
      </c>
      <c r="S1160" s="11" t="n">
        <f aca="false">IF(Q1160,MIN(P1160*Inputs!$B$3/(R1160-AE1159),P1160*Inputs!$B$11/R1160),0)</f>
        <v>0</v>
      </c>
      <c r="T1160" s="11" t="n">
        <f aca="false">IF(Q1160,S1160,IF(M1160,0,Y1159))</f>
        <v>572.575070766003</v>
      </c>
      <c r="U1160" s="8" t="n">
        <f aca="false">IF(Q1160,AE1159,AF1159)</f>
        <v>0.835624367549931</v>
      </c>
      <c r="V1160" s="9" t="b">
        <f aca="false">AND(T1160&gt;0,D1160&lt;=U1160)</f>
        <v>0</v>
      </c>
      <c r="W1160" s="10" t="n">
        <f aca="false">IF(V1160,T1160*(AK1160-AB1160)-Inputs!$B$9-T1160*AD1160*Inputs!$B$13*(A1160-AC1160),0)</f>
        <v>0</v>
      </c>
      <c r="X1160" s="10" t="n">
        <f aca="false">P1160-IF(Q1160,Inputs!$B$9,0)+W1160</f>
        <v>944.618668179282</v>
      </c>
      <c r="Y1160" s="11" t="n">
        <f aca="false">IF(V1160,0,T1160)</f>
        <v>572.575070766003</v>
      </c>
      <c r="Z1160" s="9" t="b">
        <f aca="false">AND(Y1160&gt;0,K1160)</f>
        <v>0</v>
      </c>
      <c r="AA1160" s="9" t="b">
        <f aca="false">AND(Y1160=0,J1160,ISNUMBER(L1160))</f>
        <v>0</v>
      </c>
      <c r="AB1160" s="8" t="n">
        <f aca="false">IF(Q1160,R1160,AB1159)</f>
        <v>0.852139558595783</v>
      </c>
      <c r="AC1160" s="12" t="n">
        <f aca="false">IF(Q1160,A1160,AC1159)</f>
        <v>45888</v>
      </c>
      <c r="AD1160" s="8" t="n">
        <f aca="false">IF(Q1160,B1160,AD1159)</f>
        <v>0.85196916476283</v>
      </c>
      <c r="AE1160" s="8" t="str">
        <f aca="false">IF(AA1160,L1160,"")</f>
        <v/>
      </c>
      <c r="AF1160" s="8" t="n">
        <f aca="false">U1160</f>
        <v>0.835624367549931</v>
      </c>
      <c r="AG1160" s="2" t="n">
        <f aca="false">AG1159+IF(Q1160,1,0)</f>
        <v>12</v>
      </c>
      <c r="AH1160" s="2" t="n">
        <f aca="false">AG1159</f>
        <v>12</v>
      </c>
      <c r="AI1160" s="10" t="n">
        <f aca="false">X1160+Y1160*(E1160-AB1160)-Y1160*AD1160*Inputs!$B$13*(A1160-AC1160)</f>
        <v>963.577031019078</v>
      </c>
      <c r="AJ1160" s="10" t="n">
        <v>0</v>
      </c>
      <c r="AK1160" s="8" t="n">
        <f aca="false">IF(AND(B1160&lt;=U1160,NOT(Q1160)),B1160,U1160)*(1-Inputs!$B$12)</f>
        <v>0.835457242676421</v>
      </c>
    </row>
    <row r="1161" customFormat="false" ht="15" hidden="false" customHeight="false" outlineLevel="0" collapsed="false">
      <c r="A1161" s="6" t="n">
        <v>45945</v>
      </c>
      <c r="B1161" s="7" t="n">
        <v>0.89374661114472</v>
      </c>
      <c r="C1161" s="7" t="n">
        <v>0.897560283712555</v>
      </c>
      <c r="D1161" s="7" t="n">
        <v>0.886045990394964</v>
      </c>
      <c r="E1161" s="7" t="n">
        <v>0.887809488403636</v>
      </c>
      <c r="F1161" s="8" t="n">
        <f aca="true">IF(ROW()-2&gt;=Inputs!$B$4,AVERAGE(OFFSET(E1161,1-Inputs!$B$4,0,Inputs!$B$4,1)),"")</f>
        <v>0.892123731642521</v>
      </c>
      <c r="G1161" s="8" t="n">
        <f aca="true">IF(ROW()-2&gt;=Inputs!$B$5,AVERAGE(OFFSET(E1161,1-Inputs!$B$5,0,Inputs!$B$5,1)),"")</f>
        <v>0.878228496045852</v>
      </c>
      <c r="H1161" s="8" t="n">
        <f aca="false">MAX(C1161-D1161,ABS(C1161-E1160),ABS(D1161-E1160))</f>
        <v>0.0115142933175909</v>
      </c>
      <c r="I1161" s="8" t="n">
        <f aca="true">IF(ROW()-2&lt;14,"",IF(ROW()-2=14,AVERAGE(OFFSET(H1161,-13,0,14,1)),(I1160*13+H1161)/14))</f>
        <v>0.00932283166809938</v>
      </c>
      <c r="J1161" s="9" t="b">
        <f aca="false">IF(AND(ISNUMBER(F1161),ISNUMBER(G1161),ISNUMBER(F1160),ISNUMBER(G1160)),AND(F1161&gt;G1161,F1160&lt;=G1160),FALSE())</f>
        <v>0</v>
      </c>
      <c r="K1161" s="9" t="b">
        <f aca="false">IF(AND(ISNUMBER(F1161),ISNUMBER(G1161),ISNUMBER(F1160),ISNUMBER(G1160)),AND(F1161&lt;G1161,F1160&gt;=G1160),FALSE())</f>
        <v>0</v>
      </c>
      <c r="L1161" s="8" t="n">
        <f aca="false">IF(ISNUMBER(I1161),E1161-Inputs!$B$6*I1161,"")</f>
        <v>0.869163825067437</v>
      </c>
      <c r="M1161" s="9" t="b">
        <f aca="false">AND(Y1160&gt;0,Z1160)</f>
        <v>0</v>
      </c>
      <c r="N1161" s="8" t="n">
        <f aca="false">B1161*(1-Inputs!$B$12)</f>
        <v>0.893567861822491</v>
      </c>
      <c r="O1161" s="10" t="n">
        <f aca="false">IF(M1161,Y1160*(N1161-AB1160)-Inputs!$B$9-Y1160*AD1160*Inputs!$B$13*(A1161-AC1160),0)</f>
        <v>0</v>
      </c>
      <c r="P1161" s="10" t="n">
        <f aca="false">X1160+O1161</f>
        <v>944.618668179282</v>
      </c>
      <c r="Q1161" s="9" t="b">
        <f aca="false">AND(IF(M1161,0,Y1160)=0,AA1160,IF(ISNUMBER(AE1160),B1161&gt;AE1160,FALSE()))</f>
        <v>0</v>
      </c>
      <c r="R1161" s="8" t="n">
        <f aca="false">B1161*(1+Inputs!$B$12)</f>
        <v>0.893925360466949</v>
      </c>
      <c r="S1161" s="11" t="n">
        <f aca="false">IF(Q1161,MIN(P1161*Inputs!$B$3/(R1161-AE1160),P1161*Inputs!$B$11/R1161),0)</f>
        <v>0</v>
      </c>
      <c r="T1161" s="11" t="n">
        <f aca="false">IF(Q1161,S1161,IF(M1161,0,Y1160))</f>
        <v>572.575070766003</v>
      </c>
      <c r="U1161" s="8" t="n">
        <f aca="false">IF(Q1161,AE1160,AF1160)</f>
        <v>0.835624367549931</v>
      </c>
      <c r="V1161" s="9" t="b">
        <f aca="false">AND(T1161&gt;0,D1161&lt;=U1161)</f>
        <v>0</v>
      </c>
      <c r="W1161" s="10" t="n">
        <f aca="false">IF(V1161,T1161*(AK1161-AB1161)-Inputs!$B$9-T1161*AD1161*Inputs!$B$13*(A1161-AC1161),0)</f>
        <v>0</v>
      </c>
      <c r="X1161" s="10" t="n">
        <f aca="false">P1161-IF(Q1161,Inputs!$B$9,0)+W1161</f>
        <v>944.618668179282</v>
      </c>
      <c r="Y1161" s="11" t="n">
        <f aca="false">IF(V1161,0,T1161)</f>
        <v>572.575070766003</v>
      </c>
      <c r="Z1161" s="9" t="b">
        <f aca="false">AND(Y1161&gt;0,K1161)</f>
        <v>0</v>
      </c>
      <c r="AA1161" s="9" t="b">
        <f aca="false">AND(Y1161=0,J1161,ISNUMBER(L1161))</f>
        <v>0</v>
      </c>
      <c r="AB1161" s="8" t="n">
        <f aca="false">IF(Q1161,R1161,AB1160)</f>
        <v>0.852139558595783</v>
      </c>
      <c r="AC1161" s="12" t="n">
        <f aca="false">IF(Q1161,A1161,AC1160)</f>
        <v>45888</v>
      </c>
      <c r="AD1161" s="8" t="n">
        <f aca="false">IF(Q1161,B1161,AD1160)</f>
        <v>0.85196916476283</v>
      </c>
      <c r="AE1161" s="8" t="str">
        <f aca="false">IF(AA1161,L1161,"")</f>
        <v/>
      </c>
      <c r="AF1161" s="8" t="n">
        <f aca="false">U1161</f>
        <v>0.835624367549931</v>
      </c>
      <c r="AG1161" s="2" t="n">
        <f aca="false">AG1160+IF(Q1161,1,0)</f>
        <v>12</v>
      </c>
      <c r="AH1161" s="2" t="n">
        <f aca="false">AG1160</f>
        <v>12</v>
      </c>
      <c r="AI1161" s="10" t="n">
        <f aca="false">X1161+Y1161*(E1161-AB1161)-Y1161*AD1161*Inputs!$B$13*(A1161-AC1161)</f>
        <v>960.090711148709</v>
      </c>
      <c r="AJ1161" s="10" t="n">
        <v>0</v>
      </c>
      <c r="AK1161" s="8" t="n">
        <f aca="false">IF(AND(B1161&lt;=U1161,NOT(Q1161)),B1161,U1161)*(1-Inputs!$B$12)</f>
        <v>0.835457242676421</v>
      </c>
    </row>
    <row r="1162" customFormat="false" ht="15" hidden="false" customHeight="false" outlineLevel="0" collapsed="false">
      <c r="A1162" s="6" t="n">
        <v>45946</v>
      </c>
      <c r="B1162" s="7" t="n">
        <v>0.887809488403636</v>
      </c>
      <c r="C1162" s="7" t="n">
        <v>0.895646890731064</v>
      </c>
      <c r="D1162" s="7" t="n">
        <v>0.886793600930871</v>
      </c>
      <c r="E1162" s="7" t="n">
        <v>0.894228658878379</v>
      </c>
      <c r="F1162" s="8" t="n">
        <f aca="true">IF(ROW()-2&gt;=Inputs!$B$4,AVERAGE(OFFSET(E1162,1-Inputs!$B$4,0,Inputs!$B$4,1)),"")</f>
        <v>0.892345784675835</v>
      </c>
      <c r="G1162" s="8" t="n">
        <f aca="true">IF(ROW()-2&gt;=Inputs!$B$5,AVERAGE(OFFSET(E1162,1-Inputs!$B$5,0,Inputs!$B$5,1)),"")</f>
        <v>0.878841490957744</v>
      </c>
      <c r="H1162" s="8" t="n">
        <f aca="false">MAX(C1162-D1162,ABS(C1162-E1161),ABS(D1162-E1161))</f>
        <v>0.00885328980019262</v>
      </c>
      <c r="I1162" s="8" t="n">
        <f aca="true">IF(ROW()-2&lt;14,"",IF(ROW()-2=14,AVERAGE(OFFSET(H1162,-13,0,14,1)),(I1161*13+H1162)/14))</f>
        <v>0.00928929296324889</v>
      </c>
      <c r="J1162" s="9" t="b">
        <f aca="false">IF(AND(ISNUMBER(F1162),ISNUMBER(G1162),ISNUMBER(F1161),ISNUMBER(G1161)),AND(F1162&gt;G1162,F1161&lt;=G1161),FALSE())</f>
        <v>0</v>
      </c>
      <c r="K1162" s="9" t="b">
        <f aca="false">IF(AND(ISNUMBER(F1162),ISNUMBER(G1162),ISNUMBER(F1161),ISNUMBER(G1161)),AND(F1162&lt;G1162,F1161&gt;=G1161),FALSE())</f>
        <v>0</v>
      </c>
      <c r="L1162" s="8" t="n">
        <f aca="false">IF(ISNUMBER(I1162),E1162-Inputs!$B$6*I1162,"")</f>
        <v>0.875650072951882</v>
      </c>
      <c r="M1162" s="9" t="b">
        <f aca="false">AND(Y1161&gt;0,Z1161)</f>
        <v>0</v>
      </c>
      <c r="N1162" s="8" t="n">
        <f aca="false">B1162*(1-Inputs!$B$12)</f>
        <v>0.887631926505955</v>
      </c>
      <c r="O1162" s="10" t="n">
        <f aca="false">IF(M1162,Y1161*(N1162-AB1161)-Inputs!$B$9-Y1161*AD1161*Inputs!$B$13*(A1162-AC1161),0)</f>
        <v>0</v>
      </c>
      <c r="P1162" s="10" t="n">
        <f aca="false">X1161+O1162</f>
        <v>944.618668179282</v>
      </c>
      <c r="Q1162" s="9" t="b">
        <f aca="false">AND(IF(M1162,0,Y1161)=0,AA1161,IF(ISNUMBER(AE1161),B1162&gt;AE1161,FALSE()))</f>
        <v>0</v>
      </c>
      <c r="R1162" s="8" t="n">
        <f aca="false">B1162*(1+Inputs!$B$12)</f>
        <v>0.887987050301316</v>
      </c>
      <c r="S1162" s="11" t="n">
        <f aca="false">IF(Q1162,MIN(P1162*Inputs!$B$3/(R1162-AE1161),P1162*Inputs!$B$11/R1162),0)</f>
        <v>0</v>
      </c>
      <c r="T1162" s="11" t="n">
        <f aca="false">IF(Q1162,S1162,IF(M1162,0,Y1161))</f>
        <v>572.575070766003</v>
      </c>
      <c r="U1162" s="8" t="n">
        <f aca="false">IF(Q1162,AE1161,AF1161)</f>
        <v>0.835624367549931</v>
      </c>
      <c r="V1162" s="9" t="b">
        <f aca="false">AND(T1162&gt;0,D1162&lt;=U1162)</f>
        <v>0</v>
      </c>
      <c r="W1162" s="10" t="n">
        <f aca="false">IF(V1162,T1162*(AK1162-AB1162)-Inputs!$B$9-T1162*AD1162*Inputs!$B$13*(A1162-AC1162),0)</f>
        <v>0</v>
      </c>
      <c r="X1162" s="10" t="n">
        <f aca="false">P1162-IF(Q1162,Inputs!$B$9,0)+W1162</f>
        <v>944.618668179282</v>
      </c>
      <c r="Y1162" s="11" t="n">
        <f aca="false">IF(V1162,0,T1162)</f>
        <v>572.575070766003</v>
      </c>
      <c r="Z1162" s="9" t="b">
        <f aca="false">AND(Y1162&gt;0,K1162)</f>
        <v>0</v>
      </c>
      <c r="AA1162" s="9" t="b">
        <f aca="false">AND(Y1162=0,J1162,ISNUMBER(L1162))</f>
        <v>0</v>
      </c>
      <c r="AB1162" s="8" t="n">
        <f aca="false">IF(Q1162,R1162,AB1161)</f>
        <v>0.852139558595783</v>
      </c>
      <c r="AC1162" s="12" t="n">
        <f aca="false">IF(Q1162,A1162,AC1161)</f>
        <v>45888</v>
      </c>
      <c r="AD1162" s="8" t="n">
        <f aca="false">IF(Q1162,B1162,AD1161)</f>
        <v>0.85196916476283</v>
      </c>
      <c r="AE1162" s="8" t="str">
        <f aca="false">IF(AA1162,L1162,"")</f>
        <v/>
      </c>
      <c r="AF1162" s="8" t="n">
        <f aca="false">U1162</f>
        <v>0.835624367549931</v>
      </c>
      <c r="AG1162" s="2" t="n">
        <f aca="false">AG1161+IF(Q1162,1,0)</f>
        <v>12</v>
      </c>
      <c r="AH1162" s="2" t="n">
        <f aca="false">AG1161</f>
        <v>12</v>
      </c>
      <c r="AI1162" s="10" t="n">
        <f aca="false">X1162+Y1162*(E1162-AB1162)-Y1162*AD1162*Inputs!$B$13*(A1162-AC1162)</f>
        <v>963.679296740798</v>
      </c>
      <c r="AJ1162" s="10" t="n">
        <v>0</v>
      </c>
      <c r="AK1162" s="8" t="n">
        <f aca="false">IF(AND(B1162&lt;=U1162,NOT(Q1162)),B1162,U1162)*(1-Inputs!$B$12)</f>
        <v>0.835457242676421</v>
      </c>
    </row>
    <row r="1163" customFormat="false" ht="15" hidden="false" customHeight="false" outlineLevel="0" collapsed="false">
      <c r="A1163" s="6" t="n">
        <v>45947</v>
      </c>
      <c r="B1163" s="7" t="n">
        <v>0.894228658878379</v>
      </c>
      <c r="C1163" s="7" t="n">
        <v>0.89568589376373</v>
      </c>
      <c r="D1163" s="7" t="n">
        <v>0.88812642123312</v>
      </c>
      <c r="E1163" s="7" t="n">
        <v>0.88940169941021</v>
      </c>
      <c r="F1163" s="8" t="n">
        <f aca="true">IF(ROW()-2&gt;=Inputs!$B$4,AVERAGE(OFFSET(E1163,1-Inputs!$B$4,0,Inputs!$B$4,1)),"")</f>
        <v>0.892145030252909</v>
      </c>
      <c r="G1163" s="8" t="n">
        <f aca="true">IF(ROW()-2&gt;=Inputs!$B$5,AVERAGE(OFFSET(E1163,1-Inputs!$B$5,0,Inputs!$B$5,1)),"")</f>
        <v>0.879356760718229</v>
      </c>
      <c r="H1163" s="8" t="n">
        <f aca="false">MAX(C1163-D1163,ABS(C1163-E1162),ABS(D1163-E1162))</f>
        <v>0.00755947253060973</v>
      </c>
      <c r="I1163" s="8" t="n">
        <f aca="true">IF(ROW()-2&lt;14,"",IF(ROW()-2=14,AVERAGE(OFFSET(H1163,-13,0,14,1)),(I1162*13+H1163)/14))</f>
        <v>0.00916573436091753</v>
      </c>
      <c r="J1163" s="9" t="b">
        <f aca="false">IF(AND(ISNUMBER(F1163),ISNUMBER(G1163),ISNUMBER(F1162),ISNUMBER(G1162)),AND(F1163&gt;G1163,F1162&lt;=G1162),FALSE())</f>
        <v>0</v>
      </c>
      <c r="K1163" s="9" t="b">
        <f aca="false">IF(AND(ISNUMBER(F1163),ISNUMBER(G1163),ISNUMBER(F1162),ISNUMBER(G1162)),AND(F1163&lt;G1163,F1162&gt;=G1162),FALSE())</f>
        <v>0</v>
      </c>
      <c r="L1163" s="8" t="n">
        <f aca="false">IF(ISNUMBER(I1163),E1163-Inputs!$B$6*I1163,"")</f>
        <v>0.871070230688375</v>
      </c>
      <c r="M1163" s="9" t="b">
        <f aca="false">AND(Y1162&gt;0,Z1162)</f>
        <v>0</v>
      </c>
      <c r="N1163" s="8" t="n">
        <f aca="false">B1163*(1-Inputs!$B$12)</f>
        <v>0.894049813146604</v>
      </c>
      <c r="O1163" s="10" t="n">
        <f aca="false">IF(M1163,Y1162*(N1163-AB1162)-Inputs!$B$9-Y1162*AD1162*Inputs!$B$13*(A1163-AC1162),0)</f>
        <v>0</v>
      </c>
      <c r="P1163" s="10" t="n">
        <f aca="false">X1162+O1163</f>
        <v>944.618668179282</v>
      </c>
      <c r="Q1163" s="9" t="b">
        <f aca="false">AND(IF(M1163,0,Y1162)=0,AA1162,IF(ISNUMBER(AE1162),B1163&gt;AE1162,FALSE()))</f>
        <v>0</v>
      </c>
      <c r="R1163" s="8" t="n">
        <f aca="false">B1163*(1+Inputs!$B$12)</f>
        <v>0.894407504610155</v>
      </c>
      <c r="S1163" s="11" t="n">
        <f aca="false">IF(Q1163,MIN(P1163*Inputs!$B$3/(R1163-AE1162),P1163*Inputs!$B$11/R1163),0)</f>
        <v>0</v>
      </c>
      <c r="T1163" s="11" t="n">
        <f aca="false">IF(Q1163,S1163,IF(M1163,0,Y1162))</f>
        <v>572.575070766003</v>
      </c>
      <c r="U1163" s="8" t="n">
        <f aca="false">IF(Q1163,AE1162,AF1162)</f>
        <v>0.835624367549931</v>
      </c>
      <c r="V1163" s="9" t="b">
        <f aca="false">AND(T1163&gt;0,D1163&lt;=U1163)</f>
        <v>0</v>
      </c>
      <c r="W1163" s="10" t="n">
        <f aca="false">IF(V1163,T1163*(AK1163-AB1163)-Inputs!$B$9-T1163*AD1163*Inputs!$B$13*(A1163-AC1163),0)</f>
        <v>0</v>
      </c>
      <c r="X1163" s="10" t="n">
        <f aca="false">P1163-IF(Q1163,Inputs!$B$9,0)+W1163</f>
        <v>944.618668179282</v>
      </c>
      <c r="Y1163" s="11" t="n">
        <f aca="false">IF(V1163,0,T1163)</f>
        <v>572.575070766003</v>
      </c>
      <c r="Z1163" s="9" t="b">
        <f aca="false">AND(Y1163&gt;0,K1163)</f>
        <v>0</v>
      </c>
      <c r="AA1163" s="9" t="b">
        <f aca="false">AND(Y1163=0,J1163,ISNUMBER(L1163))</f>
        <v>0</v>
      </c>
      <c r="AB1163" s="8" t="n">
        <f aca="false">IF(Q1163,R1163,AB1162)</f>
        <v>0.852139558595783</v>
      </c>
      <c r="AC1163" s="12" t="n">
        <f aca="false">IF(Q1163,A1163,AC1162)</f>
        <v>45888</v>
      </c>
      <c r="AD1163" s="8" t="n">
        <f aca="false">IF(Q1163,B1163,AD1162)</f>
        <v>0.85196916476283</v>
      </c>
      <c r="AE1163" s="8" t="str">
        <f aca="false">IF(AA1163,L1163,"")</f>
        <v/>
      </c>
      <c r="AF1163" s="8" t="n">
        <f aca="false">U1163</f>
        <v>0.835624367549931</v>
      </c>
      <c r="AG1163" s="2" t="n">
        <f aca="false">AG1162+IF(Q1163,1,0)</f>
        <v>12</v>
      </c>
      <c r="AH1163" s="2" t="n">
        <f aca="false">AG1162</f>
        <v>12</v>
      </c>
      <c r="AI1163" s="10" t="n">
        <f aca="false">X1163+Y1163*(E1163-AB1163)-Y1163*AD1163*Inputs!$B$13*(A1163-AC1163)</f>
        <v>960.828628684981</v>
      </c>
      <c r="AJ1163" s="10" t="n">
        <v>0</v>
      </c>
      <c r="AK1163" s="8" t="n">
        <f aca="false">IF(AND(B1163&lt;=U1163,NOT(Q1163)),B1163,U1163)*(1-Inputs!$B$12)</f>
        <v>0.835457242676421</v>
      </c>
    </row>
    <row r="1164" customFormat="false" ht="15" hidden="false" customHeight="false" outlineLevel="0" collapsed="false">
      <c r="A1164" s="6" t="n">
        <v>45948</v>
      </c>
      <c r="B1164" s="7" t="n">
        <v>0.88940169941021</v>
      </c>
      <c r="C1164" s="7" t="n">
        <v>0.893167582461897</v>
      </c>
      <c r="D1164" s="7" t="n">
        <v>0.888376855051001</v>
      </c>
      <c r="E1164" s="7" t="n">
        <v>0.891232137273526</v>
      </c>
      <c r="F1164" s="8" t="n">
        <f aca="true">IF(ROW()-2&gt;=Inputs!$B$4,AVERAGE(OFFSET(E1164,1-Inputs!$B$4,0,Inputs!$B$4,1)),"")</f>
        <v>0.892016097384931</v>
      </c>
      <c r="G1164" s="8" t="n">
        <f aca="true">IF(ROW()-2&gt;=Inputs!$B$5,AVERAGE(OFFSET(E1164,1-Inputs!$B$5,0,Inputs!$B$5,1)),"")</f>
        <v>0.879864351774095</v>
      </c>
      <c r="H1164" s="8" t="n">
        <f aca="false">MAX(C1164-D1164,ABS(C1164-E1163),ABS(D1164-E1163))</f>
        <v>0.00479072741089626</v>
      </c>
      <c r="I1164" s="8" t="n">
        <f aca="true">IF(ROW()-2&lt;14,"",IF(ROW()-2=14,AVERAGE(OFFSET(H1164,-13,0,14,1)),(I1163*13+H1164)/14))</f>
        <v>0.00885323386448743</v>
      </c>
      <c r="J1164" s="9" t="b">
        <f aca="false">IF(AND(ISNUMBER(F1164),ISNUMBER(G1164),ISNUMBER(F1163),ISNUMBER(G1163)),AND(F1164&gt;G1164,F1163&lt;=G1163),FALSE())</f>
        <v>0</v>
      </c>
      <c r="K1164" s="9" t="b">
        <f aca="false">IF(AND(ISNUMBER(F1164),ISNUMBER(G1164),ISNUMBER(F1163),ISNUMBER(G1163)),AND(F1164&lt;G1164,F1163&gt;=G1163),FALSE())</f>
        <v>0</v>
      </c>
      <c r="L1164" s="8" t="n">
        <f aca="false">IF(ISNUMBER(I1164),E1164-Inputs!$B$6*I1164,"")</f>
        <v>0.873525669544552</v>
      </c>
      <c r="M1164" s="9" t="b">
        <f aca="false">AND(Y1163&gt;0,Z1163)</f>
        <v>0</v>
      </c>
      <c r="N1164" s="8" t="n">
        <f aca="false">B1164*(1-Inputs!$B$12)</f>
        <v>0.889223819070328</v>
      </c>
      <c r="O1164" s="10" t="n">
        <f aca="false">IF(M1164,Y1163*(N1164-AB1163)-Inputs!$B$9-Y1163*AD1163*Inputs!$B$13*(A1164-AC1163),0)</f>
        <v>0</v>
      </c>
      <c r="P1164" s="10" t="n">
        <f aca="false">X1163+O1164</f>
        <v>944.618668179282</v>
      </c>
      <c r="Q1164" s="9" t="b">
        <f aca="false">AND(IF(M1164,0,Y1163)=0,AA1163,IF(ISNUMBER(AE1163),B1164&gt;AE1163,FALSE()))</f>
        <v>0</v>
      </c>
      <c r="R1164" s="8" t="n">
        <f aca="false">B1164*(1+Inputs!$B$12)</f>
        <v>0.889579579750092</v>
      </c>
      <c r="S1164" s="11" t="n">
        <f aca="false">IF(Q1164,MIN(P1164*Inputs!$B$3/(R1164-AE1163),P1164*Inputs!$B$11/R1164),0)</f>
        <v>0</v>
      </c>
      <c r="T1164" s="11" t="n">
        <f aca="false">IF(Q1164,S1164,IF(M1164,0,Y1163))</f>
        <v>572.575070766003</v>
      </c>
      <c r="U1164" s="8" t="n">
        <f aca="false">IF(Q1164,AE1163,AF1163)</f>
        <v>0.835624367549931</v>
      </c>
      <c r="V1164" s="9" t="b">
        <f aca="false">AND(T1164&gt;0,D1164&lt;=U1164)</f>
        <v>0</v>
      </c>
      <c r="W1164" s="10" t="n">
        <f aca="false">IF(V1164,T1164*(AK1164-AB1164)-Inputs!$B$9-T1164*AD1164*Inputs!$B$13*(A1164-AC1164),0)</f>
        <v>0</v>
      </c>
      <c r="X1164" s="10" t="n">
        <f aca="false">P1164-IF(Q1164,Inputs!$B$9,0)+W1164</f>
        <v>944.618668179282</v>
      </c>
      <c r="Y1164" s="11" t="n">
        <f aca="false">IF(V1164,0,T1164)</f>
        <v>572.575070766003</v>
      </c>
      <c r="Z1164" s="9" t="b">
        <f aca="false">AND(Y1164&gt;0,K1164)</f>
        <v>0</v>
      </c>
      <c r="AA1164" s="9" t="b">
        <f aca="false">AND(Y1164=0,J1164,ISNUMBER(L1164))</f>
        <v>0</v>
      </c>
      <c r="AB1164" s="8" t="n">
        <f aca="false">IF(Q1164,R1164,AB1163)</f>
        <v>0.852139558595783</v>
      </c>
      <c r="AC1164" s="12" t="n">
        <f aca="false">IF(Q1164,A1164,AC1163)</f>
        <v>45888</v>
      </c>
      <c r="AD1164" s="8" t="n">
        <f aca="false">IF(Q1164,B1164,AD1163)</f>
        <v>0.85196916476283</v>
      </c>
      <c r="AE1164" s="8" t="str">
        <f aca="false">IF(AA1164,L1164,"")</f>
        <v/>
      </c>
      <c r="AF1164" s="8" t="n">
        <f aca="false">U1164</f>
        <v>0.835624367549931</v>
      </c>
      <c r="AG1164" s="2" t="n">
        <f aca="false">AG1163+IF(Q1164,1,0)</f>
        <v>12</v>
      </c>
      <c r="AH1164" s="2" t="n">
        <f aca="false">AG1163</f>
        <v>12</v>
      </c>
      <c r="AI1164" s="10" t="n">
        <f aca="false">X1164+Y1164*(E1164-AB1164)-Y1164*AD1164*Inputs!$B$13*(A1164-AC1164)</f>
        <v>961.789820377356</v>
      </c>
      <c r="AJ1164" s="10" t="n">
        <v>0</v>
      </c>
      <c r="AK1164" s="8" t="n">
        <f aca="false">IF(AND(B1164&lt;=U1164,NOT(Q1164)),B1164,U1164)*(1-Inputs!$B$12)</f>
        <v>0.835457242676421</v>
      </c>
    </row>
    <row r="1165" customFormat="false" ht="15" hidden="false" customHeight="false" outlineLevel="0" collapsed="false">
      <c r="A1165" s="6" t="n">
        <v>45949</v>
      </c>
      <c r="B1165" s="7" t="n">
        <v>0.891232137273526</v>
      </c>
      <c r="C1165" s="7" t="n">
        <v>0.894677233340877</v>
      </c>
      <c r="D1165" s="7" t="n">
        <v>0.884701625653634</v>
      </c>
      <c r="E1165" s="7" t="n">
        <v>0.89341342179339</v>
      </c>
      <c r="F1165" s="8" t="n">
        <f aca="true">IF(ROW()-2&gt;=Inputs!$B$4,AVERAGE(OFFSET(E1165,1-Inputs!$B$4,0,Inputs!$B$4,1)),"")</f>
        <v>0.891963928667794</v>
      </c>
      <c r="G1165" s="8" t="n">
        <f aca="true">IF(ROW()-2&gt;=Inputs!$B$5,AVERAGE(OFFSET(E1165,1-Inputs!$B$5,0,Inputs!$B$5,1)),"")</f>
        <v>0.880560018075957</v>
      </c>
      <c r="H1165" s="8" t="n">
        <f aca="false">MAX(C1165-D1165,ABS(C1165-E1164),ABS(D1165-E1164))</f>
        <v>0.00997560768724359</v>
      </c>
      <c r="I1165" s="8" t="n">
        <f aca="true">IF(ROW()-2&lt;14,"",IF(ROW()-2=14,AVERAGE(OFFSET(H1165,-13,0,14,1)),(I1164*13+H1165)/14))</f>
        <v>0.00893340342325573</v>
      </c>
      <c r="J1165" s="9" t="b">
        <f aca="false">IF(AND(ISNUMBER(F1165),ISNUMBER(G1165),ISNUMBER(F1164),ISNUMBER(G1164)),AND(F1165&gt;G1165,F1164&lt;=G1164),FALSE())</f>
        <v>0</v>
      </c>
      <c r="K1165" s="9" t="b">
        <f aca="false">IF(AND(ISNUMBER(F1165),ISNUMBER(G1165),ISNUMBER(F1164),ISNUMBER(G1164)),AND(F1165&lt;G1165,F1164&gt;=G1164),FALSE())</f>
        <v>0</v>
      </c>
      <c r="L1165" s="8" t="n">
        <f aca="false">IF(ISNUMBER(I1165),E1165-Inputs!$B$6*I1165,"")</f>
        <v>0.875546614946879</v>
      </c>
      <c r="M1165" s="9" t="b">
        <f aca="false">AND(Y1164&gt;0,Z1164)</f>
        <v>0</v>
      </c>
      <c r="N1165" s="8" t="n">
        <f aca="false">B1165*(1-Inputs!$B$12)</f>
        <v>0.891053890846072</v>
      </c>
      <c r="O1165" s="10" t="n">
        <f aca="false">IF(M1165,Y1164*(N1165-AB1164)-Inputs!$B$9-Y1164*AD1164*Inputs!$B$13*(A1165-AC1164),0)</f>
        <v>0</v>
      </c>
      <c r="P1165" s="10" t="n">
        <f aca="false">X1164+O1165</f>
        <v>944.618668179282</v>
      </c>
      <c r="Q1165" s="9" t="b">
        <f aca="false">AND(IF(M1165,0,Y1164)=0,AA1164,IF(ISNUMBER(AE1164),B1165&gt;AE1164,FALSE()))</f>
        <v>0</v>
      </c>
      <c r="R1165" s="8" t="n">
        <f aca="false">B1165*(1+Inputs!$B$12)</f>
        <v>0.891410383700981</v>
      </c>
      <c r="S1165" s="11" t="n">
        <f aca="false">IF(Q1165,MIN(P1165*Inputs!$B$3/(R1165-AE1164),P1165*Inputs!$B$11/R1165),0)</f>
        <v>0</v>
      </c>
      <c r="T1165" s="11" t="n">
        <f aca="false">IF(Q1165,S1165,IF(M1165,0,Y1164))</f>
        <v>572.575070766003</v>
      </c>
      <c r="U1165" s="8" t="n">
        <f aca="false">IF(Q1165,AE1164,AF1164)</f>
        <v>0.835624367549931</v>
      </c>
      <c r="V1165" s="9" t="b">
        <f aca="false">AND(T1165&gt;0,D1165&lt;=U1165)</f>
        <v>0</v>
      </c>
      <c r="W1165" s="10" t="n">
        <f aca="false">IF(V1165,T1165*(AK1165-AB1165)-Inputs!$B$9-T1165*AD1165*Inputs!$B$13*(A1165-AC1165),0)</f>
        <v>0</v>
      </c>
      <c r="X1165" s="10" t="n">
        <f aca="false">P1165-IF(Q1165,Inputs!$B$9,0)+W1165</f>
        <v>944.618668179282</v>
      </c>
      <c r="Y1165" s="11" t="n">
        <f aca="false">IF(V1165,0,T1165)</f>
        <v>572.575070766003</v>
      </c>
      <c r="Z1165" s="9" t="b">
        <f aca="false">AND(Y1165&gt;0,K1165)</f>
        <v>0</v>
      </c>
      <c r="AA1165" s="9" t="b">
        <f aca="false">AND(Y1165=0,J1165,ISNUMBER(L1165))</f>
        <v>0</v>
      </c>
      <c r="AB1165" s="8" t="n">
        <f aca="false">IF(Q1165,R1165,AB1164)</f>
        <v>0.852139558595783</v>
      </c>
      <c r="AC1165" s="12" t="n">
        <f aca="false">IF(Q1165,A1165,AC1164)</f>
        <v>45888</v>
      </c>
      <c r="AD1165" s="8" t="n">
        <f aca="false">IF(Q1165,B1165,AD1164)</f>
        <v>0.85196916476283</v>
      </c>
      <c r="AE1165" s="8" t="str">
        <f aca="false">IF(AA1165,L1165,"")</f>
        <v/>
      </c>
      <c r="AF1165" s="8" t="n">
        <f aca="false">U1165</f>
        <v>0.835624367549931</v>
      </c>
      <c r="AG1165" s="2" t="n">
        <f aca="false">AG1164+IF(Q1165,1,0)</f>
        <v>12</v>
      </c>
      <c r="AH1165" s="2" t="n">
        <f aca="false">AG1164</f>
        <v>12</v>
      </c>
      <c r="AI1165" s="10" t="n">
        <f aca="false">X1165+Y1165*(E1165-AB1165)-Y1165*AD1165*Inputs!$B$13*(A1165-AC1165)</f>
        <v>962.951898118932</v>
      </c>
      <c r="AJ1165" s="10" t="n">
        <v>0</v>
      </c>
      <c r="AK1165" s="8" t="n">
        <f aca="false">IF(AND(B1165&lt;=U1165,NOT(Q1165)),B1165,U1165)*(1-Inputs!$B$12)</f>
        <v>0.835457242676421</v>
      </c>
    </row>
    <row r="1166" customFormat="false" ht="15" hidden="false" customHeight="false" outlineLevel="0" collapsed="false">
      <c r="A1166" s="6" t="n">
        <v>45950</v>
      </c>
      <c r="B1166" s="7" t="n">
        <v>0.89341342179339</v>
      </c>
      <c r="C1166" s="7" t="n">
        <v>0.905877039099421</v>
      </c>
      <c r="D1166" s="7" t="n">
        <v>0.891890149791969</v>
      </c>
      <c r="E1166" s="7" t="n">
        <v>0.901792375053599</v>
      </c>
      <c r="F1166" s="8" t="n">
        <f aca="true">IF(ROW()-2&gt;=Inputs!$B$4,AVERAGE(OFFSET(E1166,1-Inputs!$B$4,0,Inputs!$B$4,1)),"")</f>
        <v>0.892302094554022</v>
      </c>
      <c r="G1166" s="8" t="n">
        <f aca="true">IF(ROW()-2&gt;=Inputs!$B$5,AVERAGE(OFFSET(E1166,1-Inputs!$B$5,0,Inputs!$B$5,1)),"")</f>
        <v>0.881433377593824</v>
      </c>
      <c r="H1166" s="8" t="n">
        <f aca="false">MAX(C1166-D1166,ABS(C1166-E1165),ABS(D1166-E1165))</f>
        <v>0.013986889307452</v>
      </c>
      <c r="I1166" s="8" t="n">
        <f aca="true">IF(ROW()-2&lt;14,"",IF(ROW()-2=14,AVERAGE(OFFSET(H1166,-13,0,14,1)),(I1165*13+H1166)/14))</f>
        <v>0.00929436670069832</v>
      </c>
      <c r="J1166" s="9" t="b">
        <f aca="false">IF(AND(ISNUMBER(F1166),ISNUMBER(G1166),ISNUMBER(F1165),ISNUMBER(G1165)),AND(F1166&gt;G1166,F1165&lt;=G1165),FALSE())</f>
        <v>0</v>
      </c>
      <c r="K1166" s="9" t="b">
        <f aca="false">IF(AND(ISNUMBER(F1166),ISNUMBER(G1166),ISNUMBER(F1165),ISNUMBER(G1165)),AND(F1166&lt;G1166,F1165&gt;=G1165),FALSE())</f>
        <v>0</v>
      </c>
      <c r="L1166" s="8" t="n">
        <f aca="false">IF(ISNUMBER(I1166),E1166-Inputs!$B$6*I1166,"")</f>
        <v>0.883203641652202</v>
      </c>
      <c r="M1166" s="9" t="b">
        <f aca="false">AND(Y1165&gt;0,Z1165)</f>
        <v>0</v>
      </c>
      <c r="N1166" s="8" t="n">
        <f aca="false">B1166*(1-Inputs!$B$12)</f>
        <v>0.893234739109032</v>
      </c>
      <c r="O1166" s="10" t="n">
        <f aca="false">IF(M1166,Y1165*(N1166-AB1165)-Inputs!$B$9-Y1165*AD1165*Inputs!$B$13*(A1166-AC1165),0)</f>
        <v>0</v>
      </c>
      <c r="P1166" s="10" t="n">
        <f aca="false">X1165+O1166</f>
        <v>944.618668179282</v>
      </c>
      <c r="Q1166" s="9" t="b">
        <f aca="false">AND(IF(M1166,0,Y1165)=0,AA1165,IF(ISNUMBER(AE1165),B1166&gt;AE1165,FALSE()))</f>
        <v>0</v>
      </c>
      <c r="R1166" s="8" t="n">
        <f aca="false">B1166*(1+Inputs!$B$12)</f>
        <v>0.893592104477749</v>
      </c>
      <c r="S1166" s="11" t="n">
        <f aca="false">IF(Q1166,MIN(P1166*Inputs!$B$3/(R1166-AE1165),P1166*Inputs!$B$11/R1166),0)</f>
        <v>0</v>
      </c>
      <c r="T1166" s="11" t="n">
        <f aca="false">IF(Q1166,S1166,IF(M1166,0,Y1165))</f>
        <v>572.575070766003</v>
      </c>
      <c r="U1166" s="8" t="n">
        <f aca="false">IF(Q1166,AE1165,AF1165)</f>
        <v>0.835624367549931</v>
      </c>
      <c r="V1166" s="9" t="b">
        <f aca="false">AND(T1166&gt;0,D1166&lt;=U1166)</f>
        <v>0</v>
      </c>
      <c r="W1166" s="10" t="n">
        <f aca="false">IF(V1166,T1166*(AK1166-AB1166)-Inputs!$B$9-T1166*AD1166*Inputs!$B$13*(A1166-AC1166),0)</f>
        <v>0</v>
      </c>
      <c r="X1166" s="10" t="n">
        <f aca="false">P1166-IF(Q1166,Inputs!$B$9,0)+W1166</f>
        <v>944.618668179282</v>
      </c>
      <c r="Y1166" s="11" t="n">
        <f aca="false">IF(V1166,0,T1166)</f>
        <v>572.575070766003</v>
      </c>
      <c r="Z1166" s="9" t="b">
        <f aca="false">AND(Y1166&gt;0,K1166)</f>
        <v>0</v>
      </c>
      <c r="AA1166" s="9" t="b">
        <f aca="false">AND(Y1166=0,J1166,ISNUMBER(L1166))</f>
        <v>0</v>
      </c>
      <c r="AB1166" s="8" t="n">
        <f aca="false">IF(Q1166,R1166,AB1165)</f>
        <v>0.852139558595783</v>
      </c>
      <c r="AC1166" s="12" t="n">
        <f aca="false">IF(Q1166,A1166,AC1165)</f>
        <v>45888</v>
      </c>
      <c r="AD1166" s="8" t="n">
        <f aca="false">IF(Q1166,B1166,AD1165)</f>
        <v>0.85196916476283</v>
      </c>
      <c r="AE1166" s="8" t="str">
        <f aca="false">IF(AA1166,L1166,"")</f>
        <v/>
      </c>
      <c r="AF1166" s="8" t="n">
        <f aca="false">U1166</f>
        <v>0.835624367549931</v>
      </c>
      <c r="AG1166" s="2" t="n">
        <f aca="false">AG1165+IF(Q1166,1,0)</f>
        <v>12</v>
      </c>
      <c r="AH1166" s="2" t="n">
        <f aca="false">AG1165</f>
        <v>12</v>
      </c>
      <c r="AI1166" s="10" t="n">
        <f aca="false">X1166+Y1166*(E1166-AB1166)-Y1166*AD1166*Inputs!$B$13*(A1166-AC1166)</f>
        <v>967.662606478095</v>
      </c>
      <c r="AJ1166" s="10" t="n">
        <v>0</v>
      </c>
      <c r="AK1166" s="8" t="n">
        <f aca="false">IF(AND(B1166&lt;=U1166,NOT(Q1166)),B1166,U1166)*(1-Inputs!$B$12)</f>
        <v>0.835457242676421</v>
      </c>
    </row>
    <row r="1167" customFormat="false" ht="15" hidden="false" customHeight="false" outlineLevel="0" collapsed="false">
      <c r="A1167" s="6" t="n">
        <v>45951</v>
      </c>
      <c r="B1167" s="7" t="n">
        <v>0.901792375053599</v>
      </c>
      <c r="C1167" s="7" t="n">
        <v>0.906325699878152</v>
      </c>
      <c r="D1167" s="7" t="n">
        <v>0.900217650988497</v>
      </c>
      <c r="E1167" s="7" t="n">
        <v>0.90342487129688</v>
      </c>
      <c r="F1167" s="8" t="n">
        <f aca="true">IF(ROW()-2&gt;=Inputs!$B$4,AVERAGE(OFFSET(E1167,1-Inputs!$B$4,0,Inputs!$B$4,1)),"")</f>
        <v>0.892821346567424</v>
      </c>
      <c r="G1167" s="8" t="n">
        <f aca="true">IF(ROW()-2&gt;=Inputs!$B$5,AVERAGE(OFFSET(E1167,1-Inputs!$B$5,0,Inputs!$B$5,1)),"")</f>
        <v>0.882363706685722</v>
      </c>
      <c r="H1167" s="8" t="n">
        <f aca="false">MAX(C1167-D1167,ABS(C1167-E1166),ABS(D1167-E1166))</f>
        <v>0.00610804888965455</v>
      </c>
      <c r="I1167" s="8" t="n">
        <f aca="true">IF(ROW()-2&lt;14,"",IF(ROW()-2=14,AVERAGE(OFFSET(H1167,-13,0,14,1)),(I1166*13+H1167)/14))</f>
        <v>0.00906677257133805</v>
      </c>
      <c r="J1167" s="9" t="b">
        <f aca="false">IF(AND(ISNUMBER(F1167),ISNUMBER(G1167),ISNUMBER(F1166),ISNUMBER(G1166)),AND(F1167&gt;G1167,F1166&lt;=G1166),FALSE())</f>
        <v>0</v>
      </c>
      <c r="K1167" s="9" t="b">
        <f aca="false">IF(AND(ISNUMBER(F1167),ISNUMBER(G1167),ISNUMBER(F1166),ISNUMBER(G1166)),AND(F1167&lt;G1167,F1166&gt;=G1166),FALSE())</f>
        <v>0</v>
      </c>
      <c r="L1167" s="8" t="n">
        <f aca="false">IF(ISNUMBER(I1167),E1167-Inputs!$B$6*I1167,"")</f>
        <v>0.885291326154204</v>
      </c>
      <c r="M1167" s="9" t="b">
        <f aca="false">AND(Y1166&gt;0,Z1166)</f>
        <v>0</v>
      </c>
      <c r="N1167" s="8" t="n">
        <f aca="false">B1167*(1-Inputs!$B$12)</f>
        <v>0.901612016578588</v>
      </c>
      <c r="O1167" s="10" t="n">
        <f aca="false">IF(M1167,Y1166*(N1167-AB1166)-Inputs!$B$9-Y1166*AD1166*Inputs!$B$13*(A1167-AC1166),0)</f>
        <v>0</v>
      </c>
      <c r="P1167" s="10" t="n">
        <f aca="false">X1166+O1167</f>
        <v>944.618668179282</v>
      </c>
      <c r="Q1167" s="9" t="b">
        <f aca="false">AND(IF(M1167,0,Y1166)=0,AA1166,IF(ISNUMBER(AE1166),B1167&gt;AE1166,FALSE()))</f>
        <v>0</v>
      </c>
      <c r="R1167" s="8" t="n">
        <f aca="false">B1167*(1+Inputs!$B$12)</f>
        <v>0.90197273352861</v>
      </c>
      <c r="S1167" s="11" t="n">
        <f aca="false">IF(Q1167,MIN(P1167*Inputs!$B$3/(R1167-AE1166),P1167*Inputs!$B$11/R1167),0)</f>
        <v>0</v>
      </c>
      <c r="T1167" s="11" t="n">
        <f aca="false">IF(Q1167,S1167,IF(M1167,0,Y1166))</f>
        <v>572.575070766003</v>
      </c>
      <c r="U1167" s="8" t="n">
        <f aca="false">IF(Q1167,AE1166,AF1166)</f>
        <v>0.835624367549931</v>
      </c>
      <c r="V1167" s="9" t="b">
        <f aca="false">AND(T1167&gt;0,D1167&lt;=U1167)</f>
        <v>0</v>
      </c>
      <c r="W1167" s="10" t="n">
        <f aca="false">IF(V1167,T1167*(AK1167-AB1167)-Inputs!$B$9-T1167*AD1167*Inputs!$B$13*(A1167-AC1167),0)</f>
        <v>0</v>
      </c>
      <c r="X1167" s="10" t="n">
        <f aca="false">P1167-IF(Q1167,Inputs!$B$9,0)+W1167</f>
        <v>944.618668179282</v>
      </c>
      <c r="Y1167" s="11" t="n">
        <f aca="false">IF(V1167,0,T1167)</f>
        <v>572.575070766003</v>
      </c>
      <c r="Z1167" s="9" t="b">
        <f aca="false">AND(Y1167&gt;0,K1167)</f>
        <v>0</v>
      </c>
      <c r="AA1167" s="9" t="b">
        <f aca="false">AND(Y1167=0,J1167,ISNUMBER(L1167))</f>
        <v>0</v>
      </c>
      <c r="AB1167" s="8" t="n">
        <f aca="false">IF(Q1167,R1167,AB1166)</f>
        <v>0.852139558595783</v>
      </c>
      <c r="AC1167" s="12" t="n">
        <f aca="false">IF(Q1167,A1167,AC1166)</f>
        <v>45888</v>
      </c>
      <c r="AD1167" s="8" t="n">
        <f aca="false">IF(Q1167,B1167,AD1166)</f>
        <v>0.85196916476283</v>
      </c>
      <c r="AE1167" s="8" t="str">
        <f aca="false">IF(AA1167,L1167,"")</f>
        <v/>
      </c>
      <c r="AF1167" s="8" t="n">
        <f aca="false">U1167</f>
        <v>0.835624367549931</v>
      </c>
      <c r="AG1167" s="2" t="n">
        <f aca="false">AG1166+IF(Q1167,1,0)</f>
        <v>12</v>
      </c>
      <c r="AH1167" s="2" t="n">
        <f aca="false">AG1166</f>
        <v>12</v>
      </c>
      <c r="AI1167" s="10" t="n">
        <f aca="false">X1167+Y1167*(E1167-AB1167)-Y1167*AD1167*Inputs!$B$13*(A1167-AC1167)</f>
        <v>968.51046173337</v>
      </c>
      <c r="AJ1167" s="10" t="n">
        <v>0</v>
      </c>
      <c r="AK1167" s="8" t="n">
        <f aca="false">IF(AND(B1167&lt;=U1167,NOT(Q1167)),B1167,U1167)*(1-Inputs!$B$12)</f>
        <v>0.835457242676421</v>
      </c>
    </row>
    <row r="1168" customFormat="false" ht="15" hidden="false" customHeight="false" outlineLevel="0" collapsed="false">
      <c r="A1168" s="6" t="n">
        <v>45952</v>
      </c>
      <c r="B1168" s="7" t="n">
        <v>0.90342487129688</v>
      </c>
      <c r="C1168" s="7" t="n">
        <v>0.905411703973103</v>
      </c>
      <c r="D1168" s="7" t="n">
        <v>0.901286980450451</v>
      </c>
      <c r="E1168" s="7" t="n">
        <v>0.903120863704311</v>
      </c>
      <c r="F1168" s="8" t="n">
        <f aca="true">IF(ROW()-2&gt;=Inputs!$B$4,AVERAGE(OFFSET(E1168,1-Inputs!$B$4,0,Inputs!$B$4,1)),"")</f>
        <v>0.893091419956582</v>
      </c>
      <c r="G1168" s="8" t="n">
        <f aca="true">IF(ROW()-2&gt;=Inputs!$B$5,AVERAGE(OFFSET(E1168,1-Inputs!$B$5,0,Inputs!$B$5,1)),"")</f>
        <v>0.883278238746996</v>
      </c>
      <c r="H1168" s="8" t="n">
        <f aca="false">MAX(C1168-D1168,ABS(C1168-E1167),ABS(D1168-E1167))</f>
        <v>0.00412472352265259</v>
      </c>
      <c r="I1168" s="8" t="n">
        <f aca="true">IF(ROW()-2&lt;14,"",IF(ROW()-2=14,AVERAGE(OFFSET(H1168,-13,0,14,1)),(I1167*13+H1168)/14))</f>
        <v>0.00871376906786052</v>
      </c>
      <c r="J1168" s="9" t="b">
        <f aca="false">IF(AND(ISNUMBER(F1168),ISNUMBER(G1168),ISNUMBER(F1167),ISNUMBER(G1167)),AND(F1168&gt;G1168,F1167&lt;=G1167),FALSE())</f>
        <v>0</v>
      </c>
      <c r="K1168" s="9" t="b">
        <f aca="false">IF(AND(ISNUMBER(F1168),ISNUMBER(G1168),ISNUMBER(F1167),ISNUMBER(G1167)),AND(F1168&lt;G1168,F1167&gt;=G1167),FALSE())</f>
        <v>0</v>
      </c>
      <c r="L1168" s="8" t="n">
        <f aca="false">IF(ISNUMBER(I1168),E1168-Inputs!$B$6*I1168,"")</f>
        <v>0.88569332556859</v>
      </c>
      <c r="M1168" s="9" t="b">
        <f aca="false">AND(Y1167&gt;0,Z1167)</f>
        <v>0</v>
      </c>
      <c r="N1168" s="8" t="n">
        <f aca="false">B1168*(1-Inputs!$B$12)</f>
        <v>0.90324418632262</v>
      </c>
      <c r="O1168" s="10" t="n">
        <f aca="false">IF(M1168,Y1167*(N1168-AB1167)-Inputs!$B$9-Y1167*AD1167*Inputs!$B$13*(A1168-AC1167),0)</f>
        <v>0</v>
      </c>
      <c r="P1168" s="10" t="n">
        <f aca="false">X1167+O1168</f>
        <v>944.618668179282</v>
      </c>
      <c r="Q1168" s="9" t="b">
        <f aca="false">AND(IF(M1168,0,Y1167)=0,AA1167,IF(ISNUMBER(AE1167),B1168&gt;AE1167,FALSE()))</f>
        <v>0</v>
      </c>
      <c r="R1168" s="8" t="n">
        <f aca="false">B1168*(1+Inputs!$B$12)</f>
        <v>0.903605556271139</v>
      </c>
      <c r="S1168" s="11" t="n">
        <f aca="false">IF(Q1168,MIN(P1168*Inputs!$B$3/(R1168-AE1167),P1168*Inputs!$B$11/R1168),0)</f>
        <v>0</v>
      </c>
      <c r="T1168" s="11" t="n">
        <f aca="false">IF(Q1168,S1168,IF(M1168,0,Y1167))</f>
        <v>572.575070766003</v>
      </c>
      <c r="U1168" s="8" t="n">
        <f aca="false">IF(Q1168,AE1167,AF1167)</f>
        <v>0.835624367549931</v>
      </c>
      <c r="V1168" s="9" t="b">
        <f aca="false">AND(T1168&gt;0,D1168&lt;=U1168)</f>
        <v>0</v>
      </c>
      <c r="W1168" s="10" t="n">
        <f aca="false">IF(V1168,T1168*(AK1168-AB1168)-Inputs!$B$9-T1168*AD1168*Inputs!$B$13*(A1168-AC1168),0)</f>
        <v>0</v>
      </c>
      <c r="X1168" s="10" t="n">
        <f aca="false">P1168-IF(Q1168,Inputs!$B$9,0)+W1168</f>
        <v>944.618668179282</v>
      </c>
      <c r="Y1168" s="11" t="n">
        <f aca="false">IF(V1168,0,T1168)</f>
        <v>572.575070766003</v>
      </c>
      <c r="Z1168" s="9" t="b">
        <f aca="false">AND(Y1168&gt;0,K1168)</f>
        <v>0</v>
      </c>
      <c r="AA1168" s="9" t="b">
        <f aca="false">AND(Y1168=0,J1168,ISNUMBER(L1168))</f>
        <v>0</v>
      </c>
      <c r="AB1168" s="8" t="n">
        <f aca="false">IF(Q1168,R1168,AB1167)</f>
        <v>0.852139558595783</v>
      </c>
      <c r="AC1168" s="12" t="n">
        <f aca="false">IF(Q1168,A1168,AC1167)</f>
        <v>45888</v>
      </c>
      <c r="AD1168" s="8" t="n">
        <f aca="false">IF(Q1168,B1168,AD1167)</f>
        <v>0.85196916476283</v>
      </c>
      <c r="AE1168" s="8" t="str">
        <f aca="false">IF(AA1168,L1168,"")</f>
        <v/>
      </c>
      <c r="AF1168" s="8" t="n">
        <f aca="false">U1168</f>
        <v>0.835624367549931</v>
      </c>
      <c r="AG1168" s="2" t="n">
        <f aca="false">AG1167+IF(Q1168,1,0)</f>
        <v>12</v>
      </c>
      <c r="AH1168" s="2" t="n">
        <f aca="false">AG1167</f>
        <v>12</v>
      </c>
      <c r="AI1168" s="10" t="n">
        <f aca="false">X1168+Y1168*(E1168-AB1168)-Y1168*AD1168*Inputs!$B$13*(A1168-AC1168)</f>
        <v>968.249523167796</v>
      </c>
      <c r="AJ1168" s="10" t="n">
        <v>0</v>
      </c>
      <c r="AK1168" s="8" t="n">
        <f aca="false">IF(AND(B1168&lt;=U1168,NOT(Q1168)),B1168,U1168)*(1-Inputs!$B$12)</f>
        <v>0.835457242676421</v>
      </c>
    </row>
    <row r="1169" customFormat="false" ht="15" hidden="false" customHeight="false" outlineLevel="0" collapsed="false">
      <c r="A1169" s="6" t="n">
        <v>45953</v>
      </c>
      <c r="B1169" s="7" t="n">
        <v>0.903120863704311</v>
      </c>
      <c r="C1169" s="7" t="n">
        <v>0.905236899666318</v>
      </c>
      <c r="D1169" s="7" t="n">
        <v>0.89922575900474</v>
      </c>
      <c r="E1169" s="7" t="n">
        <v>0.90105226356786</v>
      </c>
      <c r="F1169" s="8" t="n">
        <f aca="true">IF(ROW()-2&gt;=Inputs!$B$4,AVERAGE(OFFSET(E1169,1-Inputs!$B$4,0,Inputs!$B$4,1)),"")</f>
        <v>0.893277930833592</v>
      </c>
      <c r="G1169" s="8" t="n">
        <f aca="true">IF(ROW()-2&gt;=Inputs!$B$5,AVERAGE(OFFSET(E1169,1-Inputs!$B$5,0,Inputs!$B$5,1)),"")</f>
        <v>0.884094024627938</v>
      </c>
      <c r="H1169" s="8" t="n">
        <f aca="false">MAX(C1169-D1169,ABS(C1169-E1168),ABS(D1169-E1168))</f>
        <v>0.00601114066157782</v>
      </c>
      <c r="I1169" s="8" t="n">
        <f aca="true">IF(ROW()-2&lt;14,"",IF(ROW()-2=14,AVERAGE(OFFSET(H1169,-13,0,14,1)),(I1168*13+H1169)/14))</f>
        <v>0.00852072418169747</v>
      </c>
      <c r="J1169" s="9" t="b">
        <f aca="false">IF(AND(ISNUMBER(F1169),ISNUMBER(G1169),ISNUMBER(F1168),ISNUMBER(G1168)),AND(F1169&gt;G1169,F1168&lt;=G1168),FALSE())</f>
        <v>0</v>
      </c>
      <c r="K1169" s="9" t="b">
        <f aca="false">IF(AND(ISNUMBER(F1169),ISNUMBER(G1169),ISNUMBER(F1168),ISNUMBER(G1168)),AND(F1169&lt;G1169,F1168&gt;=G1168),FALSE())</f>
        <v>0</v>
      </c>
      <c r="L1169" s="8" t="n">
        <f aca="false">IF(ISNUMBER(I1169),E1169-Inputs!$B$6*I1169,"")</f>
        <v>0.884010815204465</v>
      </c>
      <c r="M1169" s="9" t="b">
        <f aca="false">AND(Y1168&gt;0,Z1168)</f>
        <v>0</v>
      </c>
      <c r="N1169" s="8" t="n">
        <f aca="false">B1169*(1-Inputs!$B$12)</f>
        <v>0.90294023953157</v>
      </c>
      <c r="O1169" s="10" t="n">
        <f aca="false">IF(M1169,Y1168*(N1169-AB1168)-Inputs!$B$9-Y1168*AD1168*Inputs!$B$13*(A1169-AC1168),0)</f>
        <v>0</v>
      </c>
      <c r="P1169" s="10" t="n">
        <f aca="false">X1168+O1169</f>
        <v>944.618668179282</v>
      </c>
      <c r="Q1169" s="9" t="b">
        <f aca="false">AND(IF(M1169,0,Y1168)=0,AA1168,IF(ISNUMBER(AE1168),B1169&gt;AE1168,FALSE()))</f>
        <v>0</v>
      </c>
      <c r="R1169" s="8" t="n">
        <f aca="false">B1169*(1+Inputs!$B$12)</f>
        <v>0.903301487877052</v>
      </c>
      <c r="S1169" s="11" t="n">
        <f aca="false">IF(Q1169,MIN(P1169*Inputs!$B$3/(R1169-AE1168),P1169*Inputs!$B$11/R1169),0)</f>
        <v>0</v>
      </c>
      <c r="T1169" s="11" t="n">
        <f aca="false">IF(Q1169,S1169,IF(M1169,0,Y1168))</f>
        <v>572.575070766003</v>
      </c>
      <c r="U1169" s="8" t="n">
        <f aca="false">IF(Q1169,AE1168,AF1168)</f>
        <v>0.835624367549931</v>
      </c>
      <c r="V1169" s="9" t="b">
        <f aca="false">AND(T1169&gt;0,D1169&lt;=U1169)</f>
        <v>0</v>
      </c>
      <c r="W1169" s="10" t="n">
        <f aca="false">IF(V1169,T1169*(AK1169-AB1169)-Inputs!$B$9-T1169*AD1169*Inputs!$B$13*(A1169-AC1169),0)</f>
        <v>0</v>
      </c>
      <c r="X1169" s="10" t="n">
        <f aca="false">P1169-IF(Q1169,Inputs!$B$9,0)+W1169</f>
        <v>944.618668179282</v>
      </c>
      <c r="Y1169" s="11" t="n">
        <f aca="false">IF(V1169,0,T1169)</f>
        <v>572.575070766003</v>
      </c>
      <c r="Z1169" s="9" t="b">
        <f aca="false">AND(Y1169&gt;0,K1169)</f>
        <v>0</v>
      </c>
      <c r="AA1169" s="9" t="b">
        <f aca="false">AND(Y1169=0,J1169,ISNUMBER(L1169))</f>
        <v>0</v>
      </c>
      <c r="AB1169" s="8" t="n">
        <f aca="false">IF(Q1169,R1169,AB1168)</f>
        <v>0.852139558595783</v>
      </c>
      <c r="AC1169" s="12" t="n">
        <f aca="false">IF(Q1169,A1169,AC1168)</f>
        <v>45888</v>
      </c>
      <c r="AD1169" s="8" t="n">
        <f aca="false">IF(Q1169,B1169,AD1168)</f>
        <v>0.85196916476283</v>
      </c>
      <c r="AE1169" s="8" t="str">
        <f aca="false">IF(AA1169,L1169,"")</f>
        <v/>
      </c>
      <c r="AF1169" s="8" t="n">
        <f aca="false">U1169</f>
        <v>0.835624367549931</v>
      </c>
      <c r="AG1169" s="2" t="n">
        <f aca="false">AG1168+IF(Q1169,1,0)</f>
        <v>12</v>
      </c>
      <c r="AH1169" s="2" t="n">
        <f aca="false">AG1168</f>
        <v>12</v>
      </c>
      <c r="AI1169" s="10" t="n">
        <f aca="false">X1169+Y1169*(E1169-AB1169)-Y1169*AD1169*Inputs!$B$13*(A1169-AC1169)</f>
        <v>966.978222901535</v>
      </c>
      <c r="AJ1169" s="10" t="n">
        <v>0</v>
      </c>
      <c r="AK1169" s="8" t="n">
        <f aca="false">IF(AND(B1169&lt;=U1169,NOT(Q1169)),B1169,U1169)*(1-Inputs!$B$12)</f>
        <v>0.835457242676421</v>
      </c>
    </row>
    <row r="1170" customFormat="false" ht="15" hidden="false" customHeight="false" outlineLevel="0" collapsed="false">
      <c r="A1170" s="6" t="n">
        <v>45954</v>
      </c>
      <c r="B1170" s="7" t="n">
        <v>0.90105226356786</v>
      </c>
      <c r="C1170" s="7" t="n">
        <v>0.906044359076942</v>
      </c>
      <c r="D1170" s="7" t="n">
        <v>0.894314905402033</v>
      </c>
      <c r="E1170" s="7" t="n">
        <v>0.901794225668513</v>
      </c>
      <c r="F1170" s="8" t="n">
        <f aca="true">IF(ROW()-2&gt;=Inputs!$B$4,AVERAGE(OFFSET(E1170,1-Inputs!$B$4,0,Inputs!$B$4,1)),"")</f>
        <v>0.89381655409586</v>
      </c>
      <c r="G1170" s="8" t="n">
        <f aca="true">IF(ROW()-2&gt;=Inputs!$B$5,AVERAGE(OFFSET(E1170,1-Inputs!$B$5,0,Inputs!$B$5,1)),"")</f>
        <v>0.884990505279265</v>
      </c>
      <c r="H1170" s="8" t="n">
        <f aca="false">MAX(C1170-D1170,ABS(C1170-E1169),ABS(D1170-E1169))</f>
        <v>0.0117294536749087</v>
      </c>
      <c r="I1170" s="8" t="n">
        <f aca="true">IF(ROW()-2&lt;14,"",IF(ROW()-2=14,AVERAGE(OFFSET(H1170,-13,0,14,1)),(I1169*13+H1170)/14))</f>
        <v>0.00874991914549827</v>
      </c>
      <c r="J1170" s="9" t="b">
        <f aca="false">IF(AND(ISNUMBER(F1170),ISNUMBER(G1170),ISNUMBER(F1169),ISNUMBER(G1169)),AND(F1170&gt;G1170,F1169&lt;=G1169),FALSE())</f>
        <v>0</v>
      </c>
      <c r="K1170" s="9" t="b">
        <f aca="false">IF(AND(ISNUMBER(F1170),ISNUMBER(G1170),ISNUMBER(F1169),ISNUMBER(G1169)),AND(F1170&lt;G1170,F1169&gt;=G1169),FALSE())</f>
        <v>0</v>
      </c>
      <c r="L1170" s="8" t="n">
        <f aca="false">IF(ISNUMBER(I1170),E1170-Inputs!$B$6*I1170,"")</f>
        <v>0.884294387377517</v>
      </c>
      <c r="M1170" s="9" t="b">
        <f aca="false">AND(Y1169&gt;0,Z1169)</f>
        <v>0</v>
      </c>
      <c r="N1170" s="8" t="n">
        <f aca="false">B1170*(1-Inputs!$B$12)</f>
        <v>0.900872053115147</v>
      </c>
      <c r="O1170" s="10" t="n">
        <f aca="false">IF(M1170,Y1169*(N1170-AB1169)-Inputs!$B$9-Y1169*AD1169*Inputs!$B$13*(A1170-AC1169),0)</f>
        <v>0</v>
      </c>
      <c r="P1170" s="10" t="n">
        <f aca="false">X1169+O1170</f>
        <v>944.618668179282</v>
      </c>
      <c r="Q1170" s="9" t="b">
        <f aca="false">AND(IF(M1170,0,Y1169)=0,AA1169,IF(ISNUMBER(AE1169),B1170&gt;AE1169,FALSE()))</f>
        <v>0</v>
      </c>
      <c r="R1170" s="8" t="n">
        <f aca="false">B1170*(1+Inputs!$B$12)</f>
        <v>0.901232474020574</v>
      </c>
      <c r="S1170" s="11" t="n">
        <f aca="false">IF(Q1170,MIN(P1170*Inputs!$B$3/(R1170-AE1169),P1170*Inputs!$B$11/R1170),0)</f>
        <v>0</v>
      </c>
      <c r="T1170" s="11" t="n">
        <f aca="false">IF(Q1170,S1170,IF(M1170,0,Y1169))</f>
        <v>572.575070766003</v>
      </c>
      <c r="U1170" s="8" t="n">
        <f aca="false">IF(Q1170,AE1169,AF1169)</f>
        <v>0.835624367549931</v>
      </c>
      <c r="V1170" s="9" t="b">
        <f aca="false">AND(T1170&gt;0,D1170&lt;=U1170)</f>
        <v>0</v>
      </c>
      <c r="W1170" s="10" t="n">
        <f aca="false">IF(V1170,T1170*(AK1170-AB1170)-Inputs!$B$9-T1170*AD1170*Inputs!$B$13*(A1170-AC1170),0)</f>
        <v>0</v>
      </c>
      <c r="X1170" s="10" t="n">
        <f aca="false">P1170-IF(Q1170,Inputs!$B$9,0)+W1170</f>
        <v>944.618668179282</v>
      </c>
      <c r="Y1170" s="11" t="n">
        <f aca="false">IF(V1170,0,T1170)</f>
        <v>572.575070766003</v>
      </c>
      <c r="Z1170" s="9" t="b">
        <f aca="false">AND(Y1170&gt;0,K1170)</f>
        <v>0</v>
      </c>
      <c r="AA1170" s="9" t="b">
        <f aca="false">AND(Y1170=0,J1170,ISNUMBER(L1170))</f>
        <v>0</v>
      </c>
      <c r="AB1170" s="8" t="n">
        <f aca="false">IF(Q1170,R1170,AB1169)</f>
        <v>0.852139558595783</v>
      </c>
      <c r="AC1170" s="12" t="n">
        <f aca="false">IF(Q1170,A1170,AC1169)</f>
        <v>45888</v>
      </c>
      <c r="AD1170" s="8" t="n">
        <f aca="false">IF(Q1170,B1170,AD1169)</f>
        <v>0.85196916476283</v>
      </c>
      <c r="AE1170" s="8" t="str">
        <f aca="false">IF(AA1170,L1170,"")</f>
        <v/>
      </c>
      <c r="AF1170" s="8" t="n">
        <f aca="false">U1170</f>
        <v>0.835624367549931</v>
      </c>
      <c r="AG1170" s="2" t="n">
        <f aca="false">AG1169+IF(Q1170,1,0)</f>
        <v>12</v>
      </c>
      <c r="AH1170" s="2" t="n">
        <f aca="false">AG1169</f>
        <v>12</v>
      </c>
      <c r="AI1170" s="10" t="n">
        <f aca="false">X1170+Y1170*(E1170-AB1170)-Y1170*AD1170*Inputs!$B$13*(A1170-AC1170)</f>
        <v>967.316180507076</v>
      </c>
      <c r="AJ1170" s="10" t="n">
        <v>0</v>
      </c>
      <c r="AK1170" s="8" t="n">
        <f aca="false">IF(AND(B1170&lt;=U1170,NOT(Q1170)),B1170,U1170)*(1-Inputs!$B$12)</f>
        <v>0.835457242676421</v>
      </c>
    </row>
    <row r="1171" customFormat="false" ht="15" hidden="false" customHeight="false" outlineLevel="0" collapsed="false">
      <c r="A1171" s="6" t="n">
        <v>45955</v>
      </c>
      <c r="B1171" s="7" t="n">
        <v>0.901794225668513</v>
      </c>
      <c r="C1171" s="7" t="n">
        <v>0.904312847298957</v>
      </c>
      <c r="D1171" s="7" t="n">
        <v>0.900319376097765</v>
      </c>
      <c r="E1171" s="7" t="n">
        <v>0.902834567972097</v>
      </c>
      <c r="F1171" s="8" t="n">
        <f aca="true">IF(ROW()-2&gt;=Inputs!$B$4,AVERAGE(OFFSET(E1171,1-Inputs!$B$4,0,Inputs!$B$4,1)),"")</f>
        <v>0.894476448691228</v>
      </c>
      <c r="G1171" s="8" t="n">
        <f aca="true">IF(ROW()-2&gt;=Inputs!$B$5,AVERAGE(OFFSET(E1171,1-Inputs!$B$5,0,Inputs!$B$5,1)),"")</f>
        <v>0.885802912330197</v>
      </c>
      <c r="H1171" s="8" t="n">
        <f aca="false">MAX(C1171-D1171,ABS(C1171-E1170),ABS(D1171-E1170))</f>
        <v>0.00399347120119209</v>
      </c>
      <c r="I1171" s="8" t="n">
        <f aca="true">IF(ROW()-2&lt;14,"",IF(ROW()-2=14,AVERAGE(OFFSET(H1171,-13,0,14,1)),(I1170*13+H1171)/14))</f>
        <v>0.00841017286376212</v>
      </c>
      <c r="J1171" s="9" t="b">
        <f aca="false">IF(AND(ISNUMBER(F1171),ISNUMBER(G1171),ISNUMBER(F1170),ISNUMBER(G1170)),AND(F1171&gt;G1171,F1170&lt;=G1170),FALSE())</f>
        <v>0</v>
      </c>
      <c r="K1171" s="9" t="b">
        <f aca="false">IF(AND(ISNUMBER(F1171),ISNUMBER(G1171),ISNUMBER(F1170),ISNUMBER(G1170)),AND(F1171&lt;G1171,F1170&gt;=G1170),FALSE())</f>
        <v>0</v>
      </c>
      <c r="L1171" s="8" t="n">
        <f aca="false">IF(ISNUMBER(I1171),E1171-Inputs!$B$6*I1171,"")</f>
        <v>0.886014222244573</v>
      </c>
      <c r="M1171" s="9" t="b">
        <f aca="false">AND(Y1170&gt;0,Z1170)</f>
        <v>0</v>
      </c>
      <c r="N1171" s="8" t="n">
        <f aca="false">B1171*(1-Inputs!$B$12)</f>
        <v>0.90161386682338</v>
      </c>
      <c r="O1171" s="10" t="n">
        <f aca="false">IF(M1171,Y1170*(N1171-AB1170)-Inputs!$B$9-Y1170*AD1170*Inputs!$B$13*(A1171-AC1170),0)</f>
        <v>0</v>
      </c>
      <c r="P1171" s="10" t="n">
        <f aca="false">X1170+O1171</f>
        <v>944.618668179282</v>
      </c>
      <c r="Q1171" s="9" t="b">
        <f aca="false">AND(IF(M1171,0,Y1170)=0,AA1170,IF(ISNUMBER(AE1170),B1171&gt;AE1170,FALSE()))</f>
        <v>0</v>
      </c>
      <c r="R1171" s="8" t="n">
        <f aca="false">B1171*(1+Inputs!$B$12)</f>
        <v>0.901974584513647</v>
      </c>
      <c r="S1171" s="11" t="n">
        <f aca="false">IF(Q1171,MIN(P1171*Inputs!$B$3/(R1171-AE1170),P1171*Inputs!$B$11/R1171),0)</f>
        <v>0</v>
      </c>
      <c r="T1171" s="11" t="n">
        <f aca="false">IF(Q1171,S1171,IF(M1171,0,Y1170))</f>
        <v>572.575070766003</v>
      </c>
      <c r="U1171" s="8" t="n">
        <f aca="false">IF(Q1171,AE1170,AF1170)</f>
        <v>0.835624367549931</v>
      </c>
      <c r="V1171" s="9" t="b">
        <f aca="false">AND(T1171&gt;0,D1171&lt;=U1171)</f>
        <v>0</v>
      </c>
      <c r="W1171" s="10" t="n">
        <f aca="false">IF(V1171,T1171*(AK1171-AB1171)-Inputs!$B$9-T1171*AD1171*Inputs!$B$13*(A1171-AC1171),0)</f>
        <v>0</v>
      </c>
      <c r="X1171" s="10" t="n">
        <f aca="false">P1171-IF(Q1171,Inputs!$B$9,0)+W1171</f>
        <v>944.618668179282</v>
      </c>
      <c r="Y1171" s="11" t="n">
        <f aca="false">IF(V1171,0,T1171)</f>
        <v>572.575070766003</v>
      </c>
      <c r="Z1171" s="9" t="b">
        <f aca="false">AND(Y1171&gt;0,K1171)</f>
        <v>0</v>
      </c>
      <c r="AA1171" s="9" t="b">
        <f aca="false">AND(Y1171=0,J1171,ISNUMBER(L1171))</f>
        <v>0</v>
      </c>
      <c r="AB1171" s="8" t="n">
        <f aca="false">IF(Q1171,R1171,AB1170)</f>
        <v>0.852139558595783</v>
      </c>
      <c r="AC1171" s="12" t="n">
        <f aca="false">IF(Q1171,A1171,AC1170)</f>
        <v>45888</v>
      </c>
      <c r="AD1171" s="8" t="n">
        <f aca="false">IF(Q1171,B1171,AD1170)</f>
        <v>0.85196916476283</v>
      </c>
      <c r="AE1171" s="8" t="str">
        <f aca="false">IF(AA1171,L1171,"")</f>
        <v/>
      </c>
      <c r="AF1171" s="8" t="n">
        <f aca="false">U1171</f>
        <v>0.835624367549931</v>
      </c>
      <c r="AG1171" s="2" t="n">
        <f aca="false">AG1170+IF(Q1171,1,0)</f>
        <v>12</v>
      </c>
      <c r="AH1171" s="2" t="n">
        <f aca="false">AG1170</f>
        <v>12</v>
      </c>
      <c r="AI1171" s="10" t="n">
        <f aca="false">X1171+Y1171*(E1171-AB1171)-Y1171*AD1171*Inputs!$B$13*(A1171-AC1171)</f>
        <v>967.824983178426</v>
      </c>
      <c r="AJ1171" s="10" t="n">
        <v>0</v>
      </c>
      <c r="AK1171" s="8" t="n">
        <f aca="false">IF(AND(B1171&lt;=U1171,NOT(Q1171)),B1171,U1171)*(1-Inputs!$B$12)</f>
        <v>0.835457242676421</v>
      </c>
    </row>
    <row r="1172" customFormat="false" ht="15" hidden="false" customHeight="false" outlineLevel="0" collapsed="false">
      <c r="A1172" s="6" t="n">
        <v>45956</v>
      </c>
      <c r="B1172" s="7" t="n">
        <v>0.902834567972097</v>
      </c>
      <c r="C1172" s="7" t="n">
        <v>0.912598848319608</v>
      </c>
      <c r="D1172" s="7" t="n">
        <v>0.898794184832234</v>
      </c>
      <c r="E1172" s="7" t="n">
        <v>0.901887924654844</v>
      </c>
      <c r="F1172" s="8" t="n">
        <f aca="true">IF(ROW()-2&gt;=Inputs!$B$4,AVERAGE(OFFSET(E1172,1-Inputs!$B$4,0,Inputs!$B$4,1)),"")</f>
        <v>0.894927333408879</v>
      </c>
      <c r="G1172" s="8" t="n">
        <f aca="true">IF(ROW()-2&gt;=Inputs!$B$5,AVERAGE(OFFSET(E1172,1-Inputs!$B$5,0,Inputs!$B$5,1)),"")</f>
        <v>0.886412302142693</v>
      </c>
      <c r="H1172" s="8" t="n">
        <f aca="false">MAX(C1172-D1172,ABS(C1172-E1171),ABS(D1172-E1171))</f>
        <v>0.0138046634873742</v>
      </c>
      <c r="I1172" s="8" t="n">
        <f aca="true">IF(ROW()-2&lt;14,"",IF(ROW()-2=14,AVERAGE(OFFSET(H1172,-13,0,14,1)),(I1171*13+H1172)/14))</f>
        <v>0.00879549362259155</v>
      </c>
      <c r="J1172" s="9" t="b">
        <f aca="false">IF(AND(ISNUMBER(F1172),ISNUMBER(G1172),ISNUMBER(F1171),ISNUMBER(G1171)),AND(F1172&gt;G1172,F1171&lt;=G1171),FALSE())</f>
        <v>0</v>
      </c>
      <c r="K1172" s="9" t="b">
        <f aca="false">IF(AND(ISNUMBER(F1172),ISNUMBER(G1172),ISNUMBER(F1171),ISNUMBER(G1171)),AND(F1172&lt;G1172,F1171&gt;=G1171),FALSE())</f>
        <v>0</v>
      </c>
      <c r="L1172" s="8" t="n">
        <f aca="false">IF(ISNUMBER(I1172),E1172-Inputs!$B$6*I1172,"")</f>
        <v>0.884296937409661</v>
      </c>
      <c r="M1172" s="9" t="b">
        <f aca="false">AND(Y1171&gt;0,Z1171)</f>
        <v>0</v>
      </c>
      <c r="N1172" s="8" t="n">
        <f aca="false">B1172*(1-Inputs!$B$12)</f>
        <v>0.902654001058503</v>
      </c>
      <c r="O1172" s="10" t="n">
        <f aca="false">IF(M1172,Y1171*(N1172-AB1171)-Inputs!$B$9-Y1171*AD1171*Inputs!$B$13*(A1172-AC1171),0)</f>
        <v>0</v>
      </c>
      <c r="P1172" s="10" t="n">
        <f aca="false">X1171+O1172</f>
        <v>944.618668179282</v>
      </c>
      <c r="Q1172" s="9" t="b">
        <f aca="false">AND(IF(M1172,0,Y1171)=0,AA1171,IF(ISNUMBER(AE1171),B1172&gt;AE1171,FALSE()))</f>
        <v>0</v>
      </c>
      <c r="R1172" s="8" t="n">
        <f aca="false">B1172*(1+Inputs!$B$12)</f>
        <v>0.903015134885692</v>
      </c>
      <c r="S1172" s="11" t="n">
        <f aca="false">IF(Q1172,MIN(P1172*Inputs!$B$3/(R1172-AE1171),P1172*Inputs!$B$11/R1172),0)</f>
        <v>0</v>
      </c>
      <c r="T1172" s="11" t="n">
        <f aca="false">IF(Q1172,S1172,IF(M1172,0,Y1171))</f>
        <v>572.575070766003</v>
      </c>
      <c r="U1172" s="8" t="n">
        <f aca="false">IF(Q1172,AE1171,AF1171)</f>
        <v>0.835624367549931</v>
      </c>
      <c r="V1172" s="9" t="b">
        <f aca="false">AND(T1172&gt;0,D1172&lt;=U1172)</f>
        <v>0</v>
      </c>
      <c r="W1172" s="10" t="n">
        <f aca="false">IF(V1172,T1172*(AK1172-AB1172)-Inputs!$B$9-T1172*AD1172*Inputs!$B$13*(A1172-AC1172),0)</f>
        <v>0</v>
      </c>
      <c r="X1172" s="10" t="n">
        <f aca="false">P1172-IF(Q1172,Inputs!$B$9,0)+W1172</f>
        <v>944.618668179282</v>
      </c>
      <c r="Y1172" s="11" t="n">
        <f aca="false">IF(V1172,0,T1172)</f>
        <v>572.575070766003</v>
      </c>
      <c r="Z1172" s="9" t="b">
        <f aca="false">AND(Y1172&gt;0,K1172)</f>
        <v>0</v>
      </c>
      <c r="AA1172" s="9" t="b">
        <f aca="false">AND(Y1172=0,J1172,ISNUMBER(L1172))</f>
        <v>0</v>
      </c>
      <c r="AB1172" s="8" t="n">
        <f aca="false">IF(Q1172,R1172,AB1171)</f>
        <v>0.852139558595783</v>
      </c>
      <c r="AC1172" s="12" t="n">
        <f aca="false">IF(Q1172,A1172,AC1171)</f>
        <v>45888</v>
      </c>
      <c r="AD1172" s="8" t="n">
        <f aca="false">IF(Q1172,B1172,AD1171)</f>
        <v>0.85196916476283</v>
      </c>
      <c r="AE1172" s="8" t="str">
        <f aca="false">IF(AA1172,L1172,"")</f>
        <v/>
      </c>
      <c r="AF1172" s="8" t="n">
        <f aca="false">U1172</f>
        <v>0.835624367549931</v>
      </c>
      <c r="AG1172" s="2" t="n">
        <f aca="false">AG1171+IF(Q1172,1,0)</f>
        <v>12</v>
      </c>
      <c r="AH1172" s="2" t="n">
        <f aca="false">AG1171</f>
        <v>12</v>
      </c>
      <c r="AI1172" s="10" t="n">
        <f aca="false">X1172+Y1172*(E1172-AB1172)-Y1172*AD1172*Inputs!$B$13*(A1172-AC1172)</f>
        <v>967.196087417313</v>
      </c>
      <c r="AJ1172" s="10" t="n">
        <v>0</v>
      </c>
      <c r="AK1172" s="8" t="n">
        <f aca="false">IF(AND(B1172&lt;=U1172,NOT(Q1172)),B1172,U1172)*(1-Inputs!$B$12)</f>
        <v>0.835457242676421</v>
      </c>
    </row>
    <row r="1173" customFormat="false" ht="15" hidden="false" customHeight="false" outlineLevel="0" collapsed="false">
      <c r="A1173" s="6" t="n">
        <v>45957</v>
      </c>
      <c r="B1173" s="7" t="n">
        <v>0.901887924654844</v>
      </c>
      <c r="C1173" s="7" t="n">
        <v>0.91636528192447</v>
      </c>
      <c r="D1173" s="7" t="n">
        <v>0.898869083938425</v>
      </c>
      <c r="E1173" s="7" t="n">
        <v>0.907797791702383</v>
      </c>
      <c r="F1173" s="8" t="n">
        <f aca="true">IF(ROW()-2&gt;=Inputs!$B$4,AVERAGE(OFFSET(E1173,1-Inputs!$B$4,0,Inputs!$B$4,1)),"")</f>
        <v>0.895905839324963</v>
      </c>
      <c r="G1173" s="8" t="n">
        <f aca="true">IF(ROW()-2&gt;=Inputs!$B$5,AVERAGE(OFFSET(E1173,1-Inputs!$B$5,0,Inputs!$B$5,1)),"")</f>
        <v>0.887137190466043</v>
      </c>
      <c r="H1173" s="8" t="n">
        <f aca="false">MAX(C1173-D1173,ABS(C1173-E1172),ABS(D1173-E1172))</f>
        <v>0.0174961979860451</v>
      </c>
      <c r="I1173" s="8" t="n">
        <f aca="true">IF(ROW()-2&lt;14,"",IF(ROW()-2=14,AVERAGE(OFFSET(H1173,-13,0,14,1)),(I1172*13+H1173)/14))</f>
        <v>0.00941697250569537</v>
      </c>
      <c r="J1173" s="9" t="b">
        <f aca="false">IF(AND(ISNUMBER(F1173),ISNUMBER(G1173),ISNUMBER(F1172),ISNUMBER(G1172)),AND(F1173&gt;G1173,F1172&lt;=G1172),FALSE())</f>
        <v>0</v>
      </c>
      <c r="K1173" s="9" t="b">
        <f aca="false">IF(AND(ISNUMBER(F1173),ISNUMBER(G1173),ISNUMBER(F1172),ISNUMBER(G1172)),AND(F1173&lt;G1173,F1172&gt;=G1172),FALSE())</f>
        <v>0</v>
      </c>
      <c r="L1173" s="8" t="n">
        <f aca="false">IF(ISNUMBER(I1173),E1173-Inputs!$B$6*I1173,"")</f>
        <v>0.888963846690992</v>
      </c>
      <c r="M1173" s="9" t="b">
        <f aca="false">AND(Y1172&gt;0,Z1172)</f>
        <v>0</v>
      </c>
      <c r="N1173" s="8" t="n">
        <f aca="false">B1173*(1-Inputs!$B$12)</f>
        <v>0.901707547069913</v>
      </c>
      <c r="O1173" s="10" t="n">
        <f aca="false">IF(M1173,Y1172*(N1173-AB1172)-Inputs!$B$9-Y1172*AD1172*Inputs!$B$13*(A1173-AC1172),0)</f>
        <v>0</v>
      </c>
      <c r="P1173" s="10" t="n">
        <f aca="false">X1172+O1173</f>
        <v>944.618668179282</v>
      </c>
      <c r="Q1173" s="9" t="b">
        <f aca="false">AND(IF(M1173,0,Y1172)=0,AA1172,IF(ISNUMBER(AE1172),B1173&gt;AE1172,FALSE()))</f>
        <v>0</v>
      </c>
      <c r="R1173" s="8" t="n">
        <f aca="false">B1173*(1+Inputs!$B$12)</f>
        <v>0.902068302239775</v>
      </c>
      <c r="S1173" s="11" t="n">
        <f aca="false">IF(Q1173,MIN(P1173*Inputs!$B$3/(R1173-AE1172),P1173*Inputs!$B$11/R1173),0)</f>
        <v>0</v>
      </c>
      <c r="T1173" s="11" t="n">
        <f aca="false">IF(Q1173,S1173,IF(M1173,0,Y1172))</f>
        <v>572.575070766003</v>
      </c>
      <c r="U1173" s="8" t="n">
        <f aca="false">IF(Q1173,AE1172,AF1172)</f>
        <v>0.835624367549931</v>
      </c>
      <c r="V1173" s="9" t="b">
        <f aca="false">AND(T1173&gt;0,D1173&lt;=U1173)</f>
        <v>0</v>
      </c>
      <c r="W1173" s="10" t="n">
        <f aca="false">IF(V1173,T1173*(AK1173-AB1173)-Inputs!$B$9-T1173*AD1173*Inputs!$B$13*(A1173-AC1173),0)</f>
        <v>0</v>
      </c>
      <c r="X1173" s="10" t="n">
        <f aca="false">P1173-IF(Q1173,Inputs!$B$9,0)+W1173</f>
        <v>944.618668179282</v>
      </c>
      <c r="Y1173" s="11" t="n">
        <f aca="false">IF(V1173,0,T1173)</f>
        <v>572.575070766003</v>
      </c>
      <c r="Z1173" s="9" t="b">
        <f aca="false">AND(Y1173&gt;0,K1173)</f>
        <v>0</v>
      </c>
      <c r="AA1173" s="9" t="b">
        <f aca="false">AND(Y1173=0,J1173,ISNUMBER(L1173))</f>
        <v>0</v>
      </c>
      <c r="AB1173" s="8" t="n">
        <f aca="false">IF(Q1173,R1173,AB1172)</f>
        <v>0.852139558595783</v>
      </c>
      <c r="AC1173" s="12" t="n">
        <f aca="false">IF(Q1173,A1173,AC1172)</f>
        <v>45888</v>
      </c>
      <c r="AD1173" s="8" t="n">
        <f aca="false">IF(Q1173,B1173,AD1172)</f>
        <v>0.85196916476283</v>
      </c>
      <c r="AE1173" s="8" t="str">
        <f aca="false">IF(AA1173,L1173,"")</f>
        <v/>
      </c>
      <c r="AF1173" s="8" t="n">
        <f aca="false">U1173</f>
        <v>0.835624367549931</v>
      </c>
      <c r="AG1173" s="2" t="n">
        <f aca="false">AG1172+IF(Q1173,1,0)</f>
        <v>12</v>
      </c>
      <c r="AH1173" s="2" t="n">
        <f aca="false">AG1172</f>
        <v>12</v>
      </c>
      <c r="AI1173" s="10" t="n">
        <f aca="false">X1173+Y1173*(E1173-AB1173)-Y1173*AD1173*Inputs!$B$13*(A1173-AC1173)</f>
        <v>970.493058563529</v>
      </c>
      <c r="AJ1173" s="10" t="n">
        <v>0</v>
      </c>
      <c r="AK1173" s="8" t="n">
        <f aca="false">IF(AND(B1173&lt;=U1173,NOT(Q1173)),B1173,U1173)*(1-Inputs!$B$12)</f>
        <v>0.835457242676421</v>
      </c>
    </row>
    <row r="1174" customFormat="false" ht="15" hidden="false" customHeight="false" outlineLevel="0" collapsed="false">
      <c r="A1174" s="6" t="n">
        <v>45958</v>
      </c>
      <c r="B1174" s="7" t="n">
        <v>0.907797791702383</v>
      </c>
      <c r="C1174" s="7" t="n">
        <v>0.90827079101147</v>
      </c>
      <c r="D1174" s="7" t="n">
        <v>0.905568160606943</v>
      </c>
      <c r="E1174" s="7" t="n">
        <v>0.905677674835712</v>
      </c>
      <c r="F1174" s="8" t="n">
        <f aca="true">IF(ROW()-2&gt;=Inputs!$B$4,AVERAGE(OFFSET(E1174,1-Inputs!$B$4,0,Inputs!$B$4,1)),"")</f>
        <v>0.896573666633654</v>
      </c>
      <c r="G1174" s="8" t="n">
        <f aca="true">IF(ROW()-2&gt;=Inputs!$B$5,AVERAGE(OFFSET(E1174,1-Inputs!$B$5,0,Inputs!$B$5,1)),"")</f>
        <v>0.887950416264686</v>
      </c>
      <c r="H1174" s="8" t="n">
        <f aca="false">MAX(C1174-D1174,ABS(C1174-E1173),ABS(D1174-E1173))</f>
        <v>0.00270263040452745</v>
      </c>
      <c r="I1174" s="8" t="n">
        <f aca="true">IF(ROW()-2&lt;14,"",IF(ROW()-2=14,AVERAGE(OFFSET(H1174,-13,0,14,1)),(I1173*13+H1174)/14))</f>
        <v>0.00893737664132624</v>
      </c>
      <c r="J1174" s="9" t="b">
        <f aca="false">IF(AND(ISNUMBER(F1174),ISNUMBER(G1174),ISNUMBER(F1173),ISNUMBER(G1173)),AND(F1174&gt;G1174,F1173&lt;=G1173),FALSE())</f>
        <v>0</v>
      </c>
      <c r="K1174" s="9" t="b">
        <f aca="false">IF(AND(ISNUMBER(F1174),ISNUMBER(G1174),ISNUMBER(F1173),ISNUMBER(G1173)),AND(F1174&lt;G1174,F1173&gt;=G1173),FALSE())</f>
        <v>0</v>
      </c>
      <c r="L1174" s="8" t="n">
        <f aca="false">IF(ISNUMBER(I1174),E1174-Inputs!$B$6*I1174,"")</f>
        <v>0.88780292155306</v>
      </c>
      <c r="M1174" s="9" t="b">
        <f aca="false">AND(Y1173&gt;0,Z1173)</f>
        <v>0</v>
      </c>
      <c r="N1174" s="8" t="n">
        <f aca="false">B1174*(1-Inputs!$B$12)</f>
        <v>0.907616232144042</v>
      </c>
      <c r="O1174" s="10" t="n">
        <f aca="false">IF(M1174,Y1173*(N1174-AB1173)-Inputs!$B$9-Y1173*AD1173*Inputs!$B$13*(A1174-AC1173),0)</f>
        <v>0</v>
      </c>
      <c r="P1174" s="10" t="n">
        <f aca="false">X1173+O1174</f>
        <v>944.618668179282</v>
      </c>
      <c r="Q1174" s="9" t="b">
        <f aca="false">AND(IF(M1174,0,Y1173)=0,AA1173,IF(ISNUMBER(AE1173),B1174&gt;AE1173,FALSE()))</f>
        <v>0</v>
      </c>
      <c r="R1174" s="8" t="n">
        <f aca="false">B1174*(1+Inputs!$B$12)</f>
        <v>0.907979351260723</v>
      </c>
      <c r="S1174" s="11" t="n">
        <f aca="false">IF(Q1174,MIN(P1174*Inputs!$B$3/(R1174-AE1173),P1174*Inputs!$B$11/R1174),0)</f>
        <v>0</v>
      </c>
      <c r="T1174" s="11" t="n">
        <f aca="false">IF(Q1174,S1174,IF(M1174,0,Y1173))</f>
        <v>572.575070766003</v>
      </c>
      <c r="U1174" s="8" t="n">
        <f aca="false">IF(Q1174,AE1173,AF1173)</f>
        <v>0.835624367549931</v>
      </c>
      <c r="V1174" s="9" t="b">
        <f aca="false">AND(T1174&gt;0,D1174&lt;=U1174)</f>
        <v>0</v>
      </c>
      <c r="W1174" s="10" t="n">
        <f aca="false">IF(V1174,T1174*(AK1174-AB1174)-Inputs!$B$9-T1174*AD1174*Inputs!$B$13*(A1174-AC1174),0)</f>
        <v>0</v>
      </c>
      <c r="X1174" s="10" t="n">
        <f aca="false">P1174-IF(Q1174,Inputs!$B$9,0)+W1174</f>
        <v>944.618668179282</v>
      </c>
      <c r="Y1174" s="11" t="n">
        <f aca="false">IF(V1174,0,T1174)</f>
        <v>572.575070766003</v>
      </c>
      <c r="Z1174" s="9" t="b">
        <f aca="false">AND(Y1174&gt;0,K1174)</f>
        <v>0</v>
      </c>
      <c r="AA1174" s="9" t="b">
        <f aca="false">AND(Y1174=0,J1174,ISNUMBER(L1174))</f>
        <v>0</v>
      </c>
      <c r="AB1174" s="8" t="n">
        <f aca="false">IF(Q1174,R1174,AB1173)</f>
        <v>0.852139558595783</v>
      </c>
      <c r="AC1174" s="12" t="n">
        <f aca="false">IF(Q1174,A1174,AC1173)</f>
        <v>45888</v>
      </c>
      <c r="AD1174" s="8" t="n">
        <f aca="false">IF(Q1174,B1174,AD1173)</f>
        <v>0.85196916476283</v>
      </c>
      <c r="AE1174" s="8" t="str">
        <f aca="false">IF(AA1174,L1174,"")</f>
        <v/>
      </c>
      <c r="AF1174" s="8" t="n">
        <f aca="false">U1174</f>
        <v>0.835624367549931</v>
      </c>
      <c r="AG1174" s="2" t="n">
        <f aca="false">AG1173+IF(Q1174,1,0)</f>
        <v>12</v>
      </c>
      <c r="AH1174" s="2" t="n">
        <f aca="false">AG1173</f>
        <v>12</v>
      </c>
      <c r="AI1174" s="10" t="n">
        <f aca="false">X1174+Y1174*(E1174-AB1174)-Y1174*AD1174*Inputs!$B$13*(A1174-AC1174)</f>
        <v>969.192261101817</v>
      </c>
      <c r="AJ1174" s="10" t="n">
        <v>0</v>
      </c>
      <c r="AK1174" s="8" t="n">
        <f aca="false">IF(AND(B1174&lt;=U1174,NOT(Q1174)),B1174,U1174)*(1-Inputs!$B$12)</f>
        <v>0.835457242676421</v>
      </c>
    </row>
    <row r="1175" customFormat="false" ht="15" hidden="false" customHeight="false" outlineLevel="0" collapsed="false">
      <c r="A1175" s="6" t="n">
        <v>45959</v>
      </c>
      <c r="B1175" s="7" t="n">
        <v>0.905677674835712</v>
      </c>
      <c r="C1175" s="7" t="n">
        <v>0.915363167741977</v>
      </c>
      <c r="D1175" s="7" t="n">
        <v>0.901262501004896</v>
      </c>
      <c r="E1175" s="7" t="n">
        <v>0.909719006210453</v>
      </c>
      <c r="F1175" s="8" t="n">
        <f aca="true">IF(ROW()-2&gt;=Inputs!$B$4,AVERAGE(OFFSET(E1175,1-Inputs!$B$4,0,Inputs!$B$4,1)),"")</f>
        <v>0.897375538407921</v>
      </c>
      <c r="G1175" s="8" t="n">
        <f aca="true">IF(ROW()-2&gt;=Inputs!$B$5,AVERAGE(OFFSET(E1175,1-Inputs!$B$5,0,Inputs!$B$5,1)),"")</f>
        <v>0.88885414373778</v>
      </c>
      <c r="H1175" s="8" t="n">
        <f aca="false">MAX(C1175-D1175,ABS(C1175-E1174),ABS(D1175-E1174))</f>
        <v>0.0141006667370808</v>
      </c>
      <c r="I1175" s="8" t="n">
        <f aca="true">IF(ROW()-2&lt;14,"",IF(ROW()-2=14,AVERAGE(OFFSET(H1175,-13,0,14,1)),(I1174*13+H1175)/14))</f>
        <v>0.00930618307673728</v>
      </c>
      <c r="J1175" s="9" t="b">
        <f aca="false">IF(AND(ISNUMBER(F1175),ISNUMBER(G1175),ISNUMBER(F1174),ISNUMBER(G1174)),AND(F1175&gt;G1175,F1174&lt;=G1174),FALSE())</f>
        <v>0</v>
      </c>
      <c r="K1175" s="9" t="b">
        <f aca="false">IF(AND(ISNUMBER(F1175),ISNUMBER(G1175),ISNUMBER(F1174),ISNUMBER(G1174)),AND(F1175&lt;G1175,F1174&gt;=G1174),FALSE())</f>
        <v>0</v>
      </c>
      <c r="L1175" s="8" t="n">
        <f aca="false">IF(ISNUMBER(I1175),E1175-Inputs!$B$6*I1175,"")</f>
        <v>0.891106640056978</v>
      </c>
      <c r="M1175" s="9" t="b">
        <f aca="false">AND(Y1174&gt;0,Z1174)</f>
        <v>0</v>
      </c>
      <c r="N1175" s="8" t="n">
        <f aca="false">B1175*(1-Inputs!$B$12)</f>
        <v>0.905496539300745</v>
      </c>
      <c r="O1175" s="10" t="n">
        <f aca="false">IF(M1175,Y1174*(N1175-AB1174)-Inputs!$B$9-Y1174*AD1174*Inputs!$B$13*(A1175-AC1174),0)</f>
        <v>0</v>
      </c>
      <c r="P1175" s="10" t="n">
        <f aca="false">X1174+O1175</f>
        <v>944.618668179282</v>
      </c>
      <c r="Q1175" s="9" t="b">
        <f aca="false">AND(IF(M1175,0,Y1174)=0,AA1174,IF(ISNUMBER(AE1174),B1175&gt;AE1174,FALSE()))</f>
        <v>0</v>
      </c>
      <c r="R1175" s="8" t="n">
        <f aca="false">B1175*(1+Inputs!$B$12)</f>
        <v>0.905858810370679</v>
      </c>
      <c r="S1175" s="11" t="n">
        <f aca="false">IF(Q1175,MIN(P1175*Inputs!$B$3/(R1175-AE1174),P1175*Inputs!$B$11/R1175),0)</f>
        <v>0</v>
      </c>
      <c r="T1175" s="11" t="n">
        <f aca="false">IF(Q1175,S1175,IF(M1175,0,Y1174))</f>
        <v>572.575070766003</v>
      </c>
      <c r="U1175" s="8" t="n">
        <f aca="false">IF(Q1175,AE1174,AF1174)</f>
        <v>0.835624367549931</v>
      </c>
      <c r="V1175" s="9" t="b">
        <f aca="false">AND(T1175&gt;0,D1175&lt;=U1175)</f>
        <v>0</v>
      </c>
      <c r="W1175" s="10" t="n">
        <f aca="false">IF(V1175,T1175*(AK1175-AB1175)-Inputs!$B$9-T1175*AD1175*Inputs!$B$13*(A1175-AC1175),0)</f>
        <v>0</v>
      </c>
      <c r="X1175" s="10" t="n">
        <f aca="false">P1175-IF(Q1175,Inputs!$B$9,0)+W1175</f>
        <v>944.618668179282</v>
      </c>
      <c r="Y1175" s="11" t="n">
        <f aca="false">IF(V1175,0,T1175)</f>
        <v>572.575070766003</v>
      </c>
      <c r="Z1175" s="9" t="b">
        <f aca="false">AND(Y1175&gt;0,K1175)</f>
        <v>0</v>
      </c>
      <c r="AA1175" s="9" t="b">
        <f aca="false">AND(Y1175=0,J1175,ISNUMBER(L1175))</f>
        <v>0</v>
      </c>
      <c r="AB1175" s="8" t="n">
        <f aca="false">IF(Q1175,R1175,AB1174)</f>
        <v>0.852139558595783</v>
      </c>
      <c r="AC1175" s="12" t="n">
        <f aca="false">IF(Q1175,A1175,AC1174)</f>
        <v>45888</v>
      </c>
      <c r="AD1175" s="8" t="n">
        <f aca="false">IF(Q1175,B1175,AD1174)</f>
        <v>0.85196916476283</v>
      </c>
      <c r="AE1175" s="8" t="str">
        <f aca="false">IF(AA1175,L1175,"")</f>
        <v/>
      </c>
      <c r="AF1175" s="8" t="n">
        <f aca="false">U1175</f>
        <v>0.835624367549931</v>
      </c>
      <c r="AG1175" s="2" t="n">
        <f aca="false">AG1174+IF(Q1175,1,0)</f>
        <v>12</v>
      </c>
      <c r="AH1175" s="2" t="n">
        <f aca="false">AG1174</f>
        <v>12</v>
      </c>
      <c r="AI1175" s="10" t="n">
        <f aca="false">X1175+Y1175*(E1175-AB1175)-Y1175*AD1175*Inputs!$B$13*(A1175-AC1175)</f>
        <v>971.419355302952</v>
      </c>
      <c r="AJ1175" s="10" t="n">
        <v>0</v>
      </c>
      <c r="AK1175" s="8" t="n">
        <f aca="false">IF(AND(B1175&lt;=U1175,NOT(Q1175)),B1175,U1175)*(1-Inputs!$B$12)</f>
        <v>0.835457242676421</v>
      </c>
    </row>
    <row r="1176" customFormat="false" ht="15" hidden="false" customHeight="false" outlineLevel="0" collapsed="false">
      <c r="A1176" s="6" t="n">
        <v>45960</v>
      </c>
      <c r="B1176" s="7" t="n">
        <v>0.909719006210453</v>
      </c>
      <c r="C1176" s="7" t="n">
        <v>0.920422834140106</v>
      </c>
      <c r="D1176" s="7" t="n">
        <v>0.905316885429318</v>
      </c>
      <c r="E1176" s="7" t="n">
        <v>0.917340031755808</v>
      </c>
      <c r="F1176" s="8" t="n">
        <f aca="true">IF(ROW()-2&gt;=Inputs!$B$4,AVERAGE(OFFSET(E1176,1-Inputs!$B$4,0,Inputs!$B$4,1)),"")</f>
        <v>0.898881687809076</v>
      </c>
      <c r="G1176" s="8" t="n">
        <f aca="true">IF(ROW()-2&gt;=Inputs!$B$5,AVERAGE(OFFSET(E1176,1-Inputs!$B$5,0,Inputs!$B$5,1)),"")</f>
        <v>0.890062927803294</v>
      </c>
      <c r="H1176" s="8" t="n">
        <f aca="false">MAX(C1176-D1176,ABS(C1176-E1175),ABS(D1176-E1175))</f>
        <v>0.015105948710788</v>
      </c>
      <c r="I1176" s="8" t="n">
        <f aca="true">IF(ROW()-2&lt;14,"",IF(ROW()-2=14,AVERAGE(OFFSET(H1176,-13,0,14,1)),(I1175*13+H1176)/14))</f>
        <v>0.00972045205059804</v>
      </c>
      <c r="J1176" s="9" t="b">
        <f aca="false">IF(AND(ISNUMBER(F1176),ISNUMBER(G1176),ISNUMBER(F1175),ISNUMBER(G1175)),AND(F1176&gt;G1176,F1175&lt;=G1175),FALSE())</f>
        <v>0</v>
      </c>
      <c r="K1176" s="9" t="b">
        <f aca="false">IF(AND(ISNUMBER(F1176),ISNUMBER(G1176),ISNUMBER(F1175),ISNUMBER(G1175)),AND(F1176&lt;G1176,F1175&gt;=G1175),FALSE())</f>
        <v>0</v>
      </c>
      <c r="L1176" s="8" t="n">
        <f aca="false">IF(ISNUMBER(I1176),E1176-Inputs!$B$6*I1176,"")</f>
        <v>0.897899127654612</v>
      </c>
      <c r="M1176" s="9" t="b">
        <f aca="false">AND(Y1175&gt;0,Z1175)</f>
        <v>0</v>
      </c>
      <c r="N1176" s="8" t="n">
        <f aca="false">B1176*(1-Inputs!$B$12)</f>
        <v>0.909537062409211</v>
      </c>
      <c r="O1176" s="10" t="n">
        <f aca="false">IF(M1176,Y1175*(N1176-AB1175)-Inputs!$B$9-Y1175*AD1175*Inputs!$B$13*(A1176-AC1175),0)</f>
        <v>0</v>
      </c>
      <c r="P1176" s="10" t="n">
        <f aca="false">X1175+O1176</f>
        <v>944.618668179282</v>
      </c>
      <c r="Q1176" s="9" t="b">
        <f aca="false">AND(IF(M1176,0,Y1175)=0,AA1175,IF(ISNUMBER(AE1175),B1176&gt;AE1175,FALSE()))</f>
        <v>0</v>
      </c>
      <c r="R1176" s="8" t="n">
        <f aca="false">B1176*(1+Inputs!$B$12)</f>
        <v>0.909900950011695</v>
      </c>
      <c r="S1176" s="11" t="n">
        <f aca="false">IF(Q1176,MIN(P1176*Inputs!$B$3/(R1176-AE1175),P1176*Inputs!$B$11/R1176),0)</f>
        <v>0</v>
      </c>
      <c r="T1176" s="11" t="n">
        <f aca="false">IF(Q1176,S1176,IF(M1176,0,Y1175))</f>
        <v>572.575070766003</v>
      </c>
      <c r="U1176" s="8" t="n">
        <f aca="false">IF(Q1176,AE1175,AF1175)</f>
        <v>0.835624367549931</v>
      </c>
      <c r="V1176" s="9" t="b">
        <f aca="false">AND(T1176&gt;0,D1176&lt;=U1176)</f>
        <v>0</v>
      </c>
      <c r="W1176" s="10" t="n">
        <f aca="false">IF(V1176,T1176*(AK1176-AB1176)-Inputs!$B$9-T1176*AD1176*Inputs!$B$13*(A1176-AC1176),0)</f>
        <v>0</v>
      </c>
      <c r="X1176" s="10" t="n">
        <f aca="false">P1176-IF(Q1176,Inputs!$B$9,0)+W1176</f>
        <v>944.618668179282</v>
      </c>
      <c r="Y1176" s="11" t="n">
        <f aca="false">IF(V1176,0,T1176)</f>
        <v>572.575070766003</v>
      </c>
      <c r="Z1176" s="9" t="b">
        <f aca="false">AND(Y1176&gt;0,K1176)</f>
        <v>0</v>
      </c>
      <c r="AA1176" s="9" t="b">
        <f aca="false">AND(Y1176=0,J1176,ISNUMBER(L1176))</f>
        <v>0</v>
      </c>
      <c r="AB1176" s="8" t="n">
        <f aca="false">IF(Q1176,R1176,AB1175)</f>
        <v>0.852139558595783</v>
      </c>
      <c r="AC1176" s="12" t="n">
        <f aca="false">IF(Q1176,A1176,AC1175)</f>
        <v>45888</v>
      </c>
      <c r="AD1176" s="8" t="n">
        <f aca="false">IF(Q1176,B1176,AD1175)</f>
        <v>0.85196916476283</v>
      </c>
      <c r="AE1176" s="8" t="str">
        <f aca="false">IF(AA1176,L1176,"")</f>
        <v/>
      </c>
      <c r="AF1176" s="8" t="n">
        <f aca="false">U1176</f>
        <v>0.835624367549931</v>
      </c>
      <c r="AG1176" s="2" t="n">
        <f aca="false">AG1175+IF(Q1176,1,0)</f>
        <v>12</v>
      </c>
      <c r="AH1176" s="2" t="n">
        <f aca="false">AG1175</f>
        <v>12</v>
      </c>
      <c r="AI1176" s="10" t="n">
        <f aca="false">X1176+Y1176*(E1176-AB1176)-Y1176*AD1176*Inputs!$B$13*(A1176-AC1176)</f>
        <v>975.696093147147</v>
      </c>
      <c r="AJ1176" s="10" t="n">
        <v>0</v>
      </c>
      <c r="AK1176" s="8" t="n">
        <f aca="false">IF(AND(B1176&lt;=U1176,NOT(Q1176)),B1176,U1176)*(1-Inputs!$B$12)</f>
        <v>0.835457242676421</v>
      </c>
    </row>
    <row r="1177" customFormat="false" ht="15" hidden="false" customHeight="false" outlineLevel="0" collapsed="false">
      <c r="A1177" s="6" t="n">
        <v>45961</v>
      </c>
      <c r="B1177" s="7" t="n">
        <v>0.917340031755808</v>
      </c>
      <c r="C1177" s="7" t="n">
        <v>0.920246227496949</v>
      </c>
      <c r="D1177" s="7" t="n">
        <v>0.913335361098715</v>
      </c>
      <c r="E1177" s="7" t="n">
        <v>0.915199784335651</v>
      </c>
      <c r="F1177" s="8" t="n">
        <f aca="true">IF(ROW()-2&gt;=Inputs!$B$4,AVERAGE(OFFSET(E1177,1-Inputs!$B$4,0,Inputs!$B$4,1)),"")</f>
        <v>0.900351299517243</v>
      </c>
      <c r="G1177" s="8" t="n">
        <f aca="true">IF(ROW()-2&gt;=Inputs!$B$5,AVERAGE(OFFSET(E1177,1-Inputs!$B$5,0,Inputs!$B$5,1)),"")</f>
        <v>0.891115949064672</v>
      </c>
      <c r="H1177" s="8" t="n">
        <f aca="false">MAX(C1177-D1177,ABS(C1177-E1176),ABS(D1177-E1176))</f>
        <v>0.00691086639823468</v>
      </c>
      <c r="I1177" s="8" t="n">
        <f aca="true">IF(ROW()-2&lt;14,"",IF(ROW()-2=14,AVERAGE(OFFSET(H1177,-13,0,14,1)),(I1176*13+H1177)/14))</f>
        <v>0.00951976736114352</v>
      </c>
      <c r="J1177" s="9" t="b">
        <f aca="false">IF(AND(ISNUMBER(F1177),ISNUMBER(G1177),ISNUMBER(F1176),ISNUMBER(G1176)),AND(F1177&gt;G1177,F1176&lt;=G1176),FALSE())</f>
        <v>0</v>
      </c>
      <c r="K1177" s="9" t="b">
        <f aca="false">IF(AND(ISNUMBER(F1177),ISNUMBER(G1177),ISNUMBER(F1176),ISNUMBER(G1176)),AND(F1177&lt;G1177,F1176&gt;=G1176),FALSE())</f>
        <v>0</v>
      </c>
      <c r="L1177" s="8" t="n">
        <f aca="false">IF(ISNUMBER(I1177),E1177-Inputs!$B$6*I1177,"")</f>
        <v>0.896160249613364</v>
      </c>
      <c r="M1177" s="9" t="b">
        <f aca="false">AND(Y1176&gt;0,Z1176)</f>
        <v>0</v>
      </c>
      <c r="N1177" s="8" t="n">
        <f aca="false">B1177*(1-Inputs!$B$12)</f>
        <v>0.917156563749457</v>
      </c>
      <c r="O1177" s="10" t="n">
        <f aca="false">IF(M1177,Y1176*(N1177-AB1176)-Inputs!$B$9-Y1176*AD1176*Inputs!$B$13*(A1177-AC1176),0)</f>
        <v>0</v>
      </c>
      <c r="P1177" s="10" t="n">
        <f aca="false">X1176+O1177</f>
        <v>944.618668179282</v>
      </c>
      <c r="Q1177" s="9" t="b">
        <f aca="false">AND(IF(M1177,0,Y1176)=0,AA1176,IF(ISNUMBER(AE1176),B1177&gt;AE1176,FALSE()))</f>
        <v>0</v>
      </c>
      <c r="R1177" s="8" t="n">
        <f aca="false">B1177*(1+Inputs!$B$12)</f>
        <v>0.917523499762159</v>
      </c>
      <c r="S1177" s="11" t="n">
        <f aca="false">IF(Q1177,MIN(P1177*Inputs!$B$3/(R1177-AE1176),P1177*Inputs!$B$11/R1177),0)</f>
        <v>0</v>
      </c>
      <c r="T1177" s="11" t="n">
        <f aca="false">IF(Q1177,S1177,IF(M1177,0,Y1176))</f>
        <v>572.575070766003</v>
      </c>
      <c r="U1177" s="8" t="n">
        <f aca="false">IF(Q1177,AE1176,AF1176)</f>
        <v>0.835624367549931</v>
      </c>
      <c r="V1177" s="9" t="b">
        <f aca="false">AND(T1177&gt;0,D1177&lt;=U1177)</f>
        <v>0</v>
      </c>
      <c r="W1177" s="10" t="n">
        <f aca="false">IF(V1177,T1177*(AK1177-AB1177)-Inputs!$B$9-T1177*AD1177*Inputs!$B$13*(A1177-AC1177),0)</f>
        <v>0</v>
      </c>
      <c r="X1177" s="10" t="n">
        <f aca="false">P1177-IF(Q1177,Inputs!$B$9,0)+W1177</f>
        <v>944.618668179282</v>
      </c>
      <c r="Y1177" s="11" t="n">
        <f aca="false">IF(V1177,0,T1177)</f>
        <v>572.575070766003</v>
      </c>
      <c r="Z1177" s="9" t="b">
        <f aca="false">AND(Y1177&gt;0,K1177)</f>
        <v>0</v>
      </c>
      <c r="AA1177" s="9" t="b">
        <f aca="false">AND(Y1177=0,J1177,ISNUMBER(L1177))</f>
        <v>0</v>
      </c>
      <c r="AB1177" s="8" t="n">
        <f aca="false">IF(Q1177,R1177,AB1176)</f>
        <v>0.852139558595783</v>
      </c>
      <c r="AC1177" s="12" t="n">
        <f aca="false">IF(Q1177,A1177,AC1176)</f>
        <v>45888</v>
      </c>
      <c r="AD1177" s="8" t="n">
        <f aca="false">IF(Q1177,B1177,AD1176)</f>
        <v>0.85196916476283</v>
      </c>
      <c r="AE1177" s="8" t="str">
        <f aca="false">IF(AA1177,L1177,"")</f>
        <v/>
      </c>
      <c r="AF1177" s="8" t="n">
        <f aca="false">U1177</f>
        <v>0.835624367549931</v>
      </c>
      <c r="AG1177" s="2" t="n">
        <f aca="false">AG1176+IF(Q1177,1,0)</f>
        <v>12</v>
      </c>
      <c r="AH1177" s="2" t="n">
        <f aca="false">AG1176</f>
        <v>12</v>
      </c>
      <c r="AI1177" s="10" t="n">
        <f aca="false">X1177+Y1177*(E1177-AB1177)-Y1177*AD1177*Inputs!$B$13*(A1177-AC1177)</f>
        <v>974.383769432348</v>
      </c>
      <c r="AJ1177" s="10" t="n">
        <v>0</v>
      </c>
      <c r="AK1177" s="8" t="n">
        <f aca="false">IF(AND(B1177&lt;=U1177,NOT(Q1177)),B1177,U1177)*(1-Inputs!$B$12)</f>
        <v>0.835457242676421</v>
      </c>
    </row>
    <row r="1178" customFormat="false" ht="15" hidden="false" customHeight="false" outlineLevel="0" collapsed="false">
      <c r="A1178" s="6" t="n">
        <v>45962</v>
      </c>
      <c r="B1178" s="7" t="n">
        <v>0.915199784335651</v>
      </c>
      <c r="C1178" s="7" t="n">
        <v>0.921854498343917</v>
      </c>
      <c r="D1178" s="7" t="n">
        <v>0.908739568593917</v>
      </c>
      <c r="E1178" s="7" t="n">
        <v>0.916549083198308</v>
      </c>
      <c r="F1178" s="8" t="n">
        <f aca="true">IF(ROW()-2&gt;=Inputs!$B$4,AVERAGE(OFFSET(E1178,1-Inputs!$B$4,0,Inputs!$B$4,1)),"")</f>
        <v>0.901807923579962</v>
      </c>
      <c r="G1178" s="8" t="n">
        <f aca="true">IF(ROW()-2&gt;=Inputs!$B$5,AVERAGE(OFFSET(E1178,1-Inputs!$B$5,0,Inputs!$B$5,1)),"")</f>
        <v>0.892182010959633</v>
      </c>
      <c r="H1178" s="8" t="n">
        <f aca="false">MAX(C1178-D1178,ABS(C1178-E1177),ABS(D1178-E1177))</f>
        <v>0.0131149297499999</v>
      </c>
      <c r="I1178" s="8" t="n">
        <f aca="true">IF(ROW()-2&lt;14,"",IF(ROW()-2=14,AVERAGE(OFFSET(H1178,-13,0,14,1)),(I1177*13+H1178)/14))</f>
        <v>0.00977656467463326</v>
      </c>
      <c r="J1178" s="9" t="b">
        <f aca="false">IF(AND(ISNUMBER(F1178),ISNUMBER(G1178),ISNUMBER(F1177),ISNUMBER(G1177)),AND(F1178&gt;G1178,F1177&lt;=G1177),FALSE())</f>
        <v>0</v>
      </c>
      <c r="K1178" s="9" t="b">
        <f aca="false">IF(AND(ISNUMBER(F1178),ISNUMBER(G1178),ISNUMBER(F1177),ISNUMBER(G1177)),AND(F1178&lt;G1178,F1177&gt;=G1177),FALSE())</f>
        <v>0</v>
      </c>
      <c r="L1178" s="8" t="n">
        <f aca="false">IF(ISNUMBER(I1178),E1178-Inputs!$B$6*I1178,"")</f>
        <v>0.896995953849041</v>
      </c>
      <c r="M1178" s="9" t="b">
        <f aca="false">AND(Y1177&gt;0,Z1177)</f>
        <v>0</v>
      </c>
      <c r="N1178" s="8" t="n">
        <f aca="false">B1178*(1-Inputs!$B$12)</f>
        <v>0.915016744378784</v>
      </c>
      <c r="O1178" s="10" t="n">
        <f aca="false">IF(M1178,Y1177*(N1178-AB1177)-Inputs!$B$9-Y1177*AD1177*Inputs!$B$13*(A1178-AC1177),0)</f>
        <v>0</v>
      </c>
      <c r="P1178" s="10" t="n">
        <f aca="false">X1177+O1178</f>
        <v>944.618668179282</v>
      </c>
      <c r="Q1178" s="9" t="b">
        <f aca="false">AND(IF(M1178,0,Y1177)=0,AA1177,IF(ISNUMBER(AE1177),B1178&gt;AE1177,FALSE()))</f>
        <v>0</v>
      </c>
      <c r="R1178" s="8" t="n">
        <f aca="false">B1178*(1+Inputs!$B$12)</f>
        <v>0.915382824292518</v>
      </c>
      <c r="S1178" s="11" t="n">
        <f aca="false">IF(Q1178,MIN(P1178*Inputs!$B$3/(R1178-AE1177),P1178*Inputs!$B$11/R1178),0)</f>
        <v>0</v>
      </c>
      <c r="T1178" s="11" t="n">
        <f aca="false">IF(Q1178,S1178,IF(M1178,0,Y1177))</f>
        <v>572.575070766003</v>
      </c>
      <c r="U1178" s="8" t="n">
        <f aca="false">IF(Q1178,AE1177,AF1177)</f>
        <v>0.835624367549931</v>
      </c>
      <c r="V1178" s="9" t="b">
        <f aca="false">AND(T1178&gt;0,D1178&lt;=U1178)</f>
        <v>0</v>
      </c>
      <c r="W1178" s="10" t="n">
        <f aca="false">IF(V1178,T1178*(AK1178-AB1178)-Inputs!$B$9-T1178*AD1178*Inputs!$B$13*(A1178-AC1178),0)</f>
        <v>0</v>
      </c>
      <c r="X1178" s="10" t="n">
        <f aca="false">P1178-IF(Q1178,Inputs!$B$9,0)+W1178</f>
        <v>944.618668179282</v>
      </c>
      <c r="Y1178" s="11" t="n">
        <f aca="false">IF(V1178,0,T1178)</f>
        <v>572.575070766003</v>
      </c>
      <c r="Z1178" s="9" t="b">
        <f aca="false">AND(Y1178&gt;0,K1178)</f>
        <v>0</v>
      </c>
      <c r="AA1178" s="9" t="b">
        <f aca="false">AND(Y1178=0,J1178,ISNUMBER(L1178))</f>
        <v>0</v>
      </c>
      <c r="AB1178" s="8" t="n">
        <f aca="false">IF(Q1178,R1178,AB1177)</f>
        <v>0.852139558595783</v>
      </c>
      <c r="AC1178" s="12" t="n">
        <f aca="false">IF(Q1178,A1178,AC1177)</f>
        <v>45888</v>
      </c>
      <c r="AD1178" s="8" t="n">
        <f aca="false">IF(Q1178,B1178,AD1177)</f>
        <v>0.85196916476283</v>
      </c>
      <c r="AE1178" s="8" t="str">
        <f aca="false">IF(AA1178,L1178,"")</f>
        <v/>
      </c>
      <c r="AF1178" s="8" t="n">
        <f aca="false">U1178</f>
        <v>0.835624367549931</v>
      </c>
      <c r="AG1178" s="2" t="n">
        <f aca="false">AG1177+IF(Q1178,1,0)</f>
        <v>12</v>
      </c>
      <c r="AH1178" s="2" t="n">
        <f aca="false">AG1177</f>
        <v>12</v>
      </c>
      <c r="AI1178" s="10" t="n">
        <f aca="false">X1178+Y1178*(E1178-AB1178)-Y1178*AD1178*Inputs!$B$13*(A1178-AC1178)</f>
        <v>975.069472927372</v>
      </c>
      <c r="AJ1178" s="10" t="n">
        <v>0</v>
      </c>
      <c r="AK1178" s="8" t="n">
        <f aca="false">IF(AND(B1178&lt;=U1178,NOT(Q1178)),B1178,U1178)*(1-Inputs!$B$12)</f>
        <v>0.835457242676421</v>
      </c>
    </row>
    <row r="1179" customFormat="false" ht="15" hidden="false" customHeight="false" outlineLevel="0" collapsed="false">
      <c r="A1179" s="6" t="n">
        <v>45963</v>
      </c>
      <c r="B1179" s="7" t="n">
        <v>0.916549083198308</v>
      </c>
      <c r="C1179" s="7" t="n">
        <v>0.923271669214737</v>
      </c>
      <c r="D1179" s="7" t="n">
        <v>0.916338327232992</v>
      </c>
      <c r="E1179" s="7" t="n">
        <v>0.917999265850128</v>
      </c>
      <c r="F1179" s="8" t="n">
        <f aca="true">IF(ROW()-2&gt;=Inputs!$B$4,AVERAGE(OFFSET(E1179,1-Inputs!$B$4,0,Inputs!$B$4,1)),"")</f>
        <v>0.90280108733552</v>
      </c>
      <c r="G1179" s="8" t="n">
        <f aca="true">IF(ROW()-2&gt;=Inputs!$B$5,AVERAGE(OFFSET(E1179,1-Inputs!$B$5,0,Inputs!$B$5,1)),"")</f>
        <v>0.893277750946071</v>
      </c>
      <c r="H1179" s="8" t="n">
        <f aca="false">MAX(C1179-D1179,ABS(C1179-E1178),ABS(D1179-E1178))</f>
        <v>0.00693334198174489</v>
      </c>
      <c r="I1179" s="8" t="n">
        <f aca="true">IF(ROW()-2&lt;14,"",IF(ROW()-2=14,AVERAGE(OFFSET(H1179,-13,0,14,1)),(I1178*13+H1179)/14))</f>
        <v>0.00957347733942695</v>
      </c>
      <c r="J1179" s="9" t="b">
        <f aca="false">IF(AND(ISNUMBER(F1179),ISNUMBER(G1179),ISNUMBER(F1178),ISNUMBER(G1178)),AND(F1179&gt;G1179,F1178&lt;=G1178),FALSE())</f>
        <v>0</v>
      </c>
      <c r="K1179" s="9" t="b">
        <f aca="false">IF(AND(ISNUMBER(F1179),ISNUMBER(G1179),ISNUMBER(F1178),ISNUMBER(G1178)),AND(F1179&lt;G1179,F1178&gt;=G1178),FALSE())</f>
        <v>0</v>
      </c>
      <c r="L1179" s="8" t="n">
        <f aca="false">IF(ISNUMBER(I1179),E1179-Inputs!$B$6*I1179,"")</f>
        <v>0.898852311171274</v>
      </c>
      <c r="M1179" s="9" t="b">
        <f aca="false">AND(Y1178&gt;0,Z1178)</f>
        <v>0</v>
      </c>
      <c r="N1179" s="8" t="n">
        <f aca="false">B1179*(1-Inputs!$B$12)</f>
        <v>0.916365773381668</v>
      </c>
      <c r="O1179" s="10" t="n">
        <f aca="false">IF(M1179,Y1178*(N1179-AB1178)-Inputs!$B$9-Y1178*AD1178*Inputs!$B$13*(A1179-AC1178),0)</f>
        <v>0</v>
      </c>
      <c r="P1179" s="10" t="n">
        <f aca="false">X1178+O1179</f>
        <v>944.618668179282</v>
      </c>
      <c r="Q1179" s="9" t="b">
        <f aca="false">AND(IF(M1179,0,Y1178)=0,AA1178,IF(ISNUMBER(AE1178),B1179&gt;AE1178,FALSE()))</f>
        <v>0</v>
      </c>
      <c r="R1179" s="8" t="n">
        <f aca="false">B1179*(1+Inputs!$B$12)</f>
        <v>0.916732393014947</v>
      </c>
      <c r="S1179" s="11" t="n">
        <f aca="false">IF(Q1179,MIN(P1179*Inputs!$B$3/(R1179-AE1178),P1179*Inputs!$B$11/R1179),0)</f>
        <v>0</v>
      </c>
      <c r="T1179" s="11" t="n">
        <f aca="false">IF(Q1179,S1179,IF(M1179,0,Y1178))</f>
        <v>572.575070766003</v>
      </c>
      <c r="U1179" s="8" t="n">
        <f aca="false">IF(Q1179,AE1178,AF1178)</f>
        <v>0.835624367549931</v>
      </c>
      <c r="V1179" s="9" t="b">
        <f aca="false">AND(T1179&gt;0,D1179&lt;=U1179)</f>
        <v>0</v>
      </c>
      <c r="W1179" s="10" t="n">
        <f aca="false">IF(V1179,T1179*(AK1179-AB1179)-Inputs!$B$9-T1179*AD1179*Inputs!$B$13*(A1179-AC1179),0)</f>
        <v>0</v>
      </c>
      <c r="X1179" s="10" t="n">
        <f aca="false">P1179-IF(Q1179,Inputs!$B$9,0)+W1179</f>
        <v>944.618668179282</v>
      </c>
      <c r="Y1179" s="11" t="n">
        <f aca="false">IF(V1179,0,T1179)</f>
        <v>572.575070766003</v>
      </c>
      <c r="Z1179" s="9" t="b">
        <f aca="false">AND(Y1179&gt;0,K1179)</f>
        <v>0</v>
      </c>
      <c r="AA1179" s="9" t="b">
        <f aca="false">AND(Y1179=0,J1179,ISNUMBER(L1179))</f>
        <v>0</v>
      </c>
      <c r="AB1179" s="8" t="n">
        <f aca="false">IF(Q1179,R1179,AB1178)</f>
        <v>0.852139558595783</v>
      </c>
      <c r="AC1179" s="12" t="n">
        <f aca="false">IF(Q1179,A1179,AC1178)</f>
        <v>45888</v>
      </c>
      <c r="AD1179" s="8" t="n">
        <f aca="false">IF(Q1179,B1179,AD1178)</f>
        <v>0.85196916476283</v>
      </c>
      <c r="AE1179" s="8" t="str">
        <f aca="false">IF(AA1179,L1179,"")</f>
        <v/>
      </c>
      <c r="AF1179" s="8" t="n">
        <f aca="false">U1179</f>
        <v>0.835624367549931</v>
      </c>
      <c r="AG1179" s="2" t="n">
        <f aca="false">AG1178+IF(Q1179,1,0)</f>
        <v>12</v>
      </c>
      <c r="AH1179" s="2" t="n">
        <f aca="false">AG1178</f>
        <v>12</v>
      </c>
      <c r="AI1179" s="10" t="n">
        <f aca="false">X1179+Y1179*(E1179-AB1179)-Y1179*AD1179*Inputs!$B$13*(A1179-AC1179)</f>
        <v>975.812939965116</v>
      </c>
      <c r="AJ1179" s="10" t="n">
        <v>0</v>
      </c>
      <c r="AK1179" s="8" t="n">
        <f aca="false">IF(AND(B1179&lt;=U1179,NOT(Q1179)),B1179,U1179)*(1-Inputs!$B$12)</f>
        <v>0.835457242676421</v>
      </c>
    </row>
    <row r="1180" customFormat="false" ht="15" hidden="false" customHeight="false" outlineLevel="0" collapsed="false">
      <c r="A1180" s="6" t="n">
        <v>45964</v>
      </c>
      <c r="B1180" s="7" t="n">
        <v>0.917999265850128</v>
      </c>
      <c r="C1180" s="7" t="n">
        <v>0.920769990639613</v>
      </c>
      <c r="D1180" s="7" t="n">
        <v>0.911660066028688</v>
      </c>
      <c r="E1180" s="7" t="n">
        <v>0.911964910027641</v>
      </c>
      <c r="F1180" s="8" t="n">
        <f aca="true">IF(ROW()-2&gt;=Inputs!$B$4,AVERAGE(OFFSET(E1180,1-Inputs!$B$4,0,Inputs!$B$4,1)),"")</f>
        <v>0.903712002279666</v>
      </c>
      <c r="G1180" s="8" t="n">
        <f aca="true">IF(ROW()-2&gt;=Inputs!$B$5,AVERAGE(OFFSET(E1180,1-Inputs!$B$5,0,Inputs!$B$5,1)),"")</f>
        <v>0.894162195349215</v>
      </c>
      <c r="H1180" s="8" t="n">
        <f aca="false">MAX(C1180-D1180,ABS(C1180-E1179),ABS(D1180-E1179))</f>
        <v>0.00910992461092453</v>
      </c>
      <c r="I1180" s="8" t="n">
        <f aca="true">IF(ROW()-2&lt;14,"",IF(ROW()-2=14,AVERAGE(OFFSET(H1180,-13,0,14,1)),(I1179*13+H1180)/14))</f>
        <v>0.0095403664302482</v>
      </c>
      <c r="J1180" s="9" t="b">
        <f aca="false">IF(AND(ISNUMBER(F1180),ISNUMBER(G1180),ISNUMBER(F1179),ISNUMBER(G1179)),AND(F1180&gt;G1180,F1179&lt;=G1179),FALSE())</f>
        <v>0</v>
      </c>
      <c r="K1180" s="9" t="b">
        <f aca="false">IF(AND(ISNUMBER(F1180),ISNUMBER(G1180),ISNUMBER(F1179),ISNUMBER(G1179)),AND(F1180&lt;G1180,F1179&gt;=G1179),FALSE())</f>
        <v>0</v>
      </c>
      <c r="L1180" s="8" t="n">
        <f aca="false">IF(ISNUMBER(I1180),E1180-Inputs!$B$6*I1180,"")</f>
        <v>0.892884177167144</v>
      </c>
      <c r="M1180" s="9" t="b">
        <f aca="false">AND(Y1179&gt;0,Z1179)</f>
        <v>0</v>
      </c>
      <c r="N1180" s="8" t="n">
        <f aca="false">B1180*(1-Inputs!$B$12)</f>
        <v>0.917815665996958</v>
      </c>
      <c r="O1180" s="10" t="n">
        <f aca="false">IF(M1180,Y1179*(N1180-AB1179)-Inputs!$B$9-Y1179*AD1179*Inputs!$B$13*(A1180-AC1179),0)</f>
        <v>0</v>
      </c>
      <c r="P1180" s="10" t="n">
        <f aca="false">X1179+O1180</f>
        <v>944.618668179282</v>
      </c>
      <c r="Q1180" s="9" t="b">
        <f aca="false">AND(IF(M1180,0,Y1179)=0,AA1179,IF(ISNUMBER(AE1179),B1180&gt;AE1179,FALSE()))</f>
        <v>0</v>
      </c>
      <c r="R1180" s="8" t="n">
        <f aca="false">B1180*(1+Inputs!$B$12)</f>
        <v>0.918182865703298</v>
      </c>
      <c r="S1180" s="11" t="n">
        <f aca="false">IF(Q1180,MIN(P1180*Inputs!$B$3/(R1180-AE1179),P1180*Inputs!$B$11/R1180),0)</f>
        <v>0</v>
      </c>
      <c r="T1180" s="11" t="n">
        <f aca="false">IF(Q1180,S1180,IF(M1180,0,Y1179))</f>
        <v>572.575070766003</v>
      </c>
      <c r="U1180" s="8" t="n">
        <f aca="false">IF(Q1180,AE1179,AF1179)</f>
        <v>0.835624367549931</v>
      </c>
      <c r="V1180" s="9" t="b">
        <f aca="false">AND(T1180&gt;0,D1180&lt;=U1180)</f>
        <v>0</v>
      </c>
      <c r="W1180" s="10" t="n">
        <f aca="false">IF(V1180,T1180*(AK1180-AB1180)-Inputs!$B$9-T1180*AD1180*Inputs!$B$13*(A1180-AC1180),0)</f>
        <v>0</v>
      </c>
      <c r="X1180" s="10" t="n">
        <f aca="false">P1180-IF(Q1180,Inputs!$B$9,0)+W1180</f>
        <v>944.618668179282</v>
      </c>
      <c r="Y1180" s="11" t="n">
        <f aca="false">IF(V1180,0,T1180)</f>
        <v>572.575070766003</v>
      </c>
      <c r="Z1180" s="9" t="b">
        <f aca="false">AND(Y1180&gt;0,K1180)</f>
        <v>0</v>
      </c>
      <c r="AA1180" s="9" t="b">
        <f aca="false">AND(Y1180=0,J1180,ISNUMBER(L1180))</f>
        <v>0</v>
      </c>
      <c r="AB1180" s="8" t="n">
        <f aca="false">IF(Q1180,R1180,AB1179)</f>
        <v>0.852139558595783</v>
      </c>
      <c r="AC1180" s="12" t="n">
        <f aca="false">IF(Q1180,A1180,AC1179)</f>
        <v>45888</v>
      </c>
      <c r="AD1180" s="8" t="n">
        <f aca="false">IF(Q1180,B1180,AD1179)</f>
        <v>0.85196916476283</v>
      </c>
      <c r="AE1180" s="8" t="str">
        <f aca="false">IF(AA1180,L1180,"")</f>
        <v/>
      </c>
      <c r="AF1180" s="8" t="n">
        <f aca="false">U1180</f>
        <v>0.835624367549931</v>
      </c>
      <c r="AG1180" s="2" t="n">
        <f aca="false">AG1179+IF(Q1180,1,0)</f>
        <v>12</v>
      </c>
      <c r="AH1180" s="2" t="n">
        <f aca="false">AG1179</f>
        <v>12</v>
      </c>
      <c r="AI1180" s="10" t="n">
        <f aca="false">X1180+Y1180*(E1180-AB1180)-Y1180*AD1180*Inputs!$B$13*(A1180-AC1180)</f>
        <v>972.270946856282</v>
      </c>
      <c r="AJ1180" s="10" t="n">
        <v>0</v>
      </c>
      <c r="AK1180" s="8" t="n">
        <f aca="false">IF(AND(B1180&lt;=U1180,NOT(Q1180)),B1180,U1180)*(1-Inputs!$B$12)</f>
        <v>0.835457242676421</v>
      </c>
    </row>
    <row r="1181" customFormat="false" ht="15" hidden="false" customHeight="false" outlineLevel="0" collapsed="false">
      <c r="A1181" s="6" t="n">
        <v>45965</v>
      </c>
      <c r="B1181" s="7" t="n">
        <v>0.911964910027641</v>
      </c>
      <c r="C1181" s="7" t="n">
        <v>0.912386970714043</v>
      </c>
      <c r="D1181" s="7" t="n">
        <v>0.909477230583584</v>
      </c>
      <c r="E1181" s="7" t="n">
        <v>0.909891994979146</v>
      </c>
      <c r="F1181" s="8" t="n">
        <f aca="true">IF(ROW()-2&gt;=Inputs!$B$4,AVERAGE(OFFSET(E1181,1-Inputs!$B$4,0,Inputs!$B$4,1)),"")</f>
        <v>0.904816127608442</v>
      </c>
      <c r="G1181" s="8" t="n">
        <f aca="true">IF(ROW()-2&gt;=Inputs!$B$5,AVERAGE(OFFSET(E1181,1-Inputs!$B$5,0,Inputs!$B$5,1)),"")</f>
        <v>0.894976416933025</v>
      </c>
      <c r="H1181" s="8" t="n">
        <f aca="false">MAX(C1181-D1181,ABS(C1181-E1180),ABS(D1181-E1180))</f>
        <v>0.00290974013045908</v>
      </c>
      <c r="I1181" s="8" t="n">
        <f aca="true">IF(ROW()-2&lt;14,"",IF(ROW()-2=14,AVERAGE(OFFSET(H1181,-13,0,14,1)),(I1180*13+H1181)/14))</f>
        <v>0.00906675026597755</v>
      </c>
      <c r="J1181" s="9" t="b">
        <f aca="false">IF(AND(ISNUMBER(F1181),ISNUMBER(G1181),ISNUMBER(F1180),ISNUMBER(G1180)),AND(F1181&gt;G1181,F1180&lt;=G1180),FALSE())</f>
        <v>0</v>
      </c>
      <c r="K1181" s="9" t="b">
        <f aca="false">IF(AND(ISNUMBER(F1181),ISNUMBER(G1181),ISNUMBER(F1180),ISNUMBER(G1180)),AND(F1181&lt;G1181,F1180&gt;=G1180),FALSE())</f>
        <v>0</v>
      </c>
      <c r="L1181" s="8" t="n">
        <f aca="false">IF(ISNUMBER(I1181),E1181-Inputs!$B$6*I1181,"")</f>
        <v>0.891758494447191</v>
      </c>
      <c r="M1181" s="9" t="b">
        <f aca="false">AND(Y1180&gt;0,Z1180)</f>
        <v>0</v>
      </c>
      <c r="N1181" s="8" t="n">
        <f aca="false">B1181*(1-Inputs!$B$12)</f>
        <v>0.911782517045635</v>
      </c>
      <c r="O1181" s="10" t="n">
        <f aca="false">IF(M1181,Y1180*(N1181-AB1180)-Inputs!$B$9-Y1180*AD1180*Inputs!$B$13*(A1181-AC1180),0)</f>
        <v>0</v>
      </c>
      <c r="P1181" s="10" t="n">
        <f aca="false">X1180+O1181</f>
        <v>944.618668179282</v>
      </c>
      <c r="Q1181" s="9" t="b">
        <f aca="false">AND(IF(M1181,0,Y1180)=0,AA1180,IF(ISNUMBER(AE1180),B1181&gt;AE1180,FALSE()))</f>
        <v>0</v>
      </c>
      <c r="R1181" s="8" t="n">
        <f aca="false">B1181*(1+Inputs!$B$12)</f>
        <v>0.912147303009646</v>
      </c>
      <c r="S1181" s="11" t="n">
        <f aca="false">IF(Q1181,MIN(P1181*Inputs!$B$3/(R1181-AE1180),P1181*Inputs!$B$11/R1181),0)</f>
        <v>0</v>
      </c>
      <c r="T1181" s="11" t="n">
        <f aca="false">IF(Q1181,S1181,IF(M1181,0,Y1180))</f>
        <v>572.575070766003</v>
      </c>
      <c r="U1181" s="8" t="n">
        <f aca="false">IF(Q1181,AE1180,AF1180)</f>
        <v>0.835624367549931</v>
      </c>
      <c r="V1181" s="9" t="b">
        <f aca="false">AND(T1181&gt;0,D1181&lt;=U1181)</f>
        <v>0</v>
      </c>
      <c r="W1181" s="10" t="n">
        <f aca="false">IF(V1181,T1181*(AK1181-AB1181)-Inputs!$B$9-T1181*AD1181*Inputs!$B$13*(A1181-AC1181),0)</f>
        <v>0</v>
      </c>
      <c r="X1181" s="10" t="n">
        <f aca="false">P1181-IF(Q1181,Inputs!$B$9,0)+W1181</f>
        <v>944.618668179282</v>
      </c>
      <c r="Y1181" s="11" t="n">
        <f aca="false">IF(V1181,0,T1181)</f>
        <v>572.575070766003</v>
      </c>
      <c r="Z1181" s="9" t="b">
        <f aca="false">AND(Y1181&gt;0,K1181)</f>
        <v>0</v>
      </c>
      <c r="AA1181" s="9" t="b">
        <f aca="false">AND(Y1181=0,J1181,ISNUMBER(L1181))</f>
        <v>0</v>
      </c>
      <c r="AB1181" s="8" t="n">
        <f aca="false">IF(Q1181,R1181,AB1180)</f>
        <v>0.852139558595783</v>
      </c>
      <c r="AC1181" s="12" t="n">
        <f aca="false">IF(Q1181,A1181,AC1180)</f>
        <v>45888</v>
      </c>
      <c r="AD1181" s="8" t="n">
        <f aca="false">IF(Q1181,B1181,AD1180)</f>
        <v>0.85196916476283</v>
      </c>
      <c r="AE1181" s="8" t="str">
        <f aca="false">IF(AA1181,L1181,"")</f>
        <v/>
      </c>
      <c r="AF1181" s="8" t="n">
        <f aca="false">U1181</f>
        <v>0.835624367549931</v>
      </c>
      <c r="AG1181" s="2" t="n">
        <f aca="false">AG1180+IF(Q1181,1,0)</f>
        <v>12</v>
      </c>
      <c r="AH1181" s="2" t="n">
        <f aca="false">AG1180</f>
        <v>12</v>
      </c>
      <c r="AI1181" s="10" t="n">
        <f aca="false">X1181+Y1181*(E1181-AB1181)-Y1181*AD1181*Inputs!$B$13*(A1181-AC1181)</f>
        <v>970.997175978952</v>
      </c>
      <c r="AJ1181" s="10" t="n">
        <v>0</v>
      </c>
      <c r="AK1181" s="8" t="n">
        <f aca="false">IF(AND(B1181&lt;=U1181,NOT(Q1181)),B1181,U1181)*(1-Inputs!$B$12)</f>
        <v>0.835457242676421</v>
      </c>
    </row>
    <row r="1182" customFormat="false" ht="15" hidden="false" customHeight="false" outlineLevel="0" collapsed="false">
      <c r="A1182" s="6" t="n">
        <v>45966</v>
      </c>
      <c r="B1182" s="7" t="n">
        <v>0.909891994979146</v>
      </c>
      <c r="C1182" s="7" t="n">
        <v>0.910833328338029</v>
      </c>
      <c r="D1182" s="7" t="n">
        <v>0.906669423149242</v>
      </c>
      <c r="E1182" s="7" t="n">
        <v>0.906977060201064</v>
      </c>
      <c r="F1182" s="8" t="n">
        <f aca="true">IF(ROW()-2&gt;=Inputs!$B$4,AVERAGE(OFFSET(E1182,1-Inputs!$B$4,0,Inputs!$B$4,1)),"")</f>
        <v>0.905453547674576</v>
      </c>
      <c r="G1182" s="8" t="n">
        <f aca="true">IF(ROW()-2&gt;=Inputs!$B$5,AVERAGE(OFFSET(E1182,1-Inputs!$B$5,0,Inputs!$B$5,1)),"")</f>
        <v>0.8956262975115</v>
      </c>
      <c r="H1182" s="8" t="n">
        <f aca="false">MAX(C1182-D1182,ABS(C1182-E1181),ABS(D1182-E1181))</f>
        <v>0.00416390518878729</v>
      </c>
      <c r="I1182" s="8" t="n">
        <f aca="true">IF(ROW()-2&lt;14,"",IF(ROW()-2=14,AVERAGE(OFFSET(H1182,-13,0,14,1)),(I1181*13+H1182)/14))</f>
        <v>0.00871654704617825</v>
      </c>
      <c r="J1182" s="9" t="b">
        <f aca="false">IF(AND(ISNUMBER(F1182),ISNUMBER(G1182),ISNUMBER(F1181),ISNUMBER(G1181)),AND(F1182&gt;G1182,F1181&lt;=G1181),FALSE())</f>
        <v>0</v>
      </c>
      <c r="K1182" s="9" t="b">
        <f aca="false">IF(AND(ISNUMBER(F1182),ISNUMBER(G1182),ISNUMBER(F1181),ISNUMBER(G1181)),AND(F1182&lt;G1182,F1181&gt;=G1181),FALSE())</f>
        <v>0</v>
      </c>
      <c r="L1182" s="8" t="n">
        <f aca="false">IF(ISNUMBER(I1182),E1182-Inputs!$B$6*I1182,"")</f>
        <v>0.889543966108708</v>
      </c>
      <c r="M1182" s="9" t="b">
        <f aca="false">AND(Y1181&gt;0,Z1181)</f>
        <v>0</v>
      </c>
      <c r="N1182" s="8" t="n">
        <f aca="false">B1182*(1-Inputs!$B$12)</f>
        <v>0.90971001658015</v>
      </c>
      <c r="O1182" s="10" t="n">
        <f aca="false">IF(M1182,Y1181*(N1182-AB1181)-Inputs!$B$9-Y1181*AD1181*Inputs!$B$13*(A1182-AC1181),0)</f>
        <v>0</v>
      </c>
      <c r="P1182" s="10" t="n">
        <f aca="false">X1181+O1182</f>
        <v>944.618668179282</v>
      </c>
      <c r="Q1182" s="9" t="b">
        <f aca="false">AND(IF(M1182,0,Y1181)=0,AA1181,IF(ISNUMBER(AE1181),B1182&gt;AE1181,FALSE()))</f>
        <v>0</v>
      </c>
      <c r="R1182" s="8" t="n">
        <f aca="false">B1182*(1+Inputs!$B$12)</f>
        <v>0.910073973378142</v>
      </c>
      <c r="S1182" s="11" t="n">
        <f aca="false">IF(Q1182,MIN(P1182*Inputs!$B$3/(R1182-AE1181),P1182*Inputs!$B$11/R1182),0)</f>
        <v>0</v>
      </c>
      <c r="T1182" s="11" t="n">
        <f aca="false">IF(Q1182,S1182,IF(M1182,0,Y1181))</f>
        <v>572.575070766003</v>
      </c>
      <c r="U1182" s="8" t="n">
        <f aca="false">IF(Q1182,AE1181,AF1181)</f>
        <v>0.835624367549931</v>
      </c>
      <c r="V1182" s="9" t="b">
        <f aca="false">AND(T1182&gt;0,D1182&lt;=U1182)</f>
        <v>0</v>
      </c>
      <c r="W1182" s="10" t="n">
        <f aca="false">IF(V1182,T1182*(AK1182-AB1182)-Inputs!$B$9-T1182*AD1182*Inputs!$B$13*(A1182-AC1182),0)</f>
        <v>0</v>
      </c>
      <c r="X1182" s="10" t="n">
        <f aca="false">P1182-IF(Q1182,Inputs!$B$9,0)+W1182</f>
        <v>944.618668179282</v>
      </c>
      <c r="Y1182" s="11" t="n">
        <f aca="false">IF(V1182,0,T1182)</f>
        <v>572.575070766003</v>
      </c>
      <c r="Z1182" s="9" t="b">
        <f aca="false">AND(Y1182&gt;0,K1182)</f>
        <v>0</v>
      </c>
      <c r="AA1182" s="9" t="b">
        <f aca="false">AND(Y1182=0,J1182,ISNUMBER(L1182))</f>
        <v>0</v>
      </c>
      <c r="AB1182" s="8" t="n">
        <f aca="false">IF(Q1182,R1182,AB1181)</f>
        <v>0.852139558595783</v>
      </c>
      <c r="AC1182" s="12" t="n">
        <f aca="false">IF(Q1182,A1182,AC1181)</f>
        <v>45888</v>
      </c>
      <c r="AD1182" s="8" t="n">
        <f aca="false">IF(Q1182,B1182,AD1181)</f>
        <v>0.85196916476283</v>
      </c>
      <c r="AE1182" s="8" t="str">
        <f aca="false">IF(AA1182,L1182,"")</f>
        <v/>
      </c>
      <c r="AF1182" s="8" t="n">
        <f aca="false">U1182</f>
        <v>0.835624367549931</v>
      </c>
      <c r="AG1182" s="2" t="n">
        <f aca="false">AG1181+IF(Q1182,1,0)</f>
        <v>12</v>
      </c>
      <c r="AH1182" s="2" t="n">
        <f aca="false">AG1181</f>
        <v>12</v>
      </c>
      <c r="AI1182" s="10" t="n">
        <f aca="false">X1182+Y1182*(E1182-AB1182)-Y1182*AD1182*Inputs!$B$13*(A1182-AC1182)</f>
        <v>969.241285595368</v>
      </c>
      <c r="AJ1182" s="10" t="n">
        <v>0</v>
      </c>
      <c r="AK1182" s="8" t="n">
        <f aca="false">IF(AND(B1182&lt;=U1182,NOT(Q1182)),B1182,U1182)*(1-Inputs!$B$12)</f>
        <v>0.835457242676421</v>
      </c>
    </row>
    <row r="1183" customFormat="false" ht="15" hidden="false" customHeight="false" outlineLevel="0" collapsed="false">
      <c r="A1183" s="6" t="n">
        <v>45967</v>
      </c>
      <c r="B1183" s="7" t="n">
        <v>0.906977060201064</v>
      </c>
      <c r="C1183" s="7" t="n">
        <v>0.908045715323378</v>
      </c>
      <c r="D1183" s="7" t="n">
        <v>0.901281296860421</v>
      </c>
      <c r="E1183" s="7" t="n">
        <v>0.904004905599353</v>
      </c>
      <c r="F1183" s="8" t="n">
        <f aca="true">IF(ROW()-2&gt;=Inputs!$B$4,AVERAGE(OFFSET(E1183,1-Inputs!$B$4,0,Inputs!$B$4,1)),"")</f>
        <v>0.906183707984033</v>
      </c>
      <c r="G1183" s="8" t="n">
        <f aca="true">IF(ROW()-2&gt;=Inputs!$B$5,AVERAGE(OFFSET(E1183,1-Inputs!$B$5,0,Inputs!$B$5,1)),"")</f>
        <v>0.896253685795012</v>
      </c>
      <c r="H1183" s="8" t="n">
        <f aca="false">MAX(C1183-D1183,ABS(C1183-E1182),ABS(D1183-E1182))</f>
        <v>0.00676441846295661</v>
      </c>
      <c r="I1183" s="8" t="n">
        <f aca="true">IF(ROW()-2&lt;14,"",IF(ROW()-2=14,AVERAGE(OFFSET(H1183,-13,0,14,1)),(I1182*13+H1183)/14))</f>
        <v>0.00857710929023384</v>
      </c>
      <c r="J1183" s="9" t="b">
        <f aca="false">IF(AND(ISNUMBER(F1183),ISNUMBER(G1183),ISNUMBER(F1182),ISNUMBER(G1182)),AND(F1183&gt;G1183,F1182&lt;=G1182),FALSE())</f>
        <v>0</v>
      </c>
      <c r="K1183" s="9" t="b">
        <f aca="false">IF(AND(ISNUMBER(F1183),ISNUMBER(G1183),ISNUMBER(F1182),ISNUMBER(G1182)),AND(F1183&lt;G1183,F1182&gt;=G1182),FALSE())</f>
        <v>0</v>
      </c>
      <c r="L1183" s="8" t="n">
        <f aca="false">IF(ISNUMBER(I1183),E1183-Inputs!$B$6*I1183,"")</f>
        <v>0.886850687018886</v>
      </c>
      <c r="M1183" s="9" t="b">
        <f aca="false">AND(Y1182&gt;0,Z1182)</f>
        <v>0</v>
      </c>
      <c r="N1183" s="8" t="n">
        <f aca="false">B1183*(1-Inputs!$B$12)</f>
        <v>0.906795664789024</v>
      </c>
      <c r="O1183" s="10" t="n">
        <f aca="false">IF(M1183,Y1182*(N1183-AB1182)-Inputs!$B$9-Y1182*AD1182*Inputs!$B$13*(A1183-AC1182),0)</f>
        <v>0</v>
      </c>
      <c r="P1183" s="10" t="n">
        <f aca="false">X1182+O1183</f>
        <v>944.618668179282</v>
      </c>
      <c r="Q1183" s="9" t="b">
        <f aca="false">AND(IF(M1183,0,Y1182)=0,AA1182,IF(ISNUMBER(AE1182),B1183&gt;AE1182,FALSE()))</f>
        <v>0</v>
      </c>
      <c r="R1183" s="8" t="n">
        <f aca="false">B1183*(1+Inputs!$B$12)</f>
        <v>0.907158455613104</v>
      </c>
      <c r="S1183" s="11" t="n">
        <f aca="false">IF(Q1183,MIN(P1183*Inputs!$B$3/(R1183-AE1182),P1183*Inputs!$B$11/R1183),0)</f>
        <v>0</v>
      </c>
      <c r="T1183" s="11" t="n">
        <f aca="false">IF(Q1183,S1183,IF(M1183,0,Y1182))</f>
        <v>572.575070766003</v>
      </c>
      <c r="U1183" s="8" t="n">
        <f aca="false">IF(Q1183,AE1182,AF1182)</f>
        <v>0.835624367549931</v>
      </c>
      <c r="V1183" s="9" t="b">
        <f aca="false">AND(T1183&gt;0,D1183&lt;=U1183)</f>
        <v>0</v>
      </c>
      <c r="W1183" s="10" t="n">
        <f aca="false">IF(V1183,T1183*(AK1183-AB1183)-Inputs!$B$9-T1183*AD1183*Inputs!$B$13*(A1183-AC1183),0)</f>
        <v>0</v>
      </c>
      <c r="X1183" s="10" t="n">
        <f aca="false">P1183-IF(Q1183,Inputs!$B$9,0)+W1183</f>
        <v>944.618668179282</v>
      </c>
      <c r="Y1183" s="11" t="n">
        <f aca="false">IF(V1183,0,T1183)</f>
        <v>572.575070766003</v>
      </c>
      <c r="Z1183" s="9" t="b">
        <f aca="false">AND(Y1183&gt;0,K1183)</f>
        <v>0</v>
      </c>
      <c r="AA1183" s="9" t="b">
        <f aca="false">AND(Y1183=0,J1183,ISNUMBER(L1183))</f>
        <v>0</v>
      </c>
      <c r="AB1183" s="8" t="n">
        <f aca="false">IF(Q1183,R1183,AB1182)</f>
        <v>0.852139558595783</v>
      </c>
      <c r="AC1183" s="12" t="n">
        <f aca="false">IF(Q1183,A1183,AC1182)</f>
        <v>45888</v>
      </c>
      <c r="AD1183" s="8" t="n">
        <f aca="false">IF(Q1183,B1183,AD1182)</f>
        <v>0.85196916476283</v>
      </c>
      <c r="AE1183" s="8" t="str">
        <f aca="false">IF(AA1183,L1183,"")</f>
        <v/>
      </c>
      <c r="AF1183" s="8" t="n">
        <f aca="false">U1183</f>
        <v>0.835624367549931</v>
      </c>
      <c r="AG1183" s="2" t="n">
        <f aca="false">AG1182+IF(Q1183,1,0)</f>
        <v>12</v>
      </c>
      <c r="AH1183" s="2" t="n">
        <f aca="false">AG1182</f>
        <v>12</v>
      </c>
      <c r="AI1183" s="10" t="n">
        <f aca="false">X1183+Y1183*(E1183-AB1183)-Y1183*AD1183*Inputs!$B$13*(A1183-AC1183)</f>
        <v>967.45263256722</v>
      </c>
      <c r="AJ1183" s="10" t="n">
        <v>0</v>
      </c>
      <c r="AK1183" s="8" t="n">
        <f aca="false">IF(AND(B1183&lt;=U1183,NOT(Q1183)),B1183,U1183)*(1-Inputs!$B$12)</f>
        <v>0.835457242676421</v>
      </c>
    </row>
    <row r="1184" customFormat="false" ht="15" hidden="false" customHeight="false" outlineLevel="0" collapsed="false">
      <c r="A1184" s="6" t="n">
        <v>45968</v>
      </c>
      <c r="B1184" s="7" t="n">
        <v>0.904004905599353</v>
      </c>
      <c r="C1184" s="7" t="n">
        <v>0.908246801523223</v>
      </c>
      <c r="D1184" s="7" t="n">
        <v>0.895170607691292</v>
      </c>
      <c r="E1184" s="7" t="n">
        <v>0.897759500716107</v>
      </c>
      <c r="F1184" s="8" t="n">
        <f aca="true">IF(ROW()-2&gt;=Inputs!$B$4,AVERAGE(OFFSET(E1184,1-Inputs!$B$4,0,Inputs!$B$4,1)),"")</f>
        <v>0.906510076156162</v>
      </c>
      <c r="G1184" s="8" t="n">
        <f aca="true">IF(ROW()-2&gt;=Inputs!$B$5,AVERAGE(OFFSET(E1184,1-Inputs!$B$5,0,Inputs!$B$5,1)),"")</f>
        <v>0.896629333854812</v>
      </c>
      <c r="H1184" s="8" t="n">
        <f aca="false">MAX(C1184-D1184,ABS(C1184-E1183),ABS(D1184-E1183))</f>
        <v>0.0130761938319316</v>
      </c>
      <c r="I1184" s="8" t="n">
        <f aca="true">IF(ROW()-2&lt;14,"",IF(ROW()-2=14,AVERAGE(OFFSET(H1184,-13,0,14,1)),(I1183*13+H1184)/14))</f>
        <v>0.00889847247178368</v>
      </c>
      <c r="J1184" s="9" t="b">
        <f aca="false">IF(AND(ISNUMBER(F1184),ISNUMBER(G1184),ISNUMBER(F1183),ISNUMBER(G1183)),AND(F1184&gt;G1184,F1183&lt;=G1183),FALSE())</f>
        <v>0</v>
      </c>
      <c r="K1184" s="9" t="b">
        <f aca="false">IF(AND(ISNUMBER(F1184),ISNUMBER(G1184),ISNUMBER(F1183),ISNUMBER(G1183)),AND(F1184&lt;G1184,F1183&gt;=G1183),FALSE())</f>
        <v>0</v>
      </c>
      <c r="L1184" s="8" t="n">
        <f aca="false">IF(ISNUMBER(I1184),E1184-Inputs!$B$6*I1184,"")</f>
        <v>0.87996255577254</v>
      </c>
      <c r="M1184" s="9" t="b">
        <f aca="false">AND(Y1183&gt;0,Z1183)</f>
        <v>0</v>
      </c>
      <c r="N1184" s="8" t="n">
        <f aca="false">B1184*(1-Inputs!$B$12)</f>
        <v>0.903824104618234</v>
      </c>
      <c r="O1184" s="10" t="n">
        <f aca="false">IF(M1184,Y1183*(N1184-AB1183)-Inputs!$B$9-Y1183*AD1183*Inputs!$B$13*(A1184-AC1183),0)</f>
        <v>0</v>
      </c>
      <c r="P1184" s="10" t="n">
        <f aca="false">X1183+O1184</f>
        <v>944.618668179282</v>
      </c>
      <c r="Q1184" s="9" t="b">
        <f aca="false">AND(IF(M1184,0,Y1183)=0,AA1183,IF(ISNUMBER(AE1183),B1184&gt;AE1183,FALSE()))</f>
        <v>0</v>
      </c>
      <c r="R1184" s="8" t="n">
        <f aca="false">B1184*(1+Inputs!$B$12)</f>
        <v>0.904185706580473</v>
      </c>
      <c r="S1184" s="11" t="n">
        <f aca="false">IF(Q1184,MIN(P1184*Inputs!$B$3/(R1184-AE1183),P1184*Inputs!$B$11/R1184),0)</f>
        <v>0</v>
      </c>
      <c r="T1184" s="11" t="n">
        <f aca="false">IF(Q1184,S1184,IF(M1184,0,Y1183))</f>
        <v>572.575070766003</v>
      </c>
      <c r="U1184" s="8" t="n">
        <f aca="false">IF(Q1184,AE1183,AF1183)</f>
        <v>0.835624367549931</v>
      </c>
      <c r="V1184" s="9" t="b">
        <f aca="false">AND(T1184&gt;0,D1184&lt;=U1184)</f>
        <v>0</v>
      </c>
      <c r="W1184" s="10" t="n">
        <f aca="false">IF(V1184,T1184*(AK1184-AB1184)-Inputs!$B$9-T1184*AD1184*Inputs!$B$13*(A1184-AC1184),0)</f>
        <v>0</v>
      </c>
      <c r="X1184" s="10" t="n">
        <f aca="false">P1184-IF(Q1184,Inputs!$B$9,0)+W1184</f>
        <v>944.618668179282</v>
      </c>
      <c r="Y1184" s="11" t="n">
        <f aca="false">IF(V1184,0,T1184)</f>
        <v>572.575070766003</v>
      </c>
      <c r="Z1184" s="9" t="b">
        <f aca="false">AND(Y1184&gt;0,K1184)</f>
        <v>0</v>
      </c>
      <c r="AA1184" s="9" t="b">
        <f aca="false">AND(Y1184=0,J1184,ISNUMBER(L1184))</f>
        <v>0</v>
      </c>
      <c r="AB1184" s="8" t="n">
        <f aca="false">IF(Q1184,R1184,AB1183)</f>
        <v>0.852139558595783</v>
      </c>
      <c r="AC1184" s="12" t="n">
        <f aca="false">IF(Q1184,A1184,AC1183)</f>
        <v>45888</v>
      </c>
      <c r="AD1184" s="8" t="n">
        <f aca="false">IF(Q1184,B1184,AD1183)</f>
        <v>0.85196916476283</v>
      </c>
      <c r="AE1184" s="8" t="str">
        <f aca="false">IF(AA1184,L1184,"")</f>
        <v/>
      </c>
      <c r="AF1184" s="8" t="n">
        <f aca="false">U1184</f>
        <v>0.835624367549931</v>
      </c>
      <c r="AG1184" s="2" t="n">
        <f aca="false">AG1183+IF(Q1184,1,0)</f>
        <v>12</v>
      </c>
      <c r="AH1184" s="2" t="n">
        <f aca="false">AG1183</f>
        <v>12</v>
      </c>
      <c r="AI1184" s="10" t="n">
        <f aca="false">X1184+Y1184*(E1184-AB1184)-Y1184*AD1184*Inputs!$B$13*(A1184-AC1184)</f>
        <v>963.789798027487</v>
      </c>
      <c r="AJ1184" s="10" t="n">
        <v>0</v>
      </c>
      <c r="AK1184" s="8" t="n">
        <f aca="false">IF(AND(B1184&lt;=U1184,NOT(Q1184)),B1184,U1184)*(1-Inputs!$B$12)</f>
        <v>0.835457242676421</v>
      </c>
    </row>
    <row r="1185" customFormat="false" ht="15" hidden="false" customHeight="false" outlineLevel="0" collapsed="false">
      <c r="A1185" s="6" t="n">
        <v>45969</v>
      </c>
      <c r="B1185" s="7" t="n">
        <v>0.897759500716107</v>
      </c>
      <c r="C1185" s="7" t="n">
        <v>0.899258458428994</v>
      </c>
      <c r="D1185" s="7" t="n">
        <v>0.892439893216522</v>
      </c>
      <c r="E1185" s="7" t="n">
        <v>0.897173550299096</v>
      </c>
      <c r="F1185" s="8" t="n">
        <f aca="true">IF(ROW()-2&gt;=Inputs!$B$4,AVERAGE(OFFSET(E1185,1-Inputs!$B$4,0,Inputs!$B$4,1)),"")</f>
        <v>0.906698082581448</v>
      </c>
      <c r="G1185" s="8" t="n">
        <f aca="true">IF(ROW()-2&gt;=Inputs!$B$5,AVERAGE(OFFSET(E1185,1-Inputs!$B$5,0,Inputs!$B$5,1)),"")</f>
        <v>0.897192386425579</v>
      </c>
      <c r="H1185" s="8" t="n">
        <f aca="false">MAX(C1185-D1185,ABS(C1185-E1184),ABS(D1185-E1184))</f>
        <v>0.00681856521247204</v>
      </c>
      <c r="I1185" s="8" t="n">
        <f aca="true">IF(ROW()-2&lt;14,"",IF(ROW()-2=14,AVERAGE(OFFSET(H1185,-13,0,14,1)),(I1184*13+H1185)/14))</f>
        <v>0.00874990766754714</v>
      </c>
      <c r="J1185" s="9" t="b">
        <f aca="false">IF(AND(ISNUMBER(F1185),ISNUMBER(G1185),ISNUMBER(F1184),ISNUMBER(G1184)),AND(F1185&gt;G1185,F1184&lt;=G1184),FALSE())</f>
        <v>0</v>
      </c>
      <c r="K1185" s="9" t="b">
        <f aca="false">IF(AND(ISNUMBER(F1185),ISNUMBER(G1185),ISNUMBER(F1184),ISNUMBER(G1184)),AND(F1185&lt;G1185,F1184&gt;=G1184),FALSE())</f>
        <v>0</v>
      </c>
      <c r="L1185" s="8" t="n">
        <f aca="false">IF(ISNUMBER(I1185),E1185-Inputs!$B$6*I1185,"")</f>
        <v>0.879673734964002</v>
      </c>
      <c r="M1185" s="9" t="b">
        <f aca="false">AND(Y1184&gt;0,Z1184)</f>
        <v>0</v>
      </c>
      <c r="N1185" s="8" t="n">
        <f aca="false">B1185*(1-Inputs!$B$12)</f>
        <v>0.897579948815964</v>
      </c>
      <c r="O1185" s="10" t="n">
        <f aca="false">IF(M1185,Y1184*(N1185-AB1184)-Inputs!$B$9-Y1184*AD1184*Inputs!$B$13*(A1185-AC1184),0)</f>
        <v>0</v>
      </c>
      <c r="P1185" s="10" t="n">
        <f aca="false">X1184+O1185</f>
        <v>944.618668179282</v>
      </c>
      <c r="Q1185" s="9" t="b">
        <f aca="false">AND(IF(M1185,0,Y1184)=0,AA1184,IF(ISNUMBER(AE1184),B1185&gt;AE1184,FALSE()))</f>
        <v>0</v>
      </c>
      <c r="R1185" s="8" t="n">
        <f aca="false">B1185*(1+Inputs!$B$12)</f>
        <v>0.89793905261625</v>
      </c>
      <c r="S1185" s="11" t="n">
        <f aca="false">IF(Q1185,MIN(P1185*Inputs!$B$3/(R1185-AE1184),P1185*Inputs!$B$11/R1185),0)</f>
        <v>0</v>
      </c>
      <c r="T1185" s="11" t="n">
        <f aca="false">IF(Q1185,S1185,IF(M1185,0,Y1184))</f>
        <v>572.575070766003</v>
      </c>
      <c r="U1185" s="8" t="n">
        <f aca="false">IF(Q1185,AE1184,AF1184)</f>
        <v>0.835624367549931</v>
      </c>
      <c r="V1185" s="9" t="b">
        <f aca="false">AND(T1185&gt;0,D1185&lt;=U1185)</f>
        <v>0</v>
      </c>
      <c r="W1185" s="10" t="n">
        <f aca="false">IF(V1185,T1185*(AK1185-AB1185)-Inputs!$B$9-T1185*AD1185*Inputs!$B$13*(A1185-AC1185),0)</f>
        <v>0</v>
      </c>
      <c r="X1185" s="10" t="n">
        <f aca="false">P1185-IF(Q1185,Inputs!$B$9,0)+W1185</f>
        <v>944.618668179282</v>
      </c>
      <c r="Y1185" s="11" t="n">
        <f aca="false">IF(V1185,0,T1185)</f>
        <v>572.575070766003</v>
      </c>
      <c r="Z1185" s="9" t="b">
        <f aca="false">AND(Y1185&gt;0,K1185)</f>
        <v>0</v>
      </c>
      <c r="AA1185" s="9" t="b">
        <f aca="false">AND(Y1185=0,J1185,ISNUMBER(L1185))</f>
        <v>0</v>
      </c>
      <c r="AB1185" s="8" t="n">
        <f aca="false">IF(Q1185,R1185,AB1184)</f>
        <v>0.852139558595783</v>
      </c>
      <c r="AC1185" s="12" t="n">
        <f aca="false">IF(Q1185,A1185,AC1184)</f>
        <v>45888</v>
      </c>
      <c r="AD1185" s="8" t="n">
        <f aca="false">IF(Q1185,B1185,AD1184)</f>
        <v>0.85196916476283</v>
      </c>
      <c r="AE1185" s="8" t="str">
        <f aca="false">IF(AA1185,L1185,"")</f>
        <v/>
      </c>
      <c r="AF1185" s="8" t="n">
        <f aca="false">U1185</f>
        <v>0.835624367549931</v>
      </c>
      <c r="AG1185" s="2" t="n">
        <f aca="false">AG1184+IF(Q1185,1,0)</f>
        <v>12</v>
      </c>
      <c r="AH1185" s="2" t="n">
        <f aca="false">AG1184</f>
        <v>12</v>
      </c>
      <c r="AI1185" s="10" t="n">
        <f aca="false">X1185+Y1185*(E1185-AB1185)-Y1185*AD1185*Inputs!$B$13*(A1185-AC1185)</f>
        <v>963.367426029255</v>
      </c>
      <c r="AJ1185" s="10" t="n">
        <v>0</v>
      </c>
      <c r="AK1185" s="8" t="n">
        <f aca="false">IF(AND(B1185&lt;=U1185,NOT(Q1185)),B1185,U1185)*(1-Inputs!$B$12)</f>
        <v>0.835457242676421</v>
      </c>
    </row>
    <row r="1186" customFormat="false" ht="15" hidden="false" customHeight="false" outlineLevel="0" collapsed="false">
      <c r="A1186" s="6" t="n">
        <v>45970</v>
      </c>
      <c r="B1186" s="7" t="n">
        <v>0.897173550299096</v>
      </c>
      <c r="C1186" s="7" t="n">
        <v>0.904243861472338</v>
      </c>
      <c r="D1186" s="7" t="n">
        <v>0.894027177459311</v>
      </c>
      <c r="E1186" s="7" t="n">
        <v>0.902721246595306</v>
      </c>
      <c r="F1186" s="8" t="n">
        <f aca="true">IF(ROW()-2&gt;=Inputs!$B$4,AVERAGE(OFFSET(E1186,1-Inputs!$B$4,0,Inputs!$B$4,1)),"")</f>
        <v>0.906744526158533</v>
      </c>
      <c r="G1186" s="8" t="n">
        <f aca="true">IF(ROW()-2&gt;=Inputs!$B$5,AVERAGE(OFFSET(E1186,1-Inputs!$B$5,0,Inputs!$B$5,1)),"")</f>
        <v>0.897762351142827</v>
      </c>
      <c r="H1186" s="8" t="n">
        <f aca="false">MAX(C1186-D1186,ABS(C1186-E1185),ABS(D1186-E1185))</f>
        <v>0.0102166840130266</v>
      </c>
      <c r="I1186" s="8" t="n">
        <f aca="true">IF(ROW()-2&lt;14,"",IF(ROW()-2=14,AVERAGE(OFFSET(H1186,-13,0,14,1)),(I1185*13+H1186)/14))</f>
        <v>0.00885467740650995</v>
      </c>
      <c r="J1186" s="9" t="b">
        <f aca="false">IF(AND(ISNUMBER(F1186),ISNUMBER(G1186),ISNUMBER(F1185),ISNUMBER(G1185)),AND(F1186&gt;G1186,F1185&lt;=G1185),FALSE())</f>
        <v>0</v>
      </c>
      <c r="K1186" s="9" t="b">
        <f aca="false">IF(AND(ISNUMBER(F1186),ISNUMBER(G1186),ISNUMBER(F1185),ISNUMBER(G1185)),AND(F1186&lt;G1186,F1185&gt;=G1185),FALSE())</f>
        <v>0</v>
      </c>
      <c r="L1186" s="8" t="n">
        <f aca="false">IF(ISNUMBER(I1186),E1186-Inputs!$B$6*I1186,"")</f>
        <v>0.885011891782286</v>
      </c>
      <c r="M1186" s="9" t="b">
        <f aca="false">AND(Y1185&gt;0,Z1185)</f>
        <v>0</v>
      </c>
      <c r="N1186" s="8" t="n">
        <f aca="false">B1186*(1-Inputs!$B$12)</f>
        <v>0.896994115589036</v>
      </c>
      <c r="O1186" s="10" t="n">
        <f aca="false">IF(M1186,Y1185*(N1186-AB1185)-Inputs!$B$9-Y1185*AD1185*Inputs!$B$13*(A1186-AC1185),0)</f>
        <v>0</v>
      </c>
      <c r="P1186" s="10" t="n">
        <f aca="false">X1185+O1186</f>
        <v>944.618668179282</v>
      </c>
      <c r="Q1186" s="9" t="b">
        <f aca="false">AND(IF(M1186,0,Y1185)=0,AA1185,IF(ISNUMBER(AE1185),B1186&gt;AE1185,FALSE()))</f>
        <v>0</v>
      </c>
      <c r="R1186" s="8" t="n">
        <f aca="false">B1186*(1+Inputs!$B$12)</f>
        <v>0.897352985009156</v>
      </c>
      <c r="S1186" s="11" t="n">
        <f aca="false">IF(Q1186,MIN(P1186*Inputs!$B$3/(R1186-AE1185),P1186*Inputs!$B$11/R1186),0)</f>
        <v>0</v>
      </c>
      <c r="T1186" s="11" t="n">
        <f aca="false">IF(Q1186,S1186,IF(M1186,0,Y1185))</f>
        <v>572.575070766003</v>
      </c>
      <c r="U1186" s="8" t="n">
        <f aca="false">IF(Q1186,AE1185,AF1185)</f>
        <v>0.835624367549931</v>
      </c>
      <c r="V1186" s="9" t="b">
        <f aca="false">AND(T1186&gt;0,D1186&lt;=U1186)</f>
        <v>0</v>
      </c>
      <c r="W1186" s="10" t="n">
        <f aca="false">IF(V1186,T1186*(AK1186-AB1186)-Inputs!$B$9-T1186*AD1186*Inputs!$B$13*(A1186-AC1186),0)</f>
        <v>0</v>
      </c>
      <c r="X1186" s="10" t="n">
        <f aca="false">P1186-IF(Q1186,Inputs!$B$9,0)+W1186</f>
        <v>944.618668179282</v>
      </c>
      <c r="Y1186" s="11" t="n">
        <f aca="false">IF(V1186,0,T1186)</f>
        <v>572.575070766003</v>
      </c>
      <c r="Z1186" s="9" t="b">
        <f aca="false">AND(Y1186&gt;0,K1186)</f>
        <v>0</v>
      </c>
      <c r="AA1186" s="9" t="b">
        <f aca="false">AND(Y1186=0,J1186,ISNUMBER(L1186))</f>
        <v>0</v>
      </c>
      <c r="AB1186" s="8" t="n">
        <f aca="false">IF(Q1186,R1186,AB1185)</f>
        <v>0.852139558595783</v>
      </c>
      <c r="AC1186" s="12" t="n">
        <f aca="false">IF(Q1186,A1186,AC1185)</f>
        <v>45888</v>
      </c>
      <c r="AD1186" s="8" t="n">
        <f aca="false">IF(Q1186,B1186,AD1185)</f>
        <v>0.85196916476283</v>
      </c>
      <c r="AE1186" s="8" t="str">
        <f aca="false">IF(AA1186,L1186,"")</f>
        <v/>
      </c>
      <c r="AF1186" s="8" t="n">
        <f aca="false">U1186</f>
        <v>0.835624367549931</v>
      </c>
      <c r="AG1186" s="2" t="n">
        <f aca="false">AG1185+IF(Q1186,1,0)</f>
        <v>12</v>
      </c>
      <c r="AH1186" s="2" t="n">
        <f aca="false">AG1185</f>
        <v>12</v>
      </c>
      <c r="AI1186" s="10" t="n">
        <f aca="false">X1186+Y1186*(E1186-AB1186)-Y1186*AD1186*Inputs!$B$13*(A1186-AC1186)</f>
        <v>966.4570272319</v>
      </c>
      <c r="AJ1186" s="10" t="n">
        <v>0</v>
      </c>
      <c r="AK1186" s="8" t="n">
        <f aca="false">IF(AND(B1186&lt;=U1186,NOT(Q1186)),B1186,U1186)*(1-Inputs!$B$12)</f>
        <v>0.835457242676421</v>
      </c>
    </row>
    <row r="1187" customFormat="false" ht="15" hidden="false" customHeight="false" outlineLevel="0" collapsed="false">
      <c r="A1187" s="6" t="n">
        <v>45971</v>
      </c>
      <c r="B1187" s="7" t="n">
        <v>0.902721246595306</v>
      </c>
      <c r="C1187" s="7" t="n">
        <v>0.911187316232358</v>
      </c>
      <c r="D1187" s="7" t="n">
        <v>0.899982186135692</v>
      </c>
      <c r="E1187" s="7" t="n">
        <v>0.908969425317839</v>
      </c>
      <c r="F1187" s="8" t="n">
        <f aca="true">IF(ROW()-2&gt;=Inputs!$B$4,AVERAGE(OFFSET(E1187,1-Inputs!$B$4,0,Inputs!$B$4,1)),"")</f>
        <v>0.907021753859581</v>
      </c>
      <c r="G1187" s="8" t="n">
        <f aca="true">IF(ROW()-2&gt;=Inputs!$B$5,AVERAGE(OFFSET(E1187,1-Inputs!$B$5,0,Inputs!$B$5,1)),"")</f>
        <v>0.898329600277535</v>
      </c>
      <c r="H1187" s="8" t="n">
        <f aca="false">MAX(C1187-D1187,ABS(C1187-E1186),ABS(D1187-E1186))</f>
        <v>0.0112051300966662</v>
      </c>
      <c r="I1187" s="8" t="n">
        <f aca="true">IF(ROW()-2&lt;14,"",IF(ROW()-2=14,AVERAGE(OFFSET(H1187,-13,0,14,1)),(I1186*13+H1187)/14))</f>
        <v>0.00902256688437826</v>
      </c>
      <c r="J1187" s="9" t="b">
        <f aca="false">IF(AND(ISNUMBER(F1187),ISNUMBER(G1187),ISNUMBER(F1186),ISNUMBER(G1186)),AND(F1187&gt;G1187,F1186&lt;=G1186),FALSE())</f>
        <v>0</v>
      </c>
      <c r="K1187" s="9" t="b">
        <f aca="false">IF(AND(ISNUMBER(F1187),ISNUMBER(G1187),ISNUMBER(F1186),ISNUMBER(G1186)),AND(F1187&lt;G1187,F1186&gt;=G1186),FALSE())</f>
        <v>0</v>
      </c>
      <c r="L1187" s="8" t="n">
        <f aca="false">IF(ISNUMBER(I1187),E1187-Inputs!$B$6*I1187,"")</f>
        <v>0.890924291549083</v>
      </c>
      <c r="M1187" s="9" t="b">
        <f aca="false">AND(Y1186&gt;0,Z1186)</f>
        <v>0</v>
      </c>
      <c r="N1187" s="8" t="n">
        <f aca="false">B1187*(1-Inputs!$B$12)</f>
        <v>0.902540702345987</v>
      </c>
      <c r="O1187" s="10" t="n">
        <f aca="false">IF(M1187,Y1186*(N1187-AB1186)-Inputs!$B$9-Y1186*AD1186*Inputs!$B$13*(A1187-AC1186),0)</f>
        <v>0</v>
      </c>
      <c r="P1187" s="10" t="n">
        <f aca="false">X1186+O1187</f>
        <v>944.618668179282</v>
      </c>
      <c r="Q1187" s="9" t="b">
        <f aca="false">AND(IF(M1187,0,Y1186)=0,AA1186,IF(ISNUMBER(AE1186),B1187&gt;AE1186,FALSE()))</f>
        <v>0</v>
      </c>
      <c r="R1187" s="8" t="n">
        <f aca="false">B1187*(1+Inputs!$B$12)</f>
        <v>0.902901790844625</v>
      </c>
      <c r="S1187" s="11" t="n">
        <f aca="false">IF(Q1187,MIN(P1187*Inputs!$B$3/(R1187-AE1186),P1187*Inputs!$B$11/R1187),0)</f>
        <v>0</v>
      </c>
      <c r="T1187" s="11" t="n">
        <f aca="false">IF(Q1187,S1187,IF(M1187,0,Y1186))</f>
        <v>572.575070766003</v>
      </c>
      <c r="U1187" s="8" t="n">
        <f aca="false">IF(Q1187,AE1186,AF1186)</f>
        <v>0.835624367549931</v>
      </c>
      <c r="V1187" s="9" t="b">
        <f aca="false">AND(T1187&gt;0,D1187&lt;=U1187)</f>
        <v>0</v>
      </c>
      <c r="W1187" s="10" t="n">
        <f aca="false">IF(V1187,T1187*(AK1187-AB1187)-Inputs!$B$9-T1187*AD1187*Inputs!$B$13*(A1187-AC1187),0)</f>
        <v>0</v>
      </c>
      <c r="X1187" s="10" t="n">
        <f aca="false">P1187-IF(Q1187,Inputs!$B$9,0)+W1187</f>
        <v>944.618668179282</v>
      </c>
      <c r="Y1187" s="11" t="n">
        <f aca="false">IF(V1187,0,T1187)</f>
        <v>572.575070766003</v>
      </c>
      <c r="Z1187" s="9" t="b">
        <f aca="false">AND(Y1187&gt;0,K1187)</f>
        <v>0</v>
      </c>
      <c r="AA1187" s="9" t="b">
        <f aca="false">AND(Y1187=0,J1187,ISNUMBER(L1187))</f>
        <v>0</v>
      </c>
      <c r="AB1187" s="8" t="n">
        <f aca="false">IF(Q1187,R1187,AB1186)</f>
        <v>0.852139558595783</v>
      </c>
      <c r="AC1187" s="12" t="n">
        <f aca="false">IF(Q1187,A1187,AC1186)</f>
        <v>45888</v>
      </c>
      <c r="AD1187" s="8" t="n">
        <f aca="false">IF(Q1187,B1187,AD1186)</f>
        <v>0.85196916476283</v>
      </c>
      <c r="AE1187" s="8" t="str">
        <f aca="false">IF(AA1187,L1187,"")</f>
        <v/>
      </c>
      <c r="AF1187" s="8" t="n">
        <f aca="false">U1187</f>
        <v>0.835624367549931</v>
      </c>
      <c r="AG1187" s="2" t="n">
        <f aca="false">AG1186+IF(Q1187,1,0)</f>
        <v>12</v>
      </c>
      <c r="AH1187" s="2" t="n">
        <f aca="false">AG1186</f>
        <v>12</v>
      </c>
      <c r="AI1187" s="10" t="n">
        <f aca="false">X1187+Y1187*(E1187-AB1187)-Y1187*AD1187*Inputs!$B$13*(A1187-AC1187)</f>
        <v>969.947707209367</v>
      </c>
      <c r="AJ1187" s="10" t="n">
        <v>0</v>
      </c>
      <c r="AK1187" s="8" t="n">
        <f aca="false">IF(AND(B1187&lt;=U1187,NOT(Q1187)),B1187,U1187)*(1-Inputs!$B$12)</f>
        <v>0.835457242676421</v>
      </c>
    </row>
    <row r="1188" customFormat="false" ht="15" hidden="false" customHeight="false" outlineLevel="0" collapsed="false">
      <c r="A1188" s="6" t="n">
        <v>45972</v>
      </c>
      <c r="B1188" s="7" t="n">
        <v>0.908969425317839</v>
      </c>
      <c r="C1188" s="7" t="n">
        <v>0.914568501884182</v>
      </c>
      <c r="D1188" s="7" t="n">
        <v>0.903587132131539</v>
      </c>
      <c r="E1188" s="7" t="n">
        <v>0.90666995619235</v>
      </c>
      <c r="F1188" s="8" t="n">
        <f aca="true">IF(ROW()-2&gt;=Inputs!$B$4,AVERAGE(OFFSET(E1188,1-Inputs!$B$4,0,Inputs!$B$4,1)),"")</f>
        <v>0.907199208483983</v>
      </c>
      <c r="G1188" s="8" t="n">
        <f aca="true">IF(ROW()-2&gt;=Inputs!$B$5,AVERAGE(OFFSET(E1188,1-Inputs!$B$5,0,Inputs!$B$5,1)),"")</f>
        <v>0.898709838401352</v>
      </c>
      <c r="H1188" s="8" t="n">
        <f aca="false">MAX(C1188-D1188,ABS(C1188-E1187),ABS(D1188-E1187))</f>
        <v>0.010981369752643</v>
      </c>
      <c r="I1188" s="8" t="n">
        <f aca="true">IF(ROW()-2&lt;14,"",IF(ROW()-2=14,AVERAGE(OFFSET(H1188,-13,0,14,1)),(I1187*13+H1188)/14))</f>
        <v>0.00916248137496859</v>
      </c>
      <c r="J1188" s="9" t="b">
        <f aca="false">IF(AND(ISNUMBER(F1188),ISNUMBER(G1188),ISNUMBER(F1187),ISNUMBER(G1187)),AND(F1188&gt;G1188,F1187&lt;=G1187),FALSE())</f>
        <v>0</v>
      </c>
      <c r="K1188" s="9" t="b">
        <f aca="false">IF(AND(ISNUMBER(F1188),ISNUMBER(G1188),ISNUMBER(F1187),ISNUMBER(G1187)),AND(F1188&lt;G1188,F1187&gt;=G1187),FALSE())</f>
        <v>0</v>
      </c>
      <c r="L1188" s="8" t="n">
        <f aca="false">IF(ISNUMBER(I1188),E1188-Inputs!$B$6*I1188,"")</f>
        <v>0.888344993442413</v>
      </c>
      <c r="M1188" s="9" t="b">
        <f aca="false">AND(Y1187&gt;0,Z1187)</f>
        <v>0</v>
      </c>
      <c r="N1188" s="8" t="n">
        <f aca="false">B1188*(1-Inputs!$B$12)</f>
        <v>0.908787631432776</v>
      </c>
      <c r="O1188" s="10" t="n">
        <f aca="false">IF(M1188,Y1187*(N1188-AB1187)-Inputs!$B$9-Y1187*AD1187*Inputs!$B$13*(A1188-AC1187),0)</f>
        <v>0</v>
      </c>
      <c r="P1188" s="10" t="n">
        <f aca="false">X1187+O1188</f>
        <v>944.618668179282</v>
      </c>
      <c r="Q1188" s="9" t="b">
        <f aca="false">AND(IF(M1188,0,Y1187)=0,AA1187,IF(ISNUMBER(AE1187),B1188&gt;AE1187,FALSE()))</f>
        <v>0</v>
      </c>
      <c r="R1188" s="8" t="n">
        <f aca="false">B1188*(1+Inputs!$B$12)</f>
        <v>0.909151219202903</v>
      </c>
      <c r="S1188" s="11" t="n">
        <f aca="false">IF(Q1188,MIN(P1188*Inputs!$B$3/(R1188-AE1187),P1188*Inputs!$B$11/R1188),0)</f>
        <v>0</v>
      </c>
      <c r="T1188" s="11" t="n">
        <f aca="false">IF(Q1188,S1188,IF(M1188,0,Y1187))</f>
        <v>572.575070766003</v>
      </c>
      <c r="U1188" s="8" t="n">
        <f aca="false">IF(Q1188,AE1187,AF1187)</f>
        <v>0.835624367549931</v>
      </c>
      <c r="V1188" s="9" t="b">
        <f aca="false">AND(T1188&gt;0,D1188&lt;=U1188)</f>
        <v>0</v>
      </c>
      <c r="W1188" s="10" t="n">
        <f aca="false">IF(V1188,T1188*(AK1188-AB1188)-Inputs!$B$9-T1188*AD1188*Inputs!$B$13*(A1188-AC1188),0)</f>
        <v>0</v>
      </c>
      <c r="X1188" s="10" t="n">
        <f aca="false">P1188-IF(Q1188,Inputs!$B$9,0)+W1188</f>
        <v>944.618668179282</v>
      </c>
      <c r="Y1188" s="11" t="n">
        <f aca="false">IF(V1188,0,T1188)</f>
        <v>572.575070766003</v>
      </c>
      <c r="Z1188" s="9" t="b">
        <f aca="false">AND(Y1188&gt;0,K1188)</f>
        <v>0</v>
      </c>
      <c r="AA1188" s="9" t="b">
        <f aca="false">AND(Y1188=0,J1188,ISNUMBER(L1188))</f>
        <v>0</v>
      </c>
      <c r="AB1188" s="8" t="n">
        <f aca="false">IF(Q1188,R1188,AB1187)</f>
        <v>0.852139558595783</v>
      </c>
      <c r="AC1188" s="12" t="n">
        <f aca="false">IF(Q1188,A1188,AC1187)</f>
        <v>45888</v>
      </c>
      <c r="AD1188" s="8" t="n">
        <f aca="false">IF(Q1188,B1188,AD1187)</f>
        <v>0.85196916476283</v>
      </c>
      <c r="AE1188" s="8" t="str">
        <f aca="false">IF(AA1188,L1188,"")</f>
        <v/>
      </c>
      <c r="AF1188" s="8" t="n">
        <f aca="false">U1188</f>
        <v>0.835624367549931</v>
      </c>
      <c r="AG1188" s="2" t="n">
        <f aca="false">AG1187+IF(Q1188,1,0)</f>
        <v>12</v>
      </c>
      <c r="AH1188" s="2" t="n">
        <f aca="false">AG1187</f>
        <v>12</v>
      </c>
      <c r="AI1188" s="10" t="n">
        <f aca="false">X1188+Y1188*(E1188-AB1188)-Y1188*AD1188*Inputs!$B$13*(A1188-AC1188)</f>
        <v>968.54421711537</v>
      </c>
      <c r="AJ1188" s="10" t="n">
        <v>0</v>
      </c>
      <c r="AK1188" s="8" t="n">
        <f aca="false">IF(AND(B1188&lt;=U1188,NOT(Q1188)),B1188,U1188)*(1-Inputs!$B$12)</f>
        <v>0.835457242676421</v>
      </c>
    </row>
    <row r="1189" customFormat="false" ht="15" hidden="false" customHeight="false" outlineLevel="0" collapsed="false">
      <c r="A1189" s="6" t="n">
        <v>45973</v>
      </c>
      <c r="B1189" s="7" t="n">
        <v>0.90666995619235</v>
      </c>
      <c r="C1189" s="7" t="n">
        <v>0.916796434430297</v>
      </c>
      <c r="D1189" s="7" t="n">
        <v>0.905295579188686</v>
      </c>
      <c r="E1189" s="7" t="n">
        <v>0.909280265982165</v>
      </c>
      <c r="F1189" s="8" t="n">
        <f aca="true">IF(ROW()-2&gt;=Inputs!$B$4,AVERAGE(OFFSET(E1189,1-Inputs!$B$4,0,Inputs!$B$4,1)),"")</f>
        <v>0.907610608604698</v>
      </c>
      <c r="G1189" s="8" t="n">
        <f aca="true">IF(ROW()-2&gt;=Inputs!$B$5,AVERAGE(OFFSET(E1189,1-Inputs!$B$5,0,Inputs!$B$5,1)),"")</f>
        <v>0.899111702069798</v>
      </c>
      <c r="H1189" s="8" t="n">
        <f aca="false">MAX(C1189-D1189,ABS(C1189-E1188),ABS(D1189-E1188))</f>
        <v>0.011500855241611</v>
      </c>
      <c r="I1189" s="8" t="n">
        <f aca="true">IF(ROW()-2&lt;14,"",IF(ROW()-2=14,AVERAGE(OFFSET(H1189,-13,0,14,1)),(I1188*13+H1189)/14))</f>
        <v>0.00932950807972877</v>
      </c>
      <c r="J1189" s="9" t="b">
        <f aca="false">IF(AND(ISNUMBER(F1189),ISNUMBER(G1189),ISNUMBER(F1188),ISNUMBER(G1188)),AND(F1189&gt;G1189,F1188&lt;=G1188),FALSE())</f>
        <v>0</v>
      </c>
      <c r="K1189" s="9" t="b">
        <f aca="false">IF(AND(ISNUMBER(F1189),ISNUMBER(G1189),ISNUMBER(F1188),ISNUMBER(G1188)),AND(F1189&lt;G1189,F1188&gt;=G1188),FALSE())</f>
        <v>0</v>
      </c>
      <c r="L1189" s="8" t="n">
        <f aca="false">IF(ISNUMBER(I1189),E1189-Inputs!$B$6*I1189,"")</f>
        <v>0.890621249822708</v>
      </c>
      <c r="M1189" s="9" t="b">
        <f aca="false">AND(Y1188&gt;0,Z1188)</f>
        <v>0</v>
      </c>
      <c r="N1189" s="8" t="n">
        <f aca="false">B1189*(1-Inputs!$B$12)</f>
        <v>0.906488622201112</v>
      </c>
      <c r="O1189" s="10" t="n">
        <f aca="false">IF(M1189,Y1188*(N1189-AB1188)-Inputs!$B$9-Y1188*AD1188*Inputs!$B$13*(A1189-AC1188),0)</f>
        <v>0</v>
      </c>
      <c r="P1189" s="10" t="n">
        <f aca="false">X1188+O1189</f>
        <v>944.618668179282</v>
      </c>
      <c r="Q1189" s="9" t="b">
        <f aca="false">AND(IF(M1189,0,Y1188)=0,AA1188,IF(ISNUMBER(AE1188),B1189&gt;AE1188,FALSE()))</f>
        <v>0</v>
      </c>
      <c r="R1189" s="8" t="n">
        <f aca="false">B1189*(1+Inputs!$B$12)</f>
        <v>0.906851290183589</v>
      </c>
      <c r="S1189" s="11" t="n">
        <f aca="false">IF(Q1189,MIN(P1189*Inputs!$B$3/(R1189-AE1188),P1189*Inputs!$B$11/R1189),0)</f>
        <v>0</v>
      </c>
      <c r="T1189" s="11" t="n">
        <f aca="false">IF(Q1189,S1189,IF(M1189,0,Y1188))</f>
        <v>572.575070766003</v>
      </c>
      <c r="U1189" s="8" t="n">
        <f aca="false">IF(Q1189,AE1188,AF1188)</f>
        <v>0.835624367549931</v>
      </c>
      <c r="V1189" s="9" t="b">
        <f aca="false">AND(T1189&gt;0,D1189&lt;=U1189)</f>
        <v>0</v>
      </c>
      <c r="W1189" s="10" t="n">
        <f aca="false">IF(V1189,T1189*(AK1189-AB1189)-Inputs!$B$9-T1189*AD1189*Inputs!$B$13*(A1189-AC1189),0)</f>
        <v>0</v>
      </c>
      <c r="X1189" s="10" t="n">
        <f aca="false">P1189-IF(Q1189,Inputs!$B$9,0)+W1189</f>
        <v>944.618668179282</v>
      </c>
      <c r="Y1189" s="11" t="n">
        <f aca="false">IF(V1189,0,T1189)</f>
        <v>572.575070766003</v>
      </c>
      <c r="Z1189" s="9" t="b">
        <f aca="false">AND(Y1189&gt;0,K1189)</f>
        <v>0</v>
      </c>
      <c r="AA1189" s="9" t="b">
        <f aca="false">AND(Y1189=0,J1189,ISNUMBER(L1189))</f>
        <v>0</v>
      </c>
      <c r="AB1189" s="8" t="n">
        <f aca="false">IF(Q1189,R1189,AB1188)</f>
        <v>0.852139558595783</v>
      </c>
      <c r="AC1189" s="12" t="n">
        <f aca="false">IF(Q1189,A1189,AC1188)</f>
        <v>45888</v>
      </c>
      <c r="AD1189" s="8" t="n">
        <f aca="false">IF(Q1189,B1189,AD1188)</f>
        <v>0.85196916476283</v>
      </c>
      <c r="AE1189" s="8" t="str">
        <f aca="false">IF(AA1189,L1189,"")</f>
        <v/>
      </c>
      <c r="AF1189" s="8" t="n">
        <f aca="false">U1189</f>
        <v>0.835624367549931</v>
      </c>
      <c r="AG1189" s="2" t="n">
        <f aca="false">AG1188+IF(Q1189,1,0)</f>
        <v>12</v>
      </c>
      <c r="AH1189" s="2" t="n">
        <f aca="false">AG1188</f>
        <v>12</v>
      </c>
      <c r="AI1189" s="10" t="n">
        <f aca="false">X1189+Y1189*(E1189-AB1189)-Y1189*AD1189*Inputs!$B$13*(A1189-AC1189)</f>
        <v>969.951944031248</v>
      </c>
      <c r="AJ1189" s="10" t="n">
        <v>0</v>
      </c>
      <c r="AK1189" s="8" t="n">
        <f aca="false">IF(AND(B1189&lt;=U1189,NOT(Q1189)),B1189,U1189)*(1-Inputs!$B$12)</f>
        <v>0.835457242676421</v>
      </c>
    </row>
    <row r="1190" customFormat="false" ht="15" hidden="false" customHeight="false" outlineLevel="0" collapsed="false">
      <c r="A1190" s="6" t="n">
        <v>45974</v>
      </c>
      <c r="B1190" s="7" t="n">
        <v>0.909280265982165</v>
      </c>
      <c r="C1190" s="7" t="n">
        <v>0.912736820286877</v>
      </c>
      <c r="D1190" s="7" t="n">
        <v>0.899057537935528</v>
      </c>
      <c r="E1190" s="7" t="n">
        <v>0.900514460649506</v>
      </c>
      <c r="F1190" s="8" t="n">
        <f aca="true">IF(ROW()-2&gt;=Inputs!$B$4,AVERAGE(OFFSET(E1190,1-Inputs!$B$4,0,Inputs!$B$4,1)),"")</f>
        <v>0.907546620353748</v>
      </c>
      <c r="G1190" s="8" t="n">
        <f aca="true">IF(ROW()-2&gt;=Inputs!$B$5,AVERAGE(OFFSET(E1190,1-Inputs!$B$5,0,Inputs!$B$5,1)),"")</f>
        <v>0.899253665312531</v>
      </c>
      <c r="H1190" s="8" t="n">
        <f aca="false">MAX(C1190-D1190,ABS(C1190-E1189),ABS(D1190-E1189))</f>
        <v>0.0136792823513493</v>
      </c>
      <c r="I1190" s="8" t="n">
        <f aca="true">IF(ROW()-2&lt;14,"",IF(ROW()-2=14,AVERAGE(OFFSET(H1190,-13,0,14,1)),(I1189*13+H1190)/14))</f>
        <v>0.00964020624198738</v>
      </c>
      <c r="J1190" s="9" t="b">
        <f aca="false">IF(AND(ISNUMBER(F1190),ISNUMBER(G1190),ISNUMBER(F1189),ISNUMBER(G1189)),AND(F1190&gt;G1190,F1189&lt;=G1189),FALSE())</f>
        <v>0</v>
      </c>
      <c r="K1190" s="9" t="b">
        <f aca="false">IF(AND(ISNUMBER(F1190),ISNUMBER(G1190),ISNUMBER(F1189),ISNUMBER(G1189)),AND(F1190&lt;G1190,F1189&gt;=G1189),FALSE())</f>
        <v>0</v>
      </c>
      <c r="L1190" s="8" t="n">
        <f aca="false">IF(ISNUMBER(I1190),E1190-Inputs!$B$6*I1190,"")</f>
        <v>0.881234048165532</v>
      </c>
      <c r="M1190" s="9" t="b">
        <f aca="false">AND(Y1189&gt;0,Z1189)</f>
        <v>0</v>
      </c>
      <c r="N1190" s="8" t="n">
        <f aca="false">B1190*(1-Inputs!$B$12)</f>
        <v>0.909098409928969</v>
      </c>
      <c r="O1190" s="10" t="n">
        <f aca="false">IF(M1190,Y1189*(N1190-AB1189)-Inputs!$B$9-Y1189*AD1189*Inputs!$B$13*(A1190-AC1189),0)</f>
        <v>0</v>
      </c>
      <c r="P1190" s="10" t="n">
        <f aca="false">X1189+O1190</f>
        <v>944.618668179282</v>
      </c>
      <c r="Q1190" s="9" t="b">
        <f aca="false">AND(IF(M1190,0,Y1189)=0,AA1189,IF(ISNUMBER(AE1189),B1190&gt;AE1189,FALSE()))</f>
        <v>0</v>
      </c>
      <c r="R1190" s="8" t="n">
        <f aca="false">B1190*(1+Inputs!$B$12)</f>
        <v>0.909462122035362</v>
      </c>
      <c r="S1190" s="11" t="n">
        <f aca="false">IF(Q1190,MIN(P1190*Inputs!$B$3/(R1190-AE1189),P1190*Inputs!$B$11/R1190),0)</f>
        <v>0</v>
      </c>
      <c r="T1190" s="11" t="n">
        <f aca="false">IF(Q1190,S1190,IF(M1190,0,Y1189))</f>
        <v>572.575070766003</v>
      </c>
      <c r="U1190" s="8" t="n">
        <f aca="false">IF(Q1190,AE1189,AF1189)</f>
        <v>0.835624367549931</v>
      </c>
      <c r="V1190" s="9" t="b">
        <f aca="false">AND(T1190&gt;0,D1190&lt;=U1190)</f>
        <v>0</v>
      </c>
      <c r="W1190" s="10" t="n">
        <f aca="false">IF(V1190,T1190*(AK1190-AB1190)-Inputs!$B$9-T1190*AD1190*Inputs!$B$13*(A1190-AC1190),0)</f>
        <v>0</v>
      </c>
      <c r="X1190" s="10" t="n">
        <f aca="false">P1190-IF(Q1190,Inputs!$B$9,0)+W1190</f>
        <v>944.618668179282</v>
      </c>
      <c r="Y1190" s="11" t="n">
        <f aca="false">IF(V1190,0,T1190)</f>
        <v>572.575070766003</v>
      </c>
      <c r="Z1190" s="9" t="b">
        <f aca="false">AND(Y1190&gt;0,K1190)</f>
        <v>0</v>
      </c>
      <c r="AA1190" s="9" t="b">
        <f aca="false">AND(Y1190=0,J1190,ISNUMBER(L1190))</f>
        <v>0</v>
      </c>
      <c r="AB1190" s="8" t="n">
        <f aca="false">IF(Q1190,R1190,AB1189)</f>
        <v>0.852139558595783</v>
      </c>
      <c r="AC1190" s="12" t="n">
        <f aca="false">IF(Q1190,A1190,AC1189)</f>
        <v>45888</v>
      </c>
      <c r="AD1190" s="8" t="n">
        <f aca="false">IF(Q1190,B1190,AD1189)</f>
        <v>0.85196916476283</v>
      </c>
      <c r="AE1190" s="8" t="str">
        <f aca="false">IF(AA1190,L1190,"")</f>
        <v/>
      </c>
      <c r="AF1190" s="8" t="n">
        <f aca="false">U1190</f>
        <v>0.835624367549931</v>
      </c>
      <c r="AG1190" s="2" t="n">
        <f aca="false">AG1189+IF(Q1190,1,0)</f>
        <v>12</v>
      </c>
      <c r="AH1190" s="2" t="n">
        <f aca="false">AG1189</f>
        <v>12</v>
      </c>
      <c r="AI1190" s="10" t="n">
        <f aca="false">X1190+Y1190*(E1190-AB1190)-Y1190*AD1190*Inputs!$B$13*(A1190-AC1190)</f>
        <v>964.845991025834</v>
      </c>
      <c r="AJ1190" s="10" t="n">
        <v>0</v>
      </c>
      <c r="AK1190" s="8" t="n">
        <f aca="false">IF(AND(B1190&lt;=U1190,NOT(Q1190)),B1190,U1190)*(1-Inputs!$B$12)</f>
        <v>0.835457242676421</v>
      </c>
    </row>
    <row r="1191" customFormat="false" ht="15" hidden="false" customHeight="false" outlineLevel="0" collapsed="false">
      <c r="A1191" s="6" t="n">
        <v>45975</v>
      </c>
      <c r="B1191" s="7" t="n">
        <v>0.900514460649506</v>
      </c>
      <c r="C1191" s="7" t="n">
        <v>0.901190101603436</v>
      </c>
      <c r="D1191" s="7" t="n">
        <v>0.895334029211701</v>
      </c>
      <c r="E1191" s="7" t="n">
        <v>0.899062962818612</v>
      </c>
      <c r="F1191" s="8" t="n">
        <f aca="true">IF(ROW()-2&gt;=Inputs!$B$4,AVERAGE(OFFSET(E1191,1-Inputs!$B$4,0,Inputs!$B$4,1)),"")</f>
        <v>0.907358040096074</v>
      </c>
      <c r="G1191" s="8" t="n">
        <f aca="true">IF(ROW()-2&gt;=Inputs!$B$5,AVERAGE(OFFSET(E1191,1-Inputs!$B$5,0,Inputs!$B$5,1)),"")</f>
        <v>0.899438610387813</v>
      </c>
      <c r="H1191" s="8" t="n">
        <f aca="false">MAX(C1191-D1191,ABS(C1191-E1190),ABS(D1191-E1190))</f>
        <v>0.0058560723917348</v>
      </c>
      <c r="I1191" s="8" t="n">
        <f aca="true">IF(ROW()-2&lt;14,"",IF(ROW()-2=14,AVERAGE(OFFSET(H1191,-13,0,14,1)),(I1190*13+H1191)/14))</f>
        <v>0.00936991096696934</v>
      </c>
      <c r="J1191" s="9" t="b">
        <f aca="false">IF(AND(ISNUMBER(F1191),ISNUMBER(G1191),ISNUMBER(F1190),ISNUMBER(G1190)),AND(F1191&gt;G1191,F1190&lt;=G1190),FALSE())</f>
        <v>0</v>
      </c>
      <c r="K1191" s="9" t="b">
        <f aca="false">IF(AND(ISNUMBER(F1191),ISNUMBER(G1191),ISNUMBER(F1190),ISNUMBER(G1190)),AND(F1191&lt;G1191,F1190&gt;=G1190),FALSE())</f>
        <v>0</v>
      </c>
      <c r="L1191" s="8" t="n">
        <f aca="false">IF(ISNUMBER(I1191),E1191-Inputs!$B$6*I1191,"")</f>
        <v>0.880323140884673</v>
      </c>
      <c r="M1191" s="9" t="b">
        <f aca="false">AND(Y1190&gt;0,Z1190)</f>
        <v>0</v>
      </c>
      <c r="N1191" s="8" t="n">
        <f aca="false">B1191*(1-Inputs!$B$12)</f>
        <v>0.900334357757376</v>
      </c>
      <c r="O1191" s="10" t="n">
        <f aca="false">IF(M1191,Y1190*(N1191-AB1190)-Inputs!$B$9-Y1190*AD1190*Inputs!$B$13*(A1191-AC1190),0)</f>
        <v>0</v>
      </c>
      <c r="P1191" s="10" t="n">
        <f aca="false">X1190+O1191</f>
        <v>944.618668179282</v>
      </c>
      <c r="Q1191" s="9" t="b">
        <f aca="false">AND(IF(M1191,0,Y1190)=0,AA1190,IF(ISNUMBER(AE1190),B1191&gt;AE1190,FALSE()))</f>
        <v>0</v>
      </c>
      <c r="R1191" s="8" t="n">
        <f aca="false">B1191*(1+Inputs!$B$12)</f>
        <v>0.900694563541636</v>
      </c>
      <c r="S1191" s="11" t="n">
        <f aca="false">IF(Q1191,MIN(P1191*Inputs!$B$3/(R1191-AE1190),P1191*Inputs!$B$11/R1191),0)</f>
        <v>0</v>
      </c>
      <c r="T1191" s="11" t="n">
        <f aca="false">IF(Q1191,S1191,IF(M1191,0,Y1190))</f>
        <v>572.575070766003</v>
      </c>
      <c r="U1191" s="8" t="n">
        <f aca="false">IF(Q1191,AE1190,AF1190)</f>
        <v>0.835624367549931</v>
      </c>
      <c r="V1191" s="9" t="b">
        <f aca="false">AND(T1191&gt;0,D1191&lt;=U1191)</f>
        <v>0</v>
      </c>
      <c r="W1191" s="10" t="n">
        <f aca="false">IF(V1191,T1191*(AK1191-AB1191)-Inputs!$B$9-T1191*AD1191*Inputs!$B$13*(A1191-AC1191),0)</f>
        <v>0</v>
      </c>
      <c r="X1191" s="10" t="n">
        <f aca="false">P1191-IF(Q1191,Inputs!$B$9,0)+W1191</f>
        <v>944.618668179282</v>
      </c>
      <c r="Y1191" s="11" t="n">
        <f aca="false">IF(V1191,0,T1191)</f>
        <v>572.575070766003</v>
      </c>
      <c r="Z1191" s="9" t="b">
        <f aca="false">AND(Y1191&gt;0,K1191)</f>
        <v>0</v>
      </c>
      <c r="AA1191" s="9" t="b">
        <f aca="false">AND(Y1191=0,J1191,ISNUMBER(L1191))</f>
        <v>0</v>
      </c>
      <c r="AB1191" s="8" t="n">
        <f aca="false">IF(Q1191,R1191,AB1190)</f>
        <v>0.852139558595783</v>
      </c>
      <c r="AC1191" s="12" t="n">
        <f aca="false">IF(Q1191,A1191,AC1190)</f>
        <v>45888</v>
      </c>
      <c r="AD1191" s="8" t="n">
        <f aca="false">IF(Q1191,B1191,AD1190)</f>
        <v>0.85196916476283</v>
      </c>
      <c r="AE1191" s="8" t="str">
        <f aca="false">IF(AA1191,L1191,"")</f>
        <v/>
      </c>
      <c r="AF1191" s="8" t="n">
        <f aca="false">U1191</f>
        <v>0.835624367549931</v>
      </c>
      <c r="AG1191" s="2" t="n">
        <f aca="false">AG1190+IF(Q1191,1,0)</f>
        <v>12</v>
      </c>
      <c r="AH1191" s="2" t="n">
        <f aca="false">AG1190</f>
        <v>12</v>
      </c>
      <c r="AI1191" s="10" t="n">
        <f aca="false">X1191+Y1191*(E1191-AB1191)-Y1191*AD1191*Inputs!$B$13*(A1191-AC1191)</f>
        <v>963.928028155847</v>
      </c>
      <c r="AJ1191" s="10" t="n">
        <v>0</v>
      </c>
      <c r="AK1191" s="8" t="n">
        <f aca="false">IF(AND(B1191&lt;=U1191,NOT(Q1191)),B1191,U1191)*(1-Inputs!$B$12)</f>
        <v>0.835457242676421</v>
      </c>
    </row>
    <row r="1192" customFormat="false" ht="15" hidden="false" customHeight="false" outlineLevel="0" collapsed="false">
      <c r="A1192" s="6" t="n">
        <v>45976</v>
      </c>
      <c r="B1192" s="7" t="n">
        <v>0.899062962818612</v>
      </c>
      <c r="C1192" s="7" t="n">
        <v>0.901494901406881</v>
      </c>
      <c r="D1192" s="7" t="n">
        <v>0.896922396526085</v>
      </c>
      <c r="E1192" s="7" t="n">
        <v>0.900434556633355</v>
      </c>
      <c r="F1192" s="8" t="n">
        <f aca="true">IF(ROW()-2&gt;=Inputs!$B$4,AVERAGE(OFFSET(E1192,1-Inputs!$B$4,0,Inputs!$B$4,1)),"")</f>
        <v>0.907285371694999</v>
      </c>
      <c r="G1192" s="8" t="n">
        <f aca="true">IF(ROW()-2&gt;=Inputs!$B$5,AVERAGE(OFFSET(E1192,1-Inputs!$B$5,0,Inputs!$B$5,1)),"")</f>
        <v>0.899651549556238</v>
      </c>
      <c r="H1192" s="8" t="n">
        <f aca="false">MAX(C1192-D1192,ABS(C1192-E1191),ABS(D1192-E1191))</f>
        <v>0.00457250488079553</v>
      </c>
      <c r="I1192" s="8" t="n">
        <f aca="true">IF(ROW()-2&lt;14,"",IF(ROW()-2=14,AVERAGE(OFFSET(H1192,-13,0,14,1)),(I1191*13+H1192)/14))</f>
        <v>0.00902723910367121</v>
      </c>
      <c r="J1192" s="9" t="b">
        <f aca="false">IF(AND(ISNUMBER(F1192),ISNUMBER(G1192),ISNUMBER(F1191),ISNUMBER(G1191)),AND(F1192&gt;G1192,F1191&lt;=G1191),FALSE())</f>
        <v>0</v>
      </c>
      <c r="K1192" s="9" t="b">
        <f aca="false">IF(AND(ISNUMBER(F1192),ISNUMBER(G1192),ISNUMBER(F1191),ISNUMBER(G1191)),AND(F1192&lt;G1192,F1191&gt;=G1191),FALSE())</f>
        <v>0</v>
      </c>
      <c r="L1192" s="8" t="n">
        <f aca="false">IF(ISNUMBER(I1192),E1192-Inputs!$B$6*I1192,"")</f>
        <v>0.882380078426013</v>
      </c>
      <c r="M1192" s="9" t="b">
        <f aca="false">AND(Y1191&gt;0,Z1191)</f>
        <v>0</v>
      </c>
      <c r="N1192" s="8" t="n">
        <f aca="false">B1192*(1-Inputs!$B$12)</f>
        <v>0.898883150226048</v>
      </c>
      <c r="O1192" s="10" t="n">
        <f aca="false">IF(M1192,Y1191*(N1192-AB1191)-Inputs!$B$9-Y1191*AD1191*Inputs!$B$13*(A1192-AC1191),0)</f>
        <v>0</v>
      </c>
      <c r="P1192" s="10" t="n">
        <f aca="false">X1191+O1192</f>
        <v>944.618668179282</v>
      </c>
      <c r="Q1192" s="9" t="b">
        <f aca="false">AND(IF(M1192,0,Y1191)=0,AA1191,IF(ISNUMBER(AE1191),B1192&gt;AE1191,FALSE()))</f>
        <v>0</v>
      </c>
      <c r="R1192" s="8" t="n">
        <f aca="false">B1192*(1+Inputs!$B$12)</f>
        <v>0.899242775411176</v>
      </c>
      <c r="S1192" s="11" t="n">
        <f aca="false">IF(Q1192,MIN(P1192*Inputs!$B$3/(R1192-AE1191),P1192*Inputs!$B$11/R1192),0)</f>
        <v>0</v>
      </c>
      <c r="T1192" s="11" t="n">
        <f aca="false">IF(Q1192,S1192,IF(M1192,0,Y1191))</f>
        <v>572.575070766003</v>
      </c>
      <c r="U1192" s="8" t="n">
        <f aca="false">IF(Q1192,AE1191,AF1191)</f>
        <v>0.835624367549931</v>
      </c>
      <c r="V1192" s="9" t="b">
        <f aca="false">AND(T1192&gt;0,D1192&lt;=U1192)</f>
        <v>0</v>
      </c>
      <c r="W1192" s="10" t="n">
        <f aca="false">IF(V1192,T1192*(AK1192-AB1192)-Inputs!$B$9-T1192*AD1192*Inputs!$B$13*(A1192-AC1192),0)</f>
        <v>0</v>
      </c>
      <c r="X1192" s="10" t="n">
        <f aca="false">P1192-IF(Q1192,Inputs!$B$9,0)+W1192</f>
        <v>944.618668179282</v>
      </c>
      <c r="Y1192" s="11" t="n">
        <f aca="false">IF(V1192,0,T1192)</f>
        <v>572.575070766003</v>
      </c>
      <c r="Z1192" s="9" t="b">
        <f aca="false">AND(Y1192&gt;0,K1192)</f>
        <v>0</v>
      </c>
      <c r="AA1192" s="9" t="b">
        <f aca="false">AND(Y1192=0,J1192,ISNUMBER(L1192))</f>
        <v>0</v>
      </c>
      <c r="AB1192" s="8" t="n">
        <f aca="false">IF(Q1192,R1192,AB1191)</f>
        <v>0.852139558595783</v>
      </c>
      <c r="AC1192" s="12" t="n">
        <f aca="false">IF(Q1192,A1192,AC1191)</f>
        <v>45888</v>
      </c>
      <c r="AD1192" s="8" t="n">
        <f aca="false">IF(Q1192,B1192,AD1191)</f>
        <v>0.85196916476283</v>
      </c>
      <c r="AE1192" s="8" t="str">
        <f aca="false">IF(AA1192,L1192,"")</f>
        <v/>
      </c>
      <c r="AF1192" s="8" t="n">
        <f aca="false">U1192</f>
        <v>0.835624367549931</v>
      </c>
      <c r="AG1192" s="2" t="n">
        <f aca="false">AG1191+IF(Q1192,1,0)</f>
        <v>12</v>
      </c>
      <c r="AH1192" s="2" t="n">
        <f aca="false">AG1191</f>
        <v>12</v>
      </c>
      <c r="AI1192" s="10" t="n">
        <f aca="false">X1192+Y1192*(E1192-AB1192)-Y1192*AD1192*Inputs!$B$13*(A1192-AC1192)</f>
        <v>964.62649718464</v>
      </c>
      <c r="AJ1192" s="10" t="n">
        <v>0</v>
      </c>
      <c r="AK1192" s="8" t="n">
        <f aca="false">IF(AND(B1192&lt;=U1192,NOT(Q1192)),B1192,U1192)*(1-Inputs!$B$12)</f>
        <v>0.835457242676421</v>
      </c>
    </row>
    <row r="1193" customFormat="false" ht="15" hidden="false" customHeight="false" outlineLevel="0" collapsed="false">
      <c r="A1193" s="6" t="n">
        <v>45977</v>
      </c>
      <c r="B1193" s="7" t="n">
        <v>0.900434556633355</v>
      </c>
      <c r="C1193" s="7" t="n">
        <v>0.902705115430213</v>
      </c>
      <c r="D1193" s="7" t="n">
        <v>0.894668684689474</v>
      </c>
      <c r="E1193" s="7" t="n">
        <v>0.899457750780123</v>
      </c>
      <c r="F1193" s="8" t="n">
        <f aca="true">IF(ROW()-2&gt;=Inputs!$B$4,AVERAGE(OFFSET(E1193,1-Inputs!$B$4,0,Inputs!$B$4,1)),"")</f>
        <v>0.906868369648886</v>
      </c>
      <c r="G1193" s="8" t="n">
        <f aca="true">IF(ROW()-2&gt;=Inputs!$B$5,AVERAGE(OFFSET(E1193,1-Inputs!$B$5,0,Inputs!$B$5,1)),"")</f>
        <v>0.899772368814466</v>
      </c>
      <c r="H1193" s="8" t="n">
        <f aca="false">MAX(C1193-D1193,ABS(C1193-E1192),ABS(D1193-E1192))</f>
        <v>0.00803643074073868</v>
      </c>
      <c r="I1193" s="8" t="n">
        <f aca="true">IF(ROW()-2&lt;14,"",IF(ROW()-2=14,AVERAGE(OFFSET(H1193,-13,0,14,1)),(I1192*13+H1193)/14))</f>
        <v>0.00895646707774746</v>
      </c>
      <c r="J1193" s="9" t="b">
        <f aca="false">IF(AND(ISNUMBER(F1193),ISNUMBER(G1193),ISNUMBER(F1192),ISNUMBER(G1192)),AND(F1193&gt;G1193,F1192&lt;=G1192),FALSE())</f>
        <v>0</v>
      </c>
      <c r="K1193" s="9" t="b">
        <f aca="false">IF(AND(ISNUMBER(F1193),ISNUMBER(G1193),ISNUMBER(F1192),ISNUMBER(G1192)),AND(F1193&lt;G1193,F1192&gt;=G1192),FALSE())</f>
        <v>0</v>
      </c>
      <c r="L1193" s="8" t="n">
        <f aca="false">IF(ISNUMBER(I1193),E1193-Inputs!$B$6*I1193,"")</f>
        <v>0.881544816624629</v>
      </c>
      <c r="M1193" s="9" t="b">
        <f aca="false">AND(Y1192&gt;0,Z1192)</f>
        <v>0</v>
      </c>
      <c r="N1193" s="8" t="n">
        <f aca="false">B1193*(1-Inputs!$B$12)</f>
        <v>0.900254469722028</v>
      </c>
      <c r="O1193" s="10" t="n">
        <f aca="false">IF(M1193,Y1192*(N1193-AB1192)-Inputs!$B$9-Y1192*AD1192*Inputs!$B$13*(A1193-AC1192),0)</f>
        <v>0</v>
      </c>
      <c r="P1193" s="10" t="n">
        <f aca="false">X1192+O1193</f>
        <v>944.618668179282</v>
      </c>
      <c r="Q1193" s="9" t="b">
        <f aca="false">AND(IF(M1193,0,Y1192)=0,AA1192,IF(ISNUMBER(AE1192),B1193&gt;AE1192,FALSE()))</f>
        <v>0</v>
      </c>
      <c r="R1193" s="8" t="n">
        <f aca="false">B1193*(1+Inputs!$B$12)</f>
        <v>0.900614643544682</v>
      </c>
      <c r="S1193" s="11" t="n">
        <f aca="false">IF(Q1193,MIN(P1193*Inputs!$B$3/(R1193-AE1192),P1193*Inputs!$B$11/R1193),0)</f>
        <v>0</v>
      </c>
      <c r="T1193" s="11" t="n">
        <f aca="false">IF(Q1193,S1193,IF(M1193,0,Y1192))</f>
        <v>572.575070766003</v>
      </c>
      <c r="U1193" s="8" t="n">
        <f aca="false">IF(Q1193,AE1192,AF1192)</f>
        <v>0.835624367549931</v>
      </c>
      <c r="V1193" s="9" t="b">
        <f aca="false">AND(T1193&gt;0,D1193&lt;=U1193)</f>
        <v>0</v>
      </c>
      <c r="W1193" s="10" t="n">
        <f aca="false">IF(V1193,T1193*(AK1193-AB1193)-Inputs!$B$9-T1193*AD1193*Inputs!$B$13*(A1193-AC1193),0)</f>
        <v>0</v>
      </c>
      <c r="X1193" s="10" t="n">
        <f aca="false">P1193-IF(Q1193,Inputs!$B$9,0)+W1193</f>
        <v>944.618668179282</v>
      </c>
      <c r="Y1193" s="11" t="n">
        <f aca="false">IF(V1193,0,T1193)</f>
        <v>572.575070766003</v>
      </c>
      <c r="Z1193" s="9" t="b">
        <f aca="false">AND(Y1193&gt;0,K1193)</f>
        <v>0</v>
      </c>
      <c r="AA1193" s="9" t="b">
        <f aca="false">AND(Y1193=0,J1193,ISNUMBER(L1193))</f>
        <v>0</v>
      </c>
      <c r="AB1193" s="8" t="n">
        <f aca="false">IF(Q1193,R1193,AB1192)</f>
        <v>0.852139558595783</v>
      </c>
      <c r="AC1193" s="12" t="n">
        <f aca="false">IF(Q1193,A1193,AC1192)</f>
        <v>45888</v>
      </c>
      <c r="AD1193" s="8" t="n">
        <f aca="false">IF(Q1193,B1193,AD1192)</f>
        <v>0.85196916476283</v>
      </c>
      <c r="AE1193" s="8" t="str">
        <f aca="false">IF(AA1193,L1193,"")</f>
        <v/>
      </c>
      <c r="AF1193" s="8" t="n">
        <f aca="false">U1193</f>
        <v>0.835624367549931</v>
      </c>
      <c r="AG1193" s="2" t="n">
        <f aca="false">AG1192+IF(Q1193,1,0)</f>
        <v>12</v>
      </c>
      <c r="AH1193" s="2" t="n">
        <f aca="false">AG1192</f>
        <v>12</v>
      </c>
      <c r="AI1193" s="10" t="n">
        <f aca="false">X1193+Y1193*(E1193-AB1193)-Y1193*AD1193*Inputs!$B$13*(A1193-AC1193)</f>
        <v>963.980331107355</v>
      </c>
      <c r="AJ1193" s="10" t="n">
        <v>0</v>
      </c>
      <c r="AK1193" s="8" t="n">
        <f aca="false">IF(AND(B1193&lt;=U1193,NOT(Q1193)),B1193,U1193)*(1-Inputs!$B$12)</f>
        <v>0.835457242676421</v>
      </c>
    </row>
    <row r="1194" customFormat="false" ht="15" hidden="false" customHeight="false" outlineLevel="0" collapsed="false">
      <c r="A1194" s="6" t="n">
        <v>45978</v>
      </c>
      <c r="B1194" s="7" t="n">
        <v>0.899457750780123</v>
      </c>
      <c r="C1194" s="7" t="n">
        <v>0.904615601555241</v>
      </c>
      <c r="D1194" s="7" t="n">
        <v>0.895933769011721</v>
      </c>
      <c r="E1194" s="7" t="n">
        <v>0.900654834930234</v>
      </c>
      <c r="F1194" s="8" t="n">
        <f aca="true">IF(ROW()-2&gt;=Inputs!$B$4,AVERAGE(OFFSET(E1194,1-Inputs!$B$4,0,Inputs!$B$4,1)),"")</f>
        <v>0.906617227653612</v>
      </c>
      <c r="G1194" s="8" t="n">
        <f aca="true">IF(ROW()-2&gt;=Inputs!$B$5,AVERAGE(OFFSET(E1194,1-Inputs!$B$5,0,Inputs!$B$5,1)),"")</f>
        <v>0.899909249620409</v>
      </c>
      <c r="H1194" s="8" t="n">
        <f aca="false">MAX(C1194-D1194,ABS(C1194-E1193),ABS(D1194-E1193))</f>
        <v>0.00868183254351951</v>
      </c>
      <c r="I1194" s="8" t="n">
        <f aca="true">IF(ROW()-2&lt;14,"",IF(ROW()-2=14,AVERAGE(OFFSET(H1194,-13,0,14,1)),(I1193*13+H1194)/14))</f>
        <v>0.0089368503253026</v>
      </c>
      <c r="J1194" s="9" t="b">
        <f aca="false">IF(AND(ISNUMBER(F1194),ISNUMBER(G1194),ISNUMBER(F1193),ISNUMBER(G1193)),AND(F1194&gt;G1194,F1193&lt;=G1193),FALSE())</f>
        <v>0</v>
      </c>
      <c r="K1194" s="9" t="b">
        <f aca="false">IF(AND(ISNUMBER(F1194),ISNUMBER(G1194),ISNUMBER(F1193),ISNUMBER(G1193)),AND(F1194&lt;G1194,F1193&gt;=G1193),FALSE())</f>
        <v>0</v>
      </c>
      <c r="L1194" s="8" t="n">
        <f aca="false">IF(ISNUMBER(I1194),E1194-Inputs!$B$6*I1194,"")</f>
        <v>0.882781134279629</v>
      </c>
      <c r="M1194" s="9" t="b">
        <f aca="false">AND(Y1193&gt;0,Z1193)</f>
        <v>0</v>
      </c>
      <c r="N1194" s="8" t="n">
        <f aca="false">B1194*(1-Inputs!$B$12)</f>
        <v>0.899277859229967</v>
      </c>
      <c r="O1194" s="10" t="n">
        <f aca="false">IF(M1194,Y1193*(N1194-AB1193)-Inputs!$B$9-Y1193*AD1193*Inputs!$B$13*(A1194-AC1193),0)</f>
        <v>0</v>
      </c>
      <c r="P1194" s="10" t="n">
        <f aca="false">X1193+O1194</f>
        <v>944.618668179282</v>
      </c>
      <c r="Q1194" s="9" t="b">
        <f aca="false">AND(IF(M1194,0,Y1193)=0,AA1193,IF(ISNUMBER(AE1193),B1194&gt;AE1193,FALSE()))</f>
        <v>0</v>
      </c>
      <c r="R1194" s="8" t="n">
        <f aca="false">B1194*(1+Inputs!$B$12)</f>
        <v>0.899637642330279</v>
      </c>
      <c r="S1194" s="11" t="n">
        <f aca="false">IF(Q1194,MIN(P1194*Inputs!$B$3/(R1194-AE1193),P1194*Inputs!$B$11/R1194),0)</f>
        <v>0</v>
      </c>
      <c r="T1194" s="11" t="n">
        <f aca="false">IF(Q1194,S1194,IF(M1194,0,Y1193))</f>
        <v>572.575070766003</v>
      </c>
      <c r="U1194" s="8" t="n">
        <f aca="false">IF(Q1194,AE1193,AF1193)</f>
        <v>0.835624367549931</v>
      </c>
      <c r="V1194" s="9" t="b">
        <f aca="false">AND(T1194&gt;0,D1194&lt;=U1194)</f>
        <v>0</v>
      </c>
      <c r="W1194" s="10" t="n">
        <f aca="false">IF(V1194,T1194*(AK1194-AB1194)-Inputs!$B$9-T1194*AD1194*Inputs!$B$13*(A1194-AC1194),0)</f>
        <v>0</v>
      </c>
      <c r="X1194" s="10" t="n">
        <f aca="false">P1194-IF(Q1194,Inputs!$B$9,0)+W1194</f>
        <v>944.618668179282</v>
      </c>
      <c r="Y1194" s="11" t="n">
        <f aca="false">IF(V1194,0,T1194)</f>
        <v>572.575070766003</v>
      </c>
      <c r="Z1194" s="9" t="b">
        <f aca="false">AND(Y1194&gt;0,K1194)</f>
        <v>0</v>
      </c>
      <c r="AA1194" s="9" t="b">
        <f aca="false">AND(Y1194=0,J1194,ISNUMBER(L1194))</f>
        <v>0</v>
      </c>
      <c r="AB1194" s="8" t="n">
        <f aca="false">IF(Q1194,R1194,AB1193)</f>
        <v>0.852139558595783</v>
      </c>
      <c r="AC1194" s="12" t="n">
        <f aca="false">IF(Q1194,A1194,AC1193)</f>
        <v>45888</v>
      </c>
      <c r="AD1194" s="8" t="n">
        <f aca="false">IF(Q1194,B1194,AD1193)</f>
        <v>0.85196916476283</v>
      </c>
      <c r="AE1194" s="8" t="str">
        <f aca="false">IF(AA1194,L1194,"")</f>
        <v/>
      </c>
      <c r="AF1194" s="8" t="n">
        <f aca="false">U1194</f>
        <v>0.835624367549931</v>
      </c>
      <c r="AG1194" s="2" t="n">
        <f aca="false">AG1193+IF(Q1194,1,0)</f>
        <v>12</v>
      </c>
      <c r="AH1194" s="2" t="n">
        <f aca="false">AG1193</f>
        <v>12</v>
      </c>
      <c r="AI1194" s="10" t="n">
        <f aca="false">X1194+Y1194*(E1194-AB1194)-Y1194*AD1194*Inputs!$B$13*(A1194-AC1194)</f>
        <v>964.578880252572</v>
      </c>
      <c r="AJ1194" s="10" t="n">
        <v>0</v>
      </c>
      <c r="AK1194" s="8" t="n">
        <f aca="false">IF(AND(B1194&lt;=U1194,NOT(Q1194)),B1194,U1194)*(1-Inputs!$B$12)</f>
        <v>0.835457242676421</v>
      </c>
    </row>
    <row r="1195" customFormat="false" ht="15" hidden="false" customHeight="false" outlineLevel="0" collapsed="false">
      <c r="A1195" s="6" t="n">
        <v>45979</v>
      </c>
      <c r="B1195" s="7" t="n">
        <v>0.900654834930234</v>
      </c>
      <c r="C1195" s="7" t="n">
        <v>0.904268065486173</v>
      </c>
      <c r="D1195" s="7" t="n">
        <v>0.888314816533492</v>
      </c>
      <c r="E1195" s="7" t="n">
        <v>0.89080514539206</v>
      </c>
      <c r="F1195" s="8" t="n">
        <f aca="true">IF(ROW()-2&gt;=Inputs!$B$4,AVERAGE(OFFSET(E1195,1-Inputs!$B$4,0,Inputs!$B$4,1)),"")</f>
        <v>0.905671534612693</v>
      </c>
      <c r="G1195" s="8" t="n">
        <f aca="true">IF(ROW()-2&gt;=Inputs!$B$5,AVERAGE(OFFSET(E1195,1-Inputs!$B$5,0,Inputs!$B$5,1)),"")</f>
        <v>0.899836216605528</v>
      </c>
      <c r="H1195" s="8" t="n">
        <f aca="false">MAX(C1195-D1195,ABS(C1195-E1194),ABS(D1195-E1194))</f>
        <v>0.015953248952681</v>
      </c>
      <c r="I1195" s="8" t="n">
        <f aca="true">IF(ROW()-2&lt;14,"",IF(ROW()-2=14,AVERAGE(OFFSET(H1195,-13,0,14,1)),(I1194*13+H1195)/14))</f>
        <v>0.00943802165582963</v>
      </c>
      <c r="J1195" s="9" t="b">
        <f aca="false">IF(AND(ISNUMBER(F1195),ISNUMBER(G1195),ISNUMBER(F1194),ISNUMBER(G1194)),AND(F1195&gt;G1195,F1194&lt;=G1194),FALSE())</f>
        <v>0</v>
      </c>
      <c r="K1195" s="9" t="b">
        <f aca="false">IF(AND(ISNUMBER(F1195),ISNUMBER(G1195),ISNUMBER(F1194),ISNUMBER(G1194)),AND(F1195&lt;G1195,F1194&gt;=G1194),FALSE())</f>
        <v>0</v>
      </c>
      <c r="L1195" s="8" t="n">
        <f aca="false">IF(ISNUMBER(I1195),E1195-Inputs!$B$6*I1195,"")</f>
        <v>0.871929102080401</v>
      </c>
      <c r="M1195" s="9" t="b">
        <f aca="false">AND(Y1194&gt;0,Z1194)</f>
        <v>0</v>
      </c>
      <c r="N1195" s="8" t="n">
        <f aca="false">B1195*(1-Inputs!$B$12)</f>
        <v>0.900474703963248</v>
      </c>
      <c r="O1195" s="10" t="n">
        <f aca="false">IF(M1195,Y1194*(N1195-AB1194)-Inputs!$B$9-Y1194*AD1194*Inputs!$B$13*(A1195-AC1194),0)</f>
        <v>0</v>
      </c>
      <c r="P1195" s="10" t="n">
        <f aca="false">X1194+O1195</f>
        <v>944.618668179282</v>
      </c>
      <c r="Q1195" s="9" t="b">
        <f aca="false">AND(IF(M1195,0,Y1194)=0,AA1194,IF(ISNUMBER(AE1194),B1195&gt;AE1194,FALSE()))</f>
        <v>0</v>
      </c>
      <c r="R1195" s="8" t="n">
        <f aca="false">B1195*(1+Inputs!$B$12)</f>
        <v>0.90083496589722</v>
      </c>
      <c r="S1195" s="11" t="n">
        <f aca="false">IF(Q1195,MIN(P1195*Inputs!$B$3/(R1195-AE1194),P1195*Inputs!$B$11/R1195),0)</f>
        <v>0</v>
      </c>
      <c r="T1195" s="11" t="n">
        <f aca="false">IF(Q1195,S1195,IF(M1195,0,Y1194))</f>
        <v>572.575070766003</v>
      </c>
      <c r="U1195" s="8" t="n">
        <f aca="false">IF(Q1195,AE1194,AF1194)</f>
        <v>0.835624367549931</v>
      </c>
      <c r="V1195" s="9" t="b">
        <f aca="false">AND(T1195&gt;0,D1195&lt;=U1195)</f>
        <v>0</v>
      </c>
      <c r="W1195" s="10" t="n">
        <f aca="false">IF(V1195,T1195*(AK1195-AB1195)-Inputs!$B$9-T1195*AD1195*Inputs!$B$13*(A1195-AC1195),0)</f>
        <v>0</v>
      </c>
      <c r="X1195" s="10" t="n">
        <f aca="false">P1195-IF(Q1195,Inputs!$B$9,0)+W1195</f>
        <v>944.618668179282</v>
      </c>
      <c r="Y1195" s="11" t="n">
        <f aca="false">IF(V1195,0,T1195)</f>
        <v>572.575070766003</v>
      </c>
      <c r="Z1195" s="9" t="b">
        <f aca="false">AND(Y1195&gt;0,K1195)</f>
        <v>0</v>
      </c>
      <c r="AA1195" s="9" t="b">
        <f aca="false">AND(Y1195=0,J1195,ISNUMBER(L1195))</f>
        <v>0</v>
      </c>
      <c r="AB1195" s="8" t="n">
        <f aca="false">IF(Q1195,R1195,AB1194)</f>
        <v>0.852139558595783</v>
      </c>
      <c r="AC1195" s="12" t="n">
        <f aca="false">IF(Q1195,A1195,AC1194)</f>
        <v>45888</v>
      </c>
      <c r="AD1195" s="8" t="n">
        <f aca="false">IF(Q1195,B1195,AD1194)</f>
        <v>0.85196916476283</v>
      </c>
      <c r="AE1195" s="8" t="str">
        <f aca="false">IF(AA1195,L1195,"")</f>
        <v/>
      </c>
      <c r="AF1195" s="8" t="n">
        <f aca="false">U1195</f>
        <v>0.835624367549931</v>
      </c>
      <c r="AG1195" s="2" t="n">
        <f aca="false">AG1194+IF(Q1195,1,0)</f>
        <v>12</v>
      </c>
      <c r="AH1195" s="2" t="n">
        <f aca="false">AG1194</f>
        <v>12</v>
      </c>
      <c r="AI1195" s="10" t="n">
        <f aca="false">X1195+Y1195*(E1195-AB1195)-Y1195*AD1195*Inputs!$B$13*(A1195-AC1195)</f>
        <v>958.852322171482</v>
      </c>
      <c r="AJ1195" s="10" t="n">
        <v>0</v>
      </c>
      <c r="AK1195" s="8" t="n">
        <f aca="false">IF(AND(B1195&lt;=U1195,NOT(Q1195)),B1195,U1195)*(1-Inputs!$B$12)</f>
        <v>0.835457242676421</v>
      </c>
    </row>
    <row r="1196" customFormat="false" ht="15" hidden="false" customHeight="false" outlineLevel="0" collapsed="false">
      <c r="A1196" s="6" t="n">
        <v>45980</v>
      </c>
      <c r="B1196" s="7" t="n">
        <v>0.89080514539206</v>
      </c>
      <c r="C1196" s="7" t="n">
        <v>0.892837516865874</v>
      </c>
      <c r="D1196" s="7" t="n">
        <v>0.884644685738447</v>
      </c>
      <c r="E1196" s="7" t="n">
        <v>0.885416339041475</v>
      </c>
      <c r="F1196" s="8" t="n">
        <f aca="true">IF(ROW()-2&gt;=Inputs!$B$4,AVERAGE(OFFSET(E1196,1-Inputs!$B$4,0,Inputs!$B$4,1)),"")</f>
        <v>0.904075349976976</v>
      </c>
      <c r="G1196" s="8" t="n">
        <f aca="true">IF(ROW()-2&gt;=Inputs!$B$5,AVERAGE(OFFSET(E1196,1-Inputs!$B$5,0,Inputs!$B$5,1)),"")</f>
        <v>0.899643962239776</v>
      </c>
      <c r="H1196" s="8" t="n">
        <f aca="false">MAX(C1196-D1196,ABS(C1196-E1195),ABS(D1196-E1195))</f>
        <v>0.00819283112742786</v>
      </c>
      <c r="I1196" s="8" t="n">
        <f aca="true">IF(ROW()-2&lt;14,"",IF(ROW()-2=14,AVERAGE(OFFSET(H1196,-13,0,14,1)),(I1195*13+H1196)/14))</f>
        <v>0.00934907947522951</v>
      </c>
      <c r="J1196" s="9" t="b">
        <f aca="false">IF(AND(ISNUMBER(F1196),ISNUMBER(G1196),ISNUMBER(F1195),ISNUMBER(G1195)),AND(F1196&gt;G1196,F1195&lt;=G1195),FALSE())</f>
        <v>0</v>
      </c>
      <c r="K1196" s="9" t="b">
        <f aca="false">IF(AND(ISNUMBER(F1196),ISNUMBER(G1196),ISNUMBER(F1195),ISNUMBER(G1195)),AND(F1196&lt;G1196,F1195&gt;=G1195),FALSE())</f>
        <v>0</v>
      </c>
      <c r="L1196" s="8" t="n">
        <f aca="false">IF(ISNUMBER(I1196),E1196-Inputs!$B$6*I1196,"")</f>
        <v>0.866718180091016</v>
      </c>
      <c r="M1196" s="9" t="b">
        <f aca="false">AND(Y1195&gt;0,Z1195)</f>
        <v>0</v>
      </c>
      <c r="N1196" s="8" t="n">
        <f aca="false">B1196*(1-Inputs!$B$12)</f>
        <v>0.890626984362981</v>
      </c>
      <c r="O1196" s="10" t="n">
        <f aca="false">IF(M1196,Y1195*(N1196-AB1195)-Inputs!$B$9-Y1195*AD1195*Inputs!$B$13*(A1196-AC1195),0)</f>
        <v>0</v>
      </c>
      <c r="P1196" s="10" t="n">
        <f aca="false">X1195+O1196</f>
        <v>944.618668179282</v>
      </c>
      <c r="Q1196" s="9" t="b">
        <f aca="false">AND(IF(M1196,0,Y1195)=0,AA1195,IF(ISNUMBER(AE1195),B1196&gt;AE1195,FALSE()))</f>
        <v>0</v>
      </c>
      <c r="R1196" s="8" t="n">
        <f aca="false">B1196*(1+Inputs!$B$12)</f>
        <v>0.890983306421138</v>
      </c>
      <c r="S1196" s="11" t="n">
        <f aca="false">IF(Q1196,MIN(P1196*Inputs!$B$3/(R1196-AE1195),P1196*Inputs!$B$11/R1196),0)</f>
        <v>0</v>
      </c>
      <c r="T1196" s="11" t="n">
        <f aca="false">IF(Q1196,S1196,IF(M1196,0,Y1195))</f>
        <v>572.575070766003</v>
      </c>
      <c r="U1196" s="8" t="n">
        <f aca="false">IF(Q1196,AE1195,AF1195)</f>
        <v>0.835624367549931</v>
      </c>
      <c r="V1196" s="9" t="b">
        <f aca="false">AND(T1196&gt;0,D1196&lt;=U1196)</f>
        <v>0</v>
      </c>
      <c r="W1196" s="10" t="n">
        <f aca="false">IF(V1196,T1196*(AK1196-AB1196)-Inputs!$B$9-T1196*AD1196*Inputs!$B$13*(A1196-AC1196),0)</f>
        <v>0</v>
      </c>
      <c r="X1196" s="10" t="n">
        <f aca="false">P1196-IF(Q1196,Inputs!$B$9,0)+W1196</f>
        <v>944.618668179282</v>
      </c>
      <c r="Y1196" s="11" t="n">
        <f aca="false">IF(V1196,0,T1196)</f>
        <v>572.575070766003</v>
      </c>
      <c r="Z1196" s="9" t="b">
        <f aca="false">AND(Y1196&gt;0,K1196)</f>
        <v>0</v>
      </c>
      <c r="AA1196" s="9" t="b">
        <f aca="false">AND(Y1196=0,J1196,ISNUMBER(L1196))</f>
        <v>0</v>
      </c>
      <c r="AB1196" s="8" t="n">
        <f aca="false">IF(Q1196,R1196,AB1195)</f>
        <v>0.852139558595783</v>
      </c>
      <c r="AC1196" s="12" t="n">
        <f aca="false">IF(Q1196,A1196,AC1195)</f>
        <v>45888</v>
      </c>
      <c r="AD1196" s="8" t="n">
        <f aca="false">IF(Q1196,B1196,AD1195)</f>
        <v>0.85196916476283</v>
      </c>
      <c r="AE1196" s="8" t="str">
        <f aca="false">IF(AA1196,L1196,"")</f>
        <v/>
      </c>
      <c r="AF1196" s="8" t="n">
        <f aca="false">U1196</f>
        <v>0.835624367549931</v>
      </c>
      <c r="AG1196" s="2" t="n">
        <f aca="false">AG1195+IF(Q1196,1,0)</f>
        <v>12</v>
      </c>
      <c r="AH1196" s="2" t="n">
        <f aca="false">AG1195</f>
        <v>12</v>
      </c>
      <c r="AI1196" s="10" t="n">
        <f aca="false">X1196+Y1196*(E1196-AB1196)-Y1196*AD1196*Inputs!$B$13*(A1196-AC1196)</f>
        <v>955.679954597206</v>
      </c>
      <c r="AJ1196" s="10" t="n">
        <v>0</v>
      </c>
      <c r="AK1196" s="8" t="n">
        <f aca="false">IF(AND(B1196&lt;=U1196,NOT(Q1196)),B1196,U1196)*(1-Inputs!$B$12)</f>
        <v>0.835457242676421</v>
      </c>
    </row>
    <row r="1197" customFormat="false" ht="15" hidden="false" customHeight="false" outlineLevel="0" collapsed="false">
      <c r="A1197" s="6" t="n">
        <v>45981</v>
      </c>
      <c r="B1197" s="7" t="n">
        <v>0.885416339041475</v>
      </c>
      <c r="C1197" s="7" t="n">
        <v>0.893324331623687</v>
      </c>
      <c r="D1197" s="7" t="n">
        <v>0.871144062381878</v>
      </c>
      <c r="E1197" s="7" t="n">
        <v>0.880226026128337</v>
      </c>
      <c r="F1197" s="8" t="n">
        <f aca="true">IF(ROW()-2&gt;=Inputs!$B$4,AVERAGE(OFFSET(E1197,1-Inputs!$B$4,0,Inputs!$B$4,1)),"")</f>
        <v>0.90232666206661</v>
      </c>
      <c r="G1197" s="8" t="n">
        <f aca="true">IF(ROW()-2&gt;=Inputs!$B$5,AVERAGE(OFFSET(E1197,1-Inputs!$B$5,0,Inputs!$B$5,1)),"")</f>
        <v>0.899387686141766</v>
      </c>
      <c r="H1197" s="8" t="n">
        <f aca="false">MAX(C1197-D1197,ABS(C1197-E1196),ABS(D1197-E1196))</f>
        <v>0.0221802692418096</v>
      </c>
      <c r="I1197" s="8" t="n">
        <f aca="true">IF(ROW()-2&lt;14,"",IF(ROW()-2=14,AVERAGE(OFFSET(H1197,-13,0,14,1)),(I1196*13+H1197)/14))</f>
        <v>0.0102655930299852</v>
      </c>
      <c r="J1197" s="9" t="b">
        <f aca="false">IF(AND(ISNUMBER(F1197),ISNUMBER(G1197),ISNUMBER(F1196),ISNUMBER(G1196)),AND(F1197&gt;G1197,F1196&lt;=G1196),FALSE())</f>
        <v>0</v>
      </c>
      <c r="K1197" s="9" t="b">
        <f aca="false">IF(AND(ISNUMBER(F1197),ISNUMBER(G1197),ISNUMBER(F1196),ISNUMBER(G1196)),AND(F1197&lt;G1197,F1196&gt;=G1196),FALSE())</f>
        <v>0</v>
      </c>
      <c r="L1197" s="8" t="n">
        <f aca="false">IF(ISNUMBER(I1197),E1197-Inputs!$B$6*I1197,"")</f>
        <v>0.859694840068367</v>
      </c>
      <c r="M1197" s="9" t="b">
        <f aca="false">AND(Y1196&gt;0,Z1196)</f>
        <v>0</v>
      </c>
      <c r="N1197" s="8" t="n">
        <f aca="false">B1197*(1-Inputs!$B$12)</f>
        <v>0.885239255773666</v>
      </c>
      <c r="O1197" s="10" t="n">
        <f aca="false">IF(M1197,Y1196*(N1197-AB1196)-Inputs!$B$9-Y1196*AD1196*Inputs!$B$13*(A1197-AC1196),0)</f>
        <v>0</v>
      </c>
      <c r="P1197" s="10" t="n">
        <f aca="false">X1196+O1197</f>
        <v>944.618668179282</v>
      </c>
      <c r="Q1197" s="9" t="b">
        <f aca="false">AND(IF(M1197,0,Y1196)=0,AA1196,IF(ISNUMBER(AE1196),B1197&gt;AE1196,FALSE()))</f>
        <v>0</v>
      </c>
      <c r="R1197" s="8" t="n">
        <f aca="false">B1197*(1+Inputs!$B$12)</f>
        <v>0.885593422309283</v>
      </c>
      <c r="S1197" s="11" t="n">
        <f aca="false">IF(Q1197,MIN(P1197*Inputs!$B$3/(R1197-AE1196),P1197*Inputs!$B$11/R1197),0)</f>
        <v>0</v>
      </c>
      <c r="T1197" s="11" t="n">
        <f aca="false">IF(Q1197,S1197,IF(M1197,0,Y1196))</f>
        <v>572.575070766003</v>
      </c>
      <c r="U1197" s="8" t="n">
        <f aca="false">IF(Q1197,AE1196,AF1196)</f>
        <v>0.835624367549931</v>
      </c>
      <c r="V1197" s="9" t="b">
        <f aca="false">AND(T1197&gt;0,D1197&lt;=U1197)</f>
        <v>0</v>
      </c>
      <c r="W1197" s="10" t="n">
        <f aca="false">IF(V1197,T1197*(AK1197-AB1197)-Inputs!$B$9-T1197*AD1197*Inputs!$B$13*(A1197-AC1197),0)</f>
        <v>0</v>
      </c>
      <c r="X1197" s="10" t="n">
        <f aca="false">P1197-IF(Q1197,Inputs!$B$9,0)+W1197</f>
        <v>944.618668179282</v>
      </c>
      <c r="Y1197" s="11" t="n">
        <f aca="false">IF(V1197,0,T1197)</f>
        <v>572.575070766003</v>
      </c>
      <c r="Z1197" s="9" t="b">
        <f aca="false">AND(Y1197&gt;0,K1197)</f>
        <v>0</v>
      </c>
      <c r="AA1197" s="9" t="b">
        <f aca="false">AND(Y1197=0,J1197,ISNUMBER(L1197))</f>
        <v>0</v>
      </c>
      <c r="AB1197" s="8" t="n">
        <f aca="false">IF(Q1197,R1197,AB1196)</f>
        <v>0.852139558595783</v>
      </c>
      <c r="AC1197" s="12" t="n">
        <f aca="false">IF(Q1197,A1197,AC1196)</f>
        <v>45888</v>
      </c>
      <c r="AD1197" s="8" t="n">
        <f aca="false">IF(Q1197,B1197,AD1196)</f>
        <v>0.85196916476283</v>
      </c>
      <c r="AE1197" s="8" t="str">
        <f aca="false">IF(AA1197,L1197,"")</f>
        <v/>
      </c>
      <c r="AF1197" s="8" t="n">
        <f aca="false">U1197</f>
        <v>0.835624367549931</v>
      </c>
      <c r="AG1197" s="2" t="n">
        <f aca="false">AG1196+IF(Q1197,1,0)</f>
        <v>12</v>
      </c>
      <c r="AH1197" s="2" t="n">
        <f aca="false">AG1196</f>
        <v>12</v>
      </c>
      <c r="AI1197" s="10" t="n">
        <f aca="false">X1197+Y1197*(E1197-AB1197)-Y1197*AD1197*Inputs!$B$13*(A1197-AC1197)</f>
        <v>952.621239416922</v>
      </c>
      <c r="AJ1197" s="10" t="n">
        <v>0</v>
      </c>
      <c r="AK1197" s="8" t="n">
        <f aca="false">IF(AND(B1197&lt;=U1197,NOT(Q1197)),B1197,U1197)*(1-Inputs!$B$12)</f>
        <v>0.835457242676421</v>
      </c>
    </row>
    <row r="1198" customFormat="false" ht="15" hidden="false" customHeight="false" outlineLevel="0" collapsed="false">
      <c r="A1198" s="6" t="n">
        <v>45982</v>
      </c>
      <c r="B1198" s="7" t="n">
        <v>0.880226026128337</v>
      </c>
      <c r="C1198" s="7" t="n">
        <v>0.884618381682452</v>
      </c>
      <c r="D1198" s="7" t="n">
        <v>0.874813544246835</v>
      </c>
      <c r="E1198" s="7" t="n">
        <v>0.876159813686816</v>
      </c>
      <c r="F1198" s="8" t="n">
        <f aca="true">IF(ROW()-2&gt;=Inputs!$B$4,AVERAGE(OFFSET(E1198,1-Inputs!$B$4,0,Inputs!$B$4,1)),"")</f>
        <v>0.900307198591036</v>
      </c>
      <c r="G1198" s="8" t="n">
        <f aca="true">IF(ROW()-2&gt;=Inputs!$B$5,AVERAGE(OFFSET(E1198,1-Inputs!$B$5,0,Inputs!$B$5,1)),"")</f>
        <v>0.89895649449708</v>
      </c>
      <c r="H1198" s="8" t="n">
        <f aca="false">MAX(C1198-D1198,ABS(C1198-E1197),ABS(D1198-E1197))</f>
        <v>0.00980483743561689</v>
      </c>
      <c r="I1198" s="8" t="n">
        <f aca="true">IF(ROW()-2&lt;14,"",IF(ROW()-2=14,AVERAGE(OFFSET(H1198,-13,0,14,1)),(I1197*13+H1198)/14))</f>
        <v>0.0102326819161018</v>
      </c>
      <c r="J1198" s="9" t="b">
        <f aca="false">IF(AND(ISNUMBER(F1198),ISNUMBER(G1198),ISNUMBER(F1197),ISNUMBER(G1197)),AND(F1198&gt;G1198,F1197&lt;=G1197),FALSE())</f>
        <v>0</v>
      </c>
      <c r="K1198" s="9" t="b">
        <f aca="false">IF(AND(ISNUMBER(F1198),ISNUMBER(G1198),ISNUMBER(F1197),ISNUMBER(G1197)),AND(F1198&lt;G1198,F1197&gt;=G1197),FALSE())</f>
        <v>0</v>
      </c>
      <c r="L1198" s="8" t="n">
        <f aca="false">IF(ISNUMBER(I1198),E1198-Inputs!$B$6*I1198,"")</f>
        <v>0.855694449854612</v>
      </c>
      <c r="M1198" s="9" t="b">
        <f aca="false">AND(Y1197&gt;0,Z1197)</f>
        <v>0</v>
      </c>
      <c r="N1198" s="8" t="n">
        <f aca="false">B1198*(1-Inputs!$B$12)</f>
        <v>0.880049980923112</v>
      </c>
      <c r="O1198" s="10" t="n">
        <f aca="false">IF(M1198,Y1197*(N1198-AB1197)-Inputs!$B$9-Y1197*AD1197*Inputs!$B$13*(A1198-AC1197),0)</f>
        <v>0</v>
      </c>
      <c r="P1198" s="10" t="n">
        <f aca="false">X1197+O1198</f>
        <v>944.618668179282</v>
      </c>
      <c r="Q1198" s="9" t="b">
        <f aca="false">AND(IF(M1198,0,Y1197)=0,AA1197,IF(ISNUMBER(AE1197),B1198&gt;AE1197,FALSE()))</f>
        <v>0</v>
      </c>
      <c r="R1198" s="8" t="n">
        <f aca="false">B1198*(1+Inputs!$B$12)</f>
        <v>0.880402071333563</v>
      </c>
      <c r="S1198" s="11" t="n">
        <f aca="false">IF(Q1198,MIN(P1198*Inputs!$B$3/(R1198-AE1197),P1198*Inputs!$B$11/R1198),0)</f>
        <v>0</v>
      </c>
      <c r="T1198" s="11" t="n">
        <f aca="false">IF(Q1198,S1198,IF(M1198,0,Y1197))</f>
        <v>572.575070766003</v>
      </c>
      <c r="U1198" s="8" t="n">
        <f aca="false">IF(Q1198,AE1197,AF1197)</f>
        <v>0.835624367549931</v>
      </c>
      <c r="V1198" s="9" t="b">
        <f aca="false">AND(T1198&gt;0,D1198&lt;=U1198)</f>
        <v>0</v>
      </c>
      <c r="W1198" s="10" t="n">
        <f aca="false">IF(V1198,T1198*(AK1198-AB1198)-Inputs!$B$9-T1198*AD1198*Inputs!$B$13*(A1198-AC1198),0)</f>
        <v>0</v>
      </c>
      <c r="X1198" s="10" t="n">
        <f aca="false">P1198-IF(Q1198,Inputs!$B$9,0)+W1198</f>
        <v>944.618668179282</v>
      </c>
      <c r="Y1198" s="11" t="n">
        <f aca="false">IF(V1198,0,T1198)</f>
        <v>572.575070766003</v>
      </c>
      <c r="Z1198" s="9" t="b">
        <f aca="false">AND(Y1198&gt;0,K1198)</f>
        <v>0</v>
      </c>
      <c r="AA1198" s="9" t="b">
        <f aca="false">AND(Y1198=0,J1198,ISNUMBER(L1198))</f>
        <v>0</v>
      </c>
      <c r="AB1198" s="8" t="n">
        <f aca="false">IF(Q1198,R1198,AB1197)</f>
        <v>0.852139558595783</v>
      </c>
      <c r="AC1198" s="12" t="n">
        <f aca="false">IF(Q1198,A1198,AC1197)</f>
        <v>45888</v>
      </c>
      <c r="AD1198" s="8" t="n">
        <f aca="false">IF(Q1198,B1198,AD1197)</f>
        <v>0.85196916476283</v>
      </c>
      <c r="AE1198" s="8" t="str">
        <f aca="false">IF(AA1198,L1198,"")</f>
        <v/>
      </c>
      <c r="AF1198" s="8" t="n">
        <f aca="false">U1198</f>
        <v>0.835624367549931</v>
      </c>
      <c r="AG1198" s="2" t="n">
        <f aca="false">AG1197+IF(Q1198,1,0)</f>
        <v>12</v>
      </c>
      <c r="AH1198" s="2" t="n">
        <f aca="false">AG1197</f>
        <v>12</v>
      </c>
      <c r="AI1198" s="10" t="n">
        <f aca="false">X1198+Y1198*(E1198-AB1198)-Y1198*AD1198*Inputs!$B$13*(A1198-AC1198)</f>
        <v>950.206156143722</v>
      </c>
      <c r="AJ1198" s="10" t="n">
        <v>0</v>
      </c>
      <c r="AK1198" s="8" t="n">
        <f aca="false">IF(AND(B1198&lt;=U1198,NOT(Q1198)),B1198,U1198)*(1-Inputs!$B$12)</f>
        <v>0.835457242676421</v>
      </c>
    </row>
    <row r="1199" customFormat="false" ht="15" hidden="false" customHeight="false" outlineLevel="0" collapsed="false">
      <c r="A1199" s="6" t="n">
        <v>45983</v>
      </c>
      <c r="B1199" s="7" t="n">
        <v>0.876159813686816</v>
      </c>
      <c r="C1199" s="7" t="n">
        <v>0.878813906287444</v>
      </c>
      <c r="D1199" s="7" t="n">
        <v>0.874532552363839</v>
      </c>
      <c r="E1199" s="7" t="n">
        <v>0.877554033216484</v>
      </c>
      <c r="F1199" s="8" t="n">
        <f aca="true">IF(ROW()-2&gt;=Inputs!$B$4,AVERAGE(OFFSET(E1199,1-Inputs!$B$4,0,Inputs!$B$4,1)),"")</f>
        <v>0.898284936959353</v>
      </c>
      <c r="G1199" s="8" t="n">
        <f aca="true">IF(ROW()-2&gt;=Inputs!$B$5,AVERAGE(OFFSET(E1199,1-Inputs!$B$5,0,Inputs!$B$5,1)),"")</f>
        <v>0.898561134240856</v>
      </c>
      <c r="H1199" s="8" t="n">
        <f aca="false">MAX(C1199-D1199,ABS(C1199-E1198),ABS(D1199-E1198))</f>
        <v>0.00428135392360485</v>
      </c>
      <c r="I1199" s="8" t="n">
        <f aca="true">IF(ROW()-2&lt;14,"",IF(ROW()-2=14,AVERAGE(OFFSET(H1199,-13,0,14,1)),(I1198*13+H1199)/14))</f>
        <v>0.00980758705949485</v>
      </c>
      <c r="J1199" s="9" t="b">
        <f aca="false">IF(AND(ISNUMBER(F1199),ISNUMBER(G1199),ISNUMBER(F1198),ISNUMBER(G1198)),AND(F1199&gt;G1199,F1198&lt;=G1198),FALSE())</f>
        <v>0</v>
      </c>
      <c r="K1199" s="9" t="b">
        <f aca="false">IF(AND(ISNUMBER(F1199),ISNUMBER(G1199),ISNUMBER(F1198),ISNUMBER(G1198)),AND(F1199&lt;G1199,F1198&gt;=G1198),FALSE())</f>
        <v>1</v>
      </c>
      <c r="L1199" s="8" t="n">
        <f aca="false">IF(ISNUMBER(I1199),E1199-Inputs!$B$6*I1199,"")</f>
        <v>0.857938859097494</v>
      </c>
      <c r="M1199" s="9" t="b">
        <f aca="false">AND(Y1198&gt;0,Z1198)</f>
        <v>0</v>
      </c>
      <c r="N1199" s="8" t="n">
        <f aca="false">B1199*(1-Inputs!$B$12)</f>
        <v>0.875984581724078</v>
      </c>
      <c r="O1199" s="10" t="n">
        <f aca="false">IF(M1199,Y1198*(N1199-AB1198)-Inputs!$B$9-Y1198*AD1198*Inputs!$B$13*(A1199-AC1198),0)</f>
        <v>0</v>
      </c>
      <c r="P1199" s="10" t="n">
        <f aca="false">X1198+O1199</f>
        <v>944.618668179282</v>
      </c>
      <c r="Q1199" s="9" t="b">
        <f aca="false">AND(IF(M1199,0,Y1198)=0,AA1198,IF(ISNUMBER(AE1198),B1199&gt;AE1198,FALSE()))</f>
        <v>0</v>
      </c>
      <c r="R1199" s="8" t="n">
        <f aca="false">B1199*(1+Inputs!$B$12)</f>
        <v>0.876335045649553</v>
      </c>
      <c r="S1199" s="11" t="n">
        <f aca="false">IF(Q1199,MIN(P1199*Inputs!$B$3/(R1199-AE1198),P1199*Inputs!$B$11/R1199),0)</f>
        <v>0</v>
      </c>
      <c r="T1199" s="11" t="n">
        <f aca="false">IF(Q1199,S1199,IF(M1199,0,Y1198))</f>
        <v>572.575070766003</v>
      </c>
      <c r="U1199" s="8" t="n">
        <f aca="false">IF(Q1199,AE1198,AF1198)</f>
        <v>0.835624367549931</v>
      </c>
      <c r="V1199" s="9" t="b">
        <f aca="false">AND(T1199&gt;0,D1199&lt;=U1199)</f>
        <v>0</v>
      </c>
      <c r="W1199" s="10" t="n">
        <f aca="false">IF(V1199,T1199*(AK1199-AB1199)-Inputs!$B$9-T1199*AD1199*Inputs!$B$13*(A1199-AC1199),0)</f>
        <v>0</v>
      </c>
      <c r="X1199" s="10" t="n">
        <f aca="false">P1199-IF(Q1199,Inputs!$B$9,0)+W1199</f>
        <v>944.618668179282</v>
      </c>
      <c r="Y1199" s="11" t="n">
        <f aca="false">IF(V1199,0,T1199)</f>
        <v>572.575070766003</v>
      </c>
      <c r="Z1199" s="9" t="b">
        <f aca="false">AND(Y1199&gt;0,K1199)</f>
        <v>1</v>
      </c>
      <c r="AA1199" s="9" t="b">
        <f aca="false">AND(Y1199=0,J1199,ISNUMBER(L1199))</f>
        <v>0</v>
      </c>
      <c r="AB1199" s="8" t="n">
        <f aca="false">IF(Q1199,R1199,AB1198)</f>
        <v>0.852139558595783</v>
      </c>
      <c r="AC1199" s="12" t="n">
        <f aca="false">IF(Q1199,A1199,AC1198)</f>
        <v>45888</v>
      </c>
      <c r="AD1199" s="8" t="n">
        <f aca="false">IF(Q1199,B1199,AD1198)</f>
        <v>0.85196916476283</v>
      </c>
      <c r="AE1199" s="8" t="str">
        <f aca="false">IF(AA1199,L1199,"")</f>
        <v/>
      </c>
      <c r="AF1199" s="8" t="n">
        <f aca="false">U1199</f>
        <v>0.835624367549931</v>
      </c>
      <c r="AG1199" s="2" t="n">
        <f aca="false">AG1198+IF(Q1199,1,0)</f>
        <v>12</v>
      </c>
      <c r="AH1199" s="2" t="n">
        <f aca="false">AG1198</f>
        <v>12</v>
      </c>
      <c r="AI1199" s="10" t="n">
        <f aca="false">X1199+Y1199*(E1199-AB1199)-Y1199*AD1199*Inputs!$B$13*(A1199-AC1199)</f>
        <v>950.917580092839</v>
      </c>
      <c r="AJ1199" s="10" t="n">
        <v>0</v>
      </c>
      <c r="AK1199" s="8" t="n">
        <f aca="false">IF(AND(B1199&lt;=U1199,NOT(Q1199)),B1199,U1199)*(1-Inputs!$B$12)</f>
        <v>0.835457242676421</v>
      </c>
    </row>
    <row r="1200" customFormat="false" ht="15" hidden="false" customHeight="false" outlineLevel="0" collapsed="false">
      <c r="A1200" s="6" t="n">
        <v>45984</v>
      </c>
      <c r="B1200" s="7" t="n">
        <v>0.877554033216484</v>
      </c>
      <c r="C1200" s="7" t="n">
        <v>0.879398589954934</v>
      </c>
      <c r="D1200" s="7" t="n">
        <v>0.876495894592709</v>
      </c>
      <c r="E1200" s="7" t="n">
        <v>0.876799919561702</v>
      </c>
      <c r="F1200" s="8" t="n">
        <f aca="true">IF(ROW()-2&gt;=Inputs!$B$4,AVERAGE(OFFSET(E1200,1-Inputs!$B$4,0,Inputs!$B$4,1)),"")</f>
        <v>0.896526687436057</v>
      </c>
      <c r="G1200" s="8" t="n">
        <f aca="true">IF(ROW()-2&gt;=Inputs!$B$5,AVERAGE(OFFSET(E1200,1-Inputs!$B$5,0,Inputs!$B$5,1)),"")</f>
        <v>0.898276697423627</v>
      </c>
      <c r="H1200" s="8" t="n">
        <f aca="false">MAX(C1200-D1200,ABS(C1200-E1199),ABS(D1200-E1199))</f>
        <v>0.00290269536222498</v>
      </c>
      <c r="I1200" s="8" t="n">
        <f aca="true">IF(ROW()-2&lt;14,"",IF(ROW()-2=14,AVERAGE(OFFSET(H1200,-13,0,14,1)),(I1199*13+H1200)/14))</f>
        <v>0.00931438050968986</v>
      </c>
      <c r="J1200" s="9" t="b">
        <f aca="false">IF(AND(ISNUMBER(F1200),ISNUMBER(G1200),ISNUMBER(F1199),ISNUMBER(G1199)),AND(F1200&gt;G1200,F1199&lt;=G1199),FALSE())</f>
        <v>0</v>
      </c>
      <c r="K1200" s="9" t="b">
        <f aca="false">IF(AND(ISNUMBER(F1200),ISNUMBER(G1200),ISNUMBER(F1199),ISNUMBER(G1199)),AND(F1200&lt;G1200,F1199&gt;=G1199),FALSE())</f>
        <v>0</v>
      </c>
      <c r="L1200" s="8" t="n">
        <f aca="false">IF(ISNUMBER(I1200),E1200-Inputs!$B$6*I1200,"")</f>
        <v>0.858171158542322</v>
      </c>
      <c r="M1200" s="9" t="b">
        <f aca="false">AND(Y1199&gt;0,Z1199)</f>
        <v>1</v>
      </c>
      <c r="N1200" s="8" t="n">
        <f aca="false">B1200*(1-Inputs!$B$12)</f>
        <v>0.877378522409841</v>
      </c>
      <c r="O1200" s="10" t="n">
        <f aca="false">IF(M1200,Y1199*(N1200-AB1199)-Inputs!$B$9-Y1199*AD1199*Inputs!$B$13*(A1200-AC1199),0)</f>
        <v>5.11154740427748</v>
      </c>
      <c r="P1200" s="10" t="n">
        <f aca="false">X1199+O1200</f>
        <v>949.73021558356</v>
      </c>
      <c r="Q1200" s="9" t="b">
        <f aca="false">AND(IF(M1200,0,Y1199)=0,AA1199,IF(ISNUMBER(AE1199),B1200&gt;AE1199,FALSE()))</f>
        <v>0</v>
      </c>
      <c r="R1200" s="8" t="n">
        <f aca="false">B1200*(1+Inputs!$B$12)</f>
        <v>0.877729544023127</v>
      </c>
      <c r="S1200" s="11" t="n">
        <f aca="false">IF(Q1200,MIN(P1200*Inputs!$B$3/(R1200-AE1199),P1200*Inputs!$B$11/R1200),0)</f>
        <v>0</v>
      </c>
      <c r="T1200" s="11" t="n">
        <f aca="false">IF(Q1200,S1200,IF(M1200,0,Y1199))</f>
        <v>0</v>
      </c>
      <c r="U1200" s="8" t="n">
        <f aca="false">IF(Q1200,AE1199,AF1199)</f>
        <v>0.835624367549931</v>
      </c>
      <c r="V1200" s="9" t="b">
        <f aca="false">AND(T1200&gt;0,D1200&lt;=U1200)</f>
        <v>0</v>
      </c>
      <c r="W1200" s="10" t="n">
        <f aca="false">IF(V1200,T1200*(AK1200-AB1200)-Inputs!$B$9-T1200*AD1200*Inputs!$B$13*(A1200-AC1200),0)</f>
        <v>0</v>
      </c>
      <c r="X1200" s="10" t="n">
        <f aca="false">P1200-IF(Q1200,Inputs!$B$9,0)+W1200</f>
        <v>949.73021558356</v>
      </c>
      <c r="Y1200" s="11" t="n">
        <f aca="false">IF(V1200,0,T1200)</f>
        <v>0</v>
      </c>
      <c r="Z1200" s="9" t="b">
        <f aca="false">AND(Y1200&gt;0,K1200)</f>
        <v>0</v>
      </c>
      <c r="AA1200" s="9" t="b">
        <f aca="false">AND(Y1200=0,J1200,ISNUMBER(L1200))</f>
        <v>0</v>
      </c>
      <c r="AB1200" s="8" t="n">
        <f aca="false">IF(Q1200,R1200,AB1199)</f>
        <v>0.852139558595783</v>
      </c>
      <c r="AC1200" s="12" t="n">
        <f aca="false">IF(Q1200,A1200,AC1199)</f>
        <v>45888</v>
      </c>
      <c r="AD1200" s="8" t="n">
        <f aca="false">IF(Q1200,B1200,AD1199)</f>
        <v>0.85196916476283</v>
      </c>
      <c r="AE1200" s="8" t="str">
        <f aca="false">IF(AA1200,L1200,"")</f>
        <v/>
      </c>
      <c r="AF1200" s="8" t="n">
        <f aca="false">U1200</f>
        <v>0.835624367549931</v>
      </c>
      <c r="AG1200" s="2" t="n">
        <f aca="false">AG1199+IF(Q1200,1,0)</f>
        <v>12</v>
      </c>
      <c r="AH1200" s="2" t="n">
        <f aca="false">AG1199</f>
        <v>12</v>
      </c>
      <c r="AI1200" s="10" t="n">
        <f aca="false">X1200+Y1200*(E1200-AB1200)-Y1200*AD1200*Inputs!$B$13*(A1200-AC1200)</f>
        <v>949.73021558356</v>
      </c>
      <c r="AJ1200" s="10" t="n">
        <v>0</v>
      </c>
      <c r="AK1200" s="8" t="n">
        <f aca="false">IF(AND(B1200&lt;=U1200,NOT(Q1200)),B1200,U1200)*(1-Inputs!$B$12)</f>
        <v>0.835457242676421</v>
      </c>
    </row>
    <row r="1201" customFormat="false" ht="15" hidden="false" customHeight="false" outlineLevel="0" collapsed="false">
      <c r="A1201" s="6" t="n">
        <v>45985</v>
      </c>
      <c r="B1201" s="7" t="n">
        <v>0.876799919561702</v>
      </c>
      <c r="C1201" s="7" t="n">
        <v>0.885807454729856</v>
      </c>
      <c r="D1201" s="7" t="n">
        <v>0.873425286234397</v>
      </c>
      <c r="E1201" s="7" t="n">
        <v>0.878136915334484</v>
      </c>
      <c r="F1201" s="8" t="n">
        <f aca="true">IF(ROW()-2&gt;=Inputs!$B$4,AVERAGE(OFFSET(E1201,1-Inputs!$B$4,0,Inputs!$B$4,1)),"")</f>
        <v>0.894938933453823</v>
      </c>
      <c r="G1201" s="8" t="n">
        <f aca="true">IF(ROW()-2&gt;=Inputs!$B$5,AVERAGE(OFFSET(E1201,1-Inputs!$B$5,0,Inputs!$B$5,1)),"")</f>
        <v>0.898046702209022</v>
      </c>
      <c r="H1201" s="8" t="n">
        <f aca="false">MAX(C1201-D1201,ABS(C1201-E1200),ABS(D1201-E1200))</f>
        <v>0.0123821684954587</v>
      </c>
      <c r="I1201" s="8" t="n">
        <f aca="true">IF(ROW()-2&lt;14,"",IF(ROW()-2=14,AVERAGE(OFFSET(H1201,-13,0,14,1)),(I1200*13+H1201)/14))</f>
        <v>0.00953350822295906</v>
      </c>
      <c r="J1201" s="9" t="b">
        <f aca="false">IF(AND(ISNUMBER(F1201),ISNUMBER(G1201),ISNUMBER(F1200),ISNUMBER(G1200)),AND(F1201&gt;G1201,F1200&lt;=G1200),FALSE())</f>
        <v>0</v>
      </c>
      <c r="K1201" s="9" t="b">
        <f aca="false">IF(AND(ISNUMBER(F1201),ISNUMBER(G1201),ISNUMBER(F1200),ISNUMBER(G1200)),AND(F1201&lt;G1201,F1200&gt;=G1200),FALSE())</f>
        <v>0</v>
      </c>
      <c r="L1201" s="8" t="n">
        <f aca="false">IF(ISNUMBER(I1201),E1201-Inputs!$B$6*I1201,"")</f>
        <v>0.859069898888566</v>
      </c>
      <c r="M1201" s="9" t="b">
        <f aca="false">AND(Y1200&gt;0,Z1200)</f>
        <v>0</v>
      </c>
      <c r="N1201" s="8" t="n">
        <f aca="false">B1201*(1-Inputs!$B$12)</f>
        <v>0.876624559577789</v>
      </c>
      <c r="O1201" s="10" t="n">
        <f aca="false">IF(M1201,Y1200*(N1201-AB1200)-Inputs!$B$9-Y1200*AD1200*Inputs!$B$13*(A1201-AC1200),0)</f>
        <v>0</v>
      </c>
      <c r="P1201" s="10" t="n">
        <f aca="false">X1200+O1201</f>
        <v>949.73021558356</v>
      </c>
      <c r="Q1201" s="9" t="b">
        <f aca="false">AND(IF(M1201,0,Y1200)=0,AA1200,IF(ISNUMBER(AE1200),B1201&gt;AE1200,FALSE()))</f>
        <v>0</v>
      </c>
      <c r="R1201" s="8" t="n">
        <f aca="false">B1201*(1+Inputs!$B$12)</f>
        <v>0.876975279545614</v>
      </c>
      <c r="S1201" s="11" t="n">
        <f aca="false">IF(Q1201,MIN(P1201*Inputs!$B$3/(R1201-AE1200),P1201*Inputs!$B$11/R1201),0)</f>
        <v>0</v>
      </c>
      <c r="T1201" s="11" t="n">
        <f aca="false">IF(Q1201,S1201,IF(M1201,0,Y1200))</f>
        <v>0</v>
      </c>
      <c r="U1201" s="8" t="n">
        <f aca="false">IF(Q1201,AE1200,AF1200)</f>
        <v>0.835624367549931</v>
      </c>
      <c r="V1201" s="9" t="b">
        <f aca="false">AND(T1201&gt;0,D1201&lt;=U1201)</f>
        <v>0</v>
      </c>
      <c r="W1201" s="10" t="n">
        <f aca="false">IF(V1201,T1201*(AK1201-AB1201)-Inputs!$B$9-T1201*AD1201*Inputs!$B$13*(A1201-AC1201),0)</f>
        <v>0</v>
      </c>
      <c r="X1201" s="10" t="n">
        <f aca="false">P1201-IF(Q1201,Inputs!$B$9,0)+W1201</f>
        <v>949.73021558356</v>
      </c>
      <c r="Y1201" s="11" t="n">
        <f aca="false">IF(V1201,0,T1201)</f>
        <v>0</v>
      </c>
      <c r="Z1201" s="9" t="b">
        <f aca="false">AND(Y1201&gt;0,K1201)</f>
        <v>0</v>
      </c>
      <c r="AA1201" s="9" t="b">
        <f aca="false">AND(Y1201=0,J1201,ISNUMBER(L1201))</f>
        <v>0</v>
      </c>
      <c r="AB1201" s="8" t="n">
        <f aca="false">IF(Q1201,R1201,AB1200)</f>
        <v>0.852139558595783</v>
      </c>
      <c r="AC1201" s="12" t="n">
        <f aca="false">IF(Q1201,A1201,AC1200)</f>
        <v>45888</v>
      </c>
      <c r="AD1201" s="8" t="n">
        <f aca="false">IF(Q1201,B1201,AD1200)</f>
        <v>0.85196916476283</v>
      </c>
      <c r="AE1201" s="8" t="str">
        <f aca="false">IF(AA1201,L1201,"")</f>
        <v/>
      </c>
      <c r="AF1201" s="8" t="n">
        <f aca="false">U1201</f>
        <v>0.835624367549931</v>
      </c>
      <c r="AG1201" s="2" t="n">
        <f aca="false">AG1200+IF(Q1201,1,0)</f>
        <v>12</v>
      </c>
      <c r="AH1201" s="2" t="n">
        <f aca="false">AG1200</f>
        <v>12</v>
      </c>
      <c r="AI1201" s="10" t="n">
        <f aca="false">X1201+Y1201*(E1201-AB1201)-Y1201*AD1201*Inputs!$B$13*(A1201-AC1201)</f>
        <v>949.73021558356</v>
      </c>
      <c r="AJ1201" s="10" t="n">
        <v>0</v>
      </c>
      <c r="AK1201" s="8" t="n">
        <f aca="false">IF(AND(B1201&lt;=U1201,NOT(Q1201)),B1201,U1201)*(1-Inputs!$B$12)</f>
        <v>0.835457242676421</v>
      </c>
    </row>
    <row r="1202" customFormat="false" ht="15" hidden="false" customHeight="false" outlineLevel="0" collapsed="false">
      <c r="A1202" s="6" t="n">
        <v>45986</v>
      </c>
      <c r="B1202" s="7" t="n">
        <v>0.878136915334484</v>
      </c>
      <c r="C1202" s="7" t="n">
        <v>0.882184411769347</v>
      </c>
      <c r="D1202" s="7" t="n">
        <v>0.871884566224384</v>
      </c>
      <c r="E1202" s="7" t="n">
        <v>0.879401031759325</v>
      </c>
      <c r="F1202" s="8" t="n">
        <f aca="true">IF(ROW()-2&gt;=Inputs!$B$4,AVERAGE(OFFSET(E1202,1-Inputs!$B$4,0,Inputs!$B$4,1)),"")</f>
        <v>0.893560132031736</v>
      </c>
      <c r="G1202" s="8" t="n">
        <f aca="true">IF(ROW()-2&gt;=Inputs!$B$5,AVERAGE(OFFSET(E1202,1-Inputs!$B$5,0,Inputs!$B$5,1)),"")</f>
        <v>0.897777318238172</v>
      </c>
      <c r="H1202" s="8" t="n">
        <f aca="false">MAX(C1202-D1202,ABS(C1202-E1201),ABS(D1202-E1201))</f>
        <v>0.0102998455449634</v>
      </c>
      <c r="I1202" s="8" t="n">
        <f aca="true">IF(ROW()-2&lt;14,"",IF(ROW()-2=14,AVERAGE(OFFSET(H1202,-13,0,14,1)),(I1201*13+H1202)/14))</f>
        <v>0.00958824660310223</v>
      </c>
      <c r="J1202" s="9" t="b">
        <f aca="false">IF(AND(ISNUMBER(F1202),ISNUMBER(G1202),ISNUMBER(F1201),ISNUMBER(G1201)),AND(F1202&gt;G1202,F1201&lt;=G1201),FALSE())</f>
        <v>0</v>
      </c>
      <c r="K1202" s="9" t="b">
        <f aca="false">IF(AND(ISNUMBER(F1202),ISNUMBER(G1202),ISNUMBER(F1201),ISNUMBER(G1201)),AND(F1202&lt;G1202,F1201&gt;=G1201),FALSE())</f>
        <v>0</v>
      </c>
      <c r="L1202" s="8" t="n">
        <f aca="false">IF(ISNUMBER(I1202),E1202-Inputs!$B$6*I1202,"")</f>
        <v>0.860224538553121</v>
      </c>
      <c r="M1202" s="9" t="b">
        <f aca="false">AND(Y1201&gt;0,Z1201)</f>
        <v>0</v>
      </c>
      <c r="N1202" s="8" t="n">
        <f aca="false">B1202*(1-Inputs!$B$12)</f>
        <v>0.877961287951418</v>
      </c>
      <c r="O1202" s="10" t="n">
        <f aca="false">IF(M1202,Y1201*(N1202-AB1201)-Inputs!$B$9-Y1201*AD1201*Inputs!$B$13*(A1202-AC1201),0)</f>
        <v>0</v>
      </c>
      <c r="P1202" s="10" t="n">
        <f aca="false">X1201+O1202</f>
        <v>949.73021558356</v>
      </c>
      <c r="Q1202" s="9" t="b">
        <f aca="false">AND(IF(M1202,0,Y1201)=0,AA1201,IF(ISNUMBER(AE1201),B1202&gt;AE1201,FALSE()))</f>
        <v>0</v>
      </c>
      <c r="R1202" s="8" t="n">
        <f aca="false">B1202*(1+Inputs!$B$12)</f>
        <v>0.878312542717551</v>
      </c>
      <c r="S1202" s="11" t="n">
        <f aca="false">IF(Q1202,MIN(P1202*Inputs!$B$3/(R1202-AE1201),P1202*Inputs!$B$11/R1202),0)</f>
        <v>0</v>
      </c>
      <c r="T1202" s="11" t="n">
        <f aca="false">IF(Q1202,S1202,IF(M1202,0,Y1201))</f>
        <v>0</v>
      </c>
      <c r="U1202" s="8" t="n">
        <f aca="false">IF(Q1202,AE1201,AF1201)</f>
        <v>0.835624367549931</v>
      </c>
      <c r="V1202" s="9" t="b">
        <f aca="false">AND(T1202&gt;0,D1202&lt;=U1202)</f>
        <v>0</v>
      </c>
      <c r="W1202" s="10" t="n">
        <f aca="false">IF(V1202,T1202*(AK1202-AB1202)-Inputs!$B$9-T1202*AD1202*Inputs!$B$13*(A1202-AC1202),0)</f>
        <v>0</v>
      </c>
      <c r="X1202" s="10" t="n">
        <f aca="false">P1202-IF(Q1202,Inputs!$B$9,0)+W1202</f>
        <v>949.73021558356</v>
      </c>
      <c r="Y1202" s="11" t="n">
        <f aca="false">IF(V1202,0,T1202)</f>
        <v>0</v>
      </c>
      <c r="Z1202" s="9" t="b">
        <f aca="false">AND(Y1202&gt;0,K1202)</f>
        <v>0</v>
      </c>
      <c r="AA1202" s="9" t="b">
        <f aca="false">AND(Y1202=0,J1202,ISNUMBER(L1202))</f>
        <v>0</v>
      </c>
      <c r="AB1202" s="8" t="n">
        <f aca="false">IF(Q1202,R1202,AB1201)</f>
        <v>0.852139558595783</v>
      </c>
      <c r="AC1202" s="12" t="n">
        <f aca="false">IF(Q1202,A1202,AC1201)</f>
        <v>45888</v>
      </c>
      <c r="AD1202" s="8" t="n">
        <f aca="false">IF(Q1202,B1202,AD1201)</f>
        <v>0.85196916476283</v>
      </c>
      <c r="AE1202" s="8" t="str">
        <f aca="false">IF(AA1202,L1202,"")</f>
        <v/>
      </c>
      <c r="AF1202" s="8" t="n">
        <f aca="false">U1202</f>
        <v>0.835624367549931</v>
      </c>
      <c r="AG1202" s="2" t="n">
        <f aca="false">AG1201+IF(Q1202,1,0)</f>
        <v>12</v>
      </c>
      <c r="AH1202" s="2" t="n">
        <f aca="false">AG1201</f>
        <v>12</v>
      </c>
      <c r="AI1202" s="10" t="n">
        <f aca="false">X1202+Y1202*(E1202-AB1202)-Y1202*AD1202*Inputs!$B$13*(A1202-AC1202)</f>
        <v>949.73021558356</v>
      </c>
      <c r="AJ1202" s="10" t="n">
        <v>0</v>
      </c>
      <c r="AK1202" s="8" t="n">
        <f aca="false">IF(AND(B1202&lt;=U1202,NOT(Q1202)),B1202,U1202)*(1-Inputs!$B$12)</f>
        <v>0.835457242676421</v>
      </c>
    </row>
    <row r="1203" customFormat="false" ht="15" hidden="false" customHeight="false" outlineLevel="0" collapsed="false">
      <c r="A1203" s="6" t="n">
        <v>45987</v>
      </c>
      <c r="B1203" s="7" t="n">
        <v>0.879401031759325</v>
      </c>
      <c r="C1203" s="7" t="n">
        <v>0.88478004928443</v>
      </c>
      <c r="D1203" s="7" t="n">
        <v>0.874505975842889</v>
      </c>
      <c r="E1203" s="7" t="n">
        <v>0.884641837255287</v>
      </c>
      <c r="F1203" s="8" t="n">
        <f aca="true">IF(ROW()-2&gt;=Inputs!$B$4,AVERAGE(OFFSET(E1203,1-Inputs!$B$4,0,Inputs!$B$4,1)),"")</f>
        <v>0.892591978614533</v>
      </c>
      <c r="G1203" s="8" t="n">
        <f aca="true">IF(ROW()-2&gt;=Inputs!$B$5,AVERAGE(OFFSET(E1203,1-Inputs!$B$5,0,Inputs!$B$5,1)),"")</f>
        <v>0.897705601515664</v>
      </c>
      <c r="H1203" s="8" t="n">
        <f aca="false">MAX(C1203-D1203,ABS(C1203-E1202),ABS(D1203-E1202))</f>
        <v>0.0102740734415409</v>
      </c>
      <c r="I1203" s="8" t="n">
        <f aca="true">IF(ROW()-2&lt;14,"",IF(ROW()-2=14,AVERAGE(OFFSET(H1203,-13,0,14,1)),(I1202*13+H1203)/14))</f>
        <v>0.00963723423441928</v>
      </c>
      <c r="J1203" s="9" t="b">
        <f aca="false">IF(AND(ISNUMBER(F1203),ISNUMBER(G1203),ISNUMBER(F1202),ISNUMBER(G1202)),AND(F1203&gt;G1203,F1202&lt;=G1202),FALSE())</f>
        <v>0</v>
      </c>
      <c r="K1203" s="9" t="b">
        <f aca="false">IF(AND(ISNUMBER(F1203),ISNUMBER(G1203),ISNUMBER(F1202),ISNUMBER(G1202)),AND(F1203&lt;G1203,F1202&gt;=G1202),FALSE())</f>
        <v>0</v>
      </c>
      <c r="L1203" s="8" t="n">
        <f aca="false">IF(ISNUMBER(I1203),E1203-Inputs!$B$6*I1203,"")</f>
        <v>0.865367368786449</v>
      </c>
      <c r="M1203" s="9" t="b">
        <f aca="false">AND(Y1202&gt;0,Z1202)</f>
        <v>0</v>
      </c>
      <c r="N1203" s="8" t="n">
        <f aca="false">B1203*(1-Inputs!$B$12)</f>
        <v>0.879225151552973</v>
      </c>
      <c r="O1203" s="10" t="n">
        <f aca="false">IF(M1203,Y1202*(N1203-AB1202)-Inputs!$B$9-Y1202*AD1202*Inputs!$B$13*(A1203-AC1202),0)</f>
        <v>0</v>
      </c>
      <c r="P1203" s="10" t="n">
        <f aca="false">X1202+O1203</f>
        <v>949.73021558356</v>
      </c>
      <c r="Q1203" s="9" t="b">
        <f aca="false">AND(IF(M1203,0,Y1202)=0,AA1202,IF(ISNUMBER(AE1202),B1203&gt;AE1202,FALSE()))</f>
        <v>0</v>
      </c>
      <c r="R1203" s="8" t="n">
        <f aca="false">B1203*(1+Inputs!$B$12)</f>
        <v>0.879576911965677</v>
      </c>
      <c r="S1203" s="11" t="n">
        <f aca="false">IF(Q1203,MIN(P1203*Inputs!$B$3/(R1203-AE1202),P1203*Inputs!$B$11/R1203),0)</f>
        <v>0</v>
      </c>
      <c r="T1203" s="11" t="n">
        <f aca="false">IF(Q1203,S1203,IF(M1203,0,Y1202))</f>
        <v>0</v>
      </c>
      <c r="U1203" s="8" t="n">
        <f aca="false">IF(Q1203,AE1202,AF1202)</f>
        <v>0.835624367549931</v>
      </c>
      <c r="V1203" s="9" t="b">
        <f aca="false">AND(T1203&gt;0,D1203&lt;=U1203)</f>
        <v>0</v>
      </c>
      <c r="W1203" s="10" t="n">
        <f aca="false">IF(V1203,T1203*(AK1203-AB1203)-Inputs!$B$9-T1203*AD1203*Inputs!$B$13*(A1203-AC1203),0)</f>
        <v>0</v>
      </c>
      <c r="X1203" s="10" t="n">
        <f aca="false">P1203-IF(Q1203,Inputs!$B$9,0)+W1203</f>
        <v>949.73021558356</v>
      </c>
      <c r="Y1203" s="11" t="n">
        <f aca="false">IF(V1203,0,T1203)</f>
        <v>0</v>
      </c>
      <c r="Z1203" s="9" t="b">
        <f aca="false">AND(Y1203&gt;0,K1203)</f>
        <v>0</v>
      </c>
      <c r="AA1203" s="9" t="b">
        <f aca="false">AND(Y1203=0,J1203,ISNUMBER(L1203))</f>
        <v>0</v>
      </c>
      <c r="AB1203" s="8" t="n">
        <f aca="false">IF(Q1203,R1203,AB1202)</f>
        <v>0.852139558595783</v>
      </c>
      <c r="AC1203" s="12" t="n">
        <f aca="false">IF(Q1203,A1203,AC1202)</f>
        <v>45888</v>
      </c>
      <c r="AD1203" s="8" t="n">
        <f aca="false">IF(Q1203,B1203,AD1202)</f>
        <v>0.85196916476283</v>
      </c>
      <c r="AE1203" s="8" t="str">
        <f aca="false">IF(AA1203,L1203,"")</f>
        <v/>
      </c>
      <c r="AF1203" s="8" t="n">
        <f aca="false">U1203</f>
        <v>0.835624367549931</v>
      </c>
      <c r="AG1203" s="2" t="n">
        <f aca="false">AG1202+IF(Q1203,1,0)</f>
        <v>12</v>
      </c>
      <c r="AH1203" s="2" t="n">
        <f aca="false">AG1202</f>
        <v>12</v>
      </c>
      <c r="AI1203" s="10" t="n">
        <f aca="false">X1203+Y1203*(E1203-AB1203)-Y1203*AD1203*Inputs!$B$13*(A1203-AC1203)</f>
        <v>949.73021558356</v>
      </c>
      <c r="AJ1203" s="10" t="n">
        <v>0</v>
      </c>
      <c r="AK1203" s="8" t="n">
        <f aca="false">IF(AND(B1203&lt;=U1203,NOT(Q1203)),B1203,U1203)*(1-Inputs!$B$12)</f>
        <v>0.835457242676421</v>
      </c>
    </row>
    <row r="1204" customFormat="false" ht="15" hidden="false" customHeight="false" outlineLevel="0" collapsed="false">
      <c r="A1204" s="6" t="n">
        <v>45988</v>
      </c>
      <c r="B1204" s="7" t="n">
        <v>0.884641837255287</v>
      </c>
      <c r="C1204" s="7" t="n">
        <v>0.887638685845955</v>
      </c>
      <c r="D1204" s="7" t="n">
        <v>0.883795698025031</v>
      </c>
      <c r="E1204" s="7" t="n">
        <v>0.886759164569813</v>
      </c>
      <c r="F1204" s="8" t="n">
        <f aca="true">IF(ROW()-2&gt;=Inputs!$B$4,AVERAGE(OFFSET(E1204,1-Inputs!$B$4,0,Inputs!$B$4,1)),"")</f>
        <v>0.892041961807218</v>
      </c>
      <c r="G1204" s="8" t="n">
        <f aca="true">IF(ROW()-2&gt;=Inputs!$B$5,AVERAGE(OFFSET(E1204,1-Inputs!$B$5,0,Inputs!$B$5,1)),"")</f>
        <v>0.897594362233822</v>
      </c>
      <c r="H1204" s="8" t="n">
        <f aca="false">MAX(C1204-D1204,ABS(C1204-E1203),ABS(D1204-E1203))</f>
        <v>0.00384298782092374</v>
      </c>
      <c r="I1204" s="8" t="n">
        <f aca="true">IF(ROW()-2&lt;14,"",IF(ROW()-2=14,AVERAGE(OFFSET(H1204,-13,0,14,1)),(I1203*13+H1204)/14))</f>
        <v>0.00922335949059817</v>
      </c>
      <c r="J1204" s="9" t="b">
        <f aca="false">IF(AND(ISNUMBER(F1204),ISNUMBER(G1204),ISNUMBER(F1203),ISNUMBER(G1203)),AND(F1204&gt;G1204,F1203&lt;=G1203),FALSE())</f>
        <v>0</v>
      </c>
      <c r="K1204" s="9" t="b">
        <f aca="false">IF(AND(ISNUMBER(F1204),ISNUMBER(G1204),ISNUMBER(F1203),ISNUMBER(G1203)),AND(F1204&lt;G1204,F1203&gt;=G1203),FALSE())</f>
        <v>0</v>
      </c>
      <c r="L1204" s="8" t="n">
        <f aca="false">IF(ISNUMBER(I1204),E1204-Inputs!$B$6*I1204,"")</f>
        <v>0.868312445588617</v>
      </c>
      <c r="M1204" s="9" t="b">
        <f aca="false">AND(Y1203&gt;0,Z1203)</f>
        <v>0</v>
      </c>
      <c r="N1204" s="8" t="n">
        <f aca="false">B1204*(1-Inputs!$B$12)</f>
        <v>0.884464908887836</v>
      </c>
      <c r="O1204" s="10" t="n">
        <f aca="false">IF(M1204,Y1203*(N1204-AB1203)-Inputs!$B$9-Y1203*AD1203*Inputs!$B$13*(A1204-AC1203),0)</f>
        <v>0</v>
      </c>
      <c r="P1204" s="10" t="n">
        <f aca="false">X1203+O1204</f>
        <v>949.73021558356</v>
      </c>
      <c r="Q1204" s="9" t="b">
        <f aca="false">AND(IF(M1204,0,Y1203)=0,AA1203,IF(ISNUMBER(AE1203),B1204&gt;AE1203,FALSE()))</f>
        <v>0</v>
      </c>
      <c r="R1204" s="8" t="n">
        <f aca="false">B1204*(1+Inputs!$B$12)</f>
        <v>0.884818765622738</v>
      </c>
      <c r="S1204" s="11" t="n">
        <f aca="false">IF(Q1204,MIN(P1204*Inputs!$B$3/(R1204-AE1203),P1204*Inputs!$B$11/R1204),0)</f>
        <v>0</v>
      </c>
      <c r="T1204" s="11" t="n">
        <f aca="false">IF(Q1204,S1204,IF(M1204,0,Y1203))</f>
        <v>0</v>
      </c>
      <c r="U1204" s="8" t="n">
        <f aca="false">IF(Q1204,AE1203,AF1203)</f>
        <v>0.835624367549931</v>
      </c>
      <c r="V1204" s="9" t="b">
        <f aca="false">AND(T1204&gt;0,D1204&lt;=U1204)</f>
        <v>0</v>
      </c>
      <c r="W1204" s="10" t="n">
        <f aca="false">IF(V1204,T1204*(AK1204-AB1204)-Inputs!$B$9-T1204*AD1204*Inputs!$B$13*(A1204-AC1204),0)</f>
        <v>0</v>
      </c>
      <c r="X1204" s="10" t="n">
        <f aca="false">P1204-IF(Q1204,Inputs!$B$9,0)+W1204</f>
        <v>949.73021558356</v>
      </c>
      <c r="Y1204" s="11" t="n">
        <f aca="false">IF(V1204,0,T1204)</f>
        <v>0</v>
      </c>
      <c r="Z1204" s="9" t="b">
        <f aca="false">AND(Y1204&gt;0,K1204)</f>
        <v>0</v>
      </c>
      <c r="AA1204" s="9" t="b">
        <f aca="false">AND(Y1204=0,J1204,ISNUMBER(L1204))</f>
        <v>0</v>
      </c>
      <c r="AB1204" s="8" t="n">
        <f aca="false">IF(Q1204,R1204,AB1203)</f>
        <v>0.852139558595783</v>
      </c>
      <c r="AC1204" s="12" t="n">
        <f aca="false">IF(Q1204,A1204,AC1203)</f>
        <v>45888</v>
      </c>
      <c r="AD1204" s="8" t="n">
        <f aca="false">IF(Q1204,B1204,AD1203)</f>
        <v>0.85196916476283</v>
      </c>
      <c r="AE1204" s="8" t="str">
        <f aca="false">IF(AA1204,L1204,"")</f>
        <v/>
      </c>
      <c r="AF1204" s="8" t="n">
        <f aca="false">U1204</f>
        <v>0.835624367549931</v>
      </c>
      <c r="AG1204" s="2" t="n">
        <f aca="false">AG1203+IF(Q1204,1,0)</f>
        <v>12</v>
      </c>
      <c r="AH1204" s="2" t="n">
        <f aca="false">AG1203</f>
        <v>12</v>
      </c>
      <c r="AI1204" s="10" t="n">
        <f aca="false">X1204+Y1204*(E1204-AB1204)-Y1204*AD1204*Inputs!$B$13*(A1204-AC1204)</f>
        <v>949.73021558356</v>
      </c>
      <c r="AJ1204" s="10" t="n">
        <v>0</v>
      </c>
      <c r="AK1204" s="8" t="n">
        <f aca="false">IF(AND(B1204&lt;=U1204,NOT(Q1204)),B1204,U1204)*(1-Inputs!$B$12)</f>
        <v>0.835457242676421</v>
      </c>
    </row>
    <row r="1205" customFormat="false" ht="15" hidden="false" customHeight="false" outlineLevel="0" collapsed="false">
      <c r="A1205" s="6" t="n">
        <v>45989</v>
      </c>
      <c r="B1205" s="7" t="n">
        <v>0.886759164569813</v>
      </c>
      <c r="C1205" s="7" t="n">
        <v>0.902738070375207</v>
      </c>
      <c r="D1205" s="7" t="n">
        <v>0.882138001407033</v>
      </c>
      <c r="E1205" s="7" t="n">
        <v>0.895398693547511</v>
      </c>
      <c r="F1205" s="8" t="n">
        <f aca="true">IF(ROW()-2&gt;=Inputs!$B$4,AVERAGE(OFFSET(E1205,1-Inputs!$B$4,0,Inputs!$B$4,1)),"")</f>
        <v>0.891953218969639</v>
      </c>
      <c r="G1205" s="8" t="n">
        <f aca="true">IF(ROW()-2&gt;=Inputs!$B$5,AVERAGE(OFFSET(E1205,1-Inputs!$B$5,0,Inputs!$B$5,1)),"")</f>
        <v>0.89762870469027</v>
      </c>
      <c r="H1205" s="8" t="n">
        <f aca="false">MAX(C1205-D1205,ABS(C1205-E1204),ABS(D1205-E1204))</f>
        <v>0.0206000689681746</v>
      </c>
      <c r="I1205" s="8" t="n">
        <f aca="true">IF(ROW()-2&lt;14,"",IF(ROW()-2=14,AVERAGE(OFFSET(H1205,-13,0,14,1)),(I1204*13+H1205)/14))</f>
        <v>0.0100359815961393</v>
      </c>
      <c r="J1205" s="9" t="b">
        <f aca="false">IF(AND(ISNUMBER(F1205),ISNUMBER(G1205),ISNUMBER(F1204),ISNUMBER(G1204)),AND(F1205&gt;G1205,F1204&lt;=G1204),FALSE())</f>
        <v>0</v>
      </c>
      <c r="K1205" s="9" t="b">
        <f aca="false">IF(AND(ISNUMBER(F1205),ISNUMBER(G1205),ISNUMBER(F1204),ISNUMBER(G1204)),AND(F1205&lt;G1205,F1204&gt;=G1204),FALSE())</f>
        <v>0</v>
      </c>
      <c r="L1205" s="8" t="n">
        <f aca="false">IF(ISNUMBER(I1205),E1205-Inputs!$B$6*I1205,"")</f>
        <v>0.875326730355233</v>
      </c>
      <c r="M1205" s="9" t="b">
        <f aca="false">AND(Y1204&gt;0,Z1204)</f>
        <v>0</v>
      </c>
      <c r="N1205" s="8" t="n">
        <f aca="false">B1205*(1-Inputs!$B$12)</f>
        <v>0.886581812736899</v>
      </c>
      <c r="O1205" s="10" t="n">
        <f aca="false">IF(M1205,Y1204*(N1205-AB1204)-Inputs!$B$9-Y1204*AD1204*Inputs!$B$13*(A1205-AC1204),0)</f>
        <v>0</v>
      </c>
      <c r="P1205" s="10" t="n">
        <f aca="false">X1204+O1205</f>
        <v>949.73021558356</v>
      </c>
      <c r="Q1205" s="9" t="b">
        <f aca="false">AND(IF(M1205,0,Y1204)=0,AA1204,IF(ISNUMBER(AE1204),B1205&gt;AE1204,FALSE()))</f>
        <v>0</v>
      </c>
      <c r="R1205" s="8" t="n">
        <f aca="false">B1205*(1+Inputs!$B$12)</f>
        <v>0.886936516402727</v>
      </c>
      <c r="S1205" s="11" t="n">
        <f aca="false">IF(Q1205,MIN(P1205*Inputs!$B$3/(R1205-AE1204),P1205*Inputs!$B$11/R1205),0)</f>
        <v>0</v>
      </c>
      <c r="T1205" s="11" t="n">
        <f aca="false">IF(Q1205,S1205,IF(M1205,0,Y1204))</f>
        <v>0</v>
      </c>
      <c r="U1205" s="8" t="n">
        <f aca="false">IF(Q1205,AE1204,AF1204)</f>
        <v>0.835624367549931</v>
      </c>
      <c r="V1205" s="9" t="b">
        <f aca="false">AND(T1205&gt;0,D1205&lt;=U1205)</f>
        <v>0</v>
      </c>
      <c r="W1205" s="10" t="n">
        <f aca="false">IF(V1205,T1205*(AK1205-AB1205)-Inputs!$B$9-T1205*AD1205*Inputs!$B$13*(A1205-AC1205),0)</f>
        <v>0</v>
      </c>
      <c r="X1205" s="10" t="n">
        <f aca="false">P1205-IF(Q1205,Inputs!$B$9,0)+W1205</f>
        <v>949.73021558356</v>
      </c>
      <c r="Y1205" s="11" t="n">
        <f aca="false">IF(V1205,0,T1205)</f>
        <v>0</v>
      </c>
      <c r="Z1205" s="9" t="b">
        <f aca="false">AND(Y1205&gt;0,K1205)</f>
        <v>0</v>
      </c>
      <c r="AA1205" s="9" t="b">
        <f aca="false">AND(Y1205=0,J1205,ISNUMBER(L1205))</f>
        <v>0</v>
      </c>
      <c r="AB1205" s="8" t="n">
        <f aca="false">IF(Q1205,R1205,AB1204)</f>
        <v>0.852139558595783</v>
      </c>
      <c r="AC1205" s="12" t="n">
        <f aca="false">IF(Q1205,A1205,AC1204)</f>
        <v>45888</v>
      </c>
      <c r="AD1205" s="8" t="n">
        <f aca="false">IF(Q1205,B1205,AD1204)</f>
        <v>0.85196916476283</v>
      </c>
      <c r="AE1205" s="8" t="str">
        <f aca="false">IF(AA1205,L1205,"")</f>
        <v/>
      </c>
      <c r="AF1205" s="8" t="n">
        <f aca="false">U1205</f>
        <v>0.835624367549931</v>
      </c>
      <c r="AG1205" s="2" t="n">
        <f aca="false">AG1204+IF(Q1205,1,0)</f>
        <v>12</v>
      </c>
      <c r="AH1205" s="2" t="n">
        <f aca="false">AG1204</f>
        <v>12</v>
      </c>
      <c r="AI1205" s="10" t="n">
        <f aca="false">X1205+Y1205*(E1205-AB1205)-Y1205*AD1205*Inputs!$B$13*(A1205-AC1205)</f>
        <v>949.73021558356</v>
      </c>
      <c r="AJ1205" s="10" t="n">
        <v>0</v>
      </c>
      <c r="AK1205" s="8" t="n">
        <f aca="false">IF(AND(B1205&lt;=U1205,NOT(Q1205)),B1205,U1205)*(1-Inputs!$B$12)</f>
        <v>0.835457242676421</v>
      </c>
    </row>
    <row r="1206" customFormat="false" ht="15" hidden="false" customHeight="false" outlineLevel="0" collapsed="false">
      <c r="A1206" s="6" t="n">
        <v>45990</v>
      </c>
      <c r="B1206" s="7" t="n">
        <v>0.895398693547511</v>
      </c>
      <c r="C1206" s="7" t="n">
        <v>0.904617669361171</v>
      </c>
      <c r="D1206" s="7" t="n">
        <v>0.894864347635922</v>
      </c>
      <c r="E1206" s="7" t="n">
        <v>0.901889395351395</v>
      </c>
      <c r="F1206" s="8" t="n">
        <f aca="true">IF(ROW()-2&gt;=Inputs!$B$4,AVERAGE(OFFSET(E1206,1-Inputs!$B$4,0,Inputs!$B$4,1)),"")</f>
        <v>0.891911626407444</v>
      </c>
      <c r="G1206" s="8" t="n">
        <f aca="true">IF(ROW()-2&gt;=Inputs!$B$5,AVERAGE(OFFSET(E1206,1-Inputs!$B$5,0,Inputs!$B$5,1)),"")</f>
        <v>0.897922151722644</v>
      </c>
      <c r="H1206" s="8" t="n">
        <f aca="false">MAX(C1206-D1206,ABS(C1206-E1205),ABS(D1206-E1205))</f>
        <v>0.0097533217252489</v>
      </c>
      <c r="I1206" s="8" t="n">
        <f aca="true">IF(ROW()-2&lt;14,"",IF(ROW()-2=14,AVERAGE(OFFSET(H1206,-13,0,14,1)),(I1205*13+H1206)/14))</f>
        <v>0.0100157916053614</v>
      </c>
      <c r="J1206" s="9" t="b">
        <f aca="false">IF(AND(ISNUMBER(F1206),ISNUMBER(G1206),ISNUMBER(F1205),ISNUMBER(G1205)),AND(F1206&gt;G1206,F1205&lt;=G1205),FALSE())</f>
        <v>0</v>
      </c>
      <c r="K1206" s="9" t="b">
        <f aca="false">IF(AND(ISNUMBER(F1206),ISNUMBER(G1206),ISNUMBER(F1205),ISNUMBER(G1205)),AND(F1206&lt;G1206,F1205&gt;=G1205),FALSE())</f>
        <v>0</v>
      </c>
      <c r="L1206" s="8" t="n">
        <f aca="false">IF(ISNUMBER(I1206),E1206-Inputs!$B$6*I1206,"")</f>
        <v>0.881857812140672</v>
      </c>
      <c r="M1206" s="9" t="b">
        <f aca="false">AND(Y1205&gt;0,Z1205)</f>
        <v>0</v>
      </c>
      <c r="N1206" s="8" t="n">
        <f aca="false">B1206*(1-Inputs!$B$12)</f>
        <v>0.895219613808802</v>
      </c>
      <c r="O1206" s="10" t="n">
        <f aca="false">IF(M1206,Y1205*(N1206-AB1205)-Inputs!$B$9-Y1205*AD1205*Inputs!$B$13*(A1206-AC1205),0)</f>
        <v>0</v>
      </c>
      <c r="P1206" s="10" t="n">
        <f aca="false">X1205+O1206</f>
        <v>949.73021558356</v>
      </c>
      <c r="Q1206" s="9" t="b">
        <f aca="false">AND(IF(M1206,0,Y1205)=0,AA1205,IF(ISNUMBER(AE1205),B1206&gt;AE1205,FALSE()))</f>
        <v>0</v>
      </c>
      <c r="R1206" s="8" t="n">
        <f aca="false">B1206*(1+Inputs!$B$12)</f>
        <v>0.895577773286221</v>
      </c>
      <c r="S1206" s="11" t="n">
        <f aca="false">IF(Q1206,MIN(P1206*Inputs!$B$3/(R1206-AE1205),P1206*Inputs!$B$11/R1206),0)</f>
        <v>0</v>
      </c>
      <c r="T1206" s="11" t="n">
        <f aca="false">IF(Q1206,S1206,IF(M1206,0,Y1205))</f>
        <v>0</v>
      </c>
      <c r="U1206" s="8" t="n">
        <f aca="false">IF(Q1206,AE1205,AF1205)</f>
        <v>0.835624367549931</v>
      </c>
      <c r="V1206" s="9" t="b">
        <f aca="false">AND(T1206&gt;0,D1206&lt;=U1206)</f>
        <v>0</v>
      </c>
      <c r="W1206" s="10" t="n">
        <f aca="false">IF(V1206,T1206*(AK1206-AB1206)-Inputs!$B$9-T1206*AD1206*Inputs!$B$13*(A1206-AC1206),0)</f>
        <v>0</v>
      </c>
      <c r="X1206" s="10" t="n">
        <f aca="false">P1206-IF(Q1206,Inputs!$B$9,0)+W1206</f>
        <v>949.73021558356</v>
      </c>
      <c r="Y1206" s="11" t="n">
        <f aca="false">IF(V1206,0,T1206)</f>
        <v>0</v>
      </c>
      <c r="Z1206" s="9" t="b">
        <f aca="false">AND(Y1206&gt;0,K1206)</f>
        <v>0</v>
      </c>
      <c r="AA1206" s="9" t="b">
        <f aca="false">AND(Y1206=0,J1206,ISNUMBER(L1206))</f>
        <v>0</v>
      </c>
      <c r="AB1206" s="8" t="n">
        <f aca="false">IF(Q1206,R1206,AB1205)</f>
        <v>0.852139558595783</v>
      </c>
      <c r="AC1206" s="12" t="n">
        <f aca="false">IF(Q1206,A1206,AC1205)</f>
        <v>45888</v>
      </c>
      <c r="AD1206" s="8" t="n">
        <f aca="false">IF(Q1206,B1206,AD1205)</f>
        <v>0.85196916476283</v>
      </c>
      <c r="AE1206" s="8" t="str">
        <f aca="false">IF(AA1206,L1206,"")</f>
        <v/>
      </c>
      <c r="AF1206" s="8" t="n">
        <f aca="false">U1206</f>
        <v>0.835624367549931</v>
      </c>
      <c r="AG1206" s="2" t="n">
        <f aca="false">AG1205+IF(Q1206,1,0)</f>
        <v>12</v>
      </c>
      <c r="AH1206" s="2" t="n">
        <f aca="false">AG1205</f>
        <v>12</v>
      </c>
      <c r="AI1206" s="10" t="n">
        <f aca="false">X1206+Y1206*(E1206-AB1206)-Y1206*AD1206*Inputs!$B$13*(A1206-AC1206)</f>
        <v>949.73021558356</v>
      </c>
      <c r="AJ1206" s="10" t="n">
        <v>0</v>
      </c>
      <c r="AK1206" s="8" t="n">
        <f aca="false">IF(AND(B1206&lt;=U1206,NOT(Q1206)),B1206,U1206)*(1-Inputs!$B$12)</f>
        <v>0.835457242676421</v>
      </c>
    </row>
    <row r="1207" customFormat="false" ht="15" hidden="false" customHeight="false" outlineLevel="0" collapsed="false">
      <c r="A1207" s="6" t="n">
        <v>45991</v>
      </c>
      <c r="B1207" s="7" t="n">
        <v>0.901889395351395</v>
      </c>
      <c r="C1207" s="7" t="n">
        <v>0.908480905088331</v>
      </c>
      <c r="D1207" s="7" t="n">
        <v>0.900314620428413</v>
      </c>
      <c r="E1207" s="7" t="n">
        <v>0.903986380812585</v>
      </c>
      <c r="F1207" s="8" t="n">
        <f aca="true">IF(ROW()-2&gt;=Inputs!$B$4,AVERAGE(OFFSET(E1207,1-Inputs!$B$4,0,Inputs!$B$4,1)),"")</f>
        <v>0.891662474182181</v>
      </c>
      <c r="G1207" s="8" t="n">
        <f aca="true">IF(ROW()-2&gt;=Inputs!$B$5,AVERAGE(OFFSET(E1207,1-Inputs!$B$5,0,Inputs!$B$5,1)),"")</f>
        <v>0.898285728335449</v>
      </c>
      <c r="H1207" s="8" t="n">
        <f aca="false">MAX(C1207-D1207,ABS(C1207-E1206),ABS(D1207-E1206))</f>
        <v>0.00816628465991853</v>
      </c>
      <c r="I1207" s="8" t="n">
        <f aca="true">IF(ROW()-2&lt;14,"",IF(ROW()-2=14,AVERAGE(OFFSET(H1207,-13,0,14,1)),(I1206*13+H1207)/14))</f>
        <v>0.00988368396640124</v>
      </c>
      <c r="J1207" s="9" t="b">
        <f aca="false">IF(AND(ISNUMBER(F1207),ISNUMBER(G1207),ISNUMBER(F1206),ISNUMBER(G1206)),AND(F1207&gt;G1207,F1206&lt;=G1206),FALSE())</f>
        <v>0</v>
      </c>
      <c r="K1207" s="9" t="b">
        <f aca="false">IF(AND(ISNUMBER(F1207),ISNUMBER(G1207),ISNUMBER(F1206),ISNUMBER(G1206)),AND(F1207&lt;G1207,F1206&gt;=G1206),FALSE())</f>
        <v>0</v>
      </c>
      <c r="L1207" s="8" t="n">
        <f aca="false">IF(ISNUMBER(I1207),E1207-Inputs!$B$6*I1207,"")</f>
        <v>0.884219012879782</v>
      </c>
      <c r="M1207" s="9" t="b">
        <f aca="false">AND(Y1206&gt;0,Z1206)</f>
        <v>0</v>
      </c>
      <c r="N1207" s="8" t="n">
        <f aca="false">B1207*(1-Inputs!$B$12)</f>
        <v>0.901709017472325</v>
      </c>
      <c r="O1207" s="10" t="n">
        <f aca="false">IF(M1207,Y1206*(N1207-AB1206)-Inputs!$B$9-Y1206*AD1206*Inputs!$B$13*(A1207-AC1206),0)</f>
        <v>0</v>
      </c>
      <c r="P1207" s="10" t="n">
        <f aca="false">X1206+O1207</f>
        <v>949.73021558356</v>
      </c>
      <c r="Q1207" s="9" t="b">
        <f aca="false">AND(IF(M1207,0,Y1206)=0,AA1206,IF(ISNUMBER(AE1206),B1207&gt;AE1206,FALSE()))</f>
        <v>0</v>
      </c>
      <c r="R1207" s="8" t="n">
        <f aca="false">B1207*(1+Inputs!$B$12)</f>
        <v>0.902069773230465</v>
      </c>
      <c r="S1207" s="11" t="n">
        <f aca="false">IF(Q1207,MIN(P1207*Inputs!$B$3/(R1207-AE1206),P1207*Inputs!$B$11/R1207),0)</f>
        <v>0</v>
      </c>
      <c r="T1207" s="11" t="n">
        <f aca="false">IF(Q1207,S1207,IF(M1207,0,Y1206))</f>
        <v>0</v>
      </c>
      <c r="U1207" s="8" t="n">
        <f aca="false">IF(Q1207,AE1206,AF1206)</f>
        <v>0.835624367549931</v>
      </c>
      <c r="V1207" s="9" t="b">
        <f aca="false">AND(T1207&gt;0,D1207&lt;=U1207)</f>
        <v>0</v>
      </c>
      <c r="W1207" s="10" t="n">
        <f aca="false">IF(V1207,T1207*(AK1207-AB1207)-Inputs!$B$9-T1207*AD1207*Inputs!$B$13*(A1207-AC1207),0)</f>
        <v>0</v>
      </c>
      <c r="X1207" s="10" t="n">
        <f aca="false">P1207-IF(Q1207,Inputs!$B$9,0)+W1207</f>
        <v>949.73021558356</v>
      </c>
      <c r="Y1207" s="11" t="n">
        <f aca="false">IF(V1207,0,T1207)</f>
        <v>0</v>
      </c>
      <c r="Z1207" s="9" t="b">
        <f aca="false">AND(Y1207&gt;0,K1207)</f>
        <v>0</v>
      </c>
      <c r="AA1207" s="9" t="b">
        <f aca="false">AND(Y1207=0,J1207,ISNUMBER(L1207))</f>
        <v>0</v>
      </c>
      <c r="AB1207" s="8" t="n">
        <f aca="false">IF(Q1207,R1207,AB1206)</f>
        <v>0.852139558595783</v>
      </c>
      <c r="AC1207" s="12" t="n">
        <f aca="false">IF(Q1207,A1207,AC1206)</f>
        <v>45888</v>
      </c>
      <c r="AD1207" s="8" t="n">
        <f aca="false">IF(Q1207,B1207,AD1206)</f>
        <v>0.85196916476283</v>
      </c>
      <c r="AE1207" s="8" t="str">
        <f aca="false">IF(AA1207,L1207,"")</f>
        <v/>
      </c>
      <c r="AF1207" s="8" t="n">
        <f aca="false">U1207</f>
        <v>0.835624367549931</v>
      </c>
      <c r="AG1207" s="2" t="n">
        <f aca="false">AG1206+IF(Q1207,1,0)</f>
        <v>12</v>
      </c>
      <c r="AH1207" s="2" t="n">
        <f aca="false">AG1206</f>
        <v>12</v>
      </c>
      <c r="AI1207" s="10" t="n">
        <f aca="false">X1207+Y1207*(E1207-AB1207)-Y1207*AD1207*Inputs!$B$13*(A1207-AC1207)</f>
        <v>949.73021558356</v>
      </c>
      <c r="AJ1207" s="10" t="n">
        <v>0</v>
      </c>
      <c r="AK1207" s="8" t="n">
        <f aca="false">IF(AND(B1207&lt;=U1207,NOT(Q1207)),B1207,U1207)*(1-Inputs!$B$12)</f>
        <v>0.835457242676421</v>
      </c>
    </row>
    <row r="1208" customFormat="false" ht="15" hidden="false" customHeight="false" outlineLevel="0" collapsed="false">
      <c r="A1208" s="6" t="n">
        <v>45992</v>
      </c>
      <c r="B1208" s="7" t="n">
        <v>0.903986380812585</v>
      </c>
      <c r="C1208" s="7" t="n">
        <v>0.908804250803261</v>
      </c>
      <c r="D1208" s="7" t="n">
        <v>0.903551169283436</v>
      </c>
      <c r="E1208" s="7" t="n">
        <v>0.905331632396009</v>
      </c>
      <c r="F1208" s="8" t="n">
        <f aca="true">IF(ROW()-2&gt;=Inputs!$B$4,AVERAGE(OFFSET(E1208,1-Inputs!$B$4,0,Inputs!$B$4,1)),"")</f>
        <v>0.891595557992364</v>
      </c>
      <c r="G1208" s="8" t="n">
        <f aca="true">IF(ROW()-2&gt;=Inputs!$B$5,AVERAGE(OFFSET(E1208,1-Inputs!$B$5,0,Inputs!$B$5,1)),"")</f>
        <v>0.898644028944491</v>
      </c>
      <c r="H1208" s="8" t="n">
        <f aca="false">MAX(C1208-D1208,ABS(C1208-E1207),ABS(D1208-E1207))</f>
        <v>0.00525308151982507</v>
      </c>
      <c r="I1208" s="8" t="n">
        <f aca="true">IF(ROW()-2&lt;14,"",IF(ROW()-2=14,AVERAGE(OFFSET(H1208,-13,0,14,1)),(I1207*13+H1208)/14))</f>
        <v>0.00955292664878866</v>
      </c>
      <c r="J1208" s="9" t="b">
        <f aca="false">IF(AND(ISNUMBER(F1208),ISNUMBER(G1208),ISNUMBER(F1207),ISNUMBER(G1207)),AND(F1208&gt;G1208,F1207&lt;=G1207),FALSE())</f>
        <v>0</v>
      </c>
      <c r="K1208" s="9" t="b">
        <f aca="false">IF(AND(ISNUMBER(F1208),ISNUMBER(G1208),ISNUMBER(F1207),ISNUMBER(G1207)),AND(F1208&lt;G1208,F1207&gt;=G1207),FALSE())</f>
        <v>0</v>
      </c>
      <c r="L1208" s="8" t="n">
        <f aca="false">IF(ISNUMBER(I1208),E1208-Inputs!$B$6*I1208,"")</f>
        <v>0.886225779098432</v>
      </c>
      <c r="M1208" s="9" t="b">
        <f aca="false">AND(Y1207&gt;0,Z1207)</f>
        <v>0</v>
      </c>
      <c r="N1208" s="8" t="n">
        <f aca="false">B1208*(1-Inputs!$B$12)</f>
        <v>0.903805583536422</v>
      </c>
      <c r="O1208" s="10" t="n">
        <f aca="false">IF(M1208,Y1207*(N1208-AB1207)-Inputs!$B$9-Y1207*AD1207*Inputs!$B$13*(A1208-AC1207),0)</f>
        <v>0</v>
      </c>
      <c r="P1208" s="10" t="n">
        <f aca="false">X1207+O1208</f>
        <v>949.73021558356</v>
      </c>
      <c r="Q1208" s="9" t="b">
        <f aca="false">AND(IF(M1208,0,Y1207)=0,AA1207,IF(ISNUMBER(AE1207),B1208&gt;AE1207,FALSE()))</f>
        <v>0</v>
      </c>
      <c r="R1208" s="8" t="n">
        <f aca="false">B1208*(1+Inputs!$B$12)</f>
        <v>0.904167178088747</v>
      </c>
      <c r="S1208" s="11" t="n">
        <f aca="false">IF(Q1208,MIN(P1208*Inputs!$B$3/(R1208-AE1207),P1208*Inputs!$B$11/R1208),0)</f>
        <v>0</v>
      </c>
      <c r="T1208" s="11" t="n">
        <f aca="false">IF(Q1208,S1208,IF(M1208,0,Y1207))</f>
        <v>0</v>
      </c>
      <c r="U1208" s="8" t="n">
        <f aca="false">IF(Q1208,AE1207,AF1207)</f>
        <v>0.835624367549931</v>
      </c>
      <c r="V1208" s="9" t="b">
        <f aca="false">AND(T1208&gt;0,D1208&lt;=U1208)</f>
        <v>0</v>
      </c>
      <c r="W1208" s="10" t="n">
        <f aca="false">IF(V1208,T1208*(AK1208-AB1208)-Inputs!$B$9-T1208*AD1208*Inputs!$B$13*(A1208-AC1208),0)</f>
        <v>0</v>
      </c>
      <c r="X1208" s="10" t="n">
        <f aca="false">P1208-IF(Q1208,Inputs!$B$9,0)+W1208</f>
        <v>949.73021558356</v>
      </c>
      <c r="Y1208" s="11" t="n">
        <f aca="false">IF(V1208,0,T1208)</f>
        <v>0</v>
      </c>
      <c r="Z1208" s="9" t="b">
        <f aca="false">AND(Y1208&gt;0,K1208)</f>
        <v>0</v>
      </c>
      <c r="AA1208" s="9" t="b">
        <f aca="false">AND(Y1208=0,J1208,ISNUMBER(L1208))</f>
        <v>0</v>
      </c>
      <c r="AB1208" s="8" t="n">
        <f aca="false">IF(Q1208,R1208,AB1207)</f>
        <v>0.852139558595783</v>
      </c>
      <c r="AC1208" s="12" t="n">
        <f aca="false">IF(Q1208,A1208,AC1207)</f>
        <v>45888</v>
      </c>
      <c r="AD1208" s="8" t="n">
        <f aca="false">IF(Q1208,B1208,AD1207)</f>
        <v>0.85196916476283</v>
      </c>
      <c r="AE1208" s="8" t="str">
        <f aca="false">IF(AA1208,L1208,"")</f>
        <v/>
      </c>
      <c r="AF1208" s="8" t="n">
        <f aca="false">U1208</f>
        <v>0.835624367549931</v>
      </c>
      <c r="AG1208" s="2" t="n">
        <f aca="false">AG1207+IF(Q1208,1,0)</f>
        <v>12</v>
      </c>
      <c r="AH1208" s="2" t="n">
        <f aca="false">AG1207</f>
        <v>12</v>
      </c>
      <c r="AI1208" s="10" t="n">
        <f aca="false">X1208+Y1208*(E1208-AB1208)-Y1208*AD1208*Inputs!$B$13*(A1208-AC1208)</f>
        <v>949.73021558356</v>
      </c>
      <c r="AJ1208" s="10" t="n">
        <v>0</v>
      </c>
      <c r="AK1208" s="8" t="n">
        <f aca="false">IF(AND(B1208&lt;=U1208,NOT(Q1208)),B1208,U1208)*(1-Inputs!$B$12)</f>
        <v>0.835457242676421</v>
      </c>
    </row>
    <row r="1209" customFormat="false" ht="15" hidden="false" customHeight="false" outlineLevel="0" collapsed="false">
      <c r="A1209" s="6" t="n">
        <v>45993</v>
      </c>
      <c r="B1209" s="7" t="n">
        <v>0.905331632396009</v>
      </c>
      <c r="C1209" s="7" t="n">
        <v>0.909444643677705</v>
      </c>
      <c r="D1209" s="7" t="n">
        <v>0.896795642383881</v>
      </c>
      <c r="E1209" s="7" t="n">
        <v>0.897563550786281</v>
      </c>
      <c r="F1209" s="8" t="n">
        <f aca="true">IF(ROW()-2&gt;=Inputs!$B$4,AVERAGE(OFFSET(E1209,1-Inputs!$B$4,0,Inputs!$B$4,1)),"")</f>
        <v>0.89100972223257</v>
      </c>
      <c r="G1209" s="8" t="n">
        <f aca="true">IF(ROW()-2&gt;=Inputs!$B$5,AVERAGE(OFFSET(E1209,1-Inputs!$B$5,0,Inputs!$B$5,1)),"")</f>
        <v>0.898632580145437</v>
      </c>
      <c r="H1209" s="8" t="n">
        <f aca="false">MAX(C1209-D1209,ABS(C1209-E1208),ABS(D1209-E1208))</f>
        <v>0.0126490012938242</v>
      </c>
      <c r="I1209" s="8" t="n">
        <f aca="true">IF(ROW()-2&lt;14,"",IF(ROW()-2=14,AVERAGE(OFFSET(H1209,-13,0,14,1)),(I1208*13+H1209)/14))</f>
        <v>0.00977407483771976</v>
      </c>
      <c r="J1209" s="9" t="b">
        <f aca="false">IF(AND(ISNUMBER(F1209),ISNUMBER(G1209),ISNUMBER(F1208),ISNUMBER(G1208)),AND(F1209&gt;G1209,F1208&lt;=G1208),FALSE())</f>
        <v>0</v>
      </c>
      <c r="K1209" s="9" t="b">
        <f aca="false">IF(AND(ISNUMBER(F1209),ISNUMBER(G1209),ISNUMBER(F1208),ISNUMBER(G1208)),AND(F1209&lt;G1209,F1208&gt;=G1208),FALSE())</f>
        <v>0</v>
      </c>
      <c r="L1209" s="8" t="n">
        <f aca="false">IF(ISNUMBER(I1209),E1209-Inputs!$B$6*I1209,"")</f>
        <v>0.878015401110841</v>
      </c>
      <c r="M1209" s="9" t="b">
        <f aca="false">AND(Y1208&gt;0,Z1208)</f>
        <v>0</v>
      </c>
      <c r="N1209" s="8" t="n">
        <f aca="false">B1209*(1-Inputs!$B$12)</f>
        <v>0.90515056606953</v>
      </c>
      <c r="O1209" s="10" t="n">
        <f aca="false">IF(M1209,Y1208*(N1209-AB1208)-Inputs!$B$9-Y1208*AD1208*Inputs!$B$13*(A1209-AC1208),0)</f>
        <v>0</v>
      </c>
      <c r="P1209" s="10" t="n">
        <f aca="false">X1208+O1209</f>
        <v>949.73021558356</v>
      </c>
      <c r="Q1209" s="9" t="b">
        <f aca="false">AND(IF(M1209,0,Y1208)=0,AA1208,IF(ISNUMBER(AE1208),B1209&gt;AE1208,FALSE()))</f>
        <v>0</v>
      </c>
      <c r="R1209" s="8" t="n">
        <f aca="false">B1209*(1+Inputs!$B$12)</f>
        <v>0.905512698722488</v>
      </c>
      <c r="S1209" s="11" t="n">
        <f aca="false">IF(Q1209,MIN(P1209*Inputs!$B$3/(R1209-AE1208),P1209*Inputs!$B$11/R1209),0)</f>
        <v>0</v>
      </c>
      <c r="T1209" s="11" t="n">
        <f aca="false">IF(Q1209,S1209,IF(M1209,0,Y1208))</f>
        <v>0</v>
      </c>
      <c r="U1209" s="8" t="n">
        <f aca="false">IF(Q1209,AE1208,AF1208)</f>
        <v>0.835624367549931</v>
      </c>
      <c r="V1209" s="9" t="b">
        <f aca="false">AND(T1209&gt;0,D1209&lt;=U1209)</f>
        <v>0</v>
      </c>
      <c r="W1209" s="10" t="n">
        <f aca="false">IF(V1209,T1209*(AK1209-AB1209)-Inputs!$B$9-T1209*AD1209*Inputs!$B$13*(A1209-AC1209),0)</f>
        <v>0</v>
      </c>
      <c r="X1209" s="10" t="n">
        <f aca="false">P1209-IF(Q1209,Inputs!$B$9,0)+W1209</f>
        <v>949.73021558356</v>
      </c>
      <c r="Y1209" s="11" t="n">
        <f aca="false">IF(V1209,0,T1209)</f>
        <v>0</v>
      </c>
      <c r="Z1209" s="9" t="b">
        <f aca="false">AND(Y1209&gt;0,K1209)</f>
        <v>0</v>
      </c>
      <c r="AA1209" s="9" t="b">
        <f aca="false">AND(Y1209=0,J1209,ISNUMBER(L1209))</f>
        <v>0</v>
      </c>
      <c r="AB1209" s="8" t="n">
        <f aca="false">IF(Q1209,R1209,AB1208)</f>
        <v>0.852139558595783</v>
      </c>
      <c r="AC1209" s="12" t="n">
        <f aca="false">IF(Q1209,A1209,AC1208)</f>
        <v>45888</v>
      </c>
      <c r="AD1209" s="8" t="n">
        <f aca="false">IF(Q1209,B1209,AD1208)</f>
        <v>0.85196916476283</v>
      </c>
      <c r="AE1209" s="8" t="str">
        <f aca="false">IF(AA1209,L1209,"")</f>
        <v/>
      </c>
      <c r="AF1209" s="8" t="n">
        <f aca="false">U1209</f>
        <v>0.835624367549931</v>
      </c>
      <c r="AG1209" s="2" t="n">
        <f aca="false">AG1208+IF(Q1209,1,0)</f>
        <v>12</v>
      </c>
      <c r="AH1209" s="2" t="n">
        <f aca="false">AG1208</f>
        <v>12</v>
      </c>
      <c r="AI1209" s="10" t="n">
        <f aca="false">X1209+Y1209*(E1209-AB1209)-Y1209*AD1209*Inputs!$B$13*(A1209-AC1209)</f>
        <v>949.73021558356</v>
      </c>
      <c r="AJ1209" s="10" t="n">
        <v>0</v>
      </c>
      <c r="AK1209" s="8" t="n">
        <f aca="false">IF(AND(B1209&lt;=U1209,NOT(Q1209)),B1209,U1209)*(1-Inputs!$B$12)</f>
        <v>0.835457242676421</v>
      </c>
    </row>
    <row r="1210" customFormat="false" ht="15" hidden="false" customHeight="false" outlineLevel="0" collapsed="false">
      <c r="A1210" s="6" t="n">
        <v>45994</v>
      </c>
      <c r="B1210" s="7" t="n">
        <v>0.897563550786281</v>
      </c>
      <c r="C1210" s="7" t="n">
        <v>0.899068110261903</v>
      </c>
      <c r="D1210" s="7" t="n">
        <v>0.889511230236558</v>
      </c>
      <c r="E1210" s="7" t="n">
        <v>0.895281032319768</v>
      </c>
      <c r="F1210" s="8" t="n">
        <f aca="true">IF(ROW()-2&gt;=Inputs!$B$4,AVERAGE(OFFSET(E1210,1-Inputs!$B$4,0,Inputs!$B$4,1)),"")</f>
        <v>0.890748050816083</v>
      </c>
      <c r="G1210" s="8" t="n">
        <f aca="true">IF(ROW()-2&gt;=Inputs!$B$5,AVERAGE(OFFSET(E1210,1-Inputs!$B$5,0,Inputs!$B$5,1)),"")</f>
        <v>0.898663268568938</v>
      </c>
      <c r="H1210" s="8" t="n">
        <f aca="false">MAX(C1210-D1210,ABS(C1210-E1209),ABS(D1210-E1209))</f>
        <v>0.00955688002534472</v>
      </c>
      <c r="I1210" s="8" t="n">
        <f aca="true">IF(ROW()-2&lt;14,"",IF(ROW()-2=14,AVERAGE(OFFSET(H1210,-13,0,14,1)),(I1209*13+H1210)/14))</f>
        <v>0.00975856092255012</v>
      </c>
      <c r="J1210" s="9" t="b">
        <f aca="false">IF(AND(ISNUMBER(F1210),ISNUMBER(G1210),ISNUMBER(F1209),ISNUMBER(G1209)),AND(F1210&gt;G1210,F1209&lt;=G1209),FALSE())</f>
        <v>0</v>
      </c>
      <c r="K1210" s="9" t="b">
        <f aca="false">IF(AND(ISNUMBER(F1210),ISNUMBER(G1210),ISNUMBER(F1209),ISNUMBER(G1209)),AND(F1210&lt;G1210,F1209&gt;=G1209),FALSE())</f>
        <v>0</v>
      </c>
      <c r="L1210" s="8" t="n">
        <f aca="false">IF(ISNUMBER(I1210),E1210-Inputs!$B$6*I1210,"")</f>
        <v>0.875763910474668</v>
      </c>
      <c r="M1210" s="9" t="b">
        <f aca="false">AND(Y1209&gt;0,Z1209)</f>
        <v>0</v>
      </c>
      <c r="N1210" s="8" t="n">
        <f aca="false">B1210*(1-Inputs!$B$12)</f>
        <v>0.897384038076123</v>
      </c>
      <c r="O1210" s="10" t="n">
        <f aca="false">IF(M1210,Y1209*(N1210-AB1209)-Inputs!$B$9-Y1209*AD1209*Inputs!$B$13*(A1210-AC1209),0)</f>
        <v>0</v>
      </c>
      <c r="P1210" s="10" t="n">
        <f aca="false">X1209+O1210</f>
        <v>949.73021558356</v>
      </c>
      <c r="Q1210" s="9" t="b">
        <f aca="false">AND(IF(M1210,0,Y1209)=0,AA1209,IF(ISNUMBER(AE1209),B1210&gt;AE1209,FALSE()))</f>
        <v>0</v>
      </c>
      <c r="R1210" s="8" t="n">
        <f aca="false">B1210*(1+Inputs!$B$12)</f>
        <v>0.897743063496438</v>
      </c>
      <c r="S1210" s="11" t="n">
        <f aca="false">IF(Q1210,MIN(P1210*Inputs!$B$3/(R1210-AE1209),P1210*Inputs!$B$11/R1210),0)</f>
        <v>0</v>
      </c>
      <c r="T1210" s="11" t="n">
        <f aca="false">IF(Q1210,S1210,IF(M1210,0,Y1209))</f>
        <v>0</v>
      </c>
      <c r="U1210" s="8" t="n">
        <f aca="false">IF(Q1210,AE1209,AF1209)</f>
        <v>0.835624367549931</v>
      </c>
      <c r="V1210" s="9" t="b">
        <f aca="false">AND(T1210&gt;0,D1210&lt;=U1210)</f>
        <v>0</v>
      </c>
      <c r="W1210" s="10" t="n">
        <f aca="false">IF(V1210,T1210*(AK1210-AB1210)-Inputs!$B$9-T1210*AD1210*Inputs!$B$13*(A1210-AC1210),0)</f>
        <v>0</v>
      </c>
      <c r="X1210" s="10" t="n">
        <f aca="false">P1210-IF(Q1210,Inputs!$B$9,0)+W1210</f>
        <v>949.73021558356</v>
      </c>
      <c r="Y1210" s="11" t="n">
        <f aca="false">IF(V1210,0,T1210)</f>
        <v>0</v>
      </c>
      <c r="Z1210" s="9" t="b">
        <f aca="false">AND(Y1210&gt;0,K1210)</f>
        <v>0</v>
      </c>
      <c r="AA1210" s="9" t="b">
        <f aca="false">AND(Y1210=0,J1210,ISNUMBER(L1210))</f>
        <v>0</v>
      </c>
      <c r="AB1210" s="8" t="n">
        <f aca="false">IF(Q1210,R1210,AB1209)</f>
        <v>0.852139558595783</v>
      </c>
      <c r="AC1210" s="12" t="n">
        <f aca="false">IF(Q1210,A1210,AC1209)</f>
        <v>45888</v>
      </c>
      <c r="AD1210" s="8" t="n">
        <f aca="false">IF(Q1210,B1210,AD1209)</f>
        <v>0.85196916476283</v>
      </c>
      <c r="AE1210" s="8" t="str">
        <f aca="false">IF(AA1210,L1210,"")</f>
        <v/>
      </c>
      <c r="AF1210" s="8" t="n">
        <f aca="false">U1210</f>
        <v>0.835624367549931</v>
      </c>
      <c r="AG1210" s="2" t="n">
        <f aca="false">AG1209+IF(Q1210,1,0)</f>
        <v>12</v>
      </c>
      <c r="AH1210" s="2" t="n">
        <f aca="false">AG1209</f>
        <v>12</v>
      </c>
      <c r="AI1210" s="10" t="n">
        <f aca="false">X1210+Y1210*(E1210-AB1210)-Y1210*AD1210*Inputs!$B$13*(A1210-AC1210)</f>
        <v>949.73021558356</v>
      </c>
      <c r="AJ1210" s="10" t="n">
        <v>0</v>
      </c>
      <c r="AK1210" s="8" t="n">
        <f aca="false">IF(AND(B1210&lt;=U1210,NOT(Q1210)),B1210,U1210)*(1-Inputs!$B$12)</f>
        <v>0.835457242676421</v>
      </c>
    </row>
    <row r="1211" customFormat="false" ht="15" hidden="false" customHeight="false" outlineLevel="0" collapsed="false">
      <c r="A1211" s="6" t="n">
        <v>45995</v>
      </c>
      <c r="B1211" s="7" t="n">
        <v>0.895281032319768</v>
      </c>
      <c r="C1211" s="7" t="n">
        <v>0.899471717458718</v>
      </c>
      <c r="D1211" s="7" t="n">
        <v>0.892032937479205</v>
      </c>
      <c r="E1211" s="7" t="n">
        <v>0.893406031964498</v>
      </c>
      <c r="F1211" s="8" t="n">
        <f aca="true">IF(ROW()-2&gt;=Inputs!$B$4,AVERAGE(OFFSET(E1211,1-Inputs!$B$4,0,Inputs!$B$4,1)),"")</f>
        <v>0.890465204273377</v>
      </c>
      <c r="G1211" s="8" t="n">
        <f aca="true">IF(ROW()-2&gt;=Inputs!$B$5,AVERAGE(OFFSET(E1211,1-Inputs!$B$5,0,Inputs!$B$5,1)),"")</f>
        <v>0.898775199440156</v>
      </c>
      <c r="H1211" s="8" t="n">
        <f aca="false">MAX(C1211-D1211,ABS(C1211-E1210),ABS(D1211-E1210))</f>
        <v>0.00743877997951348</v>
      </c>
      <c r="I1211" s="8" t="n">
        <f aca="true">IF(ROW()-2&lt;14,"",IF(ROW()-2=14,AVERAGE(OFFSET(H1211,-13,0,14,1)),(I1210*13+H1211)/14))</f>
        <v>0.00959286228376179</v>
      </c>
      <c r="J1211" s="9" t="b">
        <f aca="false">IF(AND(ISNUMBER(F1211),ISNUMBER(G1211),ISNUMBER(F1210),ISNUMBER(G1210)),AND(F1211&gt;G1211,F1210&lt;=G1210),FALSE())</f>
        <v>0</v>
      </c>
      <c r="K1211" s="9" t="b">
        <f aca="false">IF(AND(ISNUMBER(F1211),ISNUMBER(G1211),ISNUMBER(F1210),ISNUMBER(G1210)),AND(F1211&lt;G1211,F1210&gt;=G1210),FALSE())</f>
        <v>0</v>
      </c>
      <c r="L1211" s="8" t="n">
        <f aca="false">IF(ISNUMBER(I1211),E1211-Inputs!$B$6*I1211,"")</f>
        <v>0.874220307396974</v>
      </c>
      <c r="M1211" s="9" t="b">
        <f aca="false">AND(Y1210&gt;0,Z1210)</f>
        <v>0</v>
      </c>
      <c r="N1211" s="8" t="n">
        <f aca="false">B1211*(1-Inputs!$B$12)</f>
        <v>0.895101976113304</v>
      </c>
      <c r="O1211" s="10" t="n">
        <f aca="false">IF(M1211,Y1210*(N1211-AB1210)-Inputs!$B$9-Y1210*AD1210*Inputs!$B$13*(A1211-AC1210),0)</f>
        <v>0</v>
      </c>
      <c r="P1211" s="10" t="n">
        <f aca="false">X1210+O1211</f>
        <v>949.73021558356</v>
      </c>
      <c r="Q1211" s="9" t="b">
        <f aca="false">AND(IF(M1211,0,Y1210)=0,AA1210,IF(ISNUMBER(AE1210),B1211&gt;AE1210,FALSE()))</f>
        <v>0</v>
      </c>
      <c r="R1211" s="8" t="n">
        <f aca="false">B1211*(1+Inputs!$B$12)</f>
        <v>0.895460088526232</v>
      </c>
      <c r="S1211" s="11" t="n">
        <f aca="false">IF(Q1211,MIN(P1211*Inputs!$B$3/(R1211-AE1210),P1211*Inputs!$B$11/R1211),0)</f>
        <v>0</v>
      </c>
      <c r="T1211" s="11" t="n">
        <f aca="false">IF(Q1211,S1211,IF(M1211,0,Y1210))</f>
        <v>0</v>
      </c>
      <c r="U1211" s="8" t="n">
        <f aca="false">IF(Q1211,AE1210,AF1210)</f>
        <v>0.835624367549931</v>
      </c>
      <c r="V1211" s="9" t="b">
        <f aca="false">AND(T1211&gt;0,D1211&lt;=U1211)</f>
        <v>0</v>
      </c>
      <c r="W1211" s="10" t="n">
        <f aca="false">IF(V1211,T1211*(AK1211-AB1211)-Inputs!$B$9-T1211*AD1211*Inputs!$B$13*(A1211-AC1211),0)</f>
        <v>0</v>
      </c>
      <c r="X1211" s="10" t="n">
        <f aca="false">P1211-IF(Q1211,Inputs!$B$9,0)+W1211</f>
        <v>949.73021558356</v>
      </c>
      <c r="Y1211" s="11" t="n">
        <f aca="false">IF(V1211,0,T1211)</f>
        <v>0</v>
      </c>
      <c r="Z1211" s="9" t="b">
        <f aca="false">AND(Y1211&gt;0,K1211)</f>
        <v>0</v>
      </c>
      <c r="AA1211" s="9" t="b">
        <f aca="false">AND(Y1211=0,J1211,ISNUMBER(L1211))</f>
        <v>0</v>
      </c>
      <c r="AB1211" s="8" t="n">
        <f aca="false">IF(Q1211,R1211,AB1210)</f>
        <v>0.852139558595783</v>
      </c>
      <c r="AC1211" s="12" t="n">
        <f aca="false">IF(Q1211,A1211,AC1210)</f>
        <v>45888</v>
      </c>
      <c r="AD1211" s="8" t="n">
        <f aca="false">IF(Q1211,B1211,AD1210)</f>
        <v>0.85196916476283</v>
      </c>
      <c r="AE1211" s="8" t="str">
        <f aca="false">IF(AA1211,L1211,"")</f>
        <v/>
      </c>
      <c r="AF1211" s="8" t="n">
        <f aca="false">U1211</f>
        <v>0.835624367549931</v>
      </c>
      <c r="AG1211" s="2" t="n">
        <f aca="false">AG1210+IF(Q1211,1,0)</f>
        <v>12</v>
      </c>
      <c r="AH1211" s="2" t="n">
        <f aca="false">AG1210</f>
        <v>12</v>
      </c>
      <c r="AI1211" s="10" t="n">
        <f aca="false">X1211+Y1211*(E1211-AB1211)-Y1211*AD1211*Inputs!$B$13*(A1211-AC1211)</f>
        <v>949.73021558356</v>
      </c>
      <c r="AJ1211" s="10" t="n">
        <v>0</v>
      </c>
      <c r="AK1211" s="8" t="n">
        <f aca="false">IF(AND(B1211&lt;=U1211,NOT(Q1211)),B1211,U1211)*(1-Inputs!$B$12)</f>
        <v>0.835457242676421</v>
      </c>
    </row>
    <row r="1212" customFormat="false" ht="15" hidden="false" customHeight="false" outlineLevel="0" collapsed="false">
      <c r="A1212" s="6" t="n">
        <v>45996</v>
      </c>
      <c r="B1212" s="7" t="n">
        <v>0.893406031964498</v>
      </c>
      <c r="C1212" s="7" t="n">
        <v>0.897789018394195</v>
      </c>
      <c r="D1212" s="7" t="n">
        <v>0.891628465926847</v>
      </c>
      <c r="E1212" s="7" t="n">
        <v>0.895952078672244</v>
      </c>
      <c r="F1212" s="8" t="n">
        <f aca="true">IF(ROW()-2&gt;=Inputs!$B$4,AVERAGE(OFFSET(E1212,1-Inputs!$B$4,0,Inputs!$B$4,1)),"")</f>
        <v>0.890241080375322</v>
      </c>
      <c r="G1212" s="8" t="n">
        <f aca="true">IF(ROW()-2&gt;=Inputs!$B$5,AVERAGE(OFFSET(E1212,1-Inputs!$B$5,0,Inputs!$B$5,1)),"")</f>
        <v>0.898809667836033</v>
      </c>
      <c r="H1212" s="8" t="n">
        <f aca="false">MAX(C1212-D1212,ABS(C1212-E1211),ABS(D1212-E1211))</f>
        <v>0.00616055246734804</v>
      </c>
      <c r="I1212" s="8" t="n">
        <f aca="true">IF(ROW()-2&lt;14,"",IF(ROW()-2=14,AVERAGE(OFFSET(H1212,-13,0,14,1)),(I1211*13+H1212)/14))</f>
        <v>0.00934769729687509</v>
      </c>
      <c r="J1212" s="9" t="b">
        <f aca="false">IF(AND(ISNUMBER(F1212),ISNUMBER(G1212),ISNUMBER(F1211),ISNUMBER(G1211)),AND(F1212&gt;G1212,F1211&lt;=G1211),FALSE())</f>
        <v>0</v>
      </c>
      <c r="K1212" s="9" t="b">
        <f aca="false">IF(AND(ISNUMBER(F1212),ISNUMBER(G1212),ISNUMBER(F1211),ISNUMBER(G1211)),AND(F1212&lt;G1212,F1211&gt;=G1211),FALSE())</f>
        <v>0</v>
      </c>
      <c r="L1212" s="8" t="n">
        <f aca="false">IF(ISNUMBER(I1212),E1212-Inputs!$B$6*I1212,"")</f>
        <v>0.877256684078494</v>
      </c>
      <c r="M1212" s="9" t="b">
        <f aca="false">AND(Y1211&gt;0,Z1211)</f>
        <v>0</v>
      </c>
      <c r="N1212" s="8" t="n">
        <f aca="false">B1212*(1-Inputs!$B$12)</f>
        <v>0.893227350758105</v>
      </c>
      <c r="O1212" s="10" t="n">
        <f aca="false">IF(M1212,Y1211*(N1212-AB1211)-Inputs!$B$9-Y1211*AD1211*Inputs!$B$13*(A1212-AC1211),0)</f>
        <v>0</v>
      </c>
      <c r="P1212" s="10" t="n">
        <f aca="false">X1211+O1212</f>
        <v>949.73021558356</v>
      </c>
      <c r="Q1212" s="9" t="b">
        <f aca="false">AND(IF(M1212,0,Y1211)=0,AA1211,IF(ISNUMBER(AE1211),B1212&gt;AE1211,FALSE()))</f>
        <v>0</v>
      </c>
      <c r="R1212" s="8" t="n">
        <f aca="false">B1212*(1+Inputs!$B$12)</f>
        <v>0.893584713170891</v>
      </c>
      <c r="S1212" s="11" t="n">
        <f aca="false">IF(Q1212,MIN(P1212*Inputs!$B$3/(R1212-AE1211),P1212*Inputs!$B$11/R1212),0)</f>
        <v>0</v>
      </c>
      <c r="T1212" s="11" t="n">
        <f aca="false">IF(Q1212,S1212,IF(M1212,0,Y1211))</f>
        <v>0</v>
      </c>
      <c r="U1212" s="8" t="n">
        <f aca="false">IF(Q1212,AE1211,AF1211)</f>
        <v>0.835624367549931</v>
      </c>
      <c r="V1212" s="9" t="b">
        <f aca="false">AND(T1212&gt;0,D1212&lt;=U1212)</f>
        <v>0</v>
      </c>
      <c r="W1212" s="10" t="n">
        <f aca="false">IF(V1212,T1212*(AK1212-AB1212)-Inputs!$B$9-T1212*AD1212*Inputs!$B$13*(A1212-AC1212),0)</f>
        <v>0</v>
      </c>
      <c r="X1212" s="10" t="n">
        <f aca="false">P1212-IF(Q1212,Inputs!$B$9,0)+W1212</f>
        <v>949.73021558356</v>
      </c>
      <c r="Y1212" s="11" t="n">
        <f aca="false">IF(V1212,0,T1212)</f>
        <v>0</v>
      </c>
      <c r="Z1212" s="9" t="b">
        <f aca="false">AND(Y1212&gt;0,K1212)</f>
        <v>0</v>
      </c>
      <c r="AA1212" s="9" t="b">
        <f aca="false">AND(Y1212=0,J1212,ISNUMBER(L1212))</f>
        <v>0</v>
      </c>
      <c r="AB1212" s="8" t="n">
        <f aca="false">IF(Q1212,R1212,AB1211)</f>
        <v>0.852139558595783</v>
      </c>
      <c r="AC1212" s="12" t="n">
        <f aca="false">IF(Q1212,A1212,AC1211)</f>
        <v>45888</v>
      </c>
      <c r="AD1212" s="8" t="n">
        <f aca="false">IF(Q1212,B1212,AD1211)</f>
        <v>0.85196916476283</v>
      </c>
      <c r="AE1212" s="8" t="str">
        <f aca="false">IF(AA1212,L1212,"")</f>
        <v/>
      </c>
      <c r="AF1212" s="8" t="n">
        <f aca="false">U1212</f>
        <v>0.835624367549931</v>
      </c>
      <c r="AG1212" s="2" t="n">
        <f aca="false">AG1211+IF(Q1212,1,0)</f>
        <v>12</v>
      </c>
      <c r="AH1212" s="2" t="n">
        <f aca="false">AG1211</f>
        <v>12</v>
      </c>
      <c r="AI1212" s="10" t="n">
        <f aca="false">X1212+Y1212*(E1212-AB1212)-Y1212*AD1212*Inputs!$B$13*(A1212-AC1212)</f>
        <v>949.73021558356</v>
      </c>
      <c r="AJ1212" s="10" t="n">
        <v>0</v>
      </c>
      <c r="AK1212" s="8" t="n">
        <f aca="false">IF(AND(B1212&lt;=U1212,NOT(Q1212)),B1212,U1212)*(1-Inputs!$B$12)</f>
        <v>0.835457242676421</v>
      </c>
    </row>
    <row r="1213" customFormat="false" ht="15" hidden="false" customHeight="false" outlineLevel="0" collapsed="false">
      <c r="A1213" s="6" t="n">
        <v>45997</v>
      </c>
      <c r="B1213" s="7" t="n">
        <v>0.895952078672244</v>
      </c>
      <c r="C1213" s="7" t="n">
        <v>0.898318384437941</v>
      </c>
      <c r="D1213" s="7" t="n">
        <v>0.889835853093012</v>
      </c>
      <c r="E1213" s="7" t="n">
        <v>0.891137475780037</v>
      </c>
      <c r="F1213" s="8" t="n">
        <f aca="true">IF(ROW()-2&gt;=Inputs!$B$4,AVERAGE(OFFSET(E1213,1-Inputs!$B$4,0,Inputs!$B$4,1)),"")</f>
        <v>0.889825066625317</v>
      </c>
      <c r="G1213" s="8" t="n">
        <f aca="true">IF(ROW()-2&gt;=Inputs!$B$5,AVERAGE(OFFSET(E1213,1-Inputs!$B$5,0,Inputs!$B$5,1)),"")</f>
        <v>0.898844383363429</v>
      </c>
      <c r="H1213" s="8" t="n">
        <f aca="false">MAX(C1213-D1213,ABS(C1213-E1212),ABS(D1213-E1212))</f>
        <v>0.00848253134492916</v>
      </c>
      <c r="I1213" s="8" t="n">
        <f aca="true">IF(ROW()-2&lt;14,"",IF(ROW()-2=14,AVERAGE(OFFSET(H1213,-13,0,14,1)),(I1212*13+H1213)/14))</f>
        <v>0.00928589972887895</v>
      </c>
      <c r="J1213" s="9" t="b">
        <f aca="false">IF(AND(ISNUMBER(F1213),ISNUMBER(G1213),ISNUMBER(F1212),ISNUMBER(G1212)),AND(F1213&gt;G1213,F1212&lt;=G1212),FALSE())</f>
        <v>0</v>
      </c>
      <c r="K1213" s="9" t="b">
        <f aca="false">IF(AND(ISNUMBER(F1213),ISNUMBER(G1213),ISNUMBER(F1212),ISNUMBER(G1212)),AND(F1213&lt;G1213,F1212&gt;=G1212),FALSE())</f>
        <v>0</v>
      </c>
      <c r="L1213" s="8" t="n">
        <f aca="false">IF(ISNUMBER(I1213),E1213-Inputs!$B$6*I1213,"")</f>
        <v>0.87256567632228</v>
      </c>
      <c r="M1213" s="9" t="b">
        <f aca="false">AND(Y1212&gt;0,Z1212)</f>
        <v>0</v>
      </c>
      <c r="N1213" s="8" t="n">
        <f aca="false">B1213*(1-Inputs!$B$12)</f>
        <v>0.895772888256509</v>
      </c>
      <c r="O1213" s="10" t="n">
        <f aca="false">IF(M1213,Y1212*(N1213-AB1212)-Inputs!$B$9-Y1212*AD1212*Inputs!$B$13*(A1213-AC1212),0)</f>
        <v>0</v>
      </c>
      <c r="P1213" s="10" t="n">
        <f aca="false">X1212+O1213</f>
        <v>949.73021558356</v>
      </c>
      <c r="Q1213" s="9" t="b">
        <f aca="false">AND(IF(M1213,0,Y1212)=0,AA1212,IF(ISNUMBER(AE1212),B1213&gt;AE1212,FALSE()))</f>
        <v>0</v>
      </c>
      <c r="R1213" s="8" t="n">
        <f aca="false">B1213*(1+Inputs!$B$12)</f>
        <v>0.896131269087978</v>
      </c>
      <c r="S1213" s="11" t="n">
        <f aca="false">IF(Q1213,MIN(P1213*Inputs!$B$3/(R1213-AE1212),P1213*Inputs!$B$11/R1213),0)</f>
        <v>0</v>
      </c>
      <c r="T1213" s="11" t="n">
        <f aca="false">IF(Q1213,S1213,IF(M1213,0,Y1212))</f>
        <v>0</v>
      </c>
      <c r="U1213" s="8" t="n">
        <f aca="false">IF(Q1213,AE1212,AF1212)</f>
        <v>0.835624367549931</v>
      </c>
      <c r="V1213" s="9" t="b">
        <f aca="false">AND(T1213&gt;0,D1213&lt;=U1213)</f>
        <v>0</v>
      </c>
      <c r="W1213" s="10" t="n">
        <f aca="false">IF(V1213,T1213*(AK1213-AB1213)-Inputs!$B$9-T1213*AD1213*Inputs!$B$13*(A1213-AC1213),0)</f>
        <v>0</v>
      </c>
      <c r="X1213" s="10" t="n">
        <f aca="false">P1213-IF(Q1213,Inputs!$B$9,0)+W1213</f>
        <v>949.73021558356</v>
      </c>
      <c r="Y1213" s="11" t="n">
        <f aca="false">IF(V1213,0,T1213)</f>
        <v>0</v>
      </c>
      <c r="Z1213" s="9" t="b">
        <f aca="false">AND(Y1213&gt;0,K1213)</f>
        <v>0</v>
      </c>
      <c r="AA1213" s="9" t="b">
        <f aca="false">AND(Y1213=0,J1213,ISNUMBER(L1213))</f>
        <v>0</v>
      </c>
      <c r="AB1213" s="8" t="n">
        <f aca="false">IF(Q1213,R1213,AB1212)</f>
        <v>0.852139558595783</v>
      </c>
      <c r="AC1213" s="12" t="n">
        <f aca="false">IF(Q1213,A1213,AC1212)</f>
        <v>45888</v>
      </c>
      <c r="AD1213" s="8" t="n">
        <f aca="false">IF(Q1213,B1213,AD1212)</f>
        <v>0.85196916476283</v>
      </c>
      <c r="AE1213" s="8" t="str">
        <f aca="false">IF(AA1213,L1213,"")</f>
        <v/>
      </c>
      <c r="AF1213" s="8" t="n">
        <f aca="false">U1213</f>
        <v>0.835624367549931</v>
      </c>
      <c r="AG1213" s="2" t="n">
        <f aca="false">AG1212+IF(Q1213,1,0)</f>
        <v>12</v>
      </c>
      <c r="AH1213" s="2" t="n">
        <f aca="false">AG1212</f>
        <v>12</v>
      </c>
      <c r="AI1213" s="10" t="n">
        <f aca="false">X1213+Y1213*(E1213-AB1213)-Y1213*AD1213*Inputs!$B$13*(A1213-AC1213)</f>
        <v>949.73021558356</v>
      </c>
      <c r="AJ1213" s="10" t="n">
        <v>0</v>
      </c>
      <c r="AK1213" s="8" t="n">
        <f aca="false">IF(AND(B1213&lt;=U1213,NOT(Q1213)),B1213,U1213)*(1-Inputs!$B$12)</f>
        <v>0.835457242676421</v>
      </c>
    </row>
    <row r="1214" customFormat="false" ht="15" hidden="false" customHeight="false" outlineLevel="0" collapsed="false">
      <c r="A1214" s="6" t="n">
        <v>45998</v>
      </c>
      <c r="B1214" s="7" t="n">
        <v>0.891137475780037</v>
      </c>
      <c r="C1214" s="7" t="n">
        <v>0.897495546516655</v>
      </c>
      <c r="D1214" s="7" t="n">
        <v>0.890206781599742</v>
      </c>
      <c r="E1214" s="7" t="n">
        <v>0.896395988464278</v>
      </c>
      <c r="F1214" s="8" t="n">
        <f aca="true">IF(ROW()-2&gt;=Inputs!$B$4,AVERAGE(OFFSET(E1214,1-Inputs!$B$4,0,Inputs!$B$4,1)),"")</f>
        <v>0.889612124302019</v>
      </c>
      <c r="G1214" s="8" t="n">
        <f aca="true">IF(ROW()-2&gt;=Inputs!$B$5,AVERAGE(OFFSET(E1214,1-Inputs!$B$5,0,Inputs!$B$5,1)),"")</f>
        <v>0.898947660387244</v>
      </c>
      <c r="H1214" s="8" t="n">
        <f aca="false">MAX(C1214-D1214,ABS(C1214-E1213),ABS(D1214-E1213))</f>
        <v>0.0072887649169131</v>
      </c>
      <c r="I1214" s="8" t="n">
        <f aca="true">IF(ROW()-2&lt;14,"",IF(ROW()-2=14,AVERAGE(OFFSET(H1214,-13,0,14,1)),(I1213*13+H1214)/14))</f>
        <v>0.00914324724230996</v>
      </c>
      <c r="J1214" s="9" t="b">
        <f aca="false">IF(AND(ISNUMBER(F1214),ISNUMBER(G1214),ISNUMBER(F1213),ISNUMBER(G1213)),AND(F1214&gt;G1214,F1213&lt;=G1213),FALSE())</f>
        <v>0</v>
      </c>
      <c r="K1214" s="9" t="b">
        <f aca="false">IF(AND(ISNUMBER(F1214),ISNUMBER(G1214),ISNUMBER(F1213),ISNUMBER(G1213)),AND(F1214&lt;G1214,F1213&gt;=G1213),FALSE())</f>
        <v>0</v>
      </c>
      <c r="L1214" s="8" t="n">
        <f aca="false">IF(ISNUMBER(I1214),E1214-Inputs!$B$6*I1214,"")</f>
        <v>0.878109493979658</v>
      </c>
      <c r="M1214" s="9" t="b">
        <f aca="false">AND(Y1213&gt;0,Z1213)</f>
        <v>0</v>
      </c>
      <c r="N1214" s="8" t="n">
        <f aca="false">B1214*(1-Inputs!$B$12)</f>
        <v>0.890959248284882</v>
      </c>
      <c r="O1214" s="10" t="n">
        <f aca="false">IF(M1214,Y1213*(N1214-AB1213)-Inputs!$B$9-Y1213*AD1213*Inputs!$B$13*(A1214-AC1213),0)</f>
        <v>0</v>
      </c>
      <c r="P1214" s="10" t="n">
        <f aca="false">X1213+O1214</f>
        <v>949.73021558356</v>
      </c>
      <c r="Q1214" s="9" t="b">
        <f aca="false">AND(IF(M1214,0,Y1213)=0,AA1213,IF(ISNUMBER(AE1213),B1214&gt;AE1213,FALSE()))</f>
        <v>0</v>
      </c>
      <c r="R1214" s="8" t="n">
        <f aca="false">B1214*(1+Inputs!$B$12)</f>
        <v>0.891315703275193</v>
      </c>
      <c r="S1214" s="11" t="n">
        <f aca="false">IF(Q1214,MIN(P1214*Inputs!$B$3/(R1214-AE1213),P1214*Inputs!$B$11/R1214),0)</f>
        <v>0</v>
      </c>
      <c r="T1214" s="11" t="n">
        <f aca="false">IF(Q1214,S1214,IF(M1214,0,Y1213))</f>
        <v>0</v>
      </c>
      <c r="U1214" s="8" t="n">
        <f aca="false">IF(Q1214,AE1213,AF1213)</f>
        <v>0.835624367549931</v>
      </c>
      <c r="V1214" s="9" t="b">
        <f aca="false">AND(T1214&gt;0,D1214&lt;=U1214)</f>
        <v>0</v>
      </c>
      <c r="W1214" s="10" t="n">
        <f aca="false">IF(V1214,T1214*(AK1214-AB1214)-Inputs!$B$9-T1214*AD1214*Inputs!$B$13*(A1214-AC1214),0)</f>
        <v>0</v>
      </c>
      <c r="X1214" s="10" t="n">
        <f aca="false">P1214-IF(Q1214,Inputs!$B$9,0)+W1214</f>
        <v>949.73021558356</v>
      </c>
      <c r="Y1214" s="11" t="n">
        <f aca="false">IF(V1214,0,T1214)</f>
        <v>0</v>
      </c>
      <c r="Z1214" s="9" t="b">
        <f aca="false">AND(Y1214&gt;0,K1214)</f>
        <v>0</v>
      </c>
      <c r="AA1214" s="9" t="b">
        <f aca="false">AND(Y1214=0,J1214,ISNUMBER(L1214))</f>
        <v>0</v>
      </c>
      <c r="AB1214" s="8" t="n">
        <f aca="false">IF(Q1214,R1214,AB1213)</f>
        <v>0.852139558595783</v>
      </c>
      <c r="AC1214" s="12" t="n">
        <f aca="false">IF(Q1214,A1214,AC1213)</f>
        <v>45888</v>
      </c>
      <c r="AD1214" s="8" t="n">
        <f aca="false">IF(Q1214,B1214,AD1213)</f>
        <v>0.85196916476283</v>
      </c>
      <c r="AE1214" s="8" t="str">
        <f aca="false">IF(AA1214,L1214,"")</f>
        <v/>
      </c>
      <c r="AF1214" s="8" t="n">
        <f aca="false">U1214</f>
        <v>0.835624367549931</v>
      </c>
      <c r="AG1214" s="2" t="n">
        <f aca="false">AG1213+IF(Q1214,1,0)</f>
        <v>12</v>
      </c>
      <c r="AH1214" s="2" t="n">
        <f aca="false">AG1213</f>
        <v>12</v>
      </c>
      <c r="AI1214" s="10" t="n">
        <f aca="false">X1214+Y1214*(E1214-AB1214)-Y1214*AD1214*Inputs!$B$13*(A1214-AC1214)</f>
        <v>949.73021558356</v>
      </c>
      <c r="AJ1214" s="10" t="n">
        <v>0</v>
      </c>
      <c r="AK1214" s="8" t="n">
        <f aca="false">IF(AND(B1214&lt;=U1214,NOT(Q1214)),B1214,U1214)*(1-Inputs!$B$12)</f>
        <v>0.835457242676421</v>
      </c>
    </row>
    <row r="1215" customFormat="false" ht="15" hidden="false" customHeight="false" outlineLevel="0" collapsed="false">
      <c r="A1215" s="6" t="n">
        <v>45999</v>
      </c>
      <c r="B1215" s="7" t="n">
        <v>0.896395988464278</v>
      </c>
      <c r="C1215" s="7" t="n">
        <v>0.901402226488946</v>
      </c>
      <c r="D1215" s="7" t="n">
        <v>0.89497046643526</v>
      </c>
      <c r="E1215" s="7" t="n">
        <v>0.898069657704051</v>
      </c>
      <c r="F1215" s="8" t="n">
        <f aca="true">IF(ROW()-2&gt;=Inputs!$B$4,AVERAGE(OFFSET(E1215,1-Inputs!$B$4,0,Inputs!$B$4,1)),"")</f>
        <v>0.889975349917619</v>
      </c>
      <c r="G1215" s="8" t="n">
        <f aca="true">IF(ROW()-2&gt;=Inputs!$B$5,AVERAGE(OFFSET(E1215,1-Inputs!$B$5,0,Inputs!$B$5,1)),"")</f>
        <v>0.899040785105458</v>
      </c>
      <c r="H1215" s="8" t="n">
        <f aca="false">MAX(C1215-D1215,ABS(C1215-E1214),ABS(D1215-E1214))</f>
        <v>0.00643176005368562</v>
      </c>
      <c r="I1215" s="8" t="n">
        <f aca="true">IF(ROW()-2&lt;14,"",IF(ROW()-2=14,AVERAGE(OFFSET(H1215,-13,0,14,1)),(I1214*13+H1215)/14))</f>
        <v>0.00894956958597965</v>
      </c>
      <c r="J1215" s="9" t="b">
        <f aca="false">IF(AND(ISNUMBER(F1215),ISNUMBER(G1215),ISNUMBER(F1214),ISNUMBER(G1214)),AND(F1215&gt;G1215,F1214&lt;=G1214),FALSE())</f>
        <v>0</v>
      </c>
      <c r="K1215" s="9" t="b">
        <f aca="false">IF(AND(ISNUMBER(F1215),ISNUMBER(G1215),ISNUMBER(F1214),ISNUMBER(G1214)),AND(F1215&lt;G1215,F1214&gt;=G1214),FALSE())</f>
        <v>0</v>
      </c>
      <c r="L1215" s="8" t="n">
        <f aca="false">IF(ISNUMBER(I1215),E1215-Inputs!$B$6*I1215,"")</f>
        <v>0.880170518532091</v>
      </c>
      <c r="M1215" s="9" t="b">
        <f aca="false">AND(Y1214&gt;0,Z1214)</f>
        <v>0</v>
      </c>
      <c r="N1215" s="8" t="n">
        <f aca="false">B1215*(1-Inputs!$B$12)</f>
        <v>0.896216709266585</v>
      </c>
      <c r="O1215" s="10" t="n">
        <f aca="false">IF(M1215,Y1214*(N1215-AB1214)-Inputs!$B$9-Y1214*AD1214*Inputs!$B$13*(A1215-AC1214),0)</f>
        <v>0</v>
      </c>
      <c r="P1215" s="10" t="n">
        <f aca="false">X1214+O1215</f>
        <v>949.73021558356</v>
      </c>
      <c r="Q1215" s="9" t="b">
        <f aca="false">AND(IF(M1215,0,Y1214)=0,AA1214,IF(ISNUMBER(AE1214),B1215&gt;AE1214,FALSE()))</f>
        <v>0</v>
      </c>
      <c r="R1215" s="8" t="n">
        <f aca="false">B1215*(1+Inputs!$B$12)</f>
        <v>0.896575267661971</v>
      </c>
      <c r="S1215" s="11" t="n">
        <f aca="false">IF(Q1215,MIN(P1215*Inputs!$B$3/(R1215-AE1214),P1215*Inputs!$B$11/R1215),0)</f>
        <v>0</v>
      </c>
      <c r="T1215" s="11" t="n">
        <f aca="false">IF(Q1215,S1215,IF(M1215,0,Y1214))</f>
        <v>0</v>
      </c>
      <c r="U1215" s="8" t="n">
        <f aca="false">IF(Q1215,AE1214,AF1214)</f>
        <v>0.835624367549931</v>
      </c>
      <c r="V1215" s="9" t="b">
        <f aca="false">AND(T1215&gt;0,D1215&lt;=U1215)</f>
        <v>0</v>
      </c>
      <c r="W1215" s="10" t="n">
        <f aca="false">IF(V1215,T1215*(AK1215-AB1215)-Inputs!$B$9-T1215*AD1215*Inputs!$B$13*(A1215-AC1215),0)</f>
        <v>0</v>
      </c>
      <c r="X1215" s="10" t="n">
        <f aca="false">P1215-IF(Q1215,Inputs!$B$9,0)+W1215</f>
        <v>949.73021558356</v>
      </c>
      <c r="Y1215" s="11" t="n">
        <f aca="false">IF(V1215,0,T1215)</f>
        <v>0</v>
      </c>
      <c r="Z1215" s="9" t="b">
        <f aca="false">AND(Y1215&gt;0,K1215)</f>
        <v>0</v>
      </c>
      <c r="AA1215" s="9" t="b">
        <f aca="false">AND(Y1215=0,J1215,ISNUMBER(L1215))</f>
        <v>0</v>
      </c>
      <c r="AB1215" s="8" t="n">
        <f aca="false">IF(Q1215,R1215,AB1214)</f>
        <v>0.852139558595783</v>
      </c>
      <c r="AC1215" s="12" t="n">
        <f aca="false">IF(Q1215,A1215,AC1214)</f>
        <v>45888</v>
      </c>
      <c r="AD1215" s="8" t="n">
        <f aca="false">IF(Q1215,B1215,AD1214)</f>
        <v>0.85196916476283</v>
      </c>
      <c r="AE1215" s="8" t="str">
        <f aca="false">IF(AA1215,L1215,"")</f>
        <v/>
      </c>
      <c r="AF1215" s="8" t="n">
        <f aca="false">U1215</f>
        <v>0.835624367549931</v>
      </c>
      <c r="AG1215" s="2" t="n">
        <f aca="false">AG1214+IF(Q1215,1,0)</f>
        <v>12</v>
      </c>
      <c r="AH1215" s="2" t="n">
        <f aca="false">AG1214</f>
        <v>12</v>
      </c>
      <c r="AI1215" s="10" t="n">
        <f aca="false">X1215+Y1215*(E1215-AB1215)-Y1215*AD1215*Inputs!$B$13*(A1215-AC1215)</f>
        <v>949.73021558356</v>
      </c>
      <c r="AJ1215" s="10" t="n">
        <v>0</v>
      </c>
      <c r="AK1215" s="8" t="n">
        <f aca="false">IF(AND(B1215&lt;=U1215,NOT(Q1215)),B1215,U1215)*(1-Inputs!$B$12)</f>
        <v>0.835457242676421</v>
      </c>
    </row>
    <row r="1216" customFormat="false" ht="15" hidden="false" customHeight="false" outlineLevel="0" collapsed="false">
      <c r="A1216" s="6" t="n">
        <v>46000</v>
      </c>
      <c r="B1216" s="7" t="n">
        <v>0.898069657704051</v>
      </c>
      <c r="C1216" s="7" t="n">
        <v>0.903968970460949</v>
      </c>
      <c r="D1216" s="7" t="n">
        <v>0.896588772833954</v>
      </c>
      <c r="E1216" s="7" t="n">
        <v>0.903109152998417</v>
      </c>
      <c r="F1216" s="8" t="n">
        <f aca="true">IF(ROW()-2&gt;=Inputs!$B$4,AVERAGE(OFFSET(E1216,1-Inputs!$B$4,0,Inputs!$B$4,1)),"")</f>
        <v>0.890859990615466</v>
      </c>
      <c r="G1216" s="8" t="n">
        <f aca="true">IF(ROW()-2&gt;=Inputs!$B$5,AVERAGE(OFFSET(E1216,1-Inputs!$B$5,0,Inputs!$B$5,1)),"")</f>
        <v>0.899067120664354</v>
      </c>
      <c r="H1216" s="8" t="n">
        <f aca="false">MAX(C1216-D1216,ABS(C1216-E1215),ABS(D1216-E1215))</f>
        <v>0.00738019762699449</v>
      </c>
      <c r="I1216" s="8" t="n">
        <f aca="true">IF(ROW()-2&lt;14,"",IF(ROW()-2=14,AVERAGE(OFFSET(H1216,-13,0,14,1)),(I1215*13+H1216)/14))</f>
        <v>0.00883747158890928</v>
      </c>
      <c r="J1216" s="9" t="b">
        <f aca="false">IF(AND(ISNUMBER(F1216),ISNUMBER(G1216),ISNUMBER(F1215),ISNUMBER(G1215)),AND(F1216&gt;G1216,F1215&lt;=G1215),FALSE())</f>
        <v>0</v>
      </c>
      <c r="K1216" s="9" t="b">
        <f aca="false">IF(AND(ISNUMBER(F1216),ISNUMBER(G1216),ISNUMBER(F1215),ISNUMBER(G1215)),AND(F1216&lt;G1216,F1215&gt;=G1215),FALSE())</f>
        <v>0</v>
      </c>
      <c r="L1216" s="8" t="n">
        <f aca="false">IF(ISNUMBER(I1216),E1216-Inputs!$B$6*I1216,"")</f>
        <v>0.885434209820598</v>
      </c>
      <c r="M1216" s="9" t="b">
        <f aca="false">AND(Y1215&gt;0,Z1215)</f>
        <v>0</v>
      </c>
      <c r="N1216" s="8" t="n">
        <f aca="false">B1216*(1-Inputs!$B$12)</f>
        <v>0.89789004377251</v>
      </c>
      <c r="O1216" s="10" t="n">
        <f aca="false">IF(M1216,Y1215*(N1216-AB1215)-Inputs!$B$9-Y1215*AD1215*Inputs!$B$13*(A1216-AC1215),0)</f>
        <v>0</v>
      </c>
      <c r="P1216" s="10" t="n">
        <f aca="false">X1215+O1216</f>
        <v>949.73021558356</v>
      </c>
      <c r="Q1216" s="9" t="b">
        <f aca="false">AND(IF(M1216,0,Y1215)=0,AA1215,IF(ISNUMBER(AE1215),B1216&gt;AE1215,FALSE()))</f>
        <v>0</v>
      </c>
      <c r="R1216" s="8" t="n">
        <f aca="false">B1216*(1+Inputs!$B$12)</f>
        <v>0.898249271635591</v>
      </c>
      <c r="S1216" s="11" t="n">
        <f aca="false">IF(Q1216,MIN(P1216*Inputs!$B$3/(R1216-AE1215),P1216*Inputs!$B$11/R1216),0)</f>
        <v>0</v>
      </c>
      <c r="T1216" s="11" t="n">
        <f aca="false">IF(Q1216,S1216,IF(M1216,0,Y1215))</f>
        <v>0</v>
      </c>
      <c r="U1216" s="8" t="n">
        <f aca="false">IF(Q1216,AE1215,AF1215)</f>
        <v>0.835624367549931</v>
      </c>
      <c r="V1216" s="9" t="b">
        <f aca="false">AND(T1216&gt;0,D1216&lt;=U1216)</f>
        <v>0</v>
      </c>
      <c r="W1216" s="10" t="n">
        <f aca="false">IF(V1216,T1216*(AK1216-AB1216)-Inputs!$B$9-T1216*AD1216*Inputs!$B$13*(A1216-AC1216),0)</f>
        <v>0</v>
      </c>
      <c r="X1216" s="10" t="n">
        <f aca="false">P1216-IF(Q1216,Inputs!$B$9,0)+W1216</f>
        <v>949.73021558356</v>
      </c>
      <c r="Y1216" s="11" t="n">
        <f aca="false">IF(V1216,0,T1216)</f>
        <v>0</v>
      </c>
      <c r="Z1216" s="9" t="b">
        <f aca="false">AND(Y1216&gt;0,K1216)</f>
        <v>0</v>
      </c>
      <c r="AA1216" s="9" t="b">
        <f aca="false">AND(Y1216=0,J1216,ISNUMBER(L1216))</f>
        <v>0</v>
      </c>
      <c r="AB1216" s="8" t="n">
        <f aca="false">IF(Q1216,R1216,AB1215)</f>
        <v>0.852139558595783</v>
      </c>
      <c r="AC1216" s="12" t="n">
        <f aca="false">IF(Q1216,A1216,AC1215)</f>
        <v>45888</v>
      </c>
      <c r="AD1216" s="8" t="n">
        <f aca="false">IF(Q1216,B1216,AD1215)</f>
        <v>0.85196916476283</v>
      </c>
      <c r="AE1216" s="8" t="str">
        <f aca="false">IF(AA1216,L1216,"")</f>
        <v/>
      </c>
      <c r="AF1216" s="8" t="n">
        <f aca="false">U1216</f>
        <v>0.835624367549931</v>
      </c>
      <c r="AG1216" s="2" t="n">
        <f aca="false">AG1215+IF(Q1216,1,0)</f>
        <v>12</v>
      </c>
      <c r="AH1216" s="2" t="n">
        <f aca="false">AG1215</f>
        <v>12</v>
      </c>
      <c r="AI1216" s="10" t="n">
        <f aca="false">X1216+Y1216*(E1216-AB1216)-Y1216*AD1216*Inputs!$B$13*(A1216-AC1216)</f>
        <v>949.73021558356</v>
      </c>
      <c r="AJ1216" s="10" t="n">
        <v>0</v>
      </c>
      <c r="AK1216" s="8" t="n">
        <f aca="false">IF(AND(B1216&lt;=U1216,NOT(Q1216)),B1216,U1216)*(1-Inputs!$B$12)</f>
        <v>0.835457242676421</v>
      </c>
    </row>
    <row r="1217" customFormat="false" ht="15" hidden="false" customHeight="false" outlineLevel="0" collapsed="false">
      <c r="A1217" s="6" t="n">
        <v>46001</v>
      </c>
      <c r="B1217" s="7" t="n">
        <v>0.903109152998417</v>
      </c>
      <c r="C1217" s="7" t="n">
        <v>0.919270855276258</v>
      </c>
      <c r="D1217" s="7" t="n">
        <v>0.900175538203051</v>
      </c>
      <c r="E1217" s="7" t="n">
        <v>0.913282125366157</v>
      </c>
      <c r="F1217" s="8" t="n">
        <f aca="true">IF(ROW()-2&gt;=Inputs!$B$4,AVERAGE(OFFSET(E1217,1-Inputs!$B$4,0,Inputs!$B$4,1)),"")</f>
        <v>0.892512795577357</v>
      </c>
      <c r="G1217" s="8" t="n">
        <f aca="true">IF(ROW()-2&gt;=Inputs!$B$5,AVERAGE(OFFSET(E1217,1-Inputs!$B$5,0,Inputs!$B$5,1)),"")</f>
        <v>0.89926426574574</v>
      </c>
      <c r="H1217" s="8" t="n">
        <f aca="false">MAX(C1217-D1217,ABS(C1217-E1216),ABS(D1217-E1216))</f>
        <v>0.0190953170732068</v>
      </c>
      <c r="I1217" s="8" t="n">
        <f aca="true">IF(ROW()-2&lt;14,"",IF(ROW()-2=14,AVERAGE(OFFSET(H1217,-13,0,14,1)),(I1216*13+H1217)/14))</f>
        <v>0.00957017483778767</v>
      </c>
      <c r="J1217" s="9" t="b">
        <f aca="false">IF(AND(ISNUMBER(F1217),ISNUMBER(G1217),ISNUMBER(F1216),ISNUMBER(G1216)),AND(F1217&gt;G1217,F1216&lt;=G1216),FALSE())</f>
        <v>0</v>
      </c>
      <c r="K1217" s="9" t="b">
        <f aca="false">IF(AND(ISNUMBER(F1217),ISNUMBER(G1217),ISNUMBER(F1216),ISNUMBER(G1216)),AND(F1217&lt;G1217,F1216&gt;=G1216),FALSE())</f>
        <v>0</v>
      </c>
      <c r="L1217" s="8" t="n">
        <f aca="false">IF(ISNUMBER(I1217),E1217-Inputs!$B$6*I1217,"")</f>
        <v>0.894141775690582</v>
      </c>
      <c r="M1217" s="9" t="b">
        <f aca="false">AND(Y1216&gt;0,Z1216)</f>
        <v>0</v>
      </c>
      <c r="N1217" s="8" t="n">
        <f aca="false">B1217*(1-Inputs!$B$12)</f>
        <v>0.902928531167817</v>
      </c>
      <c r="O1217" s="10" t="n">
        <f aca="false">IF(M1217,Y1216*(N1217-AB1216)-Inputs!$B$9-Y1216*AD1216*Inputs!$B$13*(A1217-AC1216),0)</f>
        <v>0</v>
      </c>
      <c r="P1217" s="10" t="n">
        <f aca="false">X1216+O1217</f>
        <v>949.73021558356</v>
      </c>
      <c r="Q1217" s="9" t="b">
        <f aca="false">AND(IF(M1217,0,Y1216)=0,AA1216,IF(ISNUMBER(AE1216),B1217&gt;AE1216,FALSE()))</f>
        <v>0</v>
      </c>
      <c r="R1217" s="8" t="n">
        <f aca="false">B1217*(1+Inputs!$B$12)</f>
        <v>0.903289774829016</v>
      </c>
      <c r="S1217" s="11" t="n">
        <f aca="false">IF(Q1217,MIN(P1217*Inputs!$B$3/(R1217-AE1216),P1217*Inputs!$B$11/R1217),0)</f>
        <v>0</v>
      </c>
      <c r="T1217" s="11" t="n">
        <f aca="false">IF(Q1217,S1217,IF(M1217,0,Y1216))</f>
        <v>0</v>
      </c>
      <c r="U1217" s="8" t="n">
        <f aca="false">IF(Q1217,AE1216,AF1216)</f>
        <v>0.835624367549931</v>
      </c>
      <c r="V1217" s="9" t="b">
        <f aca="false">AND(T1217&gt;0,D1217&lt;=U1217)</f>
        <v>0</v>
      </c>
      <c r="W1217" s="10" t="n">
        <f aca="false">IF(V1217,T1217*(AK1217-AB1217)-Inputs!$B$9-T1217*AD1217*Inputs!$B$13*(A1217-AC1217),0)</f>
        <v>0</v>
      </c>
      <c r="X1217" s="10" t="n">
        <f aca="false">P1217-IF(Q1217,Inputs!$B$9,0)+W1217</f>
        <v>949.73021558356</v>
      </c>
      <c r="Y1217" s="11" t="n">
        <f aca="false">IF(V1217,0,T1217)</f>
        <v>0</v>
      </c>
      <c r="Z1217" s="9" t="b">
        <f aca="false">AND(Y1217&gt;0,K1217)</f>
        <v>0</v>
      </c>
      <c r="AA1217" s="9" t="b">
        <f aca="false">AND(Y1217=0,J1217,ISNUMBER(L1217))</f>
        <v>0</v>
      </c>
      <c r="AB1217" s="8" t="n">
        <f aca="false">IF(Q1217,R1217,AB1216)</f>
        <v>0.852139558595783</v>
      </c>
      <c r="AC1217" s="12" t="n">
        <f aca="false">IF(Q1217,A1217,AC1216)</f>
        <v>45888</v>
      </c>
      <c r="AD1217" s="8" t="n">
        <f aca="false">IF(Q1217,B1217,AD1216)</f>
        <v>0.85196916476283</v>
      </c>
      <c r="AE1217" s="8" t="str">
        <f aca="false">IF(AA1217,L1217,"")</f>
        <v/>
      </c>
      <c r="AF1217" s="8" t="n">
        <f aca="false">U1217</f>
        <v>0.835624367549931</v>
      </c>
      <c r="AG1217" s="2" t="n">
        <f aca="false">AG1216+IF(Q1217,1,0)</f>
        <v>12</v>
      </c>
      <c r="AH1217" s="2" t="n">
        <f aca="false">AG1216</f>
        <v>12</v>
      </c>
      <c r="AI1217" s="10" t="n">
        <f aca="false">X1217+Y1217*(E1217-AB1217)-Y1217*AD1217*Inputs!$B$13*(A1217-AC1217)</f>
        <v>949.73021558356</v>
      </c>
      <c r="AJ1217" s="10" t="n">
        <v>0</v>
      </c>
      <c r="AK1217" s="8" t="n">
        <f aca="false">IF(AND(B1217&lt;=U1217,NOT(Q1217)),B1217,U1217)*(1-Inputs!$B$12)</f>
        <v>0.835457242676421</v>
      </c>
    </row>
    <row r="1218" customFormat="false" ht="15" hidden="false" customHeight="false" outlineLevel="0" collapsed="false">
      <c r="A1218" s="6" t="n">
        <v>46002</v>
      </c>
      <c r="B1218" s="7" t="n">
        <v>0.913282125366157</v>
      </c>
      <c r="C1218" s="7" t="n">
        <v>0.914323069748196</v>
      </c>
      <c r="D1218" s="7" t="n">
        <v>0.910496002843646</v>
      </c>
      <c r="E1218" s="7" t="n">
        <v>0.912346870841053</v>
      </c>
      <c r="F1218" s="8" t="n">
        <f aca="true">IF(ROW()-2&gt;=Inputs!$B$4,AVERAGE(OFFSET(E1218,1-Inputs!$B$4,0,Inputs!$B$4,1)),"")</f>
        <v>0.894322148435069</v>
      </c>
      <c r="G1218" s="8" t="n">
        <f aca="true">IF(ROW()-2&gt;=Inputs!$B$5,AVERAGE(OFFSET(E1218,1-Inputs!$B$5,0,Inputs!$B$5,1)),"")</f>
        <v>0.899448785888474</v>
      </c>
      <c r="H1218" s="8" t="n">
        <f aca="false">MAX(C1218-D1218,ABS(C1218-E1217),ABS(D1218-E1217))</f>
        <v>0.00382706690455004</v>
      </c>
      <c r="I1218" s="8" t="n">
        <f aca="true">IF(ROW()-2&lt;14,"",IF(ROW()-2=14,AVERAGE(OFFSET(H1218,-13,0,14,1)),(I1217*13+H1218)/14))</f>
        <v>0.00915995284255641</v>
      </c>
      <c r="J1218" s="9" t="b">
        <f aca="false">IF(AND(ISNUMBER(F1218),ISNUMBER(G1218),ISNUMBER(F1217),ISNUMBER(G1217)),AND(F1218&gt;G1218,F1217&lt;=G1217),FALSE())</f>
        <v>0</v>
      </c>
      <c r="K1218" s="9" t="b">
        <f aca="false">IF(AND(ISNUMBER(F1218),ISNUMBER(G1218),ISNUMBER(F1217),ISNUMBER(G1217)),AND(F1218&lt;G1218,F1217&gt;=G1217),FALSE())</f>
        <v>0</v>
      </c>
      <c r="L1218" s="8" t="n">
        <f aca="false">IF(ISNUMBER(I1218),E1218-Inputs!$B$6*I1218,"")</f>
        <v>0.89402696515594</v>
      </c>
      <c r="M1218" s="9" t="b">
        <f aca="false">AND(Y1217&gt;0,Z1217)</f>
        <v>0</v>
      </c>
      <c r="N1218" s="8" t="n">
        <f aca="false">B1218*(1-Inputs!$B$12)</f>
        <v>0.913099468941084</v>
      </c>
      <c r="O1218" s="10" t="n">
        <f aca="false">IF(M1218,Y1217*(N1218-AB1217)-Inputs!$B$9-Y1217*AD1217*Inputs!$B$13*(A1218-AC1217),0)</f>
        <v>0</v>
      </c>
      <c r="P1218" s="10" t="n">
        <f aca="false">X1217+O1218</f>
        <v>949.73021558356</v>
      </c>
      <c r="Q1218" s="9" t="b">
        <f aca="false">AND(IF(M1218,0,Y1217)=0,AA1217,IF(ISNUMBER(AE1217),B1218&gt;AE1217,FALSE()))</f>
        <v>0</v>
      </c>
      <c r="R1218" s="8" t="n">
        <f aca="false">B1218*(1+Inputs!$B$12)</f>
        <v>0.91346478179123</v>
      </c>
      <c r="S1218" s="11" t="n">
        <f aca="false">IF(Q1218,MIN(P1218*Inputs!$B$3/(R1218-AE1217),P1218*Inputs!$B$11/R1218),0)</f>
        <v>0</v>
      </c>
      <c r="T1218" s="11" t="n">
        <f aca="false">IF(Q1218,S1218,IF(M1218,0,Y1217))</f>
        <v>0</v>
      </c>
      <c r="U1218" s="8" t="n">
        <f aca="false">IF(Q1218,AE1217,AF1217)</f>
        <v>0.835624367549931</v>
      </c>
      <c r="V1218" s="9" t="b">
        <f aca="false">AND(T1218&gt;0,D1218&lt;=U1218)</f>
        <v>0</v>
      </c>
      <c r="W1218" s="10" t="n">
        <f aca="false">IF(V1218,T1218*(AK1218-AB1218)-Inputs!$B$9-T1218*AD1218*Inputs!$B$13*(A1218-AC1218),0)</f>
        <v>0</v>
      </c>
      <c r="X1218" s="10" t="n">
        <f aca="false">P1218-IF(Q1218,Inputs!$B$9,0)+W1218</f>
        <v>949.73021558356</v>
      </c>
      <c r="Y1218" s="11" t="n">
        <f aca="false">IF(V1218,0,T1218)</f>
        <v>0</v>
      </c>
      <c r="Z1218" s="9" t="b">
        <f aca="false">AND(Y1218&gt;0,K1218)</f>
        <v>0</v>
      </c>
      <c r="AA1218" s="9" t="b">
        <f aca="false">AND(Y1218=0,J1218,ISNUMBER(L1218))</f>
        <v>0</v>
      </c>
      <c r="AB1218" s="8" t="n">
        <f aca="false">IF(Q1218,R1218,AB1217)</f>
        <v>0.852139558595783</v>
      </c>
      <c r="AC1218" s="12" t="n">
        <f aca="false">IF(Q1218,A1218,AC1217)</f>
        <v>45888</v>
      </c>
      <c r="AD1218" s="8" t="n">
        <f aca="false">IF(Q1218,B1218,AD1217)</f>
        <v>0.85196916476283</v>
      </c>
      <c r="AE1218" s="8" t="str">
        <f aca="false">IF(AA1218,L1218,"")</f>
        <v/>
      </c>
      <c r="AF1218" s="8" t="n">
        <f aca="false">U1218</f>
        <v>0.835624367549931</v>
      </c>
      <c r="AG1218" s="2" t="n">
        <f aca="false">AG1217+IF(Q1218,1,0)</f>
        <v>12</v>
      </c>
      <c r="AH1218" s="2" t="n">
        <f aca="false">AG1217</f>
        <v>12</v>
      </c>
      <c r="AI1218" s="10" t="n">
        <f aca="false">X1218+Y1218*(E1218-AB1218)-Y1218*AD1218*Inputs!$B$13*(A1218-AC1218)</f>
        <v>949.73021558356</v>
      </c>
      <c r="AJ1218" s="10" t="n">
        <v>0</v>
      </c>
      <c r="AK1218" s="8" t="n">
        <f aca="false">IF(AND(B1218&lt;=U1218,NOT(Q1218)),B1218,U1218)*(1-Inputs!$B$12)</f>
        <v>0.835457242676421</v>
      </c>
    </row>
    <row r="1219" customFormat="false" ht="15" hidden="false" customHeight="false" outlineLevel="0" collapsed="false">
      <c r="A1219" s="6" t="n">
        <v>46003</v>
      </c>
      <c r="B1219" s="7" t="n">
        <v>0.912346870841053</v>
      </c>
      <c r="C1219" s="7" t="n">
        <v>0.921637104481547</v>
      </c>
      <c r="D1219" s="7" t="n">
        <v>0.907431991773732</v>
      </c>
      <c r="E1219" s="7" t="n">
        <v>0.919083624938405</v>
      </c>
      <c r="F1219" s="8" t="n">
        <f aca="true">IF(ROW()-2&gt;=Inputs!$B$4,AVERAGE(OFFSET(E1219,1-Inputs!$B$4,0,Inputs!$B$4,1)),"")</f>
        <v>0.896398628021165</v>
      </c>
      <c r="G1219" s="8" t="n">
        <f aca="true">IF(ROW()-2&gt;=Inputs!$B$5,AVERAGE(OFFSET(E1219,1-Inputs!$B$5,0,Inputs!$B$5,1)),"")</f>
        <v>0.899809413115885</v>
      </c>
      <c r="H1219" s="8" t="n">
        <f aca="false">MAX(C1219-D1219,ABS(C1219-E1218),ABS(D1219-E1218))</f>
        <v>0.0142051127078148</v>
      </c>
      <c r="I1219" s="8" t="n">
        <f aca="true">IF(ROW()-2&lt;14,"",IF(ROW()-2=14,AVERAGE(OFFSET(H1219,-13,0,14,1)),(I1218*13+H1219)/14))</f>
        <v>0.00952032140436058</v>
      </c>
      <c r="J1219" s="9" t="b">
        <f aca="false">IF(AND(ISNUMBER(F1219),ISNUMBER(G1219),ISNUMBER(F1218),ISNUMBER(G1218)),AND(F1219&gt;G1219,F1218&lt;=G1218),FALSE())</f>
        <v>0</v>
      </c>
      <c r="K1219" s="9" t="b">
        <f aca="false">IF(AND(ISNUMBER(F1219),ISNUMBER(G1219),ISNUMBER(F1218),ISNUMBER(G1218)),AND(F1219&lt;G1219,F1218&gt;=G1218),FALSE())</f>
        <v>0</v>
      </c>
      <c r="L1219" s="8" t="n">
        <f aca="false">IF(ISNUMBER(I1219),E1219-Inputs!$B$6*I1219,"")</f>
        <v>0.900042982129684</v>
      </c>
      <c r="M1219" s="9" t="b">
        <f aca="false">AND(Y1218&gt;0,Z1218)</f>
        <v>0</v>
      </c>
      <c r="N1219" s="8" t="n">
        <f aca="false">B1219*(1-Inputs!$B$12)</f>
        <v>0.912164401466885</v>
      </c>
      <c r="O1219" s="10" t="n">
        <f aca="false">IF(M1219,Y1218*(N1219-AB1218)-Inputs!$B$9-Y1218*AD1218*Inputs!$B$13*(A1219-AC1218),0)</f>
        <v>0</v>
      </c>
      <c r="P1219" s="10" t="n">
        <f aca="false">X1218+O1219</f>
        <v>949.73021558356</v>
      </c>
      <c r="Q1219" s="9" t="b">
        <f aca="false">AND(IF(M1219,0,Y1218)=0,AA1218,IF(ISNUMBER(AE1218),B1219&gt;AE1218,FALSE()))</f>
        <v>0</v>
      </c>
      <c r="R1219" s="8" t="n">
        <f aca="false">B1219*(1+Inputs!$B$12)</f>
        <v>0.912529340215221</v>
      </c>
      <c r="S1219" s="11" t="n">
        <f aca="false">IF(Q1219,MIN(P1219*Inputs!$B$3/(R1219-AE1218),P1219*Inputs!$B$11/R1219),0)</f>
        <v>0</v>
      </c>
      <c r="T1219" s="11" t="n">
        <f aca="false">IF(Q1219,S1219,IF(M1219,0,Y1218))</f>
        <v>0</v>
      </c>
      <c r="U1219" s="8" t="n">
        <f aca="false">IF(Q1219,AE1218,AF1218)</f>
        <v>0.835624367549931</v>
      </c>
      <c r="V1219" s="9" t="b">
        <f aca="false">AND(T1219&gt;0,D1219&lt;=U1219)</f>
        <v>0</v>
      </c>
      <c r="W1219" s="10" t="n">
        <f aca="false">IF(V1219,T1219*(AK1219-AB1219)-Inputs!$B$9-T1219*AD1219*Inputs!$B$13*(A1219-AC1219),0)</f>
        <v>0</v>
      </c>
      <c r="X1219" s="10" t="n">
        <f aca="false">P1219-IF(Q1219,Inputs!$B$9,0)+W1219</f>
        <v>949.73021558356</v>
      </c>
      <c r="Y1219" s="11" t="n">
        <f aca="false">IF(V1219,0,T1219)</f>
        <v>0</v>
      </c>
      <c r="Z1219" s="9" t="b">
        <f aca="false">AND(Y1219&gt;0,K1219)</f>
        <v>0</v>
      </c>
      <c r="AA1219" s="9" t="b">
        <f aca="false">AND(Y1219=0,J1219,ISNUMBER(L1219))</f>
        <v>0</v>
      </c>
      <c r="AB1219" s="8" t="n">
        <f aca="false">IF(Q1219,R1219,AB1218)</f>
        <v>0.852139558595783</v>
      </c>
      <c r="AC1219" s="12" t="n">
        <f aca="false">IF(Q1219,A1219,AC1218)</f>
        <v>45888</v>
      </c>
      <c r="AD1219" s="8" t="n">
        <f aca="false">IF(Q1219,B1219,AD1218)</f>
        <v>0.85196916476283</v>
      </c>
      <c r="AE1219" s="8" t="str">
        <f aca="false">IF(AA1219,L1219,"")</f>
        <v/>
      </c>
      <c r="AF1219" s="8" t="n">
        <f aca="false">U1219</f>
        <v>0.835624367549931</v>
      </c>
      <c r="AG1219" s="2" t="n">
        <f aca="false">AG1218+IF(Q1219,1,0)</f>
        <v>12</v>
      </c>
      <c r="AH1219" s="2" t="n">
        <f aca="false">AG1218</f>
        <v>12</v>
      </c>
      <c r="AI1219" s="10" t="n">
        <f aca="false">X1219+Y1219*(E1219-AB1219)-Y1219*AD1219*Inputs!$B$13*(A1219-AC1219)</f>
        <v>949.73021558356</v>
      </c>
      <c r="AJ1219" s="10" t="n">
        <v>0</v>
      </c>
      <c r="AK1219" s="8" t="n">
        <f aca="false">IF(AND(B1219&lt;=U1219,NOT(Q1219)),B1219,U1219)*(1-Inputs!$B$12)</f>
        <v>0.835457242676421</v>
      </c>
    </row>
    <row r="1220" customFormat="false" ht="15" hidden="false" customHeight="false" outlineLevel="0" collapsed="false">
      <c r="A1220" s="6" t="n">
        <v>46004</v>
      </c>
      <c r="B1220" s="7" t="n">
        <v>0.919083624938405</v>
      </c>
      <c r="C1220" s="7" t="n">
        <v>0.921342532805428</v>
      </c>
      <c r="D1220" s="7" t="n">
        <v>0.908477910925011</v>
      </c>
      <c r="E1220" s="7" t="n">
        <v>0.911528588580607</v>
      </c>
      <c r="F1220" s="8" t="n">
        <f aca="true">IF(ROW()-2&gt;=Inputs!$B$4,AVERAGE(OFFSET(E1220,1-Inputs!$B$4,0,Inputs!$B$4,1)),"")</f>
        <v>0.89813506147211</v>
      </c>
      <c r="G1220" s="8" t="n">
        <f aca="true">IF(ROW()-2&gt;=Inputs!$B$5,AVERAGE(OFFSET(E1220,1-Inputs!$B$5,0,Inputs!$B$5,1)),"")</f>
        <v>0.900004100374127</v>
      </c>
      <c r="H1220" s="8" t="n">
        <f aca="false">MAX(C1220-D1220,ABS(C1220-E1219),ABS(D1220-E1219))</f>
        <v>0.0128646218804171</v>
      </c>
      <c r="I1220" s="8" t="n">
        <f aca="true">IF(ROW()-2&lt;14,"",IF(ROW()-2=14,AVERAGE(OFFSET(H1220,-13,0,14,1)),(I1219*13+H1220)/14))</f>
        <v>0.00975920000979319</v>
      </c>
      <c r="J1220" s="9" t="b">
        <f aca="false">IF(AND(ISNUMBER(F1220),ISNUMBER(G1220),ISNUMBER(F1219),ISNUMBER(G1219)),AND(F1220&gt;G1220,F1219&lt;=G1219),FALSE())</f>
        <v>0</v>
      </c>
      <c r="K1220" s="9" t="b">
        <f aca="false">IF(AND(ISNUMBER(F1220),ISNUMBER(G1220),ISNUMBER(F1219),ISNUMBER(G1219)),AND(F1220&lt;G1220,F1219&gt;=G1219),FALSE())</f>
        <v>0</v>
      </c>
      <c r="L1220" s="8" t="n">
        <f aca="false">IF(ISNUMBER(I1220),E1220-Inputs!$B$6*I1220,"")</f>
        <v>0.89201018856102</v>
      </c>
      <c r="M1220" s="9" t="b">
        <f aca="false">AND(Y1219&gt;0,Z1219)</f>
        <v>0</v>
      </c>
      <c r="N1220" s="8" t="n">
        <f aca="false">B1220*(1-Inputs!$B$12)</f>
        <v>0.918899808213418</v>
      </c>
      <c r="O1220" s="10" t="n">
        <f aca="false">IF(M1220,Y1219*(N1220-AB1219)-Inputs!$B$9-Y1219*AD1219*Inputs!$B$13*(A1220-AC1219),0)</f>
        <v>0</v>
      </c>
      <c r="P1220" s="10" t="n">
        <f aca="false">X1219+O1220</f>
        <v>949.73021558356</v>
      </c>
      <c r="Q1220" s="9" t="b">
        <f aca="false">AND(IF(M1220,0,Y1219)=0,AA1219,IF(ISNUMBER(AE1219),B1220&gt;AE1219,FALSE()))</f>
        <v>0</v>
      </c>
      <c r="R1220" s="8" t="n">
        <f aca="false">B1220*(1+Inputs!$B$12)</f>
        <v>0.919267441663393</v>
      </c>
      <c r="S1220" s="11" t="n">
        <f aca="false">IF(Q1220,MIN(P1220*Inputs!$B$3/(R1220-AE1219),P1220*Inputs!$B$11/R1220),0)</f>
        <v>0</v>
      </c>
      <c r="T1220" s="11" t="n">
        <f aca="false">IF(Q1220,S1220,IF(M1220,0,Y1219))</f>
        <v>0</v>
      </c>
      <c r="U1220" s="8" t="n">
        <f aca="false">IF(Q1220,AE1219,AF1219)</f>
        <v>0.835624367549931</v>
      </c>
      <c r="V1220" s="9" t="b">
        <f aca="false">AND(T1220&gt;0,D1220&lt;=U1220)</f>
        <v>0</v>
      </c>
      <c r="W1220" s="10" t="n">
        <f aca="false">IF(V1220,T1220*(AK1220-AB1220)-Inputs!$B$9-T1220*AD1220*Inputs!$B$13*(A1220-AC1220),0)</f>
        <v>0</v>
      </c>
      <c r="X1220" s="10" t="n">
        <f aca="false">P1220-IF(Q1220,Inputs!$B$9,0)+W1220</f>
        <v>949.73021558356</v>
      </c>
      <c r="Y1220" s="11" t="n">
        <f aca="false">IF(V1220,0,T1220)</f>
        <v>0</v>
      </c>
      <c r="Z1220" s="9" t="b">
        <f aca="false">AND(Y1220&gt;0,K1220)</f>
        <v>0</v>
      </c>
      <c r="AA1220" s="9" t="b">
        <f aca="false">AND(Y1220=0,J1220,ISNUMBER(L1220))</f>
        <v>0</v>
      </c>
      <c r="AB1220" s="8" t="n">
        <f aca="false">IF(Q1220,R1220,AB1219)</f>
        <v>0.852139558595783</v>
      </c>
      <c r="AC1220" s="12" t="n">
        <f aca="false">IF(Q1220,A1220,AC1219)</f>
        <v>45888</v>
      </c>
      <c r="AD1220" s="8" t="n">
        <f aca="false">IF(Q1220,B1220,AD1219)</f>
        <v>0.85196916476283</v>
      </c>
      <c r="AE1220" s="8" t="str">
        <f aca="false">IF(AA1220,L1220,"")</f>
        <v/>
      </c>
      <c r="AF1220" s="8" t="n">
        <f aca="false">U1220</f>
        <v>0.835624367549931</v>
      </c>
      <c r="AG1220" s="2" t="n">
        <f aca="false">AG1219+IF(Q1220,1,0)</f>
        <v>12</v>
      </c>
      <c r="AH1220" s="2" t="n">
        <f aca="false">AG1219</f>
        <v>12</v>
      </c>
      <c r="AI1220" s="10" t="n">
        <f aca="false">X1220+Y1220*(E1220-AB1220)-Y1220*AD1220*Inputs!$B$13*(A1220-AC1220)</f>
        <v>949.73021558356</v>
      </c>
      <c r="AJ1220" s="10" t="n">
        <v>0</v>
      </c>
      <c r="AK1220" s="8" t="n">
        <f aca="false">IF(AND(B1220&lt;=U1220,NOT(Q1220)),B1220,U1220)*(1-Inputs!$B$12)</f>
        <v>0.835457242676421</v>
      </c>
    </row>
    <row r="1221" customFormat="false" ht="15" hidden="false" customHeight="false" outlineLevel="0" collapsed="false">
      <c r="A1221" s="6" t="n">
        <v>46005</v>
      </c>
      <c r="B1221" s="7" t="n">
        <v>0.911528588580607</v>
      </c>
      <c r="C1221" s="7" t="n">
        <v>0.918976403654986</v>
      </c>
      <c r="D1221" s="7" t="n">
        <v>0.910154629434906</v>
      </c>
      <c r="E1221" s="7" t="n">
        <v>0.910199151418723</v>
      </c>
      <c r="F1221" s="8" t="n">
        <f aca="true">IF(ROW()-2&gt;=Inputs!$B$4,AVERAGE(OFFSET(E1221,1-Inputs!$B$4,0,Inputs!$B$4,1)),"")</f>
        <v>0.899738173276322</v>
      </c>
      <c r="G1221" s="8" t="n">
        <f aca="true">IF(ROW()-2&gt;=Inputs!$B$5,AVERAGE(OFFSET(E1221,1-Inputs!$B$5,0,Inputs!$B$5,1)),"")</f>
        <v>0.90015139204306</v>
      </c>
      <c r="H1221" s="8" t="n">
        <f aca="false">MAX(C1221-D1221,ABS(C1221-E1220),ABS(D1221-E1220))</f>
        <v>0.00882177422007957</v>
      </c>
      <c r="I1221" s="8" t="n">
        <f aca="true">IF(ROW()-2&lt;14,"",IF(ROW()-2=14,AVERAGE(OFFSET(H1221,-13,0,14,1)),(I1220*13+H1221)/14))</f>
        <v>0.00969224102481365</v>
      </c>
      <c r="J1221" s="9" t="b">
        <f aca="false">IF(AND(ISNUMBER(F1221),ISNUMBER(G1221),ISNUMBER(F1220),ISNUMBER(G1220)),AND(F1221&gt;G1221,F1220&lt;=G1220),FALSE())</f>
        <v>0</v>
      </c>
      <c r="K1221" s="9" t="b">
        <f aca="false">IF(AND(ISNUMBER(F1221),ISNUMBER(G1221),ISNUMBER(F1220),ISNUMBER(G1220)),AND(F1221&lt;G1221,F1220&gt;=G1220),FALSE())</f>
        <v>0</v>
      </c>
      <c r="L1221" s="8" t="n">
        <f aca="false">IF(ISNUMBER(I1221),E1221-Inputs!$B$6*I1221,"")</f>
        <v>0.890814669369096</v>
      </c>
      <c r="M1221" s="9" t="b">
        <f aca="false">AND(Y1220&gt;0,Z1220)</f>
        <v>0</v>
      </c>
      <c r="N1221" s="8" t="n">
        <f aca="false">B1221*(1-Inputs!$B$12)</f>
        <v>0.911346282862891</v>
      </c>
      <c r="O1221" s="10" t="n">
        <f aca="false">IF(M1221,Y1220*(N1221-AB1220)-Inputs!$B$9-Y1220*AD1220*Inputs!$B$13*(A1221-AC1220),0)</f>
        <v>0</v>
      </c>
      <c r="P1221" s="10" t="n">
        <f aca="false">X1220+O1221</f>
        <v>949.73021558356</v>
      </c>
      <c r="Q1221" s="9" t="b">
        <f aca="false">AND(IF(M1221,0,Y1220)=0,AA1220,IF(ISNUMBER(AE1220),B1221&gt;AE1220,FALSE()))</f>
        <v>0</v>
      </c>
      <c r="R1221" s="8" t="n">
        <f aca="false">B1221*(1+Inputs!$B$12)</f>
        <v>0.911710894298323</v>
      </c>
      <c r="S1221" s="11" t="n">
        <f aca="false">IF(Q1221,MIN(P1221*Inputs!$B$3/(R1221-AE1220),P1221*Inputs!$B$11/R1221),0)</f>
        <v>0</v>
      </c>
      <c r="T1221" s="11" t="n">
        <f aca="false">IF(Q1221,S1221,IF(M1221,0,Y1220))</f>
        <v>0</v>
      </c>
      <c r="U1221" s="8" t="n">
        <f aca="false">IF(Q1221,AE1220,AF1220)</f>
        <v>0.835624367549931</v>
      </c>
      <c r="V1221" s="9" t="b">
        <f aca="false">AND(T1221&gt;0,D1221&lt;=U1221)</f>
        <v>0</v>
      </c>
      <c r="W1221" s="10" t="n">
        <f aca="false">IF(V1221,T1221*(AK1221-AB1221)-Inputs!$B$9-T1221*AD1221*Inputs!$B$13*(A1221-AC1221),0)</f>
        <v>0</v>
      </c>
      <c r="X1221" s="10" t="n">
        <f aca="false">P1221-IF(Q1221,Inputs!$B$9,0)+W1221</f>
        <v>949.73021558356</v>
      </c>
      <c r="Y1221" s="11" t="n">
        <f aca="false">IF(V1221,0,T1221)</f>
        <v>0</v>
      </c>
      <c r="Z1221" s="9" t="b">
        <f aca="false">AND(Y1221&gt;0,K1221)</f>
        <v>0</v>
      </c>
      <c r="AA1221" s="9" t="b">
        <f aca="false">AND(Y1221=0,J1221,ISNUMBER(L1221))</f>
        <v>0</v>
      </c>
      <c r="AB1221" s="8" t="n">
        <f aca="false">IF(Q1221,R1221,AB1220)</f>
        <v>0.852139558595783</v>
      </c>
      <c r="AC1221" s="12" t="n">
        <f aca="false">IF(Q1221,A1221,AC1220)</f>
        <v>45888</v>
      </c>
      <c r="AD1221" s="8" t="n">
        <f aca="false">IF(Q1221,B1221,AD1220)</f>
        <v>0.85196916476283</v>
      </c>
      <c r="AE1221" s="8" t="str">
        <f aca="false">IF(AA1221,L1221,"")</f>
        <v/>
      </c>
      <c r="AF1221" s="8" t="n">
        <f aca="false">U1221</f>
        <v>0.835624367549931</v>
      </c>
      <c r="AG1221" s="2" t="n">
        <f aca="false">AG1220+IF(Q1221,1,0)</f>
        <v>12</v>
      </c>
      <c r="AH1221" s="2" t="n">
        <f aca="false">AG1220</f>
        <v>12</v>
      </c>
      <c r="AI1221" s="10" t="n">
        <f aca="false">X1221+Y1221*(E1221-AB1221)-Y1221*AD1221*Inputs!$B$13*(A1221-AC1221)</f>
        <v>949.73021558356</v>
      </c>
      <c r="AJ1221" s="10" t="n">
        <v>0</v>
      </c>
      <c r="AK1221" s="8" t="n">
        <f aca="false">IF(AND(B1221&lt;=U1221,NOT(Q1221)),B1221,U1221)*(1-Inputs!$B$12)</f>
        <v>0.835457242676421</v>
      </c>
    </row>
    <row r="1222" customFormat="false" ht="15" hidden="false" customHeight="false" outlineLevel="0" collapsed="false">
      <c r="A1222" s="6" t="n">
        <v>46006</v>
      </c>
      <c r="B1222" s="7" t="n">
        <v>0.910199151418723</v>
      </c>
      <c r="C1222" s="7" t="n">
        <v>0.911219363597222</v>
      </c>
      <c r="D1222" s="7" t="n">
        <v>0.907320579565458</v>
      </c>
      <c r="E1222" s="7" t="n">
        <v>0.910347474537454</v>
      </c>
      <c r="F1222" s="8" t="n">
        <f aca="true">IF(ROW()-2&gt;=Inputs!$B$4,AVERAGE(OFFSET(E1222,1-Inputs!$B$4,0,Inputs!$B$4,1)),"")</f>
        <v>0.901285495415229</v>
      </c>
      <c r="G1222" s="8" t="n">
        <f aca="true">IF(ROW()-2&gt;=Inputs!$B$5,AVERAGE(OFFSET(E1222,1-Inputs!$B$5,0,Inputs!$B$5,1)),"")</f>
        <v>0.900320583040712</v>
      </c>
      <c r="H1222" s="8" t="n">
        <f aca="false">MAX(C1222-D1222,ABS(C1222-E1221),ABS(D1222-E1221))</f>
        <v>0.00389878403176402</v>
      </c>
      <c r="I1222" s="8" t="n">
        <f aca="true">IF(ROW()-2&lt;14,"",IF(ROW()-2=14,AVERAGE(OFFSET(H1222,-13,0,14,1)),(I1221*13+H1222)/14))</f>
        <v>0.00927842266816725</v>
      </c>
      <c r="J1222" s="9" t="b">
        <f aca="false">IF(AND(ISNUMBER(F1222),ISNUMBER(G1222),ISNUMBER(F1221),ISNUMBER(G1221)),AND(F1222&gt;G1222,F1221&lt;=G1221),FALSE())</f>
        <v>1</v>
      </c>
      <c r="K1222" s="9" t="b">
        <f aca="false">IF(AND(ISNUMBER(F1222),ISNUMBER(G1222),ISNUMBER(F1221),ISNUMBER(G1221)),AND(F1222&lt;G1222,F1221&gt;=G1221),FALSE())</f>
        <v>0</v>
      </c>
      <c r="L1222" s="8" t="n">
        <f aca="false">IF(ISNUMBER(I1222),E1222-Inputs!$B$6*I1222,"")</f>
        <v>0.891790629201119</v>
      </c>
      <c r="M1222" s="9" t="b">
        <f aca="false">AND(Y1221&gt;0,Z1221)</f>
        <v>0</v>
      </c>
      <c r="N1222" s="8" t="n">
        <f aca="false">B1222*(1-Inputs!$B$12)</f>
        <v>0.91001711158844</v>
      </c>
      <c r="O1222" s="10" t="n">
        <f aca="false">IF(M1222,Y1221*(N1222-AB1221)-Inputs!$B$9-Y1221*AD1221*Inputs!$B$13*(A1222-AC1221),0)</f>
        <v>0</v>
      </c>
      <c r="P1222" s="10" t="n">
        <f aca="false">X1221+O1222</f>
        <v>949.73021558356</v>
      </c>
      <c r="Q1222" s="9" t="b">
        <f aca="false">AND(IF(M1222,0,Y1221)=0,AA1221,IF(ISNUMBER(AE1221),B1222&gt;AE1221,FALSE()))</f>
        <v>0</v>
      </c>
      <c r="R1222" s="8" t="n">
        <f aca="false">B1222*(1+Inputs!$B$12)</f>
        <v>0.910381191249007</v>
      </c>
      <c r="S1222" s="11" t="n">
        <f aca="false">IF(Q1222,MIN(P1222*Inputs!$B$3/(R1222-AE1221),P1222*Inputs!$B$11/R1222),0)</f>
        <v>0</v>
      </c>
      <c r="T1222" s="11" t="n">
        <f aca="false">IF(Q1222,S1222,IF(M1222,0,Y1221))</f>
        <v>0</v>
      </c>
      <c r="U1222" s="8" t="n">
        <f aca="false">IF(Q1222,AE1221,AF1221)</f>
        <v>0.835624367549931</v>
      </c>
      <c r="V1222" s="9" t="b">
        <f aca="false">AND(T1222&gt;0,D1222&lt;=U1222)</f>
        <v>0</v>
      </c>
      <c r="W1222" s="10" t="n">
        <f aca="false">IF(V1222,T1222*(AK1222-AB1222)-Inputs!$B$9-T1222*AD1222*Inputs!$B$13*(A1222-AC1222),0)</f>
        <v>0</v>
      </c>
      <c r="X1222" s="10" t="n">
        <f aca="false">P1222-IF(Q1222,Inputs!$B$9,0)+W1222</f>
        <v>949.73021558356</v>
      </c>
      <c r="Y1222" s="11" t="n">
        <f aca="false">IF(V1222,0,T1222)</f>
        <v>0</v>
      </c>
      <c r="Z1222" s="9" t="b">
        <f aca="false">AND(Y1222&gt;0,K1222)</f>
        <v>0</v>
      </c>
      <c r="AA1222" s="9" t="b">
        <f aca="false">AND(Y1222=0,J1222,ISNUMBER(L1222))</f>
        <v>1</v>
      </c>
      <c r="AB1222" s="8" t="n">
        <f aca="false">IF(Q1222,R1222,AB1221)</f>
        <v>0.852139558595783</v>
      </c>
      <c r="AC1222" s="12" t="n">
        <f aca="false">IF(Q1222,A1222,AC1221)</f>
        <v>45888</v>
      </c>
      <c r="AD1222" s="8" t="n">
        <f aca="false">IF(Q1222,B1222,AD1221)</f>
        <v>0.85196916476283</v>
      </c>
      <c r="AE1222" s="8" t="n">
        <f aca="false">IF(AA1222,L1222,"")</f>
        <v>0.891790629201119</v>
      </c>
      <c r="AF1222" s="8" t="n">
        <f aca="false">U1222</f>
        <v>0.835624367549931</v>
      </c>
      <c r="AG1222" s="2" t="n">
        <f aca="false">AG1221+IF(Q1222,1,0)</f>
        <v>12</v>
      </c>
      <c r="AH1222" s="2" t="n">
        <f aca="false">AG1221</f>
        <v>12</v>
      </c>
      <c r="AI1222" s="10" t="n">
        <f aca="false">X1222+Y1222*(E1222-AB1222)-Y1222*AD1222*Inputs!$B$13*(A1222-AC1222)</f>
        <v>949.73021558356</v>
      </c>
      <c r="AJ1222" s="10" t="n">
        <v>0</v>
      </c>
      <c r="AK1222" s="8" t="n">
        <f aca="false">IF(AND(B1222&lt;=U1222,NOT(Q1222)),B1222,U1222)*(1-Inputs!$B$12)</f>
        <v>0.835457242676421</v>
      </c>
    </row>
    <row r="1223" customFormat="false" ht="15" hidden="false" customHeight="false" outlineLevel="0" collapsed="false">
      <c r="A1223" s="6" t="n">
        <v>46007</v>
      </c>
      <c r="B1223" s="7" t="n">
        <v>0.910347474537454</v>
      </c>
      <c r="C1223" s="7" t="n">
        <v>0.915883901316151</v>
      </c>
      <c r="D1223" s="7" t="n">
        <v>0.90624218060066</v>
      </c>
      <c r="E1223" s="7" t="n">
        <v>0.913612716341574</v>
      </c>
      <c r="F1223" s="8" t="n">
        <f aca="true">IF(ROW()-2&gt;=Inputs!$B$4,AVERAGE(OFFSET(E1223,1-Inputs!$B$4,0,Inputs!$B$4,1)),"")</f>
        <v>0.902734039369543</v>
      </c>
      <c r="G1223" s="8" t="n">
        <f aca="true">IF(ROW()-2&gt;=Inputs!$B$5,AVERAGE(OFFSET(E1223,1-Inputs!$B$5,0,Inputs!$B$5,1)),"")</f>
        <v>0.900436881533496</v>
      </c>
      <c r="H1223" s="8" t="n">
        <f aca="false">MAX(C1223-D1223,ABS(C1223-E1222),ABS(D1223-E1222))</f>
        <v>0.00964172071549063</v>
      </c>
      <c r="I1223" s="8" t="n">
        <f aca="true">IF(ROW()-2&lt;14,"",IF(ROW()-2=14,AVERAGE(OFFSET(H1223,-13,0,14,1)),(I1222*13+H1223)/14))</f>
        <v>0.00930437252869035</v>
      </c>
      <c r="J1223" s="9" t="b">
        <f aca="false">IF(AND(ISNUMBER(F1223),ISNUMBER(G1223),ISNUMBER(F1222),ISNUMBER(G1222)),AND(F1223&gt;G1223,F1222&lt;=G1222),FALSE())</f>
        <v>0</v>
      </c>
      <c r="K1223" s="9" t="b">
        <f aca="false">IF(AND(ISNUMBER(F1223),ISNUMBER(G1223),ISNUMBER(F1222),ISNUMBER(G1222)),AND(F1223&lt;G1223,F1222&gt;=G1222),FALSE())</f>
        <v>0</v>
      </c>
      <c r="L1223" s="8" t="n">
        <f aca="false">IF(ISNUMBER(I1223),E1223-Inputs!$B$6*I1223,"")</f>
        <v>0.895003971284193</v>
      </c>
      <c r="M1223" s="9" t="b">
        <f aca="false">AND(Y1222&gt;0,Z1222)</f>
        <v>0</v>
      </c>
      <c r="N1223" s="8" t="n">
        <f aca="false">B1223*(1-Inputs!$B$12)</f>
        <v>0.910165405042546</v>
      </c>
      <c r="O1223" s="10" t="n">
        <f aca="false">IF(M1223,Y1222*(N1223-AB1222)-Inputs!$B$9-Y1222*AD1222*Inputs!$B$13*(A1223-AC1222),0)</f>
        <v>0</v>
      </c>
      <c r="P1223" s="10" t="n">
        <f aca="false">X1222+O1223</f>
        <v>949.73021558356</v>
      </c>
      <c r="Q1223" s="9" t="b">
        <f aca="false">AND(IF(M1223,0,Y1222)=0,AA1222,IF(ISNUMBER(AE1222),B1223&gt;AE1222,FALSE()))</f>
        <v>1</v>
      </c>
      <c r="R1223" s="8" t="n">
        <f aca="false">B1223*(1+Inputs!$B$12)</f>
        <v>0.910529544032361</v>
      </c>
      <c r="S1223" s="11" t="n">
        <f aca="false">IF(Q1223,MIN(P1223*Inputs!$B$3/(R1223-AE1222),P1223*Inputs!$B$11/R1223),0)</f>
        <v>506.822419620663</v>
      </c>
      <c r="T1223" s="11" t="n">
        <f aca="false">IF(Q1223,S1223,IF(M1223,0,Y1222))</f>
        <v>506.822419620663</v>
      </c>
      <c r="U1223" s="8" t="n">
        <f aca="false">IF(Q1223,AE1222,AF1222)</f>
        <v>0.891790629201119</v>
      </c>
      <c r="V1223" s="9" t="b">
        <f aca="false">AND(T1223&gt;0,D1223&lt;=U1223)</f>
        <v>0</v>
      </c>
      <c r="W1223" s="10" t="n">
        <f aca="false">IF(V1223,T1223*(AK1223-AB1223)-Inputs!$B$9-T1223*AD1223*Inputs!$B$13*(A1223-AC1223),0)</f>
        <v>0</v>
      </c>
      <c r="X1223" s="10" t="n">
        <f aca="false">P1223-IF(Q1223,Inputs!$B$9,0)+W1223</f>
        <v>948.73021558356</v>
      </c>
      <c r="Y1223" s="11" t="n">
        <f aca="false">IF(V1223,0,T1223)</f>
        <v>506.822419620663</v>
      </c>
      <c r="Z1223" s="9" t="b">
        <f aca="false">AND(Y1223&gt;0,K1223)</f>
        <v>0</v>
      </c>
      <c r="AA1223" s="9" t="b">
        <f aca="false">AND(Y1223=0,J1223,ISNUMBER(L1223))</f>
        <v>0</v>
      </c>
      <c r="AB1223" s="8" t="n">
        <f aca="false">IF(Q1223,R1223,AB1222)</f>
        <v>0.910529544032361</v>
      </c>
      <c r="AC1223" s="12" t="n">
        <f aca="false">IF(Q1223,A1223,AC1222)</f>
        <v>46007</v>
      </c>
      <c r="AD1223" s="8" t="n">
        <f aca="false">IF(Q1223,B1223,AD1222)</f>
        <v>0.910347474537454</v>
      </c>
      <c r="AE1223" s="8" t="str">
        <f aca="false">IF(AA1223,L1223,"")</f>
        <v/>
      </c>
      <c r="AF1223" s="8" t="n">
        <f aca="false">U1223</f>
        <v>0.891790629201119</v>
      </c>
      <c r="AG1223" s="2" t="n">
        <f aca="false">AG1222+IF(Q1223,1,0)</f>
        <v>13</v>
      </c>
      <c r="AH1223" s="2" t="n">
        <f aca="false">AG1222</f>
        <v>12</v>
      </c>
      <c r="AI1223" s="10" t="n">
        <f aca="false">X1223+Y1223*(E1223-AB1223)-Y1223*AD1223*Inputs!$B$13*(A1223-AC1223)</f>
        <v>950.292836433422</v>
      </c>
      <c r="AJ1223" s="10" t="n">
        <v>0</v>
      </c>
      <c r="AK1223" s="8" t="n">
        <f aca="false">IF(AND(B1223&lt;=U1223,NOT(Q1223)),B1223,U1223)*(1-Inputs!$B$12)</f>
        <v>0.891612271075279</v>
      </c>
    </row>
    <row r="1224" customFormat="false" ht="15" hidden="false" customHeight="false" outlineLevel="0" collapsed="false">
      <c r="A1224" s="6" t="n">
        <v>46008</v>
      </c>
      <c r="B1224" s="7" t="n">
        <v>0.913612716341574</v>
      </c>
      <c r="C1224" s="7" t="n">
        <v>0.918509670980272</v>
      </c>
      <c r="D1224" s="7" t="n">
        <v>0.911688227184373</v>
      </c>
      <c r="E1224" s="7" t="n">
        <v>0.911764675943277</v>
      </c>
      <c r="F1224" s="8" t="n">
        <f aca="true">IF(ROW()-2&gt;=Inputs!$B$4,AVERAGE(OFFSET(E1224,1-Inputs!$B$4,0,Inputs!$B$4,1)),"")</f>
        <v>0.903984314938216</v>
      </c>
      <c r="G1224" s="8" t="n">
        <f aca="true">IF(ROW()-2&gt;=Inputs!$B$5,AVERAGE(OFFSET(E1224,1-Inputs!$B$5,0,Inputs!$B$5,1)),"")</f>
        <v>0.900558621555647</v>
      </c>
      <c r="H1224" s="8" t="n">
        <f aca="false">MAX(C1224-D1224,ABS(C1224-E1223),ABS(D1224-E1223))</f>
        <v>0.00682144379589988</v>
      </c>
      <c r="I1224" s="8" t="n">
        <f aca="true">IF(ROW()-2&lt;14,"",IF(ROW()-2=14,AVERAGE(OFFSET(H1224,-13,0,14,1)),(I1223*13+H1224)/14))</f>
        <v>0.00912702047634817</v>
      </c>
      <c r="J1224" s="9" t="b">
        <f aca="false">IF(AND(ISNUMBER(F1224),ISNUMBER(G1224),ISNUMBER(F1223),ISNUMBER(G1223)),AND(F1224&gt;G1224,F1223&lt;=G1223),FALSE())</f>
        <v>0</v>
      </c>
      <c r="K1224" s="9" t="b">
        <f aca="false">IF(AND(ISNUMBER(F1224),ISNUMBER(G1224),ISNUMBER(F1223),ISNUMBER(G1223)),AND(F1224&lt;G1224,F1223&gt;=G1223),FALSE())</f>
        <v>0</v>
      </c>
      <c r="L1224" s="8" t="n">
        <f aca="false">IF(ISNUMBER(I1224),E1224-Inputs!$B$6*I1224,"")</f>
        <v>0.893510634990581</v>
      </c>
      <c r="M1224" s="9" t="b">
        <f aca="false">AND(Y1223&gt;0,Z1223)</f>
        <v>0</v>
      </c>
      <c r="N1224" s="8" t="n">
        <f aca="false">B1224*(1-Inputs!$B$12)</f>
        <v>0.913429993798306</v>
      </c>
      <c r="O1224" s="10" t="n">
        <f aca="false">IF(M1224,Y1223*(N1224-AB1223)-Inputs!$B$9-Y1223*AD1223*Inputs!$B$13*(A1224-AC1223),0)</f>
        <v>0</v>
      </c>
      <c r="P1224" s="10" t="n">
        <f aca="false">X1223+O1224</f>
        <v>948.73021558356</v>
      </c>
      <c r="Q1224" s="9" t="b">
        <f aca="false">AND(IF(M1224,0,Y1223)=0,AA1223,IF(ISNUMBER(AE1223),B1224&gt;AE1223,FALSE()))</f>
        <v>0</v>
      </c>
      <c r="R1224" s="8" t="n">
        <f aca="false">B1224*(1+Inputs!$B$12)</f>
        <v>0.913795438884842</v>
      </c>
      <c r="S1224" s="11" t="n">
        <f aca="false">IF(Q1224,MIN(P1224*Inputs!$B$3/(R1224-AE1223),P1224*Inputs!$B$11/R1224),0)</f>
        <v>0</v>
      </c>
      <c r="T1224" s="11" t="n">
        <f aca="false">IF(Q1224,S1224,IF(M1224,0,Y1223))</f>
        <v>506.822419620663</v>
      </c>
      <c r="U1224" s="8" t="n">
        <f aca="false">IF(Q1224,AE1223,AF1223)</f>
        <v>0.891790629201119</v>
      </c>
      <c r="V1224" s="9" t="b">
        <f aca="false">AND(T1224&gt;0,D1224&lt;=U1224)</f>
        <v>0</v>
      </c>
      <c r="W1224" s="10" t="n">
        <f aca="false">IF(V1224,T1224*(AK1224-AB1224)-Inputs!$B$9-T1224*AD1224*Inputs!$B$13*(A1224-AC1224),0)</f>
        <v>0</v>
      </c>
      <c r="X1224" s="10" t="n">
        <f aca="false">P1224-IF(Q1224,Inputs!$B$9,0)+W1224</f>
        <v>948.73021558356</v>
      </c>
      <c r="Y1224" s="11" t="n">
        <f aca="false">IF(V1224,0,T1224)</f>
        <v>506.822419620663</v>
      </c>
      <c r="Z1224" s="9" t="b">
        <f aca="false">AND(Y1224&gt;0,K1224)</f>
        <v>0</v>
      </c>
      <c r="AA1224" s="9" t="b">
        <f aca="false">AND(Y1224=0,J1224,ISNUMBER(L1224))</f>
        <v>0</v>
      </c>
      <c r="AB1224" s="8" t="n">
        <f aca="false">IF(Q1224,R1224,AB1223)</f>
        <v>0.910529544032361</v>
      </c>
      <c r="AC1224" s="12" t="n">
        <f aca="false">IF(Q1224,A1224,AC1223)</f>
        <v>46007</v>
      </c>
      <c r="AD1224" s="8" t="n">
        <f aca="false">IF(Q1224,B1224,AD1223)</f>
        <v>0.910347474537454</v>
      </c>
      <c r="AE1224" s="8" t="str">
        <f aca="false">IF(AA1224,L1224,"")</f>
        <v/>
      </c>
      <c r="AF1224" s="8" t="n">
        <f aca="false">U1224</f>
        <v>0.891790629201119</v>
      </c>
      <c r="AG1224" s="2" t="n">
        <f aca="false">AG1223+IF(Q1224,1,0)</f>
        <v>13</v>
      </c>
      <c r="AH1224" s="2" t="n">
        <f aca="false">AG1223</f>
        <v>13</v>
      </c>
      <c r="AI1224" s="10" t="n">
        <f aca="false">X1224+Y1224*(E1224-AB1224)-Y1224*AD1224*Inputs!$B$13*(A1224-AC1224)</f>
        <v>949.274043762452</v>
      </c>
      <c r="AJ1224" s="10" t="n">
        <v>0</v>
      </c>
      <c r="AK1224" s="8" t="n">
        <f aca="false">IF(AND(B1224&lt;=U1224,NOT(Q1224)),B1224,U1224)*(1-Inputs!$B$12)</f>
        <v>0.891612271075279</v>
      </c>
    </row>
    <row r="1225" customFormat="false" ht="15" hidden="false" customHeight="false" outlineLevel="0" collapsed="false">
      <c r="A1225" s="6" t="n">
        <v>46009</v>
      </c>
      <c r="B1225" s="7" t="n">
        <v>0.911764675943277</v>
      </c>
      <c r="C1225" s="7" t="n">
        <v>0.912738122243667</v>
      </c>
      <c r="D1225" s="7" t="n">
        <v>0.900651291085429</v>
      </c>
      <c r="E1225" s="7" t="n">
        <v>0.905419783931285</v>
      </c>
      <c r="F1225" s="8" t="n">
        <f aca="true">IF(ROW()-2&gt;=Inputs!$B$4,AVERAGE(OFFSET(E1225,1-Inputs!$B$4,0,Inputs!$B$4,1)),"")</f>
        <v>0.904485369457405</v>
      </c>
      <c r="G1225" s="8" t="n">
        <f aca="true">IF(ROW()-2&gt;=Inputs!$B$5,AVERAGE(OFFSET(E1225,1-Inputs!$B$5,0,Inputs!$B$5,1)),"")</f>
        <v>0.900472637110064</v>
      </c>
      <c r="H1225" s="8" t="n">
        <f aca="false">MAX(C1225-D1225,ABS(C1225-E1224),ABS(D1225-E1224))</f>
        <v>0.0120868311582377</v>
      </c>
      <c r="I1225" s="8" t="n">
        <f aca="true">IF(ROW()-2&lt;14,"",IF(ROW()-2=14,AVERAGE(OFFSET(H1225,-13,0,14,1)),(I1224*13+H1225)/14))</f>
        <v>0.00933843552505457</v>
      </c>
      <c r="J1225" s="9" t="b">
        <f aca="false">IF(AND(ISNUMBER(F1225),ISNUMBER(G1225),ISNUMBER(F1224),ISNUMBER(G1224)),AND(F1225&gt;G1225,F1224&lt;=G1224),FALSE())</f>
        <v>0</v>
      </c>
      <c r="K1225" s="9" t="b">
        <f aca="false">IF(AND(ISNUMBER(F1225),ISNUMBER(G1225),ISNUMBER(F1224),ISNUMBER(G1224)),AND(F1225&lt;G1225,F1224&gt;=G1224),FALSE())</f>
        <v>0</v>
      </c>
      <c r="L1225" s="8" t="n">
        <f aca="false">IF(ISNUMBER(I1225),E1225-Inputs!$B$6*I1225,"")</f>
        <v>0.886742912881176</v>
      </c>
      <c r="M1225" s="9" t="b">
        <f aca="false">AND(Y1224&gt;0,Z1224)</f>
        <v>0</v>
      </c>
      <c r="N1225" s="8" t="n">
        <f aca="false">B1225*(1-Inputs!$B$12)</f>
        <v>0.911582323008088</v>
      </c>
      <c r="O1225" s="10" t="n">
        <f aca="false">IF(M1225,Y1224*(N1225-AB1224)-Inputs!$B$9-Y1224*AD1224*Inputs!$B$13*(A1225-AC1224),0)</f>
        <v>0</v>
      </c>
      <c r="P1225" s="10" t="n">
        <f aca="false">X1224+O1225</f>
        <v>948.73021558356</v>
      </c>
      <c r="Q1225" s="9" t="b">
        <f aca="false">AND(IF(M1225,0,Y1224)=0,AA1224,IF(ISNUMBER(AE1224),B1225&gt;AE1224,FALSE()))</f>
        <v>0</v>
      </c>
      <c r="R1225" s="8" t="n">
        <f aca="false">B1225*(1+Inputs!$B$12)</f>
        <v>0.911947028878466</v>
      </c>
      <c r="S1225" s="11" t="n">
        <f aca="false">IF(Q1225,MIN(P1225*Inputs!$B$3/(R1225-AE1224),P1225*Inputs!$B$11/R1225),0)</f>
        <v>0</v>
      </c>
      <c r="T1225" s="11" t="n">
        <f aca="false">IF(Q1225,S1225,IF(M1225,0,Y1224))</f>
        <v>506.822419620663</v>
      </c>
      <c r="U1225" s="8" t="n">
        <f aca="false">IF(Q1225,AE1224,AF1224)</f>
        <v>0.891790629201119</v>
      </c>
      <c r="V1225" s="9" t="b">
        <f aca="false">AND(T1225&gt;0,D1225&lt;=U1225)</f>
        <v>0</v>
      </c>
      <c r="W1225" s="10" t="n">
        <f aca="false">IF(V1225,T1225*(AK1225-AB1225)-Inputs!$B$9-T1225*AD1225*Inputs!$B$13*(A1225-AC1225),0)</f>
        <v>0</v>
      </c>
      <c r="X1225" s="10" t="n">
        <f aca="false">P1225-IF(Q1225,Inputs!$B$9,0)+W1225</f>
        <v>948.73021558356</v>
      </c>
      <c r="Y1225" s="11" t="n">
        <f aca="false">IF(V1225,0,T1225)</f>
        <v>506.822419620663</v>
      </c>
      <c r="Z1225" s="9" t="b">
        <f aca="false">AND(Y1225&gt;0,K1225)</f>
        <v>0</v>
      </c>
      <c r="AA1225" s="9" t="b">
        <f aca="false">AND(Y1225=0,J1225,ISNUMBER(L1225))</f>
        <v>0</v>
      </c>
      <c r="AB1225" s="8" t="n">
        <f aca="false">IF(Q1225,R1225,AB1224)</f>
        <v>0.910529544032361</v>
      </c>
      <c r="AC1225" s="12" t="n">
        <f aca="false">IF(Q1225,A1225,AC1224)</f>
        <v>46007</v>
      </c>
      <c r="AD1225" s="8" t="n">
        <f aca="false">IF(Q1225,B1225,AD1224)</f>
        <v>0.910347474537454</v>
      </c>
      <c r="AE1225" s="8" t="str">
        <f aca="false">IF(AA1225,L1225,"")</f>
        <v/>
      </c>
      <c r="AF1225" s="8" t="n">
        <f aca="false">U1225</f>
        <v>0.891790629201119</v>
      </c>
      <c r="AG1225" s="2" t="n">
        <f aca="false">AG1224+IF(Q1225,1,0)</f>
        <v>13</v>
      </c>
      <c r="AH1225" s="2" t="n">
        <f aca="false">AG1224</f>
        <v>13</v>
      </c>
      <c r="AI1225" s="10" t="n">
        <f aca="false">X1225+Y1225*(E1225-AB1225)-Y1225*AD1225*Inputs!$B$13*(A1225-AC1225)</f>
        <v>945.976145875955</v>
      </c>
      <c r="AJ1225" s="10" t="n">
        <v>0</v>
      </c>
      <c r="AK1225" s="8" t="n">
        <f aca="false">IF(AND(B1225&lt;=U1225,NOT(Q1225)),B1225,U1225)*(1-Inputs!$B$12)</f>
        <v>0.891612271075279</v>
      </c>
    </row>
    <row r="1226" customFormat="false" ht="15" hidden="false" customHeight="false" outlineLevel="0" collapsed="false">
      <c r="A1226" s="6" t="n">
        <v>46010</v>
      </c>
      <c r="B1226" s="7" t="n">
        <v>0.905419783931285</v>
      </c>
      <c r="C1226" s="7" t="n">
        <v>0.913395611993678</v>
      </c>
      <c r="D1226" s="7" t="n">
        <v>0.904314843712472</v>
      </c>
      <c r="E1226" s="7" t="n">
        <v>0.908766865839107</v>
      </c>
      <c r="F1226" s="8" t="n">
        <f aca="true">IF(ROW()-2&gt;=Inputs!$B$4,AVERAGE(OFFSET(E1226,1-Inputs!$B$4,0,Inputs!$B$4,1)),"")</f>
        <v>0.90482924298179</v>
      </c>
      <c r="G1226" s="8" t="n">
        <f aca="true">IF(ROW()-2&gt;=Inputs!$B$5,AVERAGE(OFFSET(E1226,1-Inputs!$B$5,0,Inputs!$B$5,1)),"")</f>
        <v>0.90030117379173</v>
      </c>
      <c r="H1226" s="8" t="n">
        <f aca="false">MAX(C1226-D1226,ABS(C1226-E1225),ABS(D1226-E1225))</f>
        <v>0.00908076828120519</v>
      </c>
      <c r="I1226" s="8" t="n">
        <f aca="true">IF(ROW()-2&lt;14,"",IF(ROW()-2=14,AVERAGE(OFFSET(H1226,-13,0,14,1)),(I1225*13+H1226)/14))</f>
        <v>0.00932003072192247</v>
      </c>
      <c r="J1226" s="9" t="b">
        <f aca="false">IF(AND(ISNUMBER(F1226),ISNUMBER(G1226),ISNUMBER(F1225),ISNUMBER(G1225)),AND(F1226&gt;G1226,F1225&lt;=G1225),FALSE())</f>
        <v>0</v>
      </c>
      <c r="K1226" s="9" t="b">
        <f aca="false">IF(AND(ISNUMBER(F1226),ISNUMBER(G1226),ISNUMBER(F1225),ISNUMBER(G1225)),AND(F1226&lt;G1226,F1225&gt;=G1225),FALSE())</f>
        <v>0</v>
      </c>
      <c r="L1226" s="8" t="n">
        <f aca="false">IF(ISNUMBER(I1226),E1226-Inputs!$B$6*I1226,"")</f>
        <v>0.890126804395262</v>
      </c>
      <c r="M1226" s="9" t="b">
        <f aca="false">AND(Y1225&gt;0,Z1225)</f>
        <v>0</v>
      </c>
      <c r="N1226" s="8" t="n">
        <f aca="false">B1226*(1-Inputs!$B$12)</f>
        <v>0.905238699974499</v>
      </c>
      <c r="O1226" s="10" t="n">
        <f aca="false">IF(M1226,Y1225*(N1226-AB1225)-Inputs!$B$9-Y1225*AD1225*Inputs!$B$13*(A1226-AC1225),0)</f>
        <v>0</v>
      </c>
      <c r="P1226" s="10" t="n">
        <f aca="false">X1225+O1226</f>
        <v>948.73021558356</v>
      </c>
      <c r="Q1226" s="9" t="b">
        <f aca="false">AND(IF(M1226,0,Y1225)=0,AA1225,IF(ISNUMBER(AE1225),B1226&gt;AE1225,FALSE()))</f>
        <v>0</v>
      </c>
      <c r="R1226" s="8" t="n">
        <f aca="false">B1226*(1+Inputs!$B$12)</f>
        <v>0.905600867888072</v>
      </c>
      <c r="S1226" s="11" t="n">
        <f aca="false">IF(Q1226,MIN(P1226*Inputs!$B$3/(R1226-AE1225),P1226*Inputs!$B$11/R1226),0)</f>
        <v>0</v>
      </c>
      <c r="T1226" s="11" t="n">
        <f aca="false">IF(Q1226,S1226,IF(M1226,0,Y1225))</f>
        <v>506.822419620663</v>
      </c>
      <c r="U1226" s="8" t="n">
        <f aca="false">IF(Q1226,AE1225,AF1225)</f>
        <v>0.891790629201119</v>
      </c>
      <c r="V1226" s="9" t="b">
        <f aca="false">AND(T1226&gt;0,D1226&lt;=U1226)</f>
        <v>0</v>
      </c>
      <c r="W1226" s="10" t="n">
        <f aca="false">IF(V1226,T1226*(AK1226-AB1226)-Inputs!$B$9-T1226*AD1226*Inputs!$B$13*(A1226-AC1226),0)</f>
        <v>0</v>
      </c>
      <c r="X1226" s="10" t="n">
        <f aca="false">P1226-IF(Q1226,Inputs!$B$9,0)+W1226</f>
        <v>948.73021558356</v>
      </c>
      <c r="Y1226" s="11" t="n">
        <f aca="false">IF(V1226,0,T1226)</f>
        <v>506.822419620663</v>
      </c>
      <c r="Z1226" s="9" t="b">
        <f aca="false">AND(Y1226&gt;0,K1226)</f>
        <v>0</v>
      </c>
      <c r="AA1226" s="9" t="b">
        <f aca="false">AND(Y1226=0,J1226,ISNUMBER(L1226))</f>
        <v>0</v>
      </c>
      <c r="AB1226" s="8" t="n">
        <f aca="false">IF(Q1226,R1226,AB1225)</f>
        <v>0.910529544032361</v>
      </c>
      <c r="AC1226" s="12" t="n">
        <f aca="false">IF(Q1226,A1226,AC1225)</f>
        <v>46007</v>
      </c>
      <c r="AD1226" s="8" t="n">
        <f aca="false">IF(Q1226,B1226,AD1225)</f>
        <v>0.910347474537454</v>
      </c>
      <c r="AE1226" s="8" t="str">
        <f aca="false">IF(AA1226,L1226,"")</f>
        <v/>
      </c>
      <c r="AF1226" s="8" t="n">
        <f aca="false">U1226</f>
        <v>0.891790629201119</v>
      </c>
      <c r="AG1226" s="2" t="n">
        <f aca="false">AG1225+IF(Q1226,1,0)</f>
        <v>13</v>
      </c>
      <c r="AH1226" s="2" t="n">
        <f aca="false">AG1225</f>
        <v>13</v>
      </c>
      <c r="AI1226" s="10" t="n">
        <f aca="false">X1226+Y1226*(E1226-AB1226)-Y1226*AD1226*Inputs!$B$13*(A1226-AC1226)</f>
        <v>947.590357662397</v>
      </c>
      <c r="AJ1226" s="10" t="n">
        <v>0</v>
      </c>
      <c r="AK1226" s="8" t="n">
        <f aca="false">IF(AND(B1226&lt;=U1226,NOT(Q1226)),B1226,U1226)*(1-Inputs!$B$12)</f>
        <v>0.891612271075279</v>
      </c>
    </row>
    <row r="1227" customFormat="false" ht="15" hidden="false" customHeight="false" outlineLevel="0" collapsed="false">
      <c r="A1227" s="6" t="n">
        <v>46011</v>
      </c>
      <c r="B1227" s="7" t="n">
        <v>0.908766865839107</v>
      </c>
      <c r="C1227" s="7" t="n">
        <v>0.909374382839685</v>
      </c>
      <c r="D1227" s="7" t="n">
        <v>0.906496887721018</v>
      </c>
      <c r="E1227" s="7" t="n">
        <v>0.906787767427357</v>
      </c>
      <c r="F1227" s="8" t="n">
        <f aca="true">IF(ROW()-2&gt;=Inputs!$B$4,AVERAGE(OFFSET(E1227,1-Inputs!$B$4,0,Inputs!$B$4,1)),"")</f>
        <v>0.904969312312529</v>
      </c>
      <c r="G1227" s="8" t="n">
        <f aca="true">IF(ROW()-2&gt;=Inputs!$B$5,AVERAGE(OFFSET(E1227,1-Inputs!$B$5,0,Inputs!$B$5,1)),"")</f>
        <v>0.900132933453564</v>
      </c>
      <c r="H1227" s="8" t="n">
        <f aca="false">MAX(C1227-D1227,ABS(C1227-E1226),ABS(D1227-E1226))</f>
        <v>0.00287749511866664</v>
      </c>
      <c r="I1227" s="8" t="n">
        <f aca="true">IF(ROW()-2&lt;14,"",IF(ROW()-2=14,AVERAGE(OFFSET(H1227,-13,0,14,1)),(I1226*13+H1227)/14))</f>
        <v>0.0088598496074042</v>
      </c>
      <c r="J1227" s="9" t="b">
        <f aca="false">IF(AND(ISNUMBER(F1227),ISNUMBER(G1227),ISNUMBER(F1226),ISNUMBER(G1226)),AND(F1227&gt;G1227,F1226&lt;=G1226),FALSE())</f>
        <v>0</v>
      </c>
      <c r="K1227" s="9" t="b">
        <f aca="false">IF(AND(ISNUMBER(F1227),ISNUMBER(G1227),ISNUMBER(F1226),ISNUMBER(G1226)),AND(F1227&lt;G1227,F1226&gt;=G1226),FALSE())</f>
        <v>0</v>
      </c>
      <c r="L1227" s="8" t="n">
        <f aca="false">IF(ISNUMBER(I1227),E1227-Inputs!$B$6*I1227,"")</f>
        <v>0.889068068212549</v>
      </c>
      <c r="M1227" s="9" t="b">
        <f aca="false">AND(Y1226&gt;0,Z1226)</f>
        <v>0</v>
      </c>
      <c r="N1227" s="8" t="n">
        <f aca="false">B1227*(1-Inputs!$B$12)</f>
        <v>0.908585112465939</v>
      </c>
      <c r="O1227" s="10" t="n">
        <f aca="false">IF(M1227,Y1226*(N1227-AB1226)-Inputs!$B$9-Y1226*AD1226*Inputs!$B$13*(A1227-AC1226),0)</f>
        <v>0</v>
      </c>
      <c r="P1227" s="10" t="n">
        <f aca="false">X1226+O1227</f>
        <v>948.73021558356</v>
      </c>
      <c r="Q1227" s="9" t="b">
        <f aca="false">AND(IF(M1227,0,Y1226)=0,AA1226,IF(ISNUMBER(AE1226),B1227&gt;AE1226,FALSE()))</f>
        <v>0</v>
      </c>
      <c r="R1227" s="8" t="n">
        <f aca="false">B1227*(1+Inputs!$B$12)</f>
        <v>0.908948619212275</v>
      </c>
      <c r="S1227" s="11" t="n">
        <f aca="false">IF(Q1227,MIN(P1227*Inputs!$B$3/(R1227-AE1226),P1227*Inputs!$B$11/R1227),0)</f>
        <v>0</v>
      </c>
      <c r="T1227" s="11" t="n">
        <f aca="false">IF(Q1227,S1227,IF(M1227,0,Y1226))</f>
        <v>506.822419620663</v>
      </c>
      <c r="U1227" s="8" t="n">
        <f aca="false">IF(Q1227,AE1226,AF1226)</f>
        <v>0.891790629201119</v>
      </c>
      <c r="V1227" s="9" t="b">
        <f aca="false">AND(T1227&gt;0,D1227&lt;=U1227)</f>
        <v>0</v>
      </c>
      <c r="W1227" s="10" t="n">
        <f aca="false">IF(V1227,T1227*(AK1227-AB1227)-Inputs!$B$9-T1227*AD1227*Inputs!$B$13*(A1227-AC1227),0)</f>
        <v>0</v>
      </c>
      <c r="X1227" s="10" t="n">
        <f aca="false">P1227-IF(Q1227,Inputs!$B$9,0)+W1227</f>
        <v>948.73021558356</v>
      </c>
      <c r="Y1227" s="11" t="n">
        <f aca="false">IF(V1227,0,T1227)</f>
        <v>506.822419620663</v>
      </c>
      <c r="Z1227" s="9" t="b">
        <f aca="false">AND(Y1227&gt;0,K1227)</f>
        <v>0</v>
      </c>
      <c r="AA1227" s="9" t="b">
        <f aca="false">AND(Y1227=0,J1227,ISNUMBER(L1227))</f>
        <v>0</v>
      </c>
      <c r="AB1227" s="8" t="n">
        <f aca="false">IF(Q1227,R1227,AB1226)</f>
        <v>0.910529544032361</v>
      </c>
      <c r="AC1227" s="12" t="n">
        <f aca="false">IF(Q1227,A1227,AC1226)</f>
        <v>46007</v>
      </c>
      <c r="AD1227" s="8" t="n">
        <f aca="false">IF(Q1227,B1227,AD1226)</f>
        <v>0.910347474537454</v>
      </c>
      <c r="AE1227" s="8" t="str">
        <f aca="false">IF(AA1227,L1227,"")</f>
        <v/>
      </c>
      <c r="AF1227" s="8" t="n">
        <f aca="false">U1227</f>
        <v>0.891790629201119</v>
      </c>
      <c r="AG1227" s="2" t="n">
        <f aca="false">AG1226+IF(Q1227,1,0)</f>
        <v>13</v>
      </c>
      <c r="AH1227" s="2" t="n">
        <f aca="false">AG1226</f>
        <v>13</v>
      </c>
      <c r="AI1227" s="10" t="n">
        <f aca="false">X1227+Y1227*(E1227-AB1227)-Y1227*AD1227*Inputs!$B$13*(A1227-AC1227)</f>
        <v>946.505141851938</v>
      </c>
      <c r="AJ1227" s="10" t="n">
        <v>0</v>
      </c>
      <c r="AK1227" s="8" t="n">
        <f aca="false">IF(AND(B1227&lt;=U1227,NOT(Q1227)),B1227,U1227)*(1-Inputs!$B$12)</f>
        <v>0.891612271075279</v>
      </c>
    </row>
    <row r="1228" customFormat="false" ht="15" hidden="false" customHeight="false" outlineLevel="0" collapsed="false">
      <c r="A1228" s="6" t="n">
        <v>46012</v>
      </c>
      <c r="B1228" s="7" t="n">
        <v>0.906787767427357</v>
      </c>
      <c r="C1228" s="7" t="n">
        <v>0.907518205075507</v>
      </c>
      <c r="D1228" s="7" t="n">
        <v>0.899653802383996</v>
      </c>
      <c r="E1228" s="7" t="n">
        <v>0.900880240866157</v>
      </c>
      <c r="F1228" s="8" t="n">
        <f aca="true">IF(ROW()-2&gt;=Inputs!$B$4,AVERAGE(OFFSET(E1228,1-Inputs!$B$4,0,Inputs!$B$4,1)),"")</f>
        <v>0.904746742736036</v>
      </c>
      <c r="G1228" s="8" t="n">
        <f aca="true">IF(ROW()-2&gt;=Inputs!$B$5,AVERAGE(OFFSET(E1228,1-Inputs!$B$5,0,Inputs!$B$5,1)),"")</f>
        <v>0.899819556606921</v>
      </c>
      <c r="H1228" s="8" t="n">
        <f aca="false">MAX(C1228-D1228,ABS(C1228-E1227),ABS(D1228-E1227))</f>
        <v>0.0078644026915109</v>
      </c>
      <c r="I1228" s="8" t="n">
        <f aca="true">IF(ROW()-2&lt;14,"",IF(ROW()-2=14,AVERAGE(OFFSET(H1228,-13,0,14,1)),(I1227*13+H1228)/14))</f>
        <v>0.00878874625626896</v>
      </c>
      <c r="J1228" s="9" t="b">
        <f aca="false">IF(AND(ISNUMBER(F1228),ISNUMBER(G1228),ISNUMBER(F1227),ISNUMBER(G1227)),AND(F1228&gt;G1228,F1227&lt;=G1227),FALSE())</f>
        <v>0</v>
      </c>
      <c r="K1228" s="9" t="b">
        <f aca="false">IF(AND(ISNUMBER(F1228),ISNUMBER(G1228),ISNUMBER(F1227),ISNUMBER(G1227)),AND(F1228&lt;G1228,F1227&gt;=G1227),FALSE())</f>
        <v>0</v>
      </c>
      <c r="L1228" s="8" t="n">
        <f aca="false">IF(ISNUMBER(I1228),E1228-Inputs!$B$6*I1228,"")</f>
        <v>0.883302748353619</v>
      </c>
      <c r="M1228" s="9" t="b">
        <f aca="false">AND(Y1227&gt;0,Z1227)</f>
        <v>0</v>
      </c>
      <c r="N1228" s="8" t="n">
        <f aca="false">B1228*(1-Inputs!$B$12)</f>
        <v>0.906606409873872</v>
      </c>
      <c r="O1228" s="10" t="n">
        <f aca="false">IF(M1228,Y1227*(N1228-AB1227)-Inputs!$B$9-Y1227*AD1227*Inputs!$B$13*(A1228-AC1227),0)</f>
        <v>0</v>
      </c>
      <c r="P1228" s="10" t="n">
        <f aca="false">X1227+O1228</f>
        <v>948.73021558356</v>
      </c>
      <c r="Q1228" s="9" t="b">
        <f aca="false">AND(IF(M1228,0,Y1227)=0,AA1227,IF(ISNUMBER(AE1227),B1228&gt;AE1227,FALSE()))</f>
        <v>0</v>
      </c>
      <c r="R1228" s="8" t="n">
        <f aca="false">B1228*(1+Inputs!$B$12)</f>
        <v>0.906969124980843</v>
      </c>
      <c r="S1228" s="11" t="n">
        <f aca="false">IF(Q1228,MIN(P1228*Inputs!$B$3/(R1228-AE1227),P1228*Inputs!$B$11/R1228),0)</f>
        <v>0</v>
      </c>
      <c r="T1228" s="11" t="n">
        <f aca="false">IF(Q1228,S1228,IF(M1228,0,Y1227))</f>
        <v>506.822419620663</v>
      </c>
      <c r="U1228" s="8" t="n">
        <f aca="false">IF(Q1228,AE1227,AF1227)</f>
        <v>0.891790629201119</v>
      </c>
      <c r="V1228" s="9" t="b">
        <f aca="false">AND(T1228&gt;0,D1228&lt;=U1228)</f>
        <v>0</v>
      </c>
      <c r="W1228" s="10" t="n">
        <f aca="false">IF(V1228,T1228*(AK1228-AB1228)-Inputs!$B$9-T1228*AD1228*Inputs!$B$13*(A1228-AC1228),0)</f>
        <v>0</v>
      </c>
      <c r="X1228" s="10" t="n">
        <f aca="false">P1228-IF(Q1228,Inputs!$B$9,0)+W1228</f>
        <v>948.73021558356</v>
      </c>
      <c r="Y1228" s="11" t="n">
        <f aca="false">IF(V1228,0,T1228)</f>
        <v>506.822419620663</v>
      </c>
      <c r="Z1228" s="9" t="b">
        <f aca="false">AND(Y1228&gt;0,K1228)</f>
        <v>0</v>
      </c>
      <c r="AA1228" s="9" t="b">
        <f aca="false">AND(Y1228=0,J1228,ISNUMBER(L1228))</f>
        <v>0</v>
      </c>
      <c r="AB1228" s="8" t="n">
        <f aca="false">IF(Q1228,R1228,AB1227)</f>
        <v>0.910529544032361</v>
      </c>
      <c r="AC1228" s="12" t="n">
        <f aca="false">IF(Q1228,A1228,AC1227)</f>
        <v>46007</v>
      </c>
      <c r="AD1228" s="8" t="n">
        <f aca="false">IF(Q1228,B1228,AD1227)</f>
        <v>0.910347474537454</v>
      </c>
      <c r="AE1228" s="8" t="str">
        <f aca="false">IF(AA1228,L1228,"")</f>
        <v/>
      </c>
      <c r="AF1228" s="8" t="n">
        <f aca="false">U1228</f>
        <v>0.891790629201119</v>
      </c>
      <c r="AG1228" s="2" t="n">
        <f aca="false">AG1227+IF(Q1228,1,0)</f>
        <v>13</v>
      </c>
      <c r="AH1228" s="2" t="n">
        <f aca="false">AG1227</f>
        <v>13</v>
      </c>
      <c r="AI1228" s="10" t="n">
        <f aca="false">X1228+Y1228*(E1228-AB1228)-Y1228*AD1228*Inputs!$B$13*(A1228-AC1228)</f>
        <v>943.428910581469</v>
      </c>
      <c r="AJ1228" s="10" t="n">
        <v>0</v>
      </c>
      <c r="AK1228" s="8" t="n">
        <f aca="false">IF(AND(B1228&lt;=U1228,NOT(Q1228)),B1228,U1228)*(1-Inputs!$B$12)</f>
        <v>0.891612271075279</v>
      </c>
    </row>
    <row r="1229" customFormat="false" ht="15" hidden="false" customHeight="false" outlineLevel="0" collapsed="false">
      <c r="A1229" s="6" t="n">
        <v>46013</v>
      </c>
      <c r="B1229" s="7" t="n">
        <v>0.900880240866157</v>
      </c>
      <c r="C1229" s="7" t="n">
        <v>0.903672733451493</v>
      </c>
      <c r="D1229" s="7" t="n">
        <v>0.899798282044342</v>
      </c>
      <c r="E1229" s="7" t="n">
        <v>0.899929553620897</v>
      </c>
      <c r="F1229" s="8" t="n">
        <f aca="true">IF(ROW()-2&gt;=Inputs!$B$4,AVERAGE(OFFSET(E1229,1-Inputs!$B$4,0,Inputs!$B$4,1)),"")</f>
        <v>0.904865042877767</v>
      </c>
      <c r="G1229" s="8" t="n">
        <f aca="true">IF(ROW()-2&gt;=Inputs!$B$5,AVERAGE(OFFSET(E1229,1-Inputs!$B$5,0,Inputs!$B$5,1)),"")</f>
        <v>0.899458162362336</v>
      </c>
      <c r="H1229" s="8" t="n">
        <f aca="false">MAX(C1229-D1229,ABS(C1229-E1228),ABS(D1229-E1228))</f>
        <v>0.00387445140715059</v>
      </c>
      <c r="I1229" s="8" t="n">
        <f aca="true">IF(ROW()-2&lt;14,"",IF(ROW()-2=14,AVERAGE(OFFSET(H1229,-13,0,14,1)),(I1228*13+H1229)/14))</f>
        <v>0.00843772519561765</v>
      </c>
      <c r="J1229" s="9" t="b">
        <f aca="false">IF(AND(ISNUMBER(F1229),ISNUMBER(G1229),ISNUMBER(F1228),ISNUMBER(G1228)),AND(F1229&gt;G1229,F1228&lt;=G1228),FALSE())</f>
        <v>0</v>
      </c>
      <c r="K1229" s="9" t="b">
        <f aca="false">IF(AND(ISNUMBER(F1229),ISNUMBER(G1229),ISNUMBER(F1228),ISNUMBER(G1228)),AND(F1229&lt;G1229,F1228&gt;=G1228),FALSE())</f>
        <v>0</v>
      </c>
      <c r="L1229" s="8" t="n">
        <f aca="false">IF(ISNUMBER(I1229),E1229-Inputs!$B$6*I1229,"")</f>
        <v>0.883054103229662</v>
      </c>
      <c r="M1229" s="9" t="b">
        <f aca="false">AND(Y1228&gt;0,Z1228)</f>
        <v>0</v>
      </c>
      <c r="N1229" s="8" t="n">
        <f aca="false">B1229*(1-Inputs!$B$12)</f>
        <v>0.900700064817984</v>
      </c>
      <c r="O1229" s="10" t="n">
        <f aca="false">IF(M1229,Y1228*(N1229-AB1228)-Inputs!$B$9-Y1228*AD1228*Inputs!$B$13*(A1229-AC1228),0)</f>
        <v>0</v>
      </c>
      <c r="P1229" s="10" t="n">
        <f aca="false">X1228+O1229</f>
        <v>948.73021558356</v>
      </c>
      <c r="Q1229" s="9" t="b">
        <f aca="false">AND(IF(M1229,0,Y1228)=0,AA1228,IF(ISNUMBER(AE1228),B1229&gt;AE1228,FALSE()))</f>
        <v>0</v>
      </c>
      <c r="R1229" s="8" t="n">
        <f aca="false">B1229*(1+Inputs!$B$12)</f>
        <v>0.90106041691433</v>
      </c>
      <c r="S1229" s="11" t="n">
        <f aca="false">IF(Q1229,MIN(P1229*Inputs!$B$3/(R1229-AE1228),P1229*Inputs!$B$11/R1229),0)</f>
        <v>0</v>
      </c>
      <c r="T1229" s="11" t="n">
        <f aca="false">IF(Q1229,S1229,IF(M1229,0,Y1228))</f>
        <v>506.822419620663</v>
      </c>
      <c r="U1229" s="8" t="n">
        <f aca="false">IF(Q1229,AE1228,AF1228)</f>
        <v>0.891790629201119</v>
      </c>
      <c r="V1229" s="9" t="b">
        <f aca="false">AND(T1229&gt;0,D1229&lt;=U1229)</f>
        <v>0</v>
      </c>
      <c r="W1229" s="10" t="n">
        <f aca="false">IF(V1229,T1229*(AK1229-AB1229)-Inputs!$B$9-T1229*AD1229*Inputs!$B$13*(A1229-AC1229),0)</f>
        <v>0</v>
      </c>
      <c r="X1229" s="10" t="n">
        <f aca="false">P1229-IF(Q1229,Inputs!$B$9,0)+W1229</f>
        <v>948.73021558356</v>
      </c>
      <c r="Y1229" s="11" t="n">
        <f aca="false">IF(V1229,0,T1229)</f>
        <v>506.822419620663</v>
      </c>
      <c r="Z1229" s="9" t="b">
        <f aca="false">AND(Y1229&gt;0,K1229)</f>
        <v>0</v>
      </c>
      <c r="AA1229" s="9" t="b">
        <f aca="false">AND(Y1229=0,J1229,ISNUMBER(L1229))</f>
        <v>0</v>
      </c>
      <c r="AB1229" s="8" t="n">
        <f aca="false">IF(Q1229,R1229,AB1228)</f>
        <v>0.910529544032361</v>
      </c>
      <c r="AC1229" s="12" t="n">
        <f aca="false">IF(Q1229,A1229,AC1228)</f>
        <v>46007</v>
      </c>
      <c r="AD1229" s="8" t="n">
        <f aca="false">IF(Q1229,B1229,AD1228)</f>
        <v>0.910347474537454</v>
      </c>
      <c r="AE1229" s="8" t="str">
        <f aca="false">IF(AA1229,L1229,"")</f>
        <v/>
      </c>
      <c r="AF1229" s="8" t="n">
        <f aca="false">U1229</f>
        <v>0.891790629201119</v>
      </c>
      <c r="AG1229" s="2" t="n">
        <f aca="false">AG1228+IF(Q1229,1,0)</f>
        <v>13</v>
      </c>
      <c r="AH1229" s="2" t="n">
        <f aca="false">AG1228</f>
        <v>13</v>
      </c>
      <c r="AI1229" s="10" t="n">
        <f aca="false">X1229+Y1229*(E1229-AB1229)-Y1229*AD1229*Inputs!$B$13*(A1229-AC1229)</f>
        <v>942.864916606776</v>
      </c>
      <c r="AJ1229" s="10" t="n">
        <v>0</v>
      </c>
      <c r="AK1229" s="8" t="n">
        <f aca="false">IF(AND(B1229&lt;=U1229,NOT(Q1229)),B1229,U1229)*(1-Inputs!$B$12)</f>
        <v>0.891612271075279</v>
      </c>
    </row>
    <row r="1230" customFormat="false" ht="15" hidden="false" customHeight="false" outlineLevel="0" collapsed="false">
      <c r="A1230" s="6" t="n">
        <v>46014</v>
      </c>
      <c r="B1230" s="7" t="n">
        <v>0.899929553620897</v>
      </c>
      <c r="C1230" s="7" t="n">
        <v>0.903588441904965</v>
      </c>
      <c r="D1230" s="7" t="n">
        <v>0.896947058823769</v>
      </c>
      <c r="E1230" s="7" t="n">
        <v>0.900651444020274</v>
      </c>
      <c r="F1230" s="8" t="n">
        <f aca="true">IF(ROW()-2&gt;=Inputs!$B$4,AVERAGE(OFFSET(E1230,1-Inputs!$B$4,0,Inputs!$B$4,1)),"")</f>
        <v>0.905133563462793</v>
      </c>
      <c r="G1230" s="8" t="n">
        <f aca="true">IF(ROW()-2&gt;=Inputs!$B$5,AVERAGE(OFFSET(E1230,1-Inputs!$B$5,0,Inputs!$B$5,1)),"")</f>
        <v>0.899231893042189</v>
      </c>
      <c r="H1230" s="8" t="n">
        <f aca="false">MAX(C1230-D1230,ABS(C1230-E1229),ABS(D1230-E1229))</f>
        <v>0.00664138308119544</v>
      </c>
      <c r="I1230" s="8" t="n">
        <f aca="true">IF(ROW()-2&lt;14,"",IF(ROW()-2=14,AVERAGE(OFFSET(H1230,-13,0,14,1)),(I1229*13+H1230)/14))</f>
        <v>0.00830941504458749</v>
      </c>
      <c r="J1230" s="9" t="b">
        <f aca="false">IF(AND(ISNUMBER(F1230),ISNUMBER(G1230),ISNUMBER(F1229),ISNUMBER(G1229)),AND(F1230&gt;G1230,F1229&lt;=G1229),FALSE())</f>
        <v>0</v>
      </c>
      <c r="K1230" s="9" t="b">
        <f aca="false">IF(AND(ISNUMBER(F1230),ISNUMBER(G1230),ISNUMBER(F1229),ISNUMBER(G1229)),AND(F1230&lt;G1230,F1229&gt;=G1229),FALSE())</f>
        <v>0</v>
      </c>
      <c r="L1230" s="8" t="n">
        <f aca="false">IF(ISNUMBER(I1230),E1230-Inputs!$B$6*I1230,"")</f>
        <v>0.884032613931099</v>
      </c>
      <c r="M1230" s="9" t="b">
        <f aca="false">AND(Y1229&gt;0,Z1229)</f>
        <v>0</v>
      </c>
      <c r="N1230" s="8" t="n">
        <f aca="false">B1230*(1-Inputs!$B$12)</f>
        <v>0.899749567710173</v>
      </c>
      <c r="O1230" s="10" t="n">
        <f aca="false">IF(M1230,Y1229*(N1230-AB1229)-Inputs!$B$9-Y1229*AD1229*Inputs!$B$13*(A1230-AC1229),0)</f>
        <v>0</v>
      </c>
      <c r="P1230" s="10" t="n">
        <f aca="false">X1229+O1230</f>
        <v>948.73021558356</v>
      </c>
      <c r="Q1230" s="9" t="b">
        <f aca="false">AND(IF(M1230,0,Y1229)=0,AA1229,IF(ISNUMBER(AE1229),B1230&gt;AE1229,FALSE()))</f>
        <v>0</v>
      </c>
      <c r="R1230" s="8" t="n">
        <f aca="false">B1230*(1+Inputs!$B$12)</f>
        <v>0.900109539531621</v>
      </c>
      <c r="S1230" s="11" t="n">
        <f aca="false">IF(Q1230,MIN(P1230*Inputs!$B$3/(R1230-AE1229),P1230*Inputs!$B$11/R1230),0)</f>
        <v>0</v>
      </c>
      <c r="T1230" s="11" t="n">
        <f aca="false">IF(Q1230,S1230,IF(M1230,0,Y1229))</f>
        <v>506.822419620663</v>
      </c>
      <c r="U1230" s="8" t="n">
        <f aca="false">IF(Q1230,AE1229,AF1229)</f>
        <v>0.891790629201119</v>
      </c>
      <c r="V1230" s="9" t="b">
        <f aca="false">AND(T1230&gt;0,D1230&lt;=U1230)</f>
        <v>0</v>
      </c>
      <c r="W1230" s="10" t="n">
        <f aca="false">IF(V1230,T1230*(AK1230-AB1230)-Inputs!$B$9-T1230*AD1230*Inputs!$B$13*(A1230-AC1230),0)</f>
        <v>0</v>
      </c>
      <c r="X1230" s="10" t="n">
        <f aca="false">P1230-IF(Q1230,Inputs!$B$9,0)+W1230</f>
        <v>948.73021558356</v>
      </c>
      <c r="Y1230" s="11" t="n">
        <f aca="false">IF(V1230,0,T1230)</f>
        <v>506.822419620663</v>
      </c>
      <c r="Z1230" s="9" t="b">
        <f aca="false">AND(Y1230&gt;0,K1230)</f>
        <v>0</v>
      </c>
      <c r="AA1230" s="9" t="b">
        <f aca="false">AND(Y1230=0,J1230,ISNUMBER(L1230))</f>
        <v>0</v>
      </c>
      <c r="AB1230" s="8" t="n">
        <f aca="false">IF(Q1230,R1230,AB1229)</f>
        <v>0.910529544032361</v>
      </c>
      <c r="AC1230" s="12" t="n">
        <f aca="false">IF(Q1230,A1230,AC1229)</f>
        <v>46007</v>
      </c>
      <c r="AD1230" s="8" t="n">
        <f aca="false">IF(Q1230,B1230,AD1229)</f>
        <v>0.910347474537454</v>
      </c>
      <c r="AE1230" s="8" t="str">
        <f aca="false">IF(AA1230,L1230,"")</f>
        <v/>
      </c>
      <c r="AF1230" s="8" t="n">
        <f aca="false">U1230</f>
        <v>0.891790629201119</v>
      </c>
      <c r="AG1230" s="2" t="n">
        <f aca="false">AG1229+IF(Q1230,1,0)</f>
        <v>13</v>
      </c>
      <c r="AH1230" s="2" t="n">
        <f aca="false">AG1229</f>
        <v>13</v>
      </c>
      <c r="AI1230" s="10" t="n">
        <f aca="false">X1230+Y1230*(E1230-AB1230)-Y1230*AD1230*Inputs!$B$13*(A1230-AC1230)</f>
        <v>943.14862248094</v>
      </c>
      <c r="AJ1230" s="10" t="n">
        <v>0</v>
      </c>
      <c r="AK1230" s="8" t="n">
        <f aca="false">IF(AND(B1230&lt;=U1230,NOT(Q1230)),B1230,U1230)*(1-Inputs!$B$12)</f>
        <v>0.891612271075279</v>
      </c>
    </row>
    <row r="1231" customFormat="false" ht="15" hidden="false" customHeight="false" outlineLevel="0" collapsed="false">
      <c r="A1231" s="6" t="n">
        <v>46015</v>
      </c>
      <c r="B1231" s="7" t="n">
        <v>0.900651444020274</v>
      </c>
      <c r="C1231" s="7" t="n">
        <v>0.904273313928421</v>
      </c>
      <c r="D1231" s="7" t="n">
        <v>0.894778333422414</v>
      </c>
      <c r="E1231" s="7" t="n">
        <v>0.895059124594319</v>
      </c>
      <c r="F1231" s="8" t="n">
        <f aca="true">IF(ROW()-2&gt;=Inputs!$B$4,AVERAGE(OFFSET(E1231,1-Inputs!$B$4,0,Inputs!$B$4,1)),"")</f>
        <v>0.905216218094284</v>
      </c>
      <c r="G1231" s="8" t="n">
        <f aca="true">IF(ROW()-2&gt;=Inputs!$B$5,AVERAGE(OFFSET(E1231,1-Inputs!$B$5,0,Inputs!$B$5,1)),"")</f>
        <v>0.898935235634492</v>
      </c>
      <c r="H1231" s="8" t="n">
        <f aca="false">MAX(C1231-D1231,ABS(C1231-E1230),ABS(D1231-E1230))</f>
        <v>0.00949498050600683</v>
      </c>
      <c r="I1231" s="8" t="n">
        <f aca="true">IF(ROW()-2&lt;14,"",IF(ROW()-2=14,AVERAGE(OFFSET(H1231,-13,0,14,1)),(I1230*13+H1231)/14))</f>
        <v>0.00839409829183173</v>
      </c>
      <c r="J1231" s="9" t="b">
        <f aca="false">IF(AND(ISNUMBER(F1231),ISNUMBER(G1231),ISNUMBER(F1230),ISNUMBER(G1230)),AND(F1231&gt;G1231,F1230&lt;=G1230),FALSE())</f>
        <v>0</v>
      </c>
      <c r="K1231" s="9" t="b">
        <f aca="false">IF(AND(ISNUMBER(F1231),ISNUMBER(G1231),ISNUMBER(F1230),ISNUMBER(G1230)),AND(F1231&lt;G1231,F1230&gt;=G1230),FALSE())</f>
        <v>0</v>
      </c>
      <c r="L1231" s="8" t="n">
        <f aca="false">IF(ISNUMBER(I1231),E1231-Inputs!$B$6*I1231,"")</f>
        <v>0.878270928010656</v>
      </c>
      <c r="M1231" s="9" t="b">
        <f aca="false">AND(Y1230&gt;0,Z1230)</f>
        <v>0</v>
      </c>
      <c r="N1231" s="8" t="n">
        <f aca="false">B1231*(1-Inputs!$B$12)</f>
        <v>0.90047131373147</v>
      </c>
      <c r="O1231" s="10" t="n">
        <f aca="false">IF(M1231,Y1230*(N1231-AB1230)-Inputs!$B$9-Y1230*AD1230*Inputs!$B$13*(A1231-AC1230),0)</f>
        <v>0</v>
      </c>
      <c r="P1231" s="10" t="n">
        <f aca="false">X1230+O1231</f>
        <v>948.73021558356</v>
      </c>
      <c r="Q1231" s="9" t="b">
        <f aca="false">AND(IF(M1231,0,Y1230)=0,AA1230,IF(ISNUMBER(AE1230),B1231&gt;AE1230,FALSE()))</f>
        <v>0</v>
      </c>
      <c r="R1231" s="8" t="n">
        <f aca="false">B1231*(1+Inputs!$B$12)</f>
        <v>0.900831574309078</v>
      </c>
      <c r="S1231" s="11" t="n">
        <f aca="false">IF(Q1231,MIN(P1231*Inputs!$B$3/(R1231-AE1230),P1231*Inputs!$B$11/R1231),0)</f>
        <v>0</v>
      </c>
      <c r="T1231" s="11" t="n">
        <f aca="false">IF(Q1231,S1231,IF(M1231,0,Y1230))</f>
        <v>506.822419620663</v>
      </c>
      <c r="U1231" s="8" t="n">
        <f aca="false">IF(Q1231,AE1230,AF1230)</f>
        <v>0.891790629201119</v>
      </c>
      <c r="V1231" s="9" t="b">
        <f aca="false">AND(T1231&gt;0,D1231&lt;=U1231)</f>
        <v>0</v>
      </c>
      <c r="W1231" s="10" t="n">
        <f aca="false">IF(V1231,T1231*(AK1231-AB1231)-Inputs!$B$9-T1231*AD1231*Inputs!$B$13*(A1231-AC1231),0)</f>
        <v>0</v>
      </c>
      <c r="X1231" s="10" t="n">
        <f aca="false">P1231-IF(Q1231,Inputs!$B$9,0)+W1231</f>
        <v>948.73021558356</v>
      </c>
      <c r="Y1231" s="11" t="n">
        <f aca="false">IF(V1231,0,T1231)</f>
        <v>506.822419620663</v>
      </c>
      <c r="Z1231" s="9" t="b">
        <f aca="false">AND(Y1231&gt;0,K1231)</f>
        <v>0</v>
      </c>
      <c r="AA1231" s="9" t="b">
        <f aca="false">AND(Y1231=0,J1231,ISNUMBER(L1231))</f>
        <v>0</v>
      </c>
      <c r="AB1231" s="8" t="n">
        <f aca="false">IF(Q1231,R1231,AB1230)</f>
        <v>0.910529544032361</v>
      </c>
      <c r="AC1231" s="12" t="n">
        <f aca="false">IF(Q1231,A1231,AC1230)</f>
        <v>46007</v>
      </c>
      <c r="AD1231" s="8" t="n">
        <f aca="false">IF(Q1231,B1231,AD1230)</f>
        <v>0.910347474537454</v>
      </c>
      <c r="AE1231" s="8" t="str">
        <f aca="false">IF(AA1231,L1231,"")</f>
        <v/>
      </c>
      <c r="AF1231" s="8" t="n">
        <f aca="false">U1231</f>
        <v>0.891790629201119</v>
      </c>
      <c r="AG1231" s="2" t="n">
        <f aca="false">AG1230+IF(Q1231,1,0)</f>
        <v>13</v>
      </c>
      <c r="AH1231" s="2" t="n">
        <f aca="false">AG1230</f>
        <v>13</v>
      </c>
      <c r="AI1231" s="10" t="n">
        <f aca="false">X1231+Y1231*(E1231-AB1231)-Y1231*AD1231*Inputs!$B$13*(A1231-AC1231)</f>
        <v>940.232145253438</v>
      </c>
      <c r="AJ1231" s="10" t="n">
        <v>0</v>
      </c>
      <c r="AK1231" s="8" t="n">
        <f aca="false">IF(AND(B1231&lt;=U1231,NOT(Q1231)),B1231,U1231)*(1-Inputs!$B$12)</f>
        <v>0.891612271075279</v>
      </c>
    </row>
    <row r="1232" customFormat="false" ht="15" hidden="false" customHeight="false" outlineLevel="0" collapsed="false">
      <c r="A1232" s="6" t="n">
        <v>46016</v>
      </c>
      <c r="B1232" s="7" t="n">
        <v>0.895059124594319</v>
      </c>
      <c r="C1232" s="7" t="n">
        <v>0.899272813464911</v>
      </c>
      <c r="D1232" s="7" t="n">
        <v>0.894170245352489</v>
      </c>
      <c r="E1232" s="7" t="n">
        <v>0.896787923723529</v>
      </c>
      <c r="F1232" s="8" t="n">
        <f aca="true">IF(ROW()-2&gt;=Inputs!$B$4,AVERAGE(OFFSET(E1232,1-Inputs!$B$4,0,Inputs!$B$4,1)),"")</f>
        <v>0.905258010346848</v>
      </c>
      <c r="G1232" s="8" t="n">
        <f aca="true">IF(ROW()-2&gt;=Inputs!$B$5,AVERAGE(OFFSET(E1232,1-Inputs!$B$5,0,Inputs!$B$5,1)),"")</f>
        <v>0.898731452904942</v>
      </c>
      <c r="H1232" s="8" t="n">
        <f aca="false">MAX(C1232-D1232,ABS(C1232-E1231),ABS(D1232-E1231))</f>
        <v>0.00510256811242216</v>
      </c>
      <c r="I1232" s="8" t="n">
        <f aca="true">IF(ROW()-2&lt;14,"",IF(ROW()-2=14,AVERAGE(OFFSET(H1232,-13,0,14,1)),(I1231*13+H1232)/14))</f>
        <v>0.00815898899330248</v>
      </c>
      <c r="J1232" s="9" t="b">
        <f aca="false">IF(AND(ISNUMBER(F1232),ISNUMBER(G1232),ISNUMBER(F1231),ISNUMBER(G1231)),AND(F1232&gt;G1232,F1231&lt;=G1231),FALSE())</f>
        <v>0</v>
      </c>
      <c r="K1232" s="9" t="b">
        <f aca="false">IF(AND(ISNUMBER(F1232),ISNUMBER(G1232),ISNUMBER(F1231),ISNUMBER(G1231)),AND(F1232&lt;G1232,F1231&gt;=G1231),FALSE())</f>
        <v>0</v>
      </c>
      <c r="L1232" s="8" t="n">
        <f aca="false">IF(ISNUMBER(I1232),E1232-Inputs!$B$6*I1232,"")</f>
        <v>0.880469945736924</v>
      </c>
      <c r="M1232" s="9" t="b">
        <f aca="false">AND(Y1231&gt;0,Z1231)</f>
        <v>0</v>
      </c>
      <c r="N1232" s="8" t="n">
        <f aca="false">B1232*(1-Inputs!$B$12)</f>
        <v>0.894880112769401</v>
      </c>
      <c r="O1232" s="10" t="n">
        <f aca="false">IF(M1232,Y1231*(N1232-AB1231)-Inputs!$B$9-Y1231*AD1231*Inputs!$B$13*(A1232-AC1231),0)</f>
        <v>0</v>
      </c>
      <c r="P1232" s="10" t="n">
        <f aca="false">X1231+O1232</f>
        <v>948.73021558356</v>
      </c>
      <c r="Q1232" s="9" t="b">
        <f aca="false">AND(IF(M1232,0,Y1231)=0,AA1231,IF(ISNUMBER(AE1231),B1232&gt;AE1231,FALSE()))</f>
        <v>0</v>
      </c>
      <c r="R1232" s="8" t="n">
        <f aca="false">B1232*(1+Inputs!$B$12)</f>
        <v>0.895238136419238</v>
      </c>
      <c r="S1232" s="11" t="n">
        <f aca="false">IF(Q1232,MIN(P1232*Inputs!$B$3/(R1232-AE1231),P1232*Inputs!$B$11/R1232),0)</f>
        <v>0</v>
      </c>
      <c r="T1232" s="11" t="n">
        <f aca="false">IF(Q1232,S1232,IF(M1232,0,Y1231))</f>
        <v>506.822419620663</v>
      </c>
      <c r="U1232" s="8" t="n">
        <f aca="false">IF(Q1232,AE1231,AF1231)</f>
        <v>0.891790629201119</v>
      </c>
      <c r="V1232" s="9" t="b">
        <f aca="false">AND(T1232&gt;0,D1232&lt;=U1232)</f>
        <v>0</v>
      </c>
      <c r="W1232" s="10" t="n">
        <f aca="false">IF(V1232,T1232*(AK1232-AB1232)-Inputs!$B$9-T1232*AD1232*Inputs!$B$13*(A1232-AC1232),0)</f>
        <v>0</v>
      </c>
      <c r="X1232" s="10" t="n">
        <f aca="false">P1232-IF(Q1232,Inputs!$B$9,0)+W1232</f>
        <v>948.73021558356</v>
      </c>
      <c r="Y1232" s="11" t="n">
        <f aca="false">IF(V1232,0,T1232)</f>
        <v>506.822419620663</v>
      </c>
      <c r="Z1232" s="9" t="b">
        <f aca="false">AND(Y1232&gt;0,K1232)</f>
        <v>0</v>
      </c>
      <c r="AA1232" s="9" t="b">
        <f aca="false">AND(Y1232=0,J1232,ISNUMBER(L1232))</f>
        <v>0</v>
      </c>
      <c r="AB1232" s="8" t="n">
        <f aca="false">IF(Q1232,R1232,AB1231)</f>
        <v>0.910529544032361</v>
      </c>
      <c r="AC1232" s="12" t="n">
        <f aca="false">IF(Q1232,A1232,AC1231)</f>
        <v>46007</v>
      </c>
      <c r="AD1232" s="8" t="n">
        <f aca="false">IF(Q1232,B1232,AD1231)</f>
        <v>0.910347474537454</v>
      </c>
      <c r="AE1232" s="8" t="str">
        <f aca="false">IF(AA1232,L1232,"")</f>
        <v/>
      </c>
      <c r="AF1232" s="8" t="n">
        <f aca="false">U1232</f>
        <v>0.891790629201119</v>
      </c>
      <c r="AG1232" s="2" t="n">
        <f aca="false">AG1231+IF(Q1232,1,0)</f>
        <v>13</v>
      </c>
      <c r="AH1232" s="2" t="n">
        <f aca="false">AG1231</f>
        <v>13</v>
      </c>
      <c r="AI1232" s="10" t="n">
        <f aca="false">X1232+Y1232*(E1232-AB1232)-Y1232*AD1232*Inputs!$B$13*(A1232-AC1232)</f>
        <v>941.026175046394</v>
      </c>
      <c r="AJ1232" s="10" t="n">
        <v>0</v>
      </c>
      <c r="AK1232" s="8" t="n">
        <f aca="false">IF(AND(B1232&lt;=U1232,NOT(Q1232)),B1232,U1232)*(1-Inputs!$B$12)</f>
        <v>0.891612271075279</v>
      </c>
    </row>
    <row r="1233" customFormat="false" ht="15" hidden="false" customHeight="false" outlineLevel="0" collapsed="false">
      <c r="A1233" s="6" t="n">
        <v>46017</v>
      </c>
      <c r="B1233" s="7" t="n">
        <v>0.896787923723529</v>
      </c>
      <c r="C1233" s="7" t="n">
        <v>0.903679291121439</v>
      </c>
      <c r="D1233" s="7" t="n">
        <v>0.889053729901265</v>
      </c>
      <c r="E1233" s="7" t="n">
        <v>0.889926939481368</v>
      </c>
      <c r="F1233" s="8" t="n">
        <f aca="true">IF(ROW()-2&gt;=Inputs!$B$4,AVERAGE(OFFSET(E1233,1-Inputs!$B$4,0,Inputs!$B$4,1)),"")</f>
        <v>0.905197483531915</v>
      </c>
      <c r="G1233" s="8" t="n">
        <f aca="true">IF(ROW()-2&gt;=Inputs!$B$5,AVERAGE(OFFSET(E1233,1-Inputs!$B$5,0,Inputs!$B$5,1)),"")</f>
        <v>0.898449893582582</v>
      </c>
      <c r="H1233" s="8" t="n">
        <f aca="false">MAX(C1233-D1233,ABS(C1233-E1232),ABS(D1233-E1232))</f>
        <v>0.0146255612201742</v>
      </c>
      <c r="I1233" s="8" t="n">
        <f aca="true">IF(ROW()-2&lt;14,"",IF(ROW()-2=14,AVERAGE(OFFSET(H1233,-13,0,14,1)),(I1232*13+H1233)/14))</f>
        <v>0.0086208870095076</v>
      </c>
      <c r="J1233" s="9" t="b">
        <f aca="false">IF(AND(ISNUMBER(F1233),ISNUMBER(G1233),ISNUMBER(F1232),ISNUMBER(G1232)),AND(F1233&gt;G1233,F1232&lt;=G1232),FALSE())</f>
        <v>0</v>
      </c>
      <c r="K1233" s="9" t="b">
        <f aca="false">IF(AND(ISNUMBER(F1233),ISNUMBER(G1233),ISNUMBER(F1232),ISNUMBER(G1232)),AND(F1233&lt;G1233,F1232&gt;=G1232),FALSE())</f>
        <v>0</v>
      </c>
      <c r="L1233" s="8" t="n">
        <f aca="false">IF(ISNUMBER(I1233),E1233-Inputs!$B$6*I1233,"")</f>
        <v>0.872685165462353</v>
      </c>
      <c r="M1233" s="9" t="b">
        <f aca="false">AND(Y1232&gt;0,Z1232)</f>
        <v>0</v>
      </c>
      <c r="N1233" s="8" t="n">
        <f aca="false">B1233*(1-Inputs!$B$12)</f>
        <v>0.896608566138784</v>
      </c>
      <c r="O1233" s="10" t="n">
        <f aca="false">IF(M1233,Y1232*(N1233-AB1232)-Inputs!$B$9-Y1232*AD1232*Inputs!$B$13*(A1233-AC1232),0)</f>
        <v>0</v>
      </c>
      <c r="P1233" s="10" t="n">
        <f aca="false">X1232+O1233</f>
        <v>948.73021558356</v>
      </c>
      <c r="Q1233" s="9" t="b">
        <f aca="false">AND(IF(M1233,0,Y1232)=0,AA1232,IF(ISNUMBER(AE1232),B1233&gt;AE1232,FALSE()))</f>
        <v>0</v>
      </c>
      <c r="R1233" s="8" t="n">
        <f aca="false">B1233*(1+Inputs!$B$12)</f>
        <v>0.896967281308274</v>
      </c>
      <c r="S1233" s="11" t="n">
        <f aca="false">IF(Q1233,MIN(P1233*Inputs!$B$3/(R1233-AE1232),P1233*Inputs!$B$11/R1233),0)</f>
        <v>0</v>
      </c>
      <c r="T1233" s="11" t="n">
        <f aca="false">IF(Q1233,S1233,IF(M1233,0,Y1232))</f>
        <v>506.822419620663</v>
      </c>
      <c r="U1233" s="8" t="n">
        <f aca="false">IF(Q1233,AE1232,AF1232)</f>
        <v>0.891790629201119</v>
      </c>
      <c r="V1233" s="9" t="b">
        <f aca="false">AND(T1233&gt;0,D1233&lt;=U1233)</f>
        <v>1</v>
      </c>
      <c r="W1233" s="10" t="n">
        <f aca="false">IF(V1233,T1233*(AK1233-AB1233)-Inputs!$B$9-T1233*AD1233*Inputs!$B$13*(A1233-AC1233),0)</f>
        <v>-11.4093417002163</v>
      </c>
      <c r="X1233" s="10" t="n">
        <f aca="false">P1233-IF(Q1233,Inputs!$B$9,0)+W1233</f>
        <v>937.320873883343</v>
      </c>
      <c r="Y1233" s="11" t="n">
        <f aca="false">IF(V1233,0,T1233)</f>
        <v>0</v>
      </c>
      <c r="Z1233" s="9" t="b">
        <f aca="false">AND(Y1233&gt;0,K1233)</f>
        <v>0</v>
      </c>
      <c r="AA1233" s="9" t="b">
        <f aca="false">AND(Y1233=0,J1233,ISNUMBER(L1233))</f>
        <v>0</v>
      </c>
      <c r="AB1233" s="8" t="n">
        <f aca="false">IF(Q1233,R1233,AB1232)</f>
        <v>0.910529544032361</v>
      </c>
      <c r="AC1233" s="12" t="n">
        <f aca="false">IF(Q1233,A1233,AC1232)</f>
        <v>46007</v>
      </c>
      <c r="AD1233" s="8" t="n">
        <f aca="false">IF(Q1233,B1233,AD1232)</f>
        <v>0.910347474537454</v>
      </c>
      <c r="AE1233" s="8" t="str">
        <f aca="false">IF(AA1233,L1233,"")</f>
        <v/>
      </c>
      <c r="AF1233" s="8" t="n">
        <f aca="false">U1233</f>
        <v>0.891790629201119</v>
      </c>
      <c r="AG1233" s="2" t="n">
        <f aca="false">AG1232+IF(Q1233,1,0)</f>
        <v>13</v>
      </c>
      <c r="AH1233" s="2" t="n">
        <f aca="false">AG1232</f>
        <v>13</v>
      </c>
      <c r="AI1233" s="10" t="n">
        <f aca="false">X1233+Y1233*(E1233-AB1233)-Y1233*AD1233*Inputs!$B$13*(A1233-AC1233)</f>
        <v>937.320873883343</v>
      </c>
      <c r="AJ1233" s="10" t="n">
        <v>0</v>
      </c>
      <c r="AK1233" s="8" t="n">
        <f aca="false">IF(AND(B1233&lt;=U1233,NOT(Q1233)),B1233,U1233)*(1-Inputs!$B$12)</f>
        <v>0.891612271075279</v>
      </c>
    </row>
    <row r="1234" customFormat="false" ht="15" hidden="false" customHeight="false" outlineLevel="0" collapsed="false">
      <c r="A1234" s="6" t="n">
        <v>46018</v>
      </c>
      <c r="B1234" s="7" t="n">
        <v>0.889926939481368</v>
      </c>
      <c r="C1234" s="7" t="n">
        <v>0.890400954759071</v>
      </c>
      <c r="D1234" s="7" t="n">
        <v>0.886850615578335</v>
      </c>
      <c r="E1234" s="7" t="n">
        <v>0.887656346920552</v>
      </c>
      <c r="F1234" s="8" t="n">
        <f aca="true">IF(ROW()-2&gt;=Inputs!$B$4,AVERAGE(OFFSET(E1234,1-Inputs!$B$4,0,Inputs!$B$4,1)),"")</f>
        <v>0.904760501454728</v>
      </c>
      <c r="G1234" s="8" t="n">
        <f aca="true">IF(ROW()-2&gt;=Inputs!$B$5,AVERAGE(OFFSET(E1234,1-Inputs!$B$5,0,Inputs!$B$5,1)),"")</f>
        <v>0.898247830506671</v>
      </c>
      <c r="H1234" s="8" t="n">
        <f aca="false">MAX(C1234-D1234,ABS(C1234-E1233),ABS(D1234-E1233))</f>
        <v>0.00355033918073566</v>
      </c>
      <c r="I1234" s="8" t="n">
        <f aca="true">IF(ROW()-2&lt;14,"",IF(ROW()-2=14,AVERAGE(OFFSET(H1234,-13,0,14,1)),(I1233*13+H1234)/14))</f>
        <v>0.00825870502173818</v>
      </c>
      <c r="J1234" s="9" t="b">
        <f aca="false">IF(AND(ISNUMBER(F1234),ISNUMBER(G1234),ISNUMBER(F1233),ISNUMBER(G1233)),AND(F1234&gt;G1234,F1233&lt;=G1233),FALSE())</f>
        <v>0</v>
      </c>
      <c r="K1234" s="9" t="b">
        <f aca="false">IF(AND(ISNUMBER(F1234),ISNUMBER(G1234),ISNUMBER(F1233),ISNUMBER(G1233)),AND(F1234&lt;G1234,F1233&gt;=G1233),FALSE())</f>
        <v>0</v>
      </c>
      <c r="L1234" s="8" t="n">
        <f aca="false">IF(ISNUMBER(I1234),E1234-Inputs!$B$6*I1234,"")</f>
        <v>0.871138936877076</v>
      </c>
      <c r="M1234" s="9" t="b">
        <f aca="false">AND(Y1233&gt;0,Z1233)</f>
        <v>0</v>
      </c>
      <c r="N1234" s="8" t="n">
        <f aca="false">B1234*(1-Inputs!$B$12)</f>
        <v>0.889748954093472</v>
      </c>
      <c r="O1234" s="10" t="n">
        <f aca="false">IF(M1234,Y1233*(N1234-AB1233)-Inputs!$B$9-Y1233*AD1233*Inputs!$B$13*(A1234-AC1233),0)</f>
        <v>0</v>
      </c>
      <c r="P1234" s="10" t="n">
        <f aca="false">X1233+O1234</f>
        <v>937.320873883343</v>
      </c>
      <c r="Q1234" s="9" t="b">
        <f aca="false">AND(IF(M1234,0,Y1233)=0,AA1233,IF(ISNUMBER(AE1233),B1234&gt;AE1233,FALSE()))</f>
        <v>0</v>
      </c>
      <c r="R1234" s="8" t="n">
        <f aca="false">B1234*(1+Inputs!$B$12)</f>
        <v>0.890104924869264</v>
      </c>
      <c r="S1234" s="11" t="n">
        <f aca="false">IF(Q1234,MIN(P1234*Inputs!$B$3/(R1234-AE1233),P1234*Inputs!$B$11/R1234),0)</f>
        <v>0</v>
      </c>
      <c r="T1234" s="11" t="n">
        <f aca="false">IF(Q1234,S1234,IF(M1234,0,Y1233))</f>
        <v>0</v>
      </c>
      <c r="U1234" s="8" t="n">
        <f aca="false">IF(Q1234,AE1233,AF1233)</f>
        <v>0.891790629201119</v>
      </c>
      <c r="V1234" s="9" t="b">
        <f aca="false">AND(T1234&gt;0,D1234&lt;=U1234)</f>
        <v>0</v>
      </c>
      <c r="W1234" s="10" t="n">
        <f aca="false">IF(V1234,T1234*(AK1234-AB1234)-Inputs!$B$9-T1234*AD1234*Inputs!$B$13*(A1234-AC1234),0)</f>
        <v>0</v>
      </c>
      <c r="X1234" s="10" t="n">
        <f aca="false">P1234-IF(Q1234,Inputs!$B$9,0)+W1234</f>
        <v>937.320873883343</v>
      </c>
      <c r="Y1234" s="11" t="n">
        <f aca="false">IF(V1234,0,T1234)</f>
        <v>0</v>
      </c>
      <c r="Z1234" s="9" t="b">
        <f aca="false">AND(Y1234&gt;0,K1234)</f>
        <v>0</v>
      </c>
      <c r="AA1234" s="9" t="b">
        <f aca="false">AND(Y1234=0,J1234,ISNUMBER(L1234))</f>
        <v>0</v>
      </c>
      <c r="AB1234" s="8" t="n">
        <f aca="false">IF(Q1234,R1234,AB1233)</f>
        <v>0.910529544032361</v>
      </c>
      <c r="AC1234" s="12" t="n">
        <f aca="false">IF(Q1234,A1234,AC1233)</f>
        <v>46007</v>
      </c>
      <c r="AD1234" s="8" t="n">
        <f aca="false">IF(Q1234,B1234,AD1233)</f>
        <v>0.910347474537454</v>
      </c>
      <c r="AE1234" s="8" t="str">
        <f aca="false">IF(AA1234,L1234,"")</f>
        <v/>
      </c>
      <c r="AF1234" s="8" t="n">
        <f aca="false">U1234</f>
        <v>0.891790629201119</v>
      </c>
      <c r="AG1234" s="2" t="n">
        <f aca="false">AG1233+IF(Q1234,1,0)</f>
        <v>13</v>
      </c>
      <c r="AH1234" s="2" t="n">
        <f aca="false">AG1233</f>
        <v>13</v>
      </c>
      <c r="AI1234" s="10" t="n">
        <f aca="false">X1234+Y1234*(E1234-AB1234)-Y1234*AD1234*Inputs!$B$13*(A1234-AC1234)</f>
        <v>937.320873883343</v>
      </c>
      <c r="AJ1234" s="10" t="n">
        <v>0</v>
      </c>
      <c r="AK1234" s="8" t="n">
        <f aca="false">IF(AND(B1234&lt;=U1234,NOT(Q1234)),B1234,U1234)*(1-Inputs!$B$12)</f>
        <v>0.889748954093472</v>
      </c>
    </row>
    <row r="1235" customFormat="false" ht="15" hidden="false" customHeight="false" outlineLevel="0" collapsed="false">
      <c r="A1235" s="6" t="n">
        <v>46019</v>
      </c>
      <c r="B1235" s="7" t="n">
        <v>0.887656346920552</v>
      </c>
      <c r="C1235" s="7" t="n">
        <v>0.89196572947496</v>
      </c>
      <c r="D1235" s="7" t="n">
        <v>0.87724339145619</v>
      </c>
      <c r="E1235" s="7" t="n">
        <v>0.878682101384213</v>
      </c>
      <c r="F1235" s="8" t="n">
        <f aca="true">IF(ROW()-2&gt;=Inputs!$B$4,AVERAGE(OFFSET(E1235,1-Inputs!$B$4,0,Inputs!$B$4,1)),"")</f>
        <v>0.903791123638736</v>
      </c>
      <c r="G1235" s="8" t="n">
        <f aca="true">IF(ROW()-2&gt;=Inputs!$B$5,AVERAGE(OFFSET(E1235,1-Inputs!$B$5,0,Inputs!$B$5,1)),"")</f>
        <v>0.897878001528373</v>
      </c>
      <c r="H1235" s="8" t="n">
        <f aca="false">MAX(C1235-D1235,ABS(C1235-E1234),ABS(D1235-E1234))</f>
        <v>0.0147223380187702</v>
      </c>
      <c r="I1235" s="8" t="n">
        <f aca="true">IF(ROW()-2&lt;14,"",IF(ROW()-2=14,AVERAGE(OFFSET(H1235,-13,0,14,1)),(I1234*13+H1235)/14))</f>
        <v>0.00872039309295475</v>
      </c>
      <c r="J1235" s="9" t="b">
        <f aca="false">IF(AND(ISNUMBER(F1235),ISNUMBER(G1235),ISNUMBER(F1234),ISNUMBER(G1234)),AND(F1235&gt;G1235,F1234&lt;=G1234),FALSE())</f>
        <v>0</v>
      </c>
      <c r="K1235" s="9" t="b">
        <f aca="false">IF(AND(ISNUMBER(F1235),ISNUMBER(G1235),ISNUMBER(F1234),ISNUMBER(G1234)),AND(F1235&lt;G1235,F1234&gt;=G1234),FALSE())</f>
        <v>0</v>
      </c>
      <c r="L1235" s="8" t="n">
        <f aca="false">IF(ISNUMBER(I1235),E1235-Inputs!$B$6*I1235,"")</f>
        <v>0.861241315198303</v>
      </c>
      <c r="M1235" s="9" t="b">
        <f aca="false">AND(Y1234&gt;0,Z1234)</f>
        <v>0</v>
      </c>
      <c r="N1235" s="8" t="n">
        <f aca="false">B1235*(1-Inputs!$B$12)</f>
        <v>0.887478815651168</v>
      </c>
      <c r="O1235" s="10" t="n">
        <f aca="false">IF(M1235,Y1234*(N1235-AB1234)-Inputs!$B$9-Y1234*AD1234*Inputs!$B$13*(A1235-AC1234),0)</f>
        <v>0</v>
      </c>
      <c r="P1235" s="10" t="n">
        <f aca="false">X1234+O1235</f>
        <v>937.320873883343</v>
      </c>
      <c r="Q1235" s="9" t="b">
        <f aca="false">AND(IF(M1235,0,Y1234)=0,AA1234,IF(ISNUMBER(AE1234),B1235&gt;AE1234,FALSE()))</f>
        <v>0</v>
      </c>
      <c r="R1235" s="8" t="n">
        <f aca="false">B1235*(1+Inputs!$B$12)</f>
        <v>0.887833878189936</v>
      </c>
      <c r="S1235" s="11" t="n">
        <f aca="false">IF(Q1235,MIN(P1235*Inputs!$B$3/(R1235-AE1234),P1235*Inputs!$B$11/R1235),0)</f>
        <v>0</v>
      </c>
      <c r="T1235" s="11" t="n">
        <f aca="false">IF(Q1235,S1235,IF(M1235,0,Y1234))</f>
        <v>0</v>
      </c>
      <c r="U1235" s="8" t="n">
        <f aca="false">IF(Q1235,AE1234,AF1234)</f>
        <v>0.891790629201119</v>
      </c>
      <c r="V1235" s="9" t="b">
        <f aca="false">AND(T1235&gt;0,D1235&lt;=U1235)</f>
        <v>0</v>
      </c>
      <c r="W1235" s="10" t="n">
        <f aca="false">IF(V1235,T1235*(AK1235-AB1235)-Inputs!$B$9-T1235*AD1235*Inputs!$B$13*(A1235-AC1235),0)</f>
        <v>0</v>
      </c>
      <c r="X1235" s="10" t="n">
        <f aca="false">P1235-IF(Q1235,Inputs!$B$9,0)+W1235</f>
        <v>937.320873883343</v>
      </c>
      <c r="Y1235" s="11" t="n">
        <f aca="false">IF(V1235,0,T1235)</f>
        <v>0</v>
      </c>
      <c r="Z1235" s="9" t="b">
        <f aca="false">AND(Y1235&gt;0,K1235)</f>
        <v>0</v>
      </c>
      <c r="AA1235" s="9" t="b">
        <f aca="false">AND(Y1235=0,J1235,ISNUMBER(L1235))</f>
        <v>0</v>
      </c>
      <c r="AB1235" s="8" t="n">
        <f aca="false">IF(Q1235,R1235,AB1234)</f>
        <v>0.910529544032361</v>
      </c>
      <c r="AC1235" s="12" t="n">
        <f aca="false">IF(Q1235,A1235,AC1234)</f>
        <v>46007</v>
      </c>
      <c r="AD1235" s="8" t="n">
        <f aca="false">IF(Q1235,B1235,AD1234)</f>
        <v>0.910347474537454</v>
      </c>
      <c r="AE1235" s="8" t="str">
        <f aca="false">IF(AA1235,L1235,"")</f>
        <v/>
      </c>
      <c r="AF1235" s="8" t="n">
        <f aca="false">U1235</f>
        <v>0.891790629201119</v>
      </c>
      <c r="AG1235" s="2" t="n">
        <f aca="false">AG1234+IF(Q1235,1,0)</f>
        <v>13</v>
      </c>
      <c r="AH1235" s="2" t="n">
        <f aca="false">AG1234</f>
        <v>13</v>
      </c>
      <c r="AI1235" s="10" t="n">
        <f aca="false">X1235+Y1235*(E1235-AB1235)-Y1235*AD1235*Inputs!$B$13*(A1235-AC1235)</f>
        <v>937.320873883343</v>
      </c>
      <c r="AJ1235" s="10" t="n">
        <v>0</v>
      </c>
      <c r="AK1235" s="8" t="n">
        <f aca="false">IF(AND(B1235&lt;=U1235,NOT(Q1235)),B1235,U1235)*(1-Inputs!$B$12)</f>
        <v>0.887478815651168</v>
      </c>
    </row>
    <row r="1236" customFormat="false" ht="15" hidden="false" customHeight="false" outlineLevel="0" collapsed="false">
      <c r="A1236" s="6" t="n">
        <v>46020</v>
      </c>
      <c r="B1236" s="7" t="n">
        <v>0.878682101384213</v>
      </c>
      <c r="C1236" s="7" t="n">
        <v>0.881900899767309</v>
      </c>
      <c r="D1236" s="7" t="n">
        <v>0.875661340727344</v>
      </c>
      <c r="E1236" s="7" t="n">
        <v>0.88007336052958</v>
      </c>
      <c r="F1236" s="8" t="n">
        <f aca="true">IF(ROW()-2&gt;=Inputs!$B$4,AVERAGE(OFFSET(E1236,1-Inputs!$B$4,0,Inputs!$B$4,1)),"")</f>
        <v>0.902639334015294</v>
      </c>
      <c r="G1236" s="8" t="n">
        <f aca="true">IF(ROW()-2&gt;=Inputs!$B$5,AVERAGE(OFFSET(E1236,1-Inputs!$B$5,0,Inputs!$B$5,1)),"")</f>
        <v>0.897425043807059</v>
      </c>
      <c r="H1236" s="8" t="n">
        <f aca="false">MAX(C1236-D1236,ABS(C1236-E1235),ABS(D1236-E1235))</f>
        <v>0.00623955903996487</v>
      </c>
      <c r="I1236" s="8" t="n">
        <f aca="true">IF(ROW()-2&lt;14,"",IF(ROW()-2=14,AVERAGE(OFFSET(H1236,-13,0,14,1)),(I1235*13+H1236)/14))</f>
        <v>0.00854319066059833</v>
      </c>
      <c r="J1236" s="9" t="b">
        <f aca="false">IF(AND(ISNUMBER(F1236),ISNUMBER(G1236),ISNUMBER(F1235),ISNUMBER(G1235)),AND(F1236&gt;G1236,F1235&lt;=G1235),FALSE())</f>
        <v>0</v>
      </c>
      <c r="K1236" s="9" t="b">
        <f aca="false">IF(AND(ISNUMBER(F1236),ISNUMBER(G1236),ISNUMBER(F1235),ISNUMBER(G1235)),AND(F1236&lt;G1236,F1235&gt;=G1235),FALSE())</f>
        <v>0</v>
      </c>
      <c r="L1236" s="8" t="n">
        <f aca="false">IF(ISNUMBER(I1236),E1236-Inputs!$B$6*I1236,"")</f>
        <v>0.862986979208383</v>
      </c>
      <c r="M1236" s="9" t="b">
        <f aca="false">AND(Y1235&gt;0,Z1235)</f>
        <v>0</v>
      </c>
      <c r="N1236" s="8" t="n">
        <f aca="false">B1236*(1-Inputs!$B$12)</f>
        <v>0.878506364963936</v>
      </c>
      <c r="O1236" s="10" t="n">
        <f aca="false">IF(M1236,Y1235*(N1236-AB1235)-Inputs!$B$9-Y1235*AD1235*Inputs!$B$13*(A1236-AC1235),0)</f>
        <v>0</v>
      </c>
      <c r="P1236" s="10" t="n">
        <f aca="false">X1235+O1236</f>
        <v>937.320873883343</v>
      </c>
      <c r="Q1236" s="9" t="b">
        <f aca="false">AND(IF(M1236,0,Y1235)=0,AA1235,IF(ISNUMBER(AE1235),B1236&gt;AE1235,FALSE()))</f>
        <v>0</v>
      </c>
      <c r="R1236" s="8" t="n">
        <f aca="false">B1236*(1+Inputs!$B$12)</f>
        <v>0.878857837804489</v>
      </c>
      <c r="S1236" s="11" t="n">
        <f aca="false">IF(Q1236,MIN(P1236*Inputs!$B$3/(R1236-AE1235),P1236*Inputs!$B$11/R1236),0)</f>
        <v>0</v>
      </c>
      <c r="T1236" s="11" t="n">
        <f aca="false">IF(Q1236,S1236,IF(M1236,0,Y1235))</f>
        <v>0</v>
      </c>
      <c r="U1236" s="8" t="n">
        <f aca="false">IF(Q1236,AE1235,AF1235)</f>
        <v>0.891790629201119</v>
      </c>
      <c r="V1236" s="9" t="b">
        <f aca="false">AND(T1236&gt;0,D1236&lt;=U1236)</f>
        <v>0</v>
      </c>
      <c r="W1236" s="10" t="n">
        <f aca="false">IF(V1236,T1236*(AK1236-AB1236)-Inputs!$B$9-T1236*AD1236*Inputs!$B$13*(A1236-AC1236),0)</f>
        <v>0</v>
      </c>
      <c r="X1236" s="10" t="n">
        <f aca="false">P1236-IF(Q1236,Inputs!$B$9,0)+W1236</f>
        <v>937.320873883343</v>
      </c>
      <c r="Y1236" s="11" t="n">
        <f aca="false">IF(V1236,0,T1236)</f>
        <v>0</v>
      </c>
      <c r="Z1236" s="9" t="b">
        <f aca="false">AND(Y1236&gt;0,K1236)</f>
        <v>0</v>
      </c>
      <c r="AA1236" s="9" t="b">
        <f aca="false">AND(Y1236=0,J1236,ISNUMBER(L1236))</f>
        <v>0</v>
      </c>
      <c r="AB1236" s="8" t="n">
        <f aca="false">IF(Q1236,R1236,AB1235)</f>
        <v>0.910529544032361</v>
      </c>
      <c r="AC1236" s="12" t="n">
        <f aca="false">IF(Q1236,A1236,AC1235)</f>
        <v>46007</v>
      </c>
      <c r="AD1236" s="8" t="n">
        <f aca="false">IF(Q1236,B1236,AD1235)</f>
        <v>0.910347474537454</v>
      </c>
      <c r="AE1236" s="8" t="str">
        <f aca="false">IF(AA1236,L1236,"")</f>
        <v/>
      </c>
      <c r="AF1236" s="8" t="n">
        <f aca="false">U1236</f>
        <v>0.891790629201119</v>
      </c>
      <c r="AG1236" s="2" t="n">
        <f aca="false">AG1235+IF(Q1236,1,0)</f>
        <v>13</v>
      </c>
      <c r="AH1236" s="2" t="n">
        <f aca="false">AG1235</f>
        <v>13</v>
      </c>
      <c r="AI1236" s="10" t="n">
        <f aca="false">X1236+Y1236*(E1236-AB1236)-Y1236*AD1236*Inputs!$B$13*(A1236-AC1236)</f>
        <v>937.320873883343</v>
      </c>
      <c r="AJ1236" s="10" t="n">
        <v>0</v>
      </c>
      <c r="AK1236" s="8" t="n">
        <f aca="false">IF(AND(B1236&lt;=U1236,NOT(Q1236)),B1236,U1236)*(1-Inputs!$B$12)</f>
        <v>0.878506364963936</v>
      </c>
    </row>
    <row r="1237" customFormat="false" ht="15" hidden="false" customHeight="false" outlineLevel="0" collapsed="false">
      <c r="A1237" s="6" t="n">
        <v>46021</v>
      </c>
      <c r="B1237" s="7" t="n">
        <v>0.88007336052958</v>
      </c>
      <c r="C1237" s="7" t="n">
        <v>0.882267506494208</v>
      </c>
      <c r="D1237" s="7" t="n">
        <v>0.876735326737653</v>
      </c>
      <c r="E1237" s="7" t="n">
        <v>0.881901178178909</v>
      </c>
      <c r="F1237" s="8" t="n">
        <f aca="true">IF(ROW()-2&gt;=Inputs!$B$4,AVERAGE(OFFSET(E1237,1-Inputs!$B$4,0,Inputs!$B$4,1)),"")</f>
        <v>0.901070286655932</v>
      </c>
      <c r="G1237" s="8" t="n">
        <f aca="true">IF(ROW()-2&gt;=Inputs!$B$5,AVERAGE(OFFSET(E1237,1-Inputs!$B$5,0,Inputs!$B$5,1)),"")</f>
        <v>0.89688367886428</v>
      </c>
      <c r="H1237" s="8" t="n">
        <f aca="false">MAX(C1237-D1237,ABS(C1237-E1236),ABS(D1237-E1236))</f>
        <v>0.00553217975655473</v>
      </c>
      <c r="I1237" s="8" t="n">
        <f aca="true">IF(ROW()-2&lt;14,"",IF(ROW()-2=14,AVERAGE(OFFSET(H1237,-13,0,14,1)),(I1236*13+H1237)/14))</f>
        <v>0.00832811845316664</v>
      </c>
      <c r="J1237" s="9" t="b">
        <f aca="false">IF(AND(ISNUMBER(F1237),ISNUMBER(G1237),ISNUMBER(F1236),ISNUMBER(G1236)),AND(F1237&gt;G1237,F1236&lt;=G1236),FALSE())</f>
        <v>0</v>
      </c>
      <c r="K1237" s="9" t="b">
        <f aca="false">IF(AND(ISNUMBER(F1237),ISNUMBER(G1237),ISNUMBER(F1236),ISNUMBER(G1236)),AND(F1237&lt;G1237,F1236&gt;=G1236),FALSE())</f>
        <v>0</v>
      </c>
      <c r="L1237" s="8" t="n">
        <f aca="false">IF(ISNUMBER(I1237),E1237-Inputs!$B$6*I1237,"")</f>
        <v>0.865244941272576</v>
      </c>
      <c r="M1237" s="9" t="b">
        <f aca="false">AND(Y1236&gt;0,Z1236)</f>
        <v>0</v>
      </c>
      <c r="N1237" s="8" t="n">
        <f aca="false">B1237*(1-Inputs!$B$12)</f>
        <v>0.879897345857474</v>
      </c>
      <c r="O1237" s="10" t="n">
        <f aca="false">IF(M1237,Y1236*(N1237-AB1236)-Inputs!$B$9-Y1236*AD1236*Inputs!$B$13*(A1237-AC1236),0)</f>
        <v>0</v>
      </c>
      <c r="P1237" s="10" t="n">
        <f aca="false">X1236+O1237</f>
        <v>937.320873883343</v>
      </c>
      <c r="Q1237" s="9" t="b">
        <f aca="false">AND(IF(M1237,0,Y1236)=0,AA1236,IF(ISNUMBER(AE1236),B1237&gt;AE1236,FALSE()))</f>
        <v>0</v>
      </c>
      <c r="R1237" s="8" t="n">
        <f aca="false">B1237*(1+Inputs!$B$12)</f>
        <v>0.880249375201685</v>
      </c>
      <c r="S1237" s="11" t="n">
        <f aca="false">IF(Q1237,MIN(P1237*Inputs!$B$3/(R1237-AE1236),P1237*Inputs!$B$11/R1237),0)</f>
        <v>0</v>
      </c>
      <c r="T1237" s="11" t="n">
        <f aca="false">IF(Q1237,S1237,IF(M1237,0,Y1236))</f>
        <v>0</v>
      </c>
      <c r="U1237" s="8" t="n">
        <f aca="false">IF(Q1237,AE1236,AF1236)</f>
        <v>0.891790629201119</v>
      </c>
      <c r="V1237" s="9" t="b">
        <f aca="false">AND(T1237&gt;0,D1237&lt;=U1237)</f>
        <v>0</v>
      </c>
      <c r="W1237" s="10" t="n">
        <f aca="false">IF(V1237,T1237*(AK1237-AB1237)-Inputs!$B$9-T1237*AD1237*Inputs!$B$13*(A1237-AC1237),0)</f>
        <v>0</v>
      </c>
      <c r="X1237" s="10" t="n">
        <f aca="false">P1237-IF(Q1237,Inputs!$B$9,0)+W1237</f>
        <v>937.320873883343</v>
      </c>
      <c r="Y1237" s="11" t="n">
        <f aca="false">IF(V1237,0,T1237)</f>
        <v>0</v>
      </c>
      <c r="Z1237" s="9" t="b">
        <f aca="false">AND(Y1237&gt;0,K1237)</f>
        <v>0</v>
      </c>
      <c r="AA1237" s="9" t="b">
        <f aca="false">AND(Y1237=0,J1237,ISNUMBER(L1237))</f>
        <v>0</v>
      </c>
      <c r="AB1237" s="8" t="n">
        <f aca="false">IF(Q1237,R1237,AB1236)</f>
        <v>0.910529544032361</v>
      </c>
      <c r="AC1237" s="12" t="n">
        <f aca="false">IF(Q1237,A1237,AC1236)</f>
        <v>46007</v>
      </c>
      <c r="AD1237" s="8" t="n">
        <f aca="false">IF(Q1237,B1237,AD1236)</f>
        <v>0.910347474537454</v>
      </c>
      <c r="AE1237" s="8" t="str">
        <f aca="false">IF(AA1237,L1237,"")</f>
        <v/>
      </c>
      <c r="AF1237" s="8" t="n">
        <f aca="false">U1237</f>
        <v>0.891790629201119</v>
      </c>
      <c r="AG1237" s="2" t="n">
        <f aca="false">AG1236+IF(Q1237,1,0)</f>
        <v>13</v>
      </c>
      <c r="AH1237" s="2" t="n">
        <f aca="false">AG1236</f>
        <v>13</v>
      </c>
      <c r="AI1237" s="10" t="n">
        <f aca="false">X1237+Y1237*(E1237-AB1237)-Y1237*AD1237*Inputs!$B$13*(A1237-AC1237)</f>
        <v>937.320873883343</v>
      </c>
      <c r="AJ1237" s="10" t="n">
        <v>0</v>
      </c>
      <c r="AK1237" s="8" t="n">
        <f aca="false">IF(AND(B1237&lt;=U1237,NOT(Q1237)),B1237,U1237)*(1-Inputs!$B$12)</f>
        <v>0.879897345857474</v>
      </c>
    </row>
    <row r="1238" customFormat="false" ht="15" hidden="false" customHeight="false" outlineLevel="0" collapsed="false">
      <c r="A1238" s="6" t="n">
        <v>46022</v>
      </c>
      <c r="B1238" s="7" t="n">
        <v>0.881901178178909</v>
      </c>
      <c r="C1238" s="7" t="n">
        <v>0.889362345447455</v>
      </c>
      <c r="D1238" s="7" t="n">
        <v>0.880891377860379</v>
      </c>
      <c r="E1238" s="7" t="n">
        <v>0.886541391882113</v>
      </c>
      <c r="F1238" s="8" t="n">
        <f aca="true">IF(ROW()-2&gt;=Inputs!$B$4,AVERAGE(OFFSET(E1238,1-Inputs!$B$4,0,Inputs!$B$4,1)),"")</f>
        <v>0.899780012707985</v>
      </c>
      <c r="G1238" s="8" t="n">
        <f aca="true">IF(ROW()-2&gt;=Inputs!$B$5,AVERAGE(OFFSET(E1238,1-Inputs!$B$5,0,Inputs!$B$5,1)),"")</f>
        <v>0.896481107578075</v>
      </c>
      <c r="H1238" s="8" t="n">
        <f aca="false">MAX(C1238-D1238,ABS(C1238-E1237),ABS(D1238-E1237))</f>
        <v>0.00847096758707566</v>
      </c>
      <c r="I1238" s="8" t="n">
        <f aca="true">IF(ROW()-2&lt;14,"",IF(ROW()-2=14,AVERAGE(OFFSET(H1238,-13,0,14,1)),(I1237*13+H1238)/14))</f>
        <v>0.00833832196273157</v>
      </c>
      <c r="J1238" s="9" t="b">
        <f aca="false">IF(AND(ISNUMBER(F1238),ISNUMBER(G1238),ISNUMBER(F1237),ISNUMBER(G1237)),AND(F1238&gt;G1238,F1237&lt;=G1237),FALSE())</f>
        <v>0</v>
      </c>
      <c r="K1238" s="9" t="b">
        <f aca="false">IF(AND(ISNUMBER(F1238),ISNUMBER(G1238),ISNUMBER(F1237),ISNUMBER(G1237)),AND(F1238&lt;G1238,F1237&gt;=G1237),FALSE())</f>
        <v>0</v>
      </c>
      <c r="L1238" s="8" t="n">
        <f aca="false">IF(ISNUMBER(I1238),E1238-Inputs!$B$6*I1238,"")</f>
        <v>0.86986474795665</v>
      </c>
      <c r="M1238" s="9" t="b">
        <f aca="false">AND(Y1237&gt;0,Z1237)</f>
        <v>0</v>
      </c>
      <c r="N1238" s="8" t="n">
        <f aca="false">B1238*(1-Inputs!$B$12)</f>
        <v>0.881724797943273</v>
      </c>
      <c r="O1238" s="10" t="n">
        <f aca="false">IF(M1238,Y1237*(N1238-AB1237)-Inputs!$B$9-Y1237*AD1237*Inputs!$B$13*(A1238-AC1237),0)</f>
        <v>0</v>
      </c>
      <c r="P1238" s="10" t="n">
        <f aca="false">X1237+O1238</f>
        <v>937.320873883343</v>
      </c>
      <c r="Q1238" s="9" t="b">
        <f aca="false">AND(IF(M1238,0,Y1237)=0,AA1237,IF(ISNUMBER(AE1237),B1238&gt;AE1237,FALSE()))</f>
        <v>0</v>
      </c>
      <c r="R1238" s="8" t="n">
        <f aca="false">B1238*(1+Inputs!$B$12)</f>
        <v>0.882077558414545</v>
      </c>
      <c r="S1238" s="11" t="n">
        <f aca="false">IF(Q1238,MIN(P1238*Inputs!$B$3/(R1238-AE1237),P1238*Inputs!$B$11/R1238),0)</f>
        <v>0</v>
      </c>
      <c r="T1238" s="11" t="n">
        <f aca="false">IF(Q1238,S1238,IF(M1238,0,Y1237))</f>
        <v>0</v>
      </c>
      <c r="U1238" s="8" t="n">
        <f aca="false">IF(Q1238,AE1237,AF1237)</f>
        <v>0.891790629201119</v>
      </c>
      <c r="V1238" s="9" t="b">
        <f aca="false">AND(T1238&gt;0,D1238&lt;=U1238)</f>
        <v>0</v>
      </c>
      <c r="W1238" s="10" t="n">
        <f aca="false">IF(V1238,T1238*(AK1238-AB1238)-Inputs!$B$9-T1238*AD1238*Inputs!$B$13*(A1238-AC1238),0)</f>
        <v>0</v>
      </c>
      <c r="X1238" s="10" t="n">
        <f aca="false">P1238-IF(Q1238,Inputs!$B$9,0)+W1238</f>
        <v>937.320873883343</v>
      </c>
      <c r="Y1238" s="11" t="n">
        <f aca="false">IF(V1238,0,T1238)</f>
        <v>0</v>
      </c>
      <c r="Z1238" s="9" t="b">
        <f aca="false">AND(Y1238&gt;0,K1238)</f>
        <v>0</v>
      </c>
      <c r="AA1238" s="9" t="b">
        <f aca="false">AND(Y1238=0,J1238,ISNUMBER(L1238))</f>
        <v>0</v>
      </c>
      <c r="AB1238" s="8" t="n">
        <f aca="false">IF(Q1238,R1238,AB1237)</f>
        <v>0.910529544032361</v>
      </c>
      <c r="AC1238" s="12" t="n">
        <f aca="false">IF(Q1238,A1238,AC1237)</f>
        <v>46007</v>
      </c>
      <c r="AD1238" s="8" t="n">
        <f aca="false">IF(Q1238,B1238,AD1237)</f>
        <v>0.910347474537454</v>
      </c>
      <c r="AE1238" s="8" t="str">
        <f aca="false">IF(AA1238,L1238,"")</f>
        <v/>
      </c>
      <c r="AF1238" s="8" t="n">
        <f aca="false">U1238</f>
        <v>0.891790629201119</v>
      </c>
      <c r="AG1238" s="2" t="n">
        <f aca="false">AG1237+IF(Q1238,1,0)</f>
        <v>13</v>
      </c>
      <c r="AH1238" s="2" t="n">
        <f aca="false">AG1237</f>
        <v>13</v>
      </c>
      <c r="AI1238" s="10" t="n">
        <f aca="false">X1238+Y1238*(E1238-AB1238)-Y1238*AD1238*Inputs!$B$13*(A1238-AC1238)</f>
        <v>937.320873883343</v>
      </c>
      <c r="AJ1238" s="10" t="n">
        <v>0</v>
      </c>
      <c r="AK1238" s="8" t="n">
        <f aca="false">IF(AND(B1238&lt;=U1238,NOT(Q1238)),B1238,U1238)*(1-Inputs!$B$12)</f>
        <v>0.881724797943273</v>
      </c>
    </row>
    <row r="1239" customFormat="false" ht="15" hidden="false" customHeight="false" outlineLevel="0" collapsed="false">
      <c r="A1239" s="6" t="n">
        <v>46023</v>
      </c>
      <c r="B1239" s="7" t="n">
        <v>0.886541391882113</v>
      </c>
      <c r="C1239" s="7" t="n">
        <v>0.895621949666871</v>
      </c>
      <c r="D1239" s="7" t="n">
        <v>0.88382083207062</v>
      </c>
      <c r="E1239" s="7" t="n">
        <v>0.890520023552375</v>
      </c>
      <c r="F1239" s="8" t="n">
        <f aca="true">IF(ROW()-2&gt;=Inputs!$B$4,AVERAGE(OFFSET(E1239,1-Inputs!$B$4,0,Inputs!$B$4,1)),"")</f>
        <v>0.898351832638684</v>
      </c>
      <c r="G1239" s="8" t="n">
        <f aca="true">IF(ROW()-2&gt;=Inputs!$B$5,AVERAGE(OFFSET(E1239,1-Inputs!$B$5,0,Inputs!$B$5,1)),"")</f>
        <v>0.896105902729479</v>
      </c>
      <c r="H1239" s="8" t="n">
        <f aca="false">MAX(C1239-D1239,ABS(C1239-E1238),ABS(D1239-E1238))</f>
        <v>0.0118011175962509</v>
      </c>
      <c r="I1239" s="8" t="n">
        <f aca="true">IF(ROW()-2&lt;14,"",IF(ROW()-2=14,AVERAGE(OFFSET(H1239,-13,0,14,1)),(I1238*13+H1239)/14))</f>
        <v>0.00858566450798296</v>
      </c>
      <c r="J1239" s="9" t="b">
        <f aca="false">IF(AND(ISNUMBER(F1239),ISNUMBER(G1239),ISNUMBER(F1238),ISNUMBER(G1238)),AND(F1239&gt;G1239,F1238&lt;=G1238),FALSE())</f>
        <v>0</v>
      </c>
      <c r="K1239" s="9" t="b">
        <f aca="false">IF(AND(ISNUMBER(F1239),ISNUMBER(G1239),ISNUMBER(F1238),ISNUMBER(G1238)),AND(F1239&lt;G1239,F1238&gt;=G1238),FALSE())</f>
        <v>0</v>
      </c>
      <c r="L1239" s="8" t="n">
        <f aca="false">IF(ISNUMBER(I1239),E1239-Inputs!$B$6*I1239,"")</f>
        <v>0.873348694536409</v>
      </c>
      <c r="M1239" s="9" t="b">
        <f aca="false">AND(Y1238&gt;0,Z1238)</f>
        <v>0</v>
      </c>
      <c r="N1239" s="8" t="n">
        <f aca="false">B1239*(1-Inputs!$B$12)</f>
        <v>0.886364083603737</v>
      </c>
      <c r="O1239" s="10" t="n">
        <f aca="false">IF(M1239,Y1238*(N1239-AB1238)-Inputs!$B$9-Y1238*AD1238*Inputs!$B$13*(A1239-AC1238),0)</f>
        <v>0</v>
      </c>
      <c r="P1239" s="10" t="n">
        <f aca="false">X1238+O1239</f>
        <v>937.320873883343</v>
      </c>
      <c r="Q1239" s="9" t="b">
        <f aca="false">AND(IF(M1239,0,Y1238)=0,AA1238,IF(ISNUMBER(AE1238),B1239&gt;AE1238,FALSE()))</f>
        <v>0</v>
      </c>
      <c r="R1239" s="8" t="n">
        <f aca="false">B1239*(1+Inputs!$B$12)</f>
        <v>0.88671870016049</v>
      </c>
      <c r="S1239" s="11" t="n">
        <f aca="false">IF(Q1239,MIN(P1239*Inputs!$B$3/(R1239-AE1238),P1239*Inputs!$B$11/R1239),0)</f>
        <v>0</v>
      </c>
      <c r="T1239" s="11" t="n">
        <f aca="false">IF(Q1239,S1239,IF(M1239,0,Y1238))</f>
        <v>0</v>
      </c>
      <c r="U1239" s="8" t="n">
        <f aca="false">IF(Q1239,AE1238,AF1238)</f>
        <v>0.891790629201119</v>
      </c>
      <c r="V1239" s="9" t="b">
        <f aca="false">AND(T1239&gt;0,D1239&lt;=U1239)</f>
        <v>0</v>
      </c>
      <c r="W1239" s="10" t="n">
        <f aca="false">IF(V1239,T1239*(AK1239-AB1239)-Inputs!$B$9-T1239*AD1239*Inputs!$B$13*(A1239-AC1239),0)</f>
        <v>0</v>
      </c>
      <c r="X1239" s="10" t="n">
        <f aca="false">P1239-IF(Q1239,Inputs!$B$9,0)+W1239</f>
        <v>937.320873883343</v>
      </c>
      <c r="Y1239" s="11" t="n">
        <f aca="false">IF(V1239,0,T1239)</f>
        <v>0</v>
      </c>
      <c r="Z1239" s="9" t="b">
        <f aca="false">AND(Y1239&gt;0,K1239)</f>
        <v>0</v>
      </c>
      <c r="AA1239" s="9" t="b">
        <f aca="false">AND(Y1239=0,J1239,ISNUMBER(L1239))</f>
        <v>0</v>
      </c>
      <c r="AB1239" s="8" t="n">
        <f aca="false">IF(Q1239,R1239,AB1238)</f>
        <v>0.910529544032361</v>
      </c>
      <c r="AC1239" s="12" t="n">
        <f aca="false">IF(Q1239,A1239,AC1238)</f>
        <v>46007</v>
      </c>
      <c r="AD1239" s="8" t="n">
        <f aca="false">IF(Q1239,B1239,AD1238)</f>
        <v>0.910347474537454</v>
      </c>
      <c r="AE1239" s="8" t="str">
        <f aca="false">IF(AA1239,L1239,"")</f>
        <v/>
      </c>
      <c r="AF1239" s="8" t="n">
        <f aca="false">U1239</f>
        <v>0.891790629201119</v>
      </c>
      <c r="AG1239" s="2" t="n">
        <f aca="false">AG1238+IF(Q1239,1,0)</f>
        <v>13</v>
      </c>
      <c r="AH1239" s="2" t="n">
        <f aca="false">AG1238</f>
        <v>13</v>
      </c>
      <c r="AI1239" s="10" t="n">
        <f aca="false">X1239+Y1239*(E1239-AB1239)-Y1239*AD1239*Inputs!$B$13*(A1239-AC1239)</f>
        <v>937.320873883343</v>
      </c>
      <c r="AJ1239" s="10" t="n">
        <v>0</v>
      </c>
      <c r="AK1239" s="8" t="n">
        <f aca="false">IF(AND(B1239&lt;=U1239,NOT(Q1239)),B1239,U1239)*(1-Inputs!$B$12)</f>
        <v>0.886364083603737</v>
      </c>
    </row>
    <row r="1240" customFormat="false" ht="15" hidden="false" customHeight="false" outlineLevel="0" collapsed="false">
      <c r="A1240" s="6" t="n">
        <v>46024</v>
      </c>
      <c r="B1240" s="7" t="n">
        <v>0.890520023552375</v>
      </c>
      <c r="C1240" s="7" t="n">
        <v>0.891514446458686</v>
      </c>
      <c r="D1240" s="7" t="n">
        <v>0.877597889694995</v>
      </c>
      <c r="E1240" s="7" t="n">
        <v>0.879912354843909</v>
      </c>
      <c r="F1240" s="8" t="n">
        <f aca="true">IF(ROW()-2&gt;=Inputs!$B$4,AVERAGE(OFFSET(E1240,1-Inputs!$B$4,0,Inputs!$B$4,1)),"")</f>
        <v>0.896771020951849</v>
      </c>
      <c r="G1240" s="8" t="n">
        <f aca="true">IF(ROW()-2&gt;=Inputs!$B$5,AVERAGE(OFFSET(E1240,1-Inputs!$B$5,0,Inputs!$B$5,1)),"")</f>
        <v>0.895693860613367</v>
      </c>
      <c r="H1240" s="8" t="n">
        <f aca="false">MAX(C1240-D1240,ABS(C1240-E1239),ABS(D1240-E1239))</f>
        <v>0.0139165567636909</v>
      </c>
      <c r="I1240" s="8" t="n">
        <f aca="true">IF(ROW()-2&lt;14,"",IF(ROW()-2=14,AVERAGE(OFFSET(H1240,-13,0,14,1)),(I1239*13+H1240)/14))</f>
        <v>0.00896644252624781</v>
      </c>
      <c r="J1240" s="9" t="b">
        <f aca="false">IF(AND(ISNUMBER(F1240),ISNUMBER(G1240),ISNUMBER(F1239),ISNUMBER(G1239)),AND(F1240&gt;G1240,F1239&lt;=G1239),FALSE())</f>
        <v>0</v>
      </c>
      <c r="K1240" s="9" t="b">
        <f aca="false">IF(AND(ISNUMBER(F1240),ISNUMBER(G1240),ISNUMBER(F1239),ISNUMBER(G1239)),AND(F1240&lt;G1240,F1239&gt;=G1239),FALSE())</f>
        <v>0</v>
      </c>
      <c r="L1240" s="8" t="n">
        <f aca="false">IF(ISNUMBER(I1240),E1240-Inputs!$B$6*I1240,"")</f>
        <v>0.861979469791414</v>
      </c>
      <c r="M1240" s="9" t="b">
        <f aca="false">AND(Y1239&gt;0,Z1239)</f>
        <v>0</v>
      </c>
      <c r="N1240" s="8" t="n">
        <f aca="false">B1240*(1-Inputs!$B$12)</f>
        <v>0.890341919547664</v>
      </c>
      <c r="O1240" s="10" t="n">
        <f aca="false">IF(M1240,Y1239*(N1240-AB1239)-Inputs!$B$9-Y1239*AD1239*Inputs!$B$13*(A1240-AC1239),0)</f>
        <v>0</v>
      </c>
      <c r="P1240" s="10" t="n">
        <f aca="false">X1239+O1240</f>
        <v>937.320873883343</v>
      </c>
      <c r="Q1240" s="9" t="b">
        <f aca="false">AND(IF(M1240,0,Y1239)=0,AA1239,IF(ISNUMBER(AE1239),B1240&gt;AE1239,FALSE()))</f>
        <v>0</v>
      </c>
      <c r="R1240" s="8" t="n">
        <f aca="false">B1240*(1+Inputs!$B$12)</f>
        <v>0.890698127557085</v>
      </c>
      <c r="S1240" s="11" t="n">
        <f aca="false">IF(Q1240,MIN(P1240*Inputs!$B$3/(R1240-AE1239),P1240*Inputs!$B$11/R1240),0)</f>
        <v>0</v>
      </c>
      <c r="T1240" s="11" t="n">
        <f aca="false">IF(Q1240,S1240,IF(M1240,0,Y1239))</f>
        <v>0</v>
      </c>
      <c r="U1240" s="8" t="n">
        <f aca="false">IF(Q1240,AE1239,AF1239)</f>
        <v>0.891790629201119</v>
      </c>
      <c r="V1240" s="9" t="b">
        <f aca="false">AND(T1240&gt;0,D1240&lt;=U1240)</f>
        <v>0</v>
      </c>
      <c r="W1240" s="10" t="n">
        <f aca="false">IF(V1240,T1240*(AK1240-AB1240)-Inputs!$B$9-T1240*AD1240*Inputs!$B$13*(A1240-AC1240),0)</f>
        <v>0</v>
      </c>
      <c r="X1240" s="10" t="n">
        <f aca="false">P1240-IF(Q1240,Inputs!$B$9,0)+W1240</f>
        <v>937.320873883343</v>
      </c>
      <c r="Y1240" s="11" t="n">
        <f aca="false">IF(V1240,0,T1240)</f>
        <v>0</v>
      </c>
      <c r="Z1240" s="9" t="b">
        <f aca="false">AND(Y1240&gt;0,K1240)</f>
        <v>0</v>
      </c>
      <c r="AA1240" s="9" t="b">
        <f aca="false">AND(Y1240=0,J1240,ISNUMBER(L1240))</f>
        <v>0</v>
      </c>
      <c r="AB1240" s="8" t="n">
        <f aca="false">IF(Q1240,R1240,AB1239)</f>
        <v>0.910529544032361</v>
      </c>
      <c r="AC1240" s="12" t="n">
        <f aca="false">IF(Q1240,A1240,AC1239)</f>
        <v>46007</v>
      </c>
      <c r="AD1240" s="8" t="n">
        <f aca="false">IF(Q1240,B1240,AD1239)</f>
        <v>0.910347474537454</v>
      </c>
      <c r="AE1240" s="8" t="str">
        <f aca="false">IF(AA1240,L1240,"")</f>
        <v/>
      </c>
      <c r="AF1240" s="8" t="n">
        <f aca="false">U1240</f>
        <v>0.891790629201119</v>
      </c>
      <c r="AG1240" s="2" t="n">
        <f aca="false">AG1239+IF(Q1240,1,0)</f>
        <v>13</v>
      </c>
      <c r="AH1240" s="2" t="n">
        <f aca="false">AG1239</f>
        <v>13</v>
      </c>
      <c r="AI1240" s="10" t="n">
        <f aca="false">X1240+Y1240*(E1240-AB1240)-Y1240*AD1240*Inputs!$B$13*(A1240-AC1240)</f>
        <v>937.320873883343</v>
      </c>
      <c r="AJ1240" s="10" t="n">
        <v>0</v>
      </c>
      <c r="AK1240" s="8" t="n">
        <f aca="false">IF(AND(B1240&lt;=U1240,NOT(Q1240)),B1240,U1240)*(1-Inputs!$B$12)</f>
        <v>0.890341919547664</v>
      </c>
    </row>
    <row r="1241" customFormat="false" ht="15" hidden="false" customHeight="false" outlineLevel="0" collapsed="false">
      <c r="A1241" s="6" t="n">
        <v>46025</v>
      </c>
      <c r="B1241" s="7" t="n">
        <v>0.879912354843909</v>
      </c>
      <c r="C1241" s="7" t="n">
        <v>0.885241381868384</v>
      </c>
      <c r="D1241" s="7" t="n">
        <v>0.875309808152493</v>
      </c>
      <c r="E1241" s="7" t="n">
        <v>0.883110895772976</v>
      </c>
      <c r="F1241" s="8" t="n">
        <f aca="true">IF(ROW()-2&gt;=Inputs!$B$4,AVERAGE(OFFSET(E1241,1-Inputs!$B$4,0,Inputs!$B$4,1)),"")</f>
        <v>0.895416608169561</v>
      </c>
      <c r="G1241" s="8" t="n">
        <f aca="true">IF(ROW()-2&gt;=Inputs!$B$5,AVERAGE(OFFSET(E1241,1-Inputs!$B$5,0,Inputs!$B$5,1)),"")</f>
        <v>0.895374819272455</v>
      </c>
      <c r="H1241" s="8" t="n">
        <f aca="false">MAX(C1241-D1241,ABS(C1241-E1240),ABS(D1241-E1240))</f>
        <v>0.00993157371589093</v>
      </c>
      <c r="I1241" s="8" t="n">
        <f aca="true">IF(ROW()-2&lt;14,"",IF(ROW()-2=14,AVERAGE(OFFSET(H1241,-13,0,14,1)),(I1240*13+H1241)/14))</f>
        <v>0.00903538046836517</v>
      </c>
      <c r="J1241" s="9" t="b">
        <f aca="false">IF(AND(ISNUMBER(F1241),ISNUMBER(G1241),ISNUMBER(F1240),ISNUMBER(G1240)),AND(F1241&gt;G1241,F1240&lt;=G1240),FALSE())</f>
        <v>0</v>
      </c>
      <c r="K1241" s="9" t="b">
        <f aca="false">IF(AND(ISNUMBER(F1241),ISNUMBER(G1241),ISNUMBER(F1240),ISNUMBER(G1240)),AND(F1241&lt;G1241,F1240&gt;=G1240),FALSE())</f>
        <v>0</v>
      </c>
      <c r="L1241" s="8" t="n">
        <f aca="false">IF(ISNUMBER(I1241),E1241-Inputs!$B$6*I1241,"")</f>
        <v>0.865040134836246</v>
      </c>
      <c r="M1241" s="9" t="b">
        <f aca="false">AND(Y1240&gt;0,Z1240)</f>
        <v>0</v>
      </c>
      <c r="N1241" s="8" t="n">
        <f aca="false">B1241*(1-Inputs!$B$12)</f>
        <v>0.87973637237294</v>
      </c>
      <c r="O1241" s="10" t="n">
        <f aca="false">IF(M1241,Y1240*(N1241-AB1240)-Inputs!$B$9-Y1240*AD1240*Inputs!$B$13*(A1241-AC1240),0)</f>
        <v>0</v>
      </c>
      <c r="P1241" s="10" t="n">
        <f aca="false">X1240+O1241</f>
        <v>937.320873883343</v>
      </c>
      <c r="Q1241" s="9" t="b">
        <f aca="false">AND(IF(M1241,0,Y1240)=0,AA1240,IF(ISNUMBER(AE1240),B1241&gt;AE1240,FALSE()))</f>
        <v>0</v>
      </c>
      <c r="R1241" s="8" t="n">
        <f aca="false">B1241*(1+Inputs!$B$12)</f>
        <v>0.880088337314878</v>
      </c>
      <c r="S1241" s="11" t="n">
        <f aca="false">IF(Q1241,MIN(P1241*Inputs!$B$3/(R1241-AE1240),P1241*Inputs!$B$11/R1241),0)</f>
        <v>0</v>
      </c>
      <c r="T1241" s="11" t="n">
        <f aca="false">IF(Q1241,S1241,IF(M1241,0,Y1240))</f>
        <v>0</v>
      </c>
      <c r="U1241" s="8" t="n">
        <f aca="false">IF(Q1241,AE1240,AF1240)</f>
        <v>0.891790629201119</v>
      </c>
      <c r="V1241" s="9" t="b">
        <f aca="false">AND(T1241&gt;0,D1241&lt;=U1241)</f>
        <v>0</v>
      </c>
      <c r="W1241" s="10" t="n">
        <f aca="false">IF(V1241,T1241*(AK1241-AB1241)-Inputs!$B$9-T1241*AD1241*Inputs!$B$13*(A1241-AC1241),0)</f>
        <v>0</v>
      </c>
      <c r="X1241" s="10" t="n">
        <f aca="false">P1241-IF(Q1241,Inputs!$B$9,0)+W1241</f>
        <v>937.320873883343</v>
      </c>
      <c r="Y1241" s="11" t="n">
        <f aca="false">IF(V1241,0,T1241)</f>
        <v>0</v>
      </c>
      <c r="Z1241" s="9" t="b">
        <f aca="false">AND(Y1241&gt;0,K1241)</f>
        <v>0</v>
      </c>
      <c r="AA1241" s="9" t="b">
        <f aca="false">AND(Y1241=0,J1241,ISNUMBER(L1241))</f>
        <v>0</v>
      </c>
      <c r="AB1241" s="8" t="n">
        <f aca="false">IF(Q1241,R1241,AB1240)</f>
        <v>0.910529544032361</v>
      </c>
      <c r="AC1241" s="12" t="n">
        <f aca="false">IF(Q1241,A1241,AC1240)</f>
        <v>46007</v>
      </c>
      <c r="AD1241" s="8" t="n">
        <f aca="false">IF(Q1241,B1241,AD1240)</f>
        <v>0.910347474537454</v>
      </c>
      <c r="AE1241" s="8" t="str">
        <f aca="false">IF(AA1241,L1241,"")</f>
        <v/>
      </c>
      <c r="AF1241" s="8" t="n">
        <f aca="false">U1241</f>
        <v>0.891790629201119</v>
      </c>
      <c r="AG1241" s="2" t="n">
        <f aca="false">AG1240+IF(Q1241,1,0)</f>
        <v>13</v>
      </c>
      <c r="AH1241" s="2" t="n">
        <f aca="false">AG1240</f>
        <v>13</v>
      </c>
      <c r="AI1241" s="10" t="n">
        <f aca="false">X1241+Y1241*(E1241-AB1241)-Y1241*AD1241*Inputs!$B$13*(A1241-AC1241)</f>
        <v>937.320873883343</v>
      </c>
      <c r="AJ1241" s="10" t="n">
        <v>0</v>
      </c>
      <c r="AK1241" s="8" t="n">
        <f aca="false">IF(AND(B1241&lt;=U1241,NOT(Q1241)),B1241,U1241)*(1-Inputs!$B$12)</f>
        <v>0.87973637237294</v>
      </c>
    </row>
    <row r="1242" customFormat="false" ht="15" hidden="false" customHeight="false" outlineLevel="0" collapsed="false">
      <c r="A1242" s="6" t="n">
        <v>46026</v>
      </c>
      <c r="B1242" s="7" t="n">
        <v>0.883110895772976</v>
      </c>
      <c r="C1242" s="7" t="n">
        <v>0.890933721417323</v>
      </c>
      <c r="D1242" s="7" t="n">
        <v>0.877739568199164</v>
      </c>
      <c r="E1242" s="7" t="n">
        <v>0.882531115776986</v>
      </c>
      <c r="F1242" s="8" t="n">
        <f aca="true">IF(ROW()-2&gt;=Inputs!$B$4,AVERAGE(OFFSET(E1242,1-Inputs!$B$4,0,Inputs!$B$4,1)),"")</f>
        <v>0.894025790231538</v>
      </c>
      <c r="G1242" s="8" t="n">
        <f aca="true">IF(ROW()-2&gt;=Inputs!$B$5,AVERAGE(OFFSET(E1242,1-Inputs!$B$5,0,Inputs!$B$5,1)),"")</f>
        <v>0.895016750455327</v>
      </c>
      <c r="H1242" s="8" t="n">
        <f aca="false">MAX(C1242-D1242,ABS(C1242-E1241),ABS(D1242-E1241))</f>
        <v>0.0131941532181582</v>
      </c>
      <c r="I1242" s="8" t="n">
        <f aca="true">IF(ROW()-2&lt;14,"",IF(ROW()-2=14,AVERAGE(OFFSET(H1242,-13,0,14,1)),(I1241*13+H1242)/14))</f>
        <v>0.00933243566477896</v>
      </c>
      <c r="J1242" s="9" t="b">
        <f aca="false">IF(AND(ISNUMBER(F1242),ISNUMBER(G1242),ISNUMBER(F1241),ISNUMBER(G1241)),AND(F1242&gt;G1242,F1241&lt;=G1241),FALSE())</f>
        <v>0</v>
      </c>
      <c r="K1242" s="9" t="b">
        <f aca="false">IF(AND(ISNUMBER(F1242),ISNUMBER(G1242),ISNUMBER(F1241),ISNUMBER(G1241)),AND(F1242&lt;G1242,F1241&gt;=G1241),FALSE())</f>
        <v>1</v>
      </c>
      <c r="L1242" s="8" t="n">
        <f aca="false">IF(ISNUMBER(I1242),E1242-Inputs!$B$6*I1242,"")</f>
        <v>0.863866244447428</v>
      </c>
      <c r="M1242" s="9" t="b">
        <f aca="false">AND(Y1241&gt;0,Z1241)</f>
        <v>0</v>
      </c>
      <c r="N1242" s="8" t="n">
        <f aca="false">B1242*(1-Inputs!$B$12)</f>
        <v>0.882934273593822</v>
      </c>
      <c r="O1242" s="10" t="n">
        <f aca="false">IF(M1242,Y1241*(N1242-AB1241)-Inputs!$B$9-Y1241*AD1241*Inputs!$B$13*(A1242-AC1241),0)</f>
        <v>0</v>
      </c>
      <c r="P1242" s="10" t="n">
        <f aca="false">X1241+O1242</f>
        <v>937.320873883343</v>
      </c>
      <c r="Q1242" s="9" t="b">
        <f aca="false">AND(IF(M1242,0,Y1241)=0,AA1241,IF(ISNUMBER(AE1241),B1242&gt;AE1241,FALSE()))</f>
        <v>0</v>
      </c>
      <c r="R1242" s="8" t="n">
        <f aca="false">B1242*(1+Inputs!$B$12)</f>
        <v>0.883287517952131</v>
      </c>
      <c r="S1242" s="11" t="n">
        <f aca="false">IF(Q1242,MIN(P1242*Inputs!$B$3/(R1242-AE1241),P1242*Inputs!$B$11/R1242),0)</f>
        <v>0</v>
      </c>
      <c r="T1242" s="11" t="n">
        <f aca="false">IF(Q1242,S1242,IF(M1242,0,Y1241))</f>
        <v>0</v>
      </c>
      <c r="U1242" s="8" t="n">
        <f aca="false">IF(Q1242,AE1241,AF1241)</f>
        <v>0.891790629201119</v>
      </c>
      <c r="V1242" s="9" t="b">
        <f aca="false">AND(T1242&gt;0,D1242&lt;=U1242)</f>
        <v>0</v>
      </c>
      <c r="W1242" s="10" t="n">
        <f aca="false">IF(V1242,T1242*(AK1242-AB1242)-Inputs!$B$9-T1242*AD1242*Inputs!$B$13*(A1242-AC1242),0)</f>
        <v>0</v>
      </c>
      <c r="X1242" s="10" t="n">
        <f aca="false">P1242-IF(Q1242,Inputs!$B$9,0)+W1242</f>
        <v>937.320873883343</v>
      </c>
      <c r="Y1242" s="11" t="n">
        <f aca="false">IF(V1242,0,T1242)</f>
        <v>0</v>
      </c>
      <c r="Z1242" s="9" t="b">
        <f aca="false">AND(Y1242&gt;0,K1242)</f>
        <v>0</v>
      </c>
      <c r="AA1242" s="9" t="b">
        <f aca="false">AND(Y1242=0,J1242,ISNUMBER(L1242))</f>
        <v>0</v>
      </c>
      <c r="AB1242" s="8" t="n">
        <f aca="false">IF(Q1242,R1242,AB1241)</f>
        <v>0.910529544032361</v>
      </c>
      <c r="AC1242" s="12" t="n">
        <f aca="false">IF(Q1242,A1242,AC1241)</f>
        <v>46007</v>
      </c>
      <c r="AD1242" s="8" t="n">
        <f aca="false">IF(Q1242,B1242,AD1241)</f>
        <v>0.910347474537454</v>
      </c>
      <c r="AE1242" s="8" t="str">
        <f aca="false">IF(AA1242,L1242,"")</f>
        <v/>
      </c>
      <c r="AF1242" s="8" t="n">
        <f aca="false">U1242</f>
        <v>0.891790629201119</v>
      </c>
      <c r="AG1242" s="2" t="n">
        <f aca="false">AG1241+IF(Q1242,1,0)</f>
        <v>13</v>
      </c>
      <c r="AH1242" s="2" t="n">
        <f aca="false">AG1241</f>
        <v>13</v>
      </c>
      <c r="AI1242" s="10" t="n">
        <f aca="false">X1242+Y1242*(E1242-AB1242)-Y1242*AD1242*Inputs!$B$13*(A1242-AC1242)</f>
        <v>937.320873883343</v>
      </c>
      <c r="AJ1242" s="10" t="n">
        <v>0</v>
      </c>
      <c r="AK1242" s="8" t="n">
        <f aca="false">IF(AND(B1242&lt;=U1242,NOT(Q1242)),B1242,U1242)*(1-Inputs!$B$12)</f>
        <v>0.882934273593822</v>
      </c>
    </row>
    <row r="1243" customFormat="false" ht="15" hidden="false" customHeight="false" outlineLevel="0" collapsed="false">
      <c r="A1243" s="6" t="n">
        <v>46027</v>
      </c>
      <c r="B1243" s="7" t="n">
        <v>0.882531115776986</v>
      </c>
      <c r="C1243" s="7" t="n">
        <v>0.886860414102007</v>
      </c>
      <c r="D1243" s="7" t="n">
        <v>0.880153285747963</v>
      </c>
      <c r="E1243" s="7" t="n">
        <v>0.88450978210542</v>
      </c>
      <c r="F1243" s="8" t="n">
        <f aca="true">IF(ROW()-2&gt;=Inputs!$B$4,AVERAGE(OFFSET(E1243,1-Inputs!$B$4,0,Inputs!$B$4,1)),"")</f>
        <v>0.89257064351973</v>
      </c>
      <c r="G1243" s="8" t="n">
        <f aca="true">IF(ROW()-2&gt;=Inputs!$B$5,AVERAGE(OFFSET(E1243,1-Inputs!$B$5,0,Inputs!$B$5,1)),"")</f>
        <v>0.894717791081833</v>
      </c>
      <c r="H1243" s="8" t="n">
        <f aca="false">MAX(C1243-D1243,ABS(C1243-E1242),ABS(D1243-E1242))</f>
        <v>0.00670712835404419</v>
      </c>
      <c r="I1243" s="8" t="n">
        <f aca="true">IF(ROW()-2&lt;14,"",IF(ROW()-2=14,AVERAGE(OFFSET(H1243,-13,0,14,1)),(I1242*13+H1243)/14))</f>
        <v>0.00914491371401219</v>
      </c>
      <c r="J1243" s="9" t="b">
        <f aca="false">IF(AND(ISNUMBER(F1243),ISNUMBER(G1243),ISNUMBER(F1242),ISNUMBER(G1242)),AND(F1243&gt;G1243,F1242&lt;=G1242),FALSE())</f>
        <v>0</v>
      </c>
      <c r="K1243" s="9" t="b">
        <f aca="false">IF(AND(ISNUMBER(F1243),ISNUMBER(G1243),ISNUMBER(F1242),ISNUMBER(G1242)),AND(F1243&lt;G1243,F1242&gt;=G1242),FALSE())</f>
        <v>0</v>
      </c>
      <c r="L1243" s="8" t="n">
        <f aca="false">IF(ISNUMBER(I1243),E1243-Inputs!$B$6*I1243,"")</f>
        <v>0.866219954677396</v>
      </c>
      <c r="M1243" s="9" t="b">
        <f aca="false">AND(Y1242&gt;0,Z1242)</f>
        <v>0</v>
      </c>
      <c r="N1243" s="8" t="n">
        <f aca="false">B1243*(1-Inputs!$B$12)</f>
        <v>0.882354609553831</v>
      </c>
      <c r="O1243" s="10" t="n">
        <f aca="false">IF(M1243,Y1242*(N1243-AB1242)-Inputs!$B$9-Y1242*AD1242*Inputs!$B$13*(A1243-AC1242),0)</f>
        <v>0</v>
      </c>
      <c r="P1243" s="10" t="n">
        <f aca="false">X1242+O1243</f>
        <v>937.320873883343</v>
      </c>
      <c r="Q1243" s="9" t="b">
        <f aca="false">AND(IF(M1243,0,Y1242)=0,AA1242,IF(ISNUMBER(AE1242),B1243&gt;AE1242,FALSE()))</f>
        <v>0</v>
      </c>
      <c r="R1243" s="8" t="n">
        <f aca="false">B1243*(1+Inputs!$B$12)</f>
        <v>0.882707622000142</v>
      </c>
      <c r="S1243" s="11" t="n">
        <f aca="false">IF(Q1243,MIN(P1243*Inputs!$B$3/(R1243-AE1242),P1243*Inputs!$B$11/R1243),0)</f>
        <v>0</v>
      </c>
      <c r="T1243" s="11" t="n">
        <f aca="false">IF(Q1243,S1243,IF(M1243,0,Y1242))</f>
        <v>0</v>
      </c>
      <c r="U1243" s="8" t="n">
        <f aca="false">IF(Q1243,AE1242,AF1242)</f>
        <v>0.891790629201119</v>
      </c>
      <c r="V1243" s="9" t="b">
        <f aca="false">AND(T1243&gt;0,D1243&lt;=U1243)</f>
        <v>0</v>
      </c>
      <c r="W1243" s="10" t="n">
        <f aca="false">IF(V1243,T1243*(AK1243-AB1243)-Inputs!$B$9-T1243*AD1243*Inputs!$B$13*(A1243-AC1243),0)</f>
        <v>0</v>
      </c>
      <c r="X1243" s="10" t="n">
        <f aca="false">P1243-IF(Q1243,Inputs!$B$9,0)+W1243</f>
        <v>937.320873883343</v>
      </c>
      <c r="Y1243" s="11" t="n">
        <f aca="false">IF(V1243,0,T1243)</f>
        <v>0</v>
      </c>
      <c r="Z1243" s="9" t="b">
        <f aca="false">AND(Y1243&gt;0,K1243)</f>
        <v>0</v>
      </c>
      <c r="AA1243" s="9" t="b">
        <f aca="false">AND(Y1243=0,J1243,ISNUMBER(L1243))</f>
        <v>0</v>
      </c>
      <c r="AB1243" s="8" t="n">
        <f aca="false">IF(Q1243,R1243,AB1242)</f>
        <v>0.910529544032361</v>
      </c>
      <c r="AC1243" s="12" t="n">
        <f aca="false">IF(Q1243,A1243,AC1242)</f>
        <v>46007</v>
      </c>
      <c r="AD1243" s="8" t="n">
        <f aca="false">IF(Q1243,B1243,AD1242)</f>
        <v>0.910347474537454</v>
      </c>
      <c r="AE1243" s="8" t="str">
        <f aca="false">IF(AA1243,L1243,"")</f>
        <v/>
      </c>
      <c r="AF1243" s="8" t="n">
        <f aca="false">U1243</f>
        <v>0.891790629201119</v>
      </c>
      <c r="AG1243" s="2" t="n">
        <f aca="false">AG1242+IF(Q1243,1,0)</f>
        <v>13</v>
      </c>
      <c r="AH1243" s="2" t="n">
        <f aca="false">AG1242</f>
        <v>13</v>
      </c>
      <c r="AI1243" s="10" t="n">
        <f aca="false">X1243+Y1243*(E1243-AB1243)-Y1243*AD1243*Inputs!$B$13*(A1243-AC1243)</f>
        <v>937.320873883343</v>
      </c>
      <c r="AJ1243" s="10" t="n">
        <v>0</v>
      </c>
      <c r="AK1243" s="8" t="n">
        <f aca="false">IF(AND(B1243&lt;=U1243,NOT(Q1243)),B1243,U1243)*(1-Inputs!$B$12)</f>
        <v>0.882354609553831</v>
      </c>
    </row>
    <row r="1244" customFormat="false" ht="15" hidden="false" customHeight="false" outlineLevel="0" collapsed="false">
      <c r="A1244" s="6" t="n">
        <v>46028</v>
      </c>
      <c r="B1244" s="7" t="n">
        <v>0.88450978210542</v>
      </c>
      <c r="C1244" s="7" t="n">
        <v>0.886846505125218</v>
      </c>
      <c r="D1244" s="7" t="n">
        <v>0.876905023952322</v>
      </c>
      <c r="E1244" s="7" t="n">
        <v>0.878615450178592</v>
      </c>
      <c r="F1244" s="8" t="n">
        <f aca="true">IF(ROW()-2&gt;=Inputs!$B$4,AVERAGE(OFFSET(E1244,1-Inputs!$B$4,0,Inputs!$B$4,1)),"")</f>
        <v>0.890913182231496</v>
      </c>
      <c r="G1244" s="8" t="n">
        <f aca="true">IF(ROW()-2&gt;=Inputs!$B$5,AVERAGE(OFFSET(E1244,1-Inputs!$B$5,0,Inputs!$B$5,1)),"")</f>
        <v>0.8942770033868</v>
      </c>
      <c r="H1244" s="8" t="n">
        <f aca="false">MAX(C1244-D1244,ABS(C1244-E1243),ABS(D1244-E1243))</f>
        <v>0.00994148117289562</v>
      </c>
      <c r="I1244" s="8" t="n">
        <f aca="true">IF(ROW()-2&lt;14,"",IF(ROW()-2=14,AVERAGE(OFFSET(H1244,-13,0,14,1)),(I1243*13+H1244)/14))</f>
        <v>0.00920181138964672</v>
      </c>
      <c r="J1244" s="9" t="b">
        <f aca="false">IF(AND(ISNUMBER(F1244),ISNUMBER(G1244),ISNUMBER(F1243),ISNUMBER(G1243)),AND(F1244&gt;G1244,F1243&lt;=G1243),FALSE())</f>
        <v>0</v>
      </c>
      <c r="K1244" s="9" t="b">
        <f aca="false">IF(AND(ISNUMBER(F1244),ISNUMBER(G1244),ISNUMBER(F1243),ISNUMBER(G1243)),AND(F1244&lt;G1244,F1243&gt;=G1243),FALSE())</f>
        <v>0</v>
      </c>
      <c r="L1244" s="8" t="n">
        <f aca="false">IF(ISNUMBER(I1244),E1244-Inputs!$B$6*I1244,"")</f>
        <v>0.860211827399299</v>
      </c>
      <c r="M1244" s="9" t="b">
        <f aca="false">AND(Y1243&gt;0,Z1243)</f>
        <v>0</v>
      </c>
      <c r="N1244" s="8" t="n">
        <f aca="false">B1244*(1-Inputs!$B$12)</f>
        <v>0.884332880148999</v>
      </c>
      <c r="O1244" s="10" t="n">
        <f aca="false">IF(M1244,Y1243*(N1244-AB1243)-Inputs!$B$9-Y1243*AD1243*Inputs!$B$13*(A1244-AC1243),0)</f>
        <v>0</v>
      </c>
      <c r="P1244" s="10" t="n">
        <f aca="false">X1243+O1244</f>
        <v>937.320873883343</v>
      </c>
      <c r="Q1244" s="9" t="b">
        <f aca="false">AND(IF(M1244,0,Y1243)=0,AA1243,IF(ISNUMBER(AE1243),B1244&gt;AE1243,FALSE()))</f>
        <v>0</v>
      </c>
      <c r="R1244" s="8" t="n">
        <f aca="false">B1244*(1+Inputs!$B$12)</f>
        <v>0.884686684061842</v>
      </c>
      <c r="S1244" s="11" t="n">
        <f aca="false">IF(Q1244,MIN(P1244*Inputs!$B$3/(R1244-AE1243),P1244*Inputs!$B$11/R1244),0)</f>
        <v>0</v>
      </c>
      <c r="T1244" s="11" t="n">
        <f aca="false">IF(Q1244,S1244,IF(M1244,0,Y1243))</f>
        <v>0</v>
      </c>
      <c r="U1244" s="8" t="n">
        <f aca="false">IF(Q1244,AE1243,AF1243)</f>
        <v>0.891790629201119</v>
      </c>
      <c r="V1244" s="9" t="b">
        <f aca="false">AND(T1244&gt;0,D1244&lt;=U1244)</f>
        <v>0</v>
      </c>
      <c r="W1244" s="10" t="n">
        <f aca="false">IF(V1244,T1244*(AK1244-AB1244)-Inputs!$B$9-T1244*AD1244*Inputs!$B$13*(A1244-AC1244),0)</f>
        <v>0</v>
      </c>
      <c r="X1244" s="10" t="n">
        <f aca="false">P1244-IF(Q1244,Inputs!$B$9,0)+W1244</f>
        <v>937.320873883343</v>
      </c>
      <c r="Y1244" s="11" t="n">
        <f aca="false">IF(V1244,0,T1244)</f>
        <v>0</v>
      </c>
      <c r="Z1244" s="9" t="b">
        <f aca="false">AND(Y1244&gt;0,K1244)</f>
        <v>0</v>
      </c>
      <c r="AA1244" s="9" t="b">
        <f aca="false">AND(Y1244=0,J1244,ISNUMBER(L1244))</f>
        <v>0</v>
      </c>
      <c r="AB1244" s="8" t="n">
        <f aca="false">IF(Q1244,R1244,AB1243)</f>
        <v>0.910529544032361</v>
      </c>
      <c r="AC1244" s="12" t="n">
        <f aca="false">IF(Q1244,A1244,AC1243)</f>
        <v>46007</v>
      </c>
      <c r="AD1244" s="8" t="n">
        <f aca="false">IF(Q1244,B1244,AD1243)</f>
        <v>0.910347474537454</v>
      </c>
      <c r="AE1244" s="8" t="str">
        <f aca="false">IF(AA1244,L1244,"")</f>
        <v/>
      </c>
      <c r="AF1244" s="8" t="n">
        <f aca="false">U1244</f>
        <v>0.891790629201119</v>
      </c>
      <c r="AG1244" s="2" t="n">
        <f aca="false">AG1243+IF(Q1244,1,0)</f>
        <v>13</v>
      </c>
      <c r="AH1244" s="2" t="n">
        <f aca="false">AG1243</f>
        <v>13</v>
      </c>
      <c r="AI1244" s="10" t="n">
        <f aca="false">X1244+Y1244*(E1244-AB1244)-Y1244*AD1244*Inputs!$B$13*(A1244-AC1244)</f>
        <v>937.320873883343</v>
      </c>
      <c r="AJ1244" s="10" t="n">
        <v>0</v>
      </c>
      <c r="AK1244" s="8" t="n">
        <f aca="false">IF(AND(B1244&lt;=U1244,NOT(Q1244)),B1244,U1244)*(1-Inputs!$B$12)</f>
        <v>0.884332880148999</v>
      </c>
    </row>
    <row r="1245" customFormat="false" ht="15" hidden="false" customHeight="false" outlineLevel="0" collapsed="false">
      <c r="A1245" s="6" t="n">
        <v>46029</v>
      </c>
      <c r="B1245" s="7" t="n">
        <v>0.878615450178592</v>
      </c>
      <c r="C1245" s="7" t="n">
        <v>0.88224019151912</v>
      </c>
      <c r="D1245" s="7" t="n">
        <v>0.874797532073474</v>
      </c>
      <c r="E1245" s="7" t="n">
        <v>0.875546993435896</v>
      </c>
      <c r="F1245" s="8" t="n">
        <f aca="true">IF(ROW()-2&gt;=Inputs!$B$4,AVERAGE(OFFSET(E1245,1-Inputs!$B$4,0,Inputs!$B$4,1)),"")</f>
        <v>0.889419542706727</v>
      </c>
      <c r="G1245" s="8" t="n">
        <f aca="true">IF(ROW()-2&gt;=Inputs!$B$5,AVERAGE(OFFSET(E1245,1-Inputs!$B$5,0,Inputs!$B$5,1)),"")</f>
        <v>0.893971840347677</v>
      </c>
      <c r="H1245" s="8" t="n">
        <f aca="false">MAX(C1245-D1245,ABS(C1245-E1244),ABS(D1245-E1244))</f>
        <v>0.00744265944564593</v>
      </c>
      <c r="I1245" s="8" t="n">
        <f aca="true">IF(ROW()-2&lt;14,"",IF(ROW()-2=14,AVERAGE(OFFSET(H1245,-13,0,14,1)),(I1244*13+H1245)/14))</f>
        <v>0.00907615767936095</v>
      </c>
      <c r="J1245" s="9" t="b">
        <f aca="false">IF(AND(ISNUMBER(F1245),ISNUMBER(G1245),ISNUMBER(F1244),ISNUMBER(G1244)),AND(F1245&gt;G1245,F1244&lt;=G1244),FALSE())</f>
        <v>0</v>
      </c>
      <c r="K1245" s="9" t="b">
        <f aca="false">IF(AND(ISNUMBER(F1245),ISNUMBER(G1245),ISNUMBER(F1244),ISNUMBER(G1244)),AND(F1245&lt;G1245,F1244&gt;=G1244),FALSE())</f>
        <v>0</v>
      </c>
      <c r="L1245" s="8" t="n">
        <f aca="false">IF(ISNUMBER(I1245),E1245-Inputs!$B$6*I1245,"")</f>
        <v>0.857394678077174</v>
      </c>
      <c r="M1245" s="9" t="b">
        <f aca="false">AND(Y1244&gt;0,Z1244)</f>
        <v>0</v>
      </c>
      <c r="N1245" s="8" t="n">
        <f aca="false">B1245*(1-Inputs!$B$12)</f>
        <v>0.878439727088557</v>
      </c>
      <c r="O1245" s="10" t="n">
        <f aca="false">IF(M1245,Y1244*(N1245-AB1244)-Inputs!$B$9-Y1244*AD1244*Inputs!$B$13*(A1245-AC1244),0)</f>
        <v>0</v>
      </c>
      <c r="P1245" s="10" t="n">
        <f aca="false">X1244+O1245</f>
        <v>937.320873883343</v>
      </c>
      <c r="Q1245" s="9" t="b">
        <f aca="false">AND(IF(M1245,0,Y1244)=0,AA1244,IF(ISNUMBER(AE1244),B1245&gt;AE1244,FALSE()))</f>
        <v>0</v>
      </c>
      <c r="R1245" s="8" t="n">
        <f aca="false">B1245*(1+Inputs!$B$12)</f>
        <v>0.878791173268628</v>
      </c>
      <c r="S1245" s="11" t="n">
        <f aca="false">IF(Q1245,MIN(P1245*Inputs!$B$3/(R1245-AE1244),P1245*Inputs!$B$11/R1245),0)</f>
        <v>0</v>
      </c>
      <c r="T1245" s="11" t="n">
        <f aca="false">IF(Q1245,S1245,IF(M1245,0,Y1244))</f>
        <v>0</v>
      </c>
      <c r="U1245" s="8" t="n">
        <f aca="false">IF(Q1245,AE1244,AF1244)</f>
        <v>0.891790629201119</v>
      </c>
      <c r="V1245" s="9" t="b">
        <f aca="false">AND(T1245&gt;0,D1245&lt;=U1245)</f>
        <v>0</v>
      </c>
      <c r="W1245" s="10" t="n">
        <f aca="false">IF(V1245,T1245*(AK1245-AB1245)-Inputs!$B$9-T1245*AD1245*Inputs!$B$13*(A1245-AC1245),0)</f>
        <v>0</v>
      </c>
      <c r="X1245" s="10" t="n">
        <f aca="false">P1245-IF(Q1245,Inputs!$B$9,0)+W1245</f>
        <v>937.320873883343</v>
      </c>
      <c r="Y1245" s="11" t="n">
        <f aca="false">IF(V1245,0,T1245)</f>
        <v>0</v>
      </c>
      <c r="Z1245" s="9" t="b">
        <f aca="false">AND(Y1245&gt;0,K1245)</f>
        <v>0</v>
      </c>
      <c r="AA1245" s="9" t="b">
        <f aca="false">AND(Y1245=0,J1245,ISNUMBER(L1245))</f>
        <v>0</v>
      </c>
      <c r="AB1245" s="8" t="n">
        <f aca="false">IF(Q1245,R1245,AB1244)</f>
        <v>0.910529544032361</v>
      </c>
      <c r="AC1245" s="12" t="n">
        <f aca="false">IF(Q1245,A1245,AC1244)</f>
        <v>46007</v>
      </c>
      <c r="AD1245" s="8" t="n">
        <f aca="false">IF(Q1245,B1245,AD1244)</f>
        <v>0.910347474537454</v>
      </c>
      <c r="AE1245" s="8" t="str">
        <f aca="false">IF(AA1245,L1245,"")</f>
        <v/>
      </c>
      <c r="AF1245" s="8" t="n">
        <f aca="false">U1245</f>
        <v>0.891790629201119</v>
      </c>
      <c r="AG1245" s="2" t="n">
        <f aca="false">AG1244+IF(Q1245,1,0)</f>
        <v>13</v>
      </c>
      <c r="AH1245" s="2" t="n">
        <f aca="false">AG1244</f>
        <v>13</v>
      </c>
      <c r="AI1245" s="10" t="n">
        <f aca="false">X1245+Y1245*(E1245-AB1245)-Y1245*AD1245*Inputs!$B$13*(A1245-AC1245)</f>
        <v>937.320873883343</v>
      </c>
      <c r="AJ1245" s="10" t="n">
        <v>0</v>
      </c>
      <c r="AK1245" s="8" t="n">
        <f aca="false">IF(AND(B1245&lt;=U1245,NOT(Q1245)),B1245,U1245)*(1-Inputs!$B$12)</f>
        <v>0.878439727088557</v>
      </c>
    </row>
    <row r="1246" customFormat="false" ht="15" hidden="false" customHeight="false" outlineLevel="0" collapsed="false">
      <c r="A1246" s="6" t="n">
        <v>46030</v>
      </c>
      <c r="B1246" s="7" t="n">
        <v>0.875546993435896</v>
      </c>
      <c r="C1246" s="7" t="n">
        <v>0.882998360116961</v>
      </c>
      <c r="D1246" s="7" t="n">
        <v>0.872883281576389</v>
      </c>
      <c r="E1246" s="7" t="n">
        <v>0.879380287988442</v>
      </c>
      <c r="F1246" s="8" t="n">
        <f aca="true">IF(ROW()-2&gt;=Inputs!$B$4,AVERAGE(OFFSET(E1246,1-Inputs!$B$4,0,Inputs!$B$4,1)),"")</f>
        <v>0.887950213814193</v>
      </c>
      <c r="G1246" s="8" t="n">
        <f aca="true">IF(ROW()-2&gt;=Inputs!$B$5,AVERAGE(OFFSET(E1246,1-Inputs!$B$5,0,Inputs!$B$5,1)),"")</f>
        <v>0.893851119326617</v>
      </c>
      <c r="H1246" s="8" t="n">
        <f aca="false">MAX(C1246-D1246,ABS(C1246-E1245),ABS(D1246-E1245))</f>
        <v>0.0101150785405715</v>
      </c>
      <c r="I1246" s="8" t="n">
        <f aca="true">IF(ROW()-2&lt;14,"",IF(ROW()-2=14,AVERAGE(OFFSET(H1246,-13,0,14,1)),(I1245*13+H1246)/14))</f>
        <v>0.00915036631230456</v>
      </c>
      <c r="J1246" s="9" t="b">
        <f aca="false">IF(AND(ISNUMBER(F1246),ISNUMBER(G1246),ISNUMBER(F1245),ISNUMBER(G1245)),AND(F1246&gt;G1246,F1245&lt;=G1245),FALSE())</f>
        <v>0</v>
      </c>
      <c r="K1246" s="9" t="b">
        <f aca="false">IF(AND(ISNUMBER(F1246),ISNUMBER(G1246),ISNUMBER(F1245),ISNUMBER(G1245)),AND(F1246&lt;G1246,F1245&gt;=G1245),FALSE())</f>
        <v>0</v>
      </c>
      <c r="L1246" s="8" t="n">
        <f aca="false">IF(ISNUMBER(I1246),E1246-Inputs!$B$6*I1246,"")</f>
        <v>0.861079555363833</v>
      </c>
      <c r="M1246" s="9" t="b">
        <f aca="false">AND(Y1245&gt;0,Z1245)</f>
        <v>0</v>
      </c>
      <c r="N1246" s="8" t="n">
        <f aca="false">B1246*(1-Inputs!$B$12)</f>
        <v>0.875371884037209</v>
      </c>
      <c r="O1246" s="10" t="n">
        <f aca="false">IF(M1246,Y1245*(N1246-AB1245)-Inputs!$B$9-Y1245*AD1245*Inputs!$B$13*(A1246-AC1245),0)</f>
        <v>0</v>
      </c>
      <c r="P1246" s="10" t="n">
        <f aca="false">X1245+O1246</f>
        <v>937.320873883343</v>
      </c>
      <c r="Q1246" s="9" t="b">
        <f aca="false">AND(IF(M1246,0,Y1245)=0,AA1245,IF(ISNUMBER(AE1245),B1246&gt;AE1245,FALSE()))</f>
        <v>0</v>
      </c>
      <c r="R1246" s="8" t="n">
        <f aca="false">B1246*(1+Inputs!$B$12)</f>
        <v>0.875722102834583</v>
      </c>
      <c r="S1246" s="11" t="n">
        <f aca="false">IF(Q1246,MIN(P1246*Inputs!$B$3/(R1246-AE1245),P1246*Inputs!$B$11/R1246),0)</f>
        <v>0</v>
      </c>
      <c r="T1246" s="11" t="n">
        <f aca="false">IF(Q1246,S1246,IF(M1246,0,Y1245))</f>
        <v>0</v>
      </c>
      <c r="U1246" s="8" t="n">
        <f aca="false">IF(Q1246,AE1245,AF1245)</f>
        <v>0.891790629201119</v>
      </c>
      <c r="V1246" s="9" t="b">
        <f aca="false">AND(T1246&gt;0,D1246&lt;=U1246)</f>
        <v>0</v>
      </c>
      <c r="W1246" s="10" t="n">
        <f aca="false">IF(V1246,T1246*(AK1246-AB1246)-Inputs!$B$9-T1246*AD1246*Inputs!$B$13*(A1246-AC1246),0)</f>
        <v>0</v>
      </c>
      <c r="X1246" s="10" t="n">
        <f aca="false">P1246-IF(Q1246,Inputs!$B$9,0)+W1246</f>
        <v>937.320873883343</v>
      </c>
      <c r="Y1246" s="11" t="n">
        <f aca="false">IF(V1246,0,T1246)</f>
        <v>0</v>
      </c>
      <c r="Z1246" s="9" t="b">
        <f aca="false">AND(Y1246&gt;0,K1246)</f>
        <v>0</v>
      </c>
      <c r="AA1246" s="9" t="b">
        <f aca="false">AND(Y1246=0,J1246,ISNUMBER(L1246))</f>
        <v>0</v>
      </c>
      <c r="AB1246" s="8" t="n">
        <f aca="false">IF(Q1246,R1246,AB1245)</f>
        <v>0.910529544032361</v>
      </c>
      <c r="AC1246" s="12" t="n">
        <f aca="false">IF(Q1246,A1246,AC1245)</f>
        <v>46007</v>
      </c>
      <c r="AD1246" s="8" t="n">
        <f aca="false">IF(Q1246,B1246,AD1245)</f>
        <v>0.910347474537454</v>
      </c>
      <c r="AE1246" s="8" t="str">
        <f aca="false">IF(AA1246,L1246,"")</f>
        <v/>
      </c>
      <c r="AF1246" s="8" t="n">
        <f aca="false">U1246</f>
        <v>0.891790629201119</v>
      </c>
      <c r="AG1246" s="2" t="n">
        <f aca="false">AG1245+IF(Q1246,1,0)</f>
        <v>13</v>
      </c>
      <c r="AH1246" s="2" t="n">
        <f aca="false">AG1245</f>
        <v>13</v>
      </c>
      <c r="AI1246" s="10" t="n">
        <f aca="false">X1246+Y1246*(E1246-AB1246)-Y1246*AD1246*Inputs!$B$13*(A1246-AC1246)</f>
        <v>937.320873883343</v>
      </c>
      <c r="AJ1246" s="10" t="n">
        <v>0</v>
      </c>
      <c r="AK1246" s="8" t="n">
        <f aca="false">IF(AND(B1246&lt;=U1246,NOT(Q1246)),B1246,U1246)*(1-Inputs!$B$12)</f>
        <v>0.875371884037209</v>
      </c>
    </row>
    <row r="1247" customFormat="false" ht="15" hidden="false" customHeight="false" outlineLevel="0" collapsed="false">
      <c r="A1247" s="6" t="n">
        <v>46031</v>
      </c>
      <c r="B1247" s="7" t="n">
        <v>0.879380287988442</v>
      </c>
      <c r="C1247" s="7" t="n">
        <v>0.88606174854346</v>
      </c>
      <c r="D1247" s="7" t="n">
        <v>0.878804210863907</v>
      </c>
      <c r="E1247" s="7" t="n">
        <v>0.885786850684652</v>
      </c>
      <c r="F1247" s="8" t="n">
        <f aca="true">IF(ROW()-2&gt;=Inputs!$B$4,AVERAGE(OFFSET(E1247,1-Inputs!$B$4,0,Inputs!$B$4,1)),"")</f>
        <v>0.886900167977058</v>
      </c>
      <c r="G1247" s="8" t="n">
        <f aca="true">IF(ROW()-2&gt;=Inputs!$B$5,AVERAGE(OFFSET(E1247,1-Inputs!$B$5,0,Inputs!$B$5,1)),"")</f>
        <v>0.893962335817743</v>
      </c>
      <c r="H1247" s="8" t="n">
        <f aca="false">MAX(C1247-D1247,ABS(C1247-E1246),ABS(D1247-E1246))</f>
        <v>0.00725753767955295</v>
      </c>
      <c r="I1247" s="8" t="n">
        <f aca="true">IF(ROW()-2&lt;14,"",IF(ROW()-2=14,AVERAGE(OFFSET(H1247,-13,0,14,1)),(I1246*13+H1247)/14))</f>
        <v>0.00901516426710801</v>
      </c>
      <c r="J1247" s="9" t="b">
        <f aca="false">IF(AND(ISNUMBER(F1247),ISNUMBER(G1247),ISNUMBER(F1246),ISNUMBER(G1246)),AND(F1247&gt;G1247,F1246&lt;=G1246),FALSE())</f>
        <v>0</v>
      </c>
      <c r="K1247" s="9" t="b">
        <f aca="false">IF(AND(ISNUMBER(F1247),ISNUMBER(G1247),ISNUMBER(F1246),ISNUMBER(G1246)),AND(F1247&lt;G1247,F1246&gt;=G1246),FALSE())</f>
        <v>0</v>
      </c>
      <c r="L1247" s="8" t="n">
        <f aca="false">IF(ISNUMBER(I1247),E1247-Inputs!$B$6*I1247,"")</f>
        <v>0.867756522150435</v>
      </c>
      <c r="M1247" s="9" t="b">
        <f aca="false">AND(Y1246&gt;0,Z1246)</f>
        <v>0</v>
      </c>
      <c r="N1247" s="8" t="n">
        <f aca="false">B1247*(1-Inputs!$B$12)</f>
        <v>0.879204411930844</v>
      </c>
      <c r="O1247" s="10" t="n">
        <f aca="false">IF(M1247,Y1246*(N1247-AB1246)-Inputs!$B$9-Y1246*AD1246*Inputs!$B$13*(A1247-AC1246),0)</f>
        <v>0</v>
      </c>
      <c r="P1247" s="10" t="n">
        <f aca="false">X1246+O1247</f>
        <v>937.320873883343</v>
      </c>
      <c r="Q1247" s="9" t="b">
        <f aca="false">AND(IF(M1247,0,Y1246)=0,AA1246,IF(ISNUMBER(AE1246),B1247&gt;AE1246,FALSE()))</f>
        <v>0</v>
      </c>
      <c r="R1247" s="8" t="n">
        <f aca="false">B1247*(1+Inputs!$B$12)</f>
        <v>0.87955616404604</v>
      </c>
      <c r="S1247" s="11" t="n">
        <f aca="false">IF(Q1247,MIN(P1247*Inputs!$B$3/(R1247-AE1246),P1247*Inputs!$B$11/R1247),0)</f>
        <v>0</v>
      </c>
      <c r="T1247" s="11" t="n">
        <f aca="false">IF(Q1247,S1247,IF(M1247,0,Y1246))</f>
        <v>0</v>
      </c>
      <c r="U1247" s="8" t="n">
        <f aca="false">IF(Q1247,AE1246,AF1246)</f>
        <v>0.891790629201119</v>
      </c>
      <c r="V1247" s="9" t="b">
        <f aca="false">AND(T1247&gt;0,D1247&lt;=U1247)</f>
        <v>0</v>
      </c>
      <c r="W1247" s="10" t="n">
        <f aca="false">IF(V1247,T1247*(AK1247-AB1247)-Inputs!$B$9-T1247*AD1247*Inputs!$B$13*(A1247-AC1247),0)</f>
        <v>0</v>
      </c>
      <c r="X1247" s="10" t="n">
        <f aca="false">P1247-IF(Q1247,Inputs!$B$9,0)+W1247</f>
        <v>937.320873883343</v>
      </c>
      <c r="Y1247" s="11" t="n">
        <f aca="false">IF(V1247,0,T1247)</f>
        <v>0</v>
      </c>
      <c r="Z1247" s="9" t="b">
        <f aca="false">AND(Y1247&gt;0,K1247)</f>
        <v>0</v>
      </c>
      <c r="AA1247" s="9" t="b">
        <f aca="false">AND(Y1247=0,J1247,ISNUMBER(L1247))</f>
        <v>0</v>
      </c>
      <c r="AB1247" s="8" t="n">
        <f aca="false">IF(Q1247,R1247,AB1246)</f>
        <v>0.910529544032361</v>
      </c>
      <c r="AC1247" s="12" t="n">
        <f aca="false">IF(Q1247,A1247,AC1246)</f>
        <v>46007</v>
      </c>
      <c r="AD1247" s="8" t="n">
        <f aca="false">IF(Q1247,B1247,AD1246)</f>
        <v>0.910347474537454</v>
      </c>
      <c r="AE1247" s="8" t="str">
        <f aca="false">IF(AA1247,L1247,"")</f>
        <v/>
      </c>
      <c r="AF1247" s="8" t="n">
        <f aca="false">U1247</f>
        <v>0.891790629201119</v>
      </c>
      <c r="AG1247" s="2" t="n">
        <f aca="false">AG1246+IF(Q1247,1,0)</f>
        <v>13</v>
      </c>
      <c r="AH1247" s="2" t="n">
        <f aca="false">AG1246</f>
        <v>13</v>
      </c>
      <c r="AI1247" s="10" t="n">
        <f aca="false">X1247+Y1247*(E1247-AB1247)-Y1247*AD1247*Inputs!$B$13*(A1247-AC1247)</f>
        <v>937.320873883343</v>
      </c>
      <c r="AJ1247" s="10" t="n">
        <v>0</v>
      </c>
      <c r="AK1247" s="8" t="n">
        <f aca="false">IF(AND(B1247&lt;=U1247,NOT(Q1247)),B1247,U1247)*(1-Inputs!$B$12)</f>
        <v>0.879204411930844</v>
      </c>
    </row>
    <row r="1248" customFormat="false" ht="15" hidden="false" customHeight="false" outlineLevel="0" collapsed="false">
      <c r="A1248" s="6" t="n">
        <v>46032</v>
      </c>
      <c r="B1248" s="7" t="n">
        <v>0.885786850684652</v>
      </c>
      <c r="C1248" s="7" t="n">
        <v>0.900533625925822</v>
      </c>
      <c r="D1248" s="7" t="n">
        <v>0.885640909297503</v>
      </c>
      <c r="E1248" s="7" t="n">
        <v>0.89675051303421</v>
      </c>
      <c r="F1248" s="8" t="n">
        <f aca="true">IF(ROW()-2&gt;=Inputs!$B$4,AVERAGE(OFFSET(E1248,1-Inputs!$B$4,0,Inputs!$B$4,1)),"")</f>
        <v>0.886693681585461</v>
      </c>
      <c r="G1248" s="8" t="n">
        <f aca="true">IF(ROW()-2&gt;=Inputs!$B$5,AVERAGE(OFFSET(E1248,1-Inputs!$B$5,0,Inputs!$B$5,1)),"")</f>
        <v>0.894374149804691</v>
      </c>
      <c r="H1248" s="8" t="n">
        <f aca="false">MAX(C1248-D1248,ABS(C1248-E1247),ABS(D1248-E1247))</f>
        <v>0.0148927166283185</v>
      </c>
      <c r="I1248" s="8" t="n">
        <f aca="true">IF(ROW()-2&lt;14,"",IF(ROW()-2=14,AVERAGE(OFFSET(H1248,-13,0,14,1)),(I1247*13+H1248)/14))</f>
        <v>0.0094349894357659</v>
      </c>
      <c r="J1248" s="9" t="b">
        <f aca="false">IF(AND(ISNUMBER(F1248),ISNUMBER(G1248),ISNUMBER(F1247),ISNUMBER(G1247)),AND(F1248&gt;G1248,F1247&lt;=G1247),FALSE())</f>
        <v>0</v>
      </c>
      <c r="K1248" s="9" t="b">
        <f aca="false">IF(AND(ISNUMBER(F1248),ISNUMBER(G1248),ISNUMBER(F1247),ISNUMBER(G1247)),AND(F1248&lt;G1248,F1247&gt;=G1247),FALSE())</f>
        <v>0</v>
      </c>
      <c r="L1248" s="8" t="n">
        <f aca="false">IF(ISNUMBER(I1248),E1248-Inputs!$B$6*I1248,"")</f>
        <v>0.877880534162678</v>
      </c>
      <c r="M1248" s="9" t="b">
        <f aca="false">AND(Y1247&gt;0,Z1247)</f>
        <v>0</v>
      </c>
      <c r="N1248" s="8" t="n">
        <f aca="false">B1248*(1-Inputs!$B$12)</f>
        <v>0.885609693314515</v>
      </c>
      <c r="O1248" s="10" t="n">
        <f aca="false">IF(M1248,Y1247*(N1248-AB1247)-Inputs!$B$9-Y1247*AD1247*Inputs!$B$13*(A1248-AC1247),0)</f>
        <v>0</v>
      </c>
      <c r="P1248" s="10" t="n">
        <f aca="false">X1247+O1248</f>
        <v>937.320873883343</v>
      </c>
      <c r="Q1248" s="9" t="b">
        <f aca="false">AND(IF(M1248,0,Y1247)=0,AA1247,IF(ISNUMBER(AE1247),B1248&gt;AE1247,FALSE()))</f>
        <v>0</v>
      </c>
      <c r="R1248" s="8" t="n">
        <f aca="false">B1248*(1+Inputs!$B$12)</f>
        <v>0.885964008054788</v>
      </c>
      <c r="S1248" s="11" t="n">
        <f aca="false">IF(Q1248,MIN(P1248*Inputs!$B$3/(R1248-AE1247),P1248*Inputs!$B$11/R1248),0)</f>
        <v>0</v>
      </c>
      <c r="T1248" s="11" t="n">
        <f aca="false">IF(Q1248,S1248,IF(M1248,0,Y1247))</f>
        <v>0</v>
      </c>
      <c r="U1248" s="8" t="n">
        <f aca="false">IF(Q1248,AE1247,AF1247)</f>
        <v>0.891790629201119</v>
      </c>
      <c r="V1248" s="9" t="b">
        <f aca="false">AND(T1248&gt;0,D1248&lt;=U1248)</f>
        <v>0</v>
      </c>
      <c r="W1248" s="10" t="n">
        <f aca="false">IF(V1248,T1248*(AK1248-AB1248)-Inputs!$B$9-T1248*AD1248*Inputs!$B$13*(A1248-AC1248),0)</f>
        <v>0</v>
      </c>
      <c r="X1248" s="10" t="n">
        <f aca="false">P1248-IF(Q1248,Inputs!$B$9,0)+W1248</f>
        <v>937.320873883343</v>
      </c>
      <c r="Y1248" s="11" t="n">
        <f aca="false">IF(V1248,0,T1248)</f>
        <v>0</v>
      </c>
      <c r="Z1248" s="9" t="b">
        <f aca="false">AND(Y1248&gt;0,K1248)</f>
        <v>0</v>
      </c>
      <c r="AA1248" s="9" t="b">
        <f aca="false">AND(Y1248=0,J1248,ISNUMBER(L1248))</f>
        <v>0</v>
      </c>
      <c r="AB1248" s="8" t="n">
        <f aca="false">IF(Q1248,R1248,AB1247)</f>
        <v>0.910529544032361</v>
      </c>
      <c r="AC1248" s="12" t="n">
        <f aca="false">IF(Q1248,A1248,AC1247)</f>
        <v>46007</v>
      </c>
      <c r="AD1248" s="8" t="n">
        <f aca="false">IF(Q1248,B1248,AD1247)</f>
        <v>0.910347474537454</v>
      </c>
      <c r="AE1248" s="8" t="str">
        <f aca="false">IF(AA1248,L1248,"")</f>
        <v/>
      </c>
      <c r="AF1248" s="8" t="n">
        <f aca="false">U1248</f>
        <v>0.891790629201119</v>
      </c>
      <c r="AG1248" s="2" t="n">
        <f aca="false">AG1247+IF(Q1248,1,0)</f>
        <v>13</v>
      </c>
      <c r="AH1248" s="2" t="n">
        <f aca="false">AG1247</f>
        <v>13</v>
      </c>
      <c r="AI1248" s="10" t="n">
        <f aca="false">X1248+Y1248*(E1248-AB1248)-Y1248*AD1248*Inputs!$B$13*(A1248-AC1248)</f>
        <v>937.320873883343</v>
      </c>
      <c r="AJ1248" s="10" t="n">
        <v>0</v>
      </c>
      <c r="AK1248" s="8" t="n">
        <f aca="false">IF(AND(B1248&lt;=U1248,NOT(Q1248)),B1248,U1248)*(1-Inputs!$B$12)</f>
        <v>0.885609693314515</v>
      </c>
    </row>
    <row r="1249" customFormat="false" ht="15" hidden="false" customHeight="false" outlineLevel="0" collapsed="false">
      <c r="A1249" s="6" t="n">
        <v>46033</v>
      </c>
      <c r="B1249" s="7" t="n">
        <v>0.89675051303421</v>
      </c>
      <c r="C1249" s="7" t="n">
        <v>0.902568189083111</v>
      </c>
      <c r="D1249" s="7" t="n">
        <v>0.894805800883749</v>
      </c>
      <c r="E1249" s="7" t="n">
        <v>0.899331905287019</v>
      </c>
      <c r="F1249" s="8" t="n">
        <f aca="true">IF(ROW()-2&gt;=Inputs!$B$4,AVERAGE(OFFSET(E1249,1-Inputs!$B$4,0,Inputs!$B$4,1)),"")</f>
        <v>0.886663799168767</v>
      </c>
      <c r="G1249" s="8" t="n">
        <f aca="true">IF(ROW()-2&gt;=Inputs!$B$5,AVERAGE(OFFSET(E1249,1-Inputs!$B$5,0,Inputs!$B$5,1)),"")</f>
        <v>0.894809707246101</v>
      </c>
      <c r="H1249" s="8" t="n">
        <f aca="false">MAX(C1249-D1249,ABS(C1249-E1248),ABS(D1249-E1248))</f>
        <v>0.00776238819936226</v>
      </c>
      <c r="I1249" s="8" t="n">
        <f aca="true">IF(ROW()-2&lt;14,"",IF(ROW()-2=14,AVERAGE(OFFSET(H1249,-13,0,14,1)),(I1248*13+H1249)/14))</f>
        <v>0.00931551791887993</v>
      </c>
      <c r="J1249" s="9" t="b">
        <f aca="false">IF(AND(ISNUMBER(F1249),ISNUMBER(G1249),ISNUMBER(F1248),ISNUMBER(G1248)),AND(F1249&gt;G1249,F1248&lt;=G1248),FALSE())</f>
        <v>0</v>
      </c>
      <c r="K1249" s="9" t="b">
        <f aca="false">IF(AND(ISNUMBER(F1249),ISNUMBER(G1249),ISNUMBER(F1248),ISNUMBER(G1248)),AND(F1249&lt;G1249,F1248&gt;=G1248),FALSE())</f>
        <v>0</v>
      </c>
      <c r="L1249" s="8" t="n">
        <f aca="false">IF(ISNUMBER(I1249),E1249-Inputs!$B$6*I1249,"")</f>
        <v>0.880700869449259</v>
      </c>
      <c r="M1249" s="9" t="b">
        <f aca="false">AND(Y1248&gt;0,Z1248)</f>
        <v>0</v>
      </c>
      <c r="N1249" s="8" t="n">
        <f aca="false">B1249*(1-Inputs!$B$12)</f>
        <v>0.896571162931603</v>
      </c>
      <c r="O1249" s="10" t="n">
        <f aca="false">IF(M1249,Y1248*(N1249-AB1248)-Inputs!$B$9-Y1248*AD1248*Inputs!$B$13*(A1249-AC1248),0)</f>
        <v>0</v>
      </c>
      <c r="P1249" s="10" t="n">
        <f aca="false">X1248+O1249</f>
        <v>937.320873883343</v>
      </c>
      <c r="Q1249" s="9" t="b">
        <f aca="false">AND(IF(M1249,0,Y1248)=0,AA1248,IF(ISNUMBER(AE1248),B1249&gt;AE1248,FALSE()))</f>
        <v>0</v>
      </c>
      <c r="R1249" s="8" t="n">
        <f aca="false">B1249*(1+Inputs!$B$12)</f>
        <v>0.896929863136816</v>
      </c>
      <c r="S1249" s="11" t="n">
        <f aca="false">IF(Q1249,MIN(P1249*Inputs!$B$3/(R1249-AE1248),P1249*Inputs!$B$11/R1249),0)</f>
        <v>0</v>
      </c>
      <c r="T1249" s="11" t="n">
        <f aca="false">IF(Q1249,S1249,IF(M1249,0,Y1248))</f>
        <v>0</v>
      </c>
      <c r="U1249" s="8" t="n">
        <f aca="false">IF(Q1249,AE1248,AF1248)</f>
        <v>0.891790629201119</v>
      </c>
      <c r="V1249" s="9" t="b">
        <f aca="false">AND(T1249&gt;0,D1249&lt;=U1249)</f>
        <v>0</v>
      </c>
      <c r="W1249" s="10" t="n">
        <f aca="false">IF(V1249,T1249*(AK1249-AB1249)-Inputs!$B$9-T1249*AD1249*Inputs!$B$13*(A1249-AC1249),0)</f>
        <v>0</v>
      </c>
      <c r="X1249" s="10" t="n">
        <f aca="false">P1249-IF(Q1249,Inputs!$B$9,0)+W1249</f>
        <v>937.320873883343</v>
      </c>
      <c r="Y1249" s="11" t="n">
        <f aca="false">IF(V1249,0,T1249)</f>
        <v>0</v>
      </c>
      <c r="Z1249" s="9" t="b">
        <f aca="false">AND(Y1249&gt;0,K1249)</f>
        <v>0</v>
      </c>
      <c r="AA1249" s="9" t="b">
        <f aca="false">AND(Y1249=0,J1249,ISNUMBER(L1249))</f>
        <v>0</v>
      </c>
      <c r="AB1249" s="8" t="n">
        <f aca="false">IF(Q1249,R1249,AB1248)</f>
        <v>0.910529544032361</v>
      </c>
      <c r="AC1249" s="12" t="n">
        <f aca="false">IF(Q1249,A1249,AC1248)</f>
        <v>46007</v>
      </c>
      <c r="AD1249" s="8" t="n">
        <f aca="false">IF(Q1249,B1249,AD1248)</f>
        <v>0.910347474537454</v>
      </c>
      <c r="AE1249" s="8" t="str">
        <f aca="false">IF(AA1249,L1249,"")</f>
        <v/>
      </c>
      <c r="AF1249" s="8" t="n">
        <f aca="false">U1249</f>
        <v>0.891790629201119</v>
      </c>
      <c r="AG1249" s="2" t="n">
        <f aca="false">AG1248+IF(Q1249,1,0)</f>
        <v>13</v>
      </c>
      <c r="AH1249" s="2" t="n">
        <f aca="false">AG1248</f>
        <v>13</v>
      </c>
      <c r="AI1249" s="10" t="n">
        <f aca="false">X1249+Y1249*(E1249-AB1249)-Y1249*AD1249*Inputs!$B$13*(A1249-AC1249)</f>
        <v>937.320873883343</v>
      </c>
      <c r="AJ1249" s="10" t="n">
        <v>0</v>
      </c>
      <c r="AK1249" s="8" t="n">
        <f aca="false">IF(AND(B1249&lt;=U1249,NOT(Q1249)),B1249,U1249)*(1-Inputs!$B$12)</f>
        <v>0.891612271075279</v>
      </c>
    </row>
    <row r="1250" customFormat="false" ht="15" hidden="false" customHeight="false" outlineLevel="0" collapsed="false">
      <c r="A1250" s="6" t="n">
        <v>46034</v>
      </c>
      <c r="B1250" s="7" t="n">
        <v>0.899331905287019</v>
      </c>
      <c r="C1250" s="7" t="n">
        <v>0.905141991449877</v>
      </c>
      <c r="D1250" s="7" t="n">
        <v>0.896439821235355</v>
      </c>
      <c r="E1250" s="7" t="n">
        <v>0.897306415369659</v>
      </c>
      <c r="F1250" s="8" t="n">
        <f aca="true">IF(ROW()-2&gt;=Inputs!$B$4,AVERAGE(OFFSET(E1250,1-Inputs!$B$4,0,Inputs!$B$4,1)),"")</f>
        <v>0.886496547736236</v>
      </c>
      <c r="G1250" s="8" t="n">
        <f aca="true">IF(ROW()-2&gt;=Inputs!$B$5,AVERAGE(OFFSET(E1250,1-Inputs!$B$5,0,Inputs!$B$5,1)),"")</f>
        <v>0.895219837162261</v>
      </c>
      <c r="H1250" s="8" t="n">
        <f aca="false">MAX(C1250-D1250,ABS(C1250-E1249),ABS(D1250-E1249))</f>
        <v>0.00870217021452202</v>
      </c>
      <c r="I1250" s="8" t="n">
        <f aca="true">IF(ROW()-2&lt;14,"",IF(ROW()-2=14,AVERAGE(OFFSET(H1250,-13,0,14,1)),(I1249*13+H1250)/14))</f>
        <v>0.00927170736856865</v>
      </c>
      <c r="J1250" s="9" t="b">
        <f aca="false">IF(AND(ISNUMBER(F1250),ISNUMBER(G1250),ISNUMBER(F1249),ISNUMBER(G1249)),AND(F1250&gt;G1250,F1249&lt;=G1249),FALSE())</f>
        <v>0</v>
      </c>
      <c r="K1250" s="9" t="b">
        <f aca="false">IF(AND(ISNUMBER(F1250),ISNUMBER(G1250),ISNUMBER(F1249),ISNUMBER(G1249)),AND(F1250&lt;G1250,F1249&gt;=G1249),FALSE())</f>
        <v>0</v>
      </c>
      <c r="L1250" s="8" t="n">
        <f aca="false">IF(ISNUMBER(I1250),E1250-Inputs!$B$6*I1250,"")</f>
        <v>0.878763000632522</v>
      </c>
      <c r="M1250" s="9" t="b">
        <f aca="false">AND(Y1249&gt;0,Z1249)</f>
        <v>0</v>
      </c>
      <c r="N1250" s="8" t="n">
        <f aca="false">B1250*(1-Inputs!$B$12)</f>
        <v>0.899152038905962</v>
      </c>
      <c r="O1250" s="10" t="n">
        <f aca="false">IF(M1250,Y1249*(N1250-AB1249)-Inputs!$B$9-Y1249*AD1249*Inputs!$B$13*(A1250-AC1249),0)</f>
        <v>0</v>
      </c>
      <c r="P1250" s="10" t="n">
        <f aca="false">X1249+O1250</f>
        <v>937.320873883343</v>
      </c>
      <c r="Q1250" s="9" t="b">
        <f aca="false">AND(IF(M1250,0,Y1249)=0,AA1249,IF(ISNUMBER(AE1249),B1250&gt;AE1249,FALSE()))</f>
        <v>0</v>
      </c>
      <c r="R1250" s="8" t="n">
        <f aca="false">B1250*(1+Inputs!$B$12)</f>
        <v>0.899511771668076</v>
      </c>
      <c r="S1250" s="11" t="n">
        <f aca="false">IF(Q1250,MIN(P1250*Inputs!$B$3/(R1250-AE1249),P1250*Inputs!$B$11/R1250),0)</f>
        <v>0</v>
      </c>
      <c r="T1250" s="11" t="n">
        <f aca="false">IF(Q1250,S1250,IF(M1250,0,Y1249))</f>
        <v>0</v>
      </c>
      <c r="U1250" s="8" t="n">
        <f aca="false">IF(Q1250,AE1249,AF1249)</f>
        <v>0.891790629201119</v>
      </c>
      <c r="V1250" s="9" t="b">
        <f aca="false">AND(T1250&gt;0,D1250&lt;=U1250)</f>
        <v>0</v>
      </c>
      <c r="W1250" s="10" t="n">
        <f aca="false">IF(V1250,T1250*(AK1250-AB1250)-Inputs!$B$9-T1250*AD1250*Inputs!$B$13*(A1250-AC1250),0)</f>
        <v>0</v>
      </c>
      <c r="X1250" s="10" t="n">
        <f aca="false">P1250-IF(Q1250,Inputs!$B$9,0)+W1250</f>
        <v>937.320873883343</v>
      </c>
      <c r="Y1250" s="11" t="n">
        <f aca="false">IF(V1250,0,T1250)</f>
        <v>0</v>
      </c>
      <c r="Z1250" s="9" t="b">
        <f aca="false">AND(Y1250&gt;0,K1250)</f>
        <v>0</v>
      </c>
      <c r="AA1250" s="9" t="b">
        <f aca="false">AND(Y1250=0,J1250,ISNUMBER(L1250))</f>
        <v>0</v>
      </c>
      <c r="AB1250" s="8" t="n">
        <f aca="false">IF(Q1250,R1250,AB1249)</f>
        <v>0.910529544032361</v>
      </c>
      <c r="AC1250" s="12" t="n">
        <f aca="false">IF(Q1250,A1250,AC1249)</f>
        <v>46007</v>
      </c>
      <c r="AD1250" s="8" t="n">
        <f aca="false">IF(Q1250,B1250,AD1249)</f>
        <v>0.910347474537454</v>
      </c>
      <c r="AE1250" s="8" t="str">
        <f aca="false">IF(AA1250,L1250,"")</f>
        <v/>
      </c>
      <c r="AF1250" s="8" t="n">
        <f aca="false">U1250</f>
        <v>0.891790629201119</v>
      </c>
      <c r="AG1250" s="2" t="n">
        <f aca="false">AG1249+IF(Q1250,1,0)</f>
        <v>13</v>
      </c>
      <c r="AH1250" s="2" t="n">
        <f aca="false">AG1249</f>
        <v>13</v>
      </c>
      <c r="AI1250" s="10" t="n">
        <f aca="false">X1250+Y1250*(E1250-AB1250)-Y1250*AD1250*Inputs!$B$13*(A1250-AC1250)</f>
        <v>937.320873883343</v>
      </c>
      <c r="AJ1250" s="10" t="n">
        <v>0</v>
      </c>
      <c r="AK1250" s="8" t="n">
        <f aca="false">IF(AND(B1250&lt;=U1250,NOT(Q1250)),B1250,U1250)*(1-Inputs!$B$12)</f>
        <v>0.891612271075279</v>
      </c>
    </row>
    <row r="1251" customFormat="false" ht="15" hidden="false" customHeight="false" outlineLevel="0" collapsed="false">
      <c r="A1251" s="6" t="n">
        <v>46035</v>
      </c>
      <c r="B1251" s="7" t="n">
        <v>0.897306415369659</v>
      </c>
      <c r="C1251" s="7" t="n">
        <v>0.901349337201083</v>
      </c>
      <c r="D1251" s="7" t="n">
        <v>0.89544638221789</v>
      </c>
      <c r="E1251" s="7" t="n">
        <v>0.900610855078733</v>
      </c>
      <c r="F1251" s="8" t="n">
        <f aca="true">IF(ROW()-2&gt;=Inputs!$B$4,AVERAGE(OFFSET(E1251,1-Inputs!$B$4,0,Inputs!$B$4,1)),"")</f>
        <v>0.886774134260457</v>
      </c>
      <c r="G1251" s="8" t="n">
        <f aca="true">IF(ROW()-2&gt;=Inputs!$B$5,AVERAGE(OFFSET(E1251,1-Inputs!$B$5,0,Inputs!$B$5,1)),"")</f>
        <v>0.895669315957146</v>
      </c>
      <c r="H1251" s="8" t="n">
        <f aca="false">MAX(C1251-D1251,ABS(C1251-E1250),ABS(D1251-E1250))</f>
        <v>0.00590295498319271</v>
      </c>
      <c r="I1251" s="8" t="n">
        <f aca="true">IF(ROW()-2&lt;14,"",IF(ROW()-2=14,AVERAGE(OFFSET(H1251,-13,0,14,1)),(I1250*13+H1251)/14))</f>
        <v>0.00903108219818466</v>
      </c>
      <c r="J1251" s="9" t="b">
        <f aca="false">IF(AND(ISNUMBER(F1251),ISNUMBER(G1251),ISNUMBER(F1250),ISNUMBER(G1250)),AND(F1251&gt;G1251,F1250&lt;=G1250),FALSE())</f>
        <v>0</v>
      </c>
      <c r="K1251" s="9" t="b">
        <f aca="false">IF(AND(ISNUMBER(F1251),ISNUMBER(G1251),ISNUMBER(F1250),ISNUMBER(G1250)),AND(F1251&lt;G1251,F1250&gt;=G1250),FALSE())</f>
        <v>0</v>
      </c>
      <c r="L1251" s="8" t="n">
        <f aca="false">IF(ISNUMBER(I1251),E1251-Inputs!$B$6*I1251,"")</f>
        <v>0.882548690682364</v>
      </c>
      <c r="M1251" s="9" t="b">
        <f aca="false">AND(Y1250&gt;0,Z1250)</f>
        <v>0</v>
      </c>
      <c r="N1251" s="8" t="n">
        <f aca="false">B1251*(1-Inputs!$B$12)</f>
        <v>0.897126954086585</v>
      </c>
      <c r="O1251" s="10" t="n">
        <f aca="false">IF(M1251,Y1250*(N1251-AB1250)-Inputs!$B$9-Y1250*AD1250*Inputs!$B$13*(A1251-AC1250),0)</f>
        <v>0</v>
      </c>
      <c r="P1251" s="10" t="n">
        <f aca="false">X1250+O1251</f>
        <v>937.320873883343</v>
      </c>
      <c r="Q1251" s="9" t="b">
        <f aca="false">AND(IF(M1251,0,Y1250)=0,AA1250,IF(ISNUMBER(AE1250),B1251&gt;AE1250,FALSE()))</f>
        <v>0</v>
      </c>
      <c r="R1251" s="8" t="n">
        <f aca="false">B1251*(1+Inputs!$B$12)</f>
        <v>0.897485876652733</v>
      </c>
      <c r="S1251" s="11" t="n">
        <f aca="false">IF(Q1251,MIN(P1251*Inputs!$B$3/(R1251-AE1250),P1251*Inputs!$B$11/R1251),0)</f>
        <v>0</v>
      </c>
      <c r="T1251" s="11" t="n">
        <f aca="false">IF(Q1251,S1251,IF(M1251,0,Y1250))</f>
        <v>0</v>
      </c>
      <c r="U1251" s="8" t="n">
        <f aca="false">IF(Q1251,AE1250,AF1250)</f>
        <v>0.891790629201119</v>
      </c>
      <c r="V1251" s="9" t="b">
        <f aca="false">AND(T1251&gt;0,D1251&lt;=U1251)</f>
        <v>0</v>
      </c>
      <c r="W1251" s="10" t="n">
        <f aca="false">IF(V1251,T1251*(AK1251-AB1251)-Inputs!$B$9-T1251*AD1251*Inputs!$B$13*(A1251-AC1251),0)</f>
        <v>0</v>
      </c>
      <c r="X1251" s="10" t="n">
        <f aca="false">P1251-IF(Q1251,Inputs!$B$9,0)+W1251</f>
        <v>937.320873883343</v>
      </c>
      <c r="Y1251" s="11" t="n">
        <f aca="false">IF(V1251,0,T1251)</f>
        <v>0</v>
      </c>
      <c r="Z1251" s="9" t="b">
        <f aca="false">AND(Y1251&gt;0,K1251)</f>
        <v>0</v>
      </c>
      <c r="AA1251" s="9" t="b">
        <f aca="false">AND(Y1251=0,J1251,ISNUMBER(L1251))</f>
        <v>0</v>
      </c>
      <c r="AB1251" s="8" t="n">
        <f aca="false">IF(Q1251,R1251,AB1250)</f>
        <v>0.910529544032361</v>
      </c>
      <c r="AC1251" s="12" t="n">
        <f aca="false">IF(Q1251,A1251,AC1250)</f>
        <v>46007</v>
      </c>
      <c r="AD1251" s="8" t="n">
        <f aca="false">IF(Q1251,B1251,AD1250)</f>
        <v>0.910347474537454</v>
      </c>
      <c r="AE1251" s="8" t="str">
        <f aca="false">IF(AA1251,L1251,"")</f>
        <v/>
      </c>
      <c r="AF1251" s="8" t="n">
        <f aca="false">U1251</f>
        <v>0.891790629201119</v>
      </c>
      <c r="AG1251" s="2" t="n">
        <f aca="false">AG1250+IF(Q1251,1,0)</f>
        <v>13</v>
      </c>
      <c r="AH1251" s="2" t="n">
        <f aca="false">AG1250</f>
        <v>13</v>
      </c>
      <c r="AI1251" s="10" t="n">
        <f aca="false">X1251+Y1251*(E1251-AB1251)-Y1251*AD1251*Inputs!$B$13*(A1251-AC1251)</f>
        <v>937.320873883343</v>
      </c>
      <c r="AJ1251" s="10" t="n">
        <v>0</v>
      </c>
      <c r="AK1251" s="8" t="n">
        <f aca="false">IF(AND(B1251&lt;=U1251,NOT(Q1251)),B1251,U1251)*(1-Inputs!$B$12)</f>
        <v>0.891612271075279</v>
      </c>
    </row>
    <row r="1252" customFormat="false" ht="15" hidden="false" customHeight="false" outlineLevel="0" collapsed="false">
      <c r="A1252" s="6" t="n">
        <v>46036</v>
      </c>
      <c r="B1252" s="7" t="n">
        <v>0.900610855078733</v>
      </c>
      <c r="C1252" s="7" t="n">
        <v>0.905500640819761</v>
      </c>
      <c r="D1252" s="7" t="n">
        <v>0.89365228469363</v>
      </c>
      <c r="E1252" s="7" t="n">
        <v>0.903168215378452</v>
      </c>
      <c r="F1252" s="8" t="n">
        <f aca="true">IF(ROW()-2&gt;=Inputs!$B$4,AVERAGE(OFFSET(E1252,1-Inputs!$B$4,0,Inputs!$B$4,1)),"")</f>
        <v>0.887093148843203</v>
      </c>
      <c r="G1252" s="8" t="n">
        <f aca="true">IF(ROW()-2&gt;=Inputs!$B$5,AVERAGE(OFFSET(E1252,1-Inputs!$B$5,0,Inputs!$B$5,1)),"")</f>
        <v>0.896144659629528</v>
      </c>
      <c r="H1252" s="8" t="n">
        <f aca="false">MAX(C1252-D1252,ABS(C1252-E1251),ABS(D1252-E1251))</f>
        <v>0.0118483561261307</v>
      </c>
      <c r="I1252" s="8" t="n">
        <f aca="true">IF(ROW()-2&lt;14,"",IF(ROW()-2=14,AVERAGE(OFFSET(H1252,-13,0,14,1)),(I1251*13+H1252)/14))</f>
        <v>0.0092323160501808</v>
      </c>
      <c r="J1252" s="9" t="b">
        <f aca="false">IF(AND(ISNUMBER(F1252),ISNUMBER(G1252),ISNUMBER(F1251),ISNUMBER(G1251)),AND(F1252&gt;G1252,F1251&lt;=G1251),FALSE())</f>
        <v>0</v>
      </c>
      <c r="K1252" s="9" t="b">
        <f aca="false">IF(AND(ISNUMBER(F1252),ISNUMBER(G1252),ISNUMBER(F1251),ISNUMBER(G1251)),AND(F1252&lt;G1252,F1251&gt;=G1251),FALSE())</f>
        <v>0</v>
      </c>
      <c r="L1252" s="8" t="n">
        <f aca="false">IF(ISNUMBER(I1252),E1252-Inputs!$B$6*I1252,"")</f>
        <v>0.88470358327809</v>
      </c>
      <c r="M1252" s="9" t="b">
        <f aca="false">AND(Y1251&gt;0,Z1251)</f>
        <v>0</v>
      </c>
      <c r="N1252" s="8" t="n">
        <f aca="false">B1252*(1-Inputs!$B$12)</f>
        <v>0.900430732907718</v>
      </c>
      <c r="O1252" s="10" t="n">
        <f aca="false">IF(M1252,Y1251*(N1252-AB1251)-Inputs!$B$9-Y1251*AD1251*Inputs!$B$13*(A1252-AC1251),0)</f>
        <v>0</v>
      </c>
      <c r="P1252" s="10" t="n">
        <f aca="false">X1251+O1252</f>
        <v>937.320873883343</v>
      </c>
      <c r="Q1252" s="9" t="b">
        <f aca="false">AND(IF(M1252,0,Y1251)=0,AA1251,IF(ISNUMBER(AE1251),B1252&gt;AE1251,FALSE()))</f>
        <v>0</v>
      </c>
      <c r="R1252" s="8" t="n">
        <f aca="false">B1252*(1+Inputs!$B$12)</f>
        <v>0.900790977249749</v>
      </c>
      <c r="S1252" s="11" t="n">
        <f aca="false">IF(Q1252,MIN(P1252*Inputs!$B$3/(R1252-AE1251),P1252*Inputs!$B$11/R1252),0)</f>
        <v>0</v>
      </c>
      <c r="T1252" s="11" t="n">
        <f aca="false">IF(Q1252,S1252,IF(M1252,0,Y1251))</f>
        <v>0</v>
      </c>
      <c r="U1252" s="8" t="n">
        <f aca="false">IF(Q1252,AE1251,AF1251)</f>
        <v>0.891790629201119</v>
      </c>
      <c r="V1252" s="9" t="b">
        <f aca="false">AND(T1252&gt;0,D1252&lt;=U1252)</f>
        <v>0</v>
      </c>
      <c r="W1252" s="10" t="n">
        <f aca="false">IF(V1252,T1252*(AK1252-AB1252)-Inputs!$B$9-T1252*AD1252*Inputs!$B$13*(A1252-AC1252),0)</f>
        <v>0</v>
      </c>
      <c r="X1252" s="10" t="n">
        <f aca="false">P1252-IF(Q1252,Inputs!$B$9,0)+W1252</f>
        <v>937.320873883343</v>
      </c>
      <c r="Y1252" s="11" t="n">
        <f aca="false">IF(V1252,0,T1252)</f>
        <v>0</v>
      </c>
      <c r="Z1252" s="9" t="b">
        <f aca="false">AND(Y1252&gt;0,K1252)</f>
        <v>0</v>
      </c>
      <c r="AA1252" s="9" t="b">
        <f aca="false">AND(Y1252=0,J1252,ISNUMBER(L1252))</f>
        <v>0</v>
      </c>
      <c r="AB1252" s="8" t="n">
        <f aca="false">IF(Q1252,R1252,AB1251)</f>
        <v>0.910529544032361</v>
      </c>
      <c r="AC1252" s="12" t="n">
        <f aca="false">IF(Q1252,A1252,AC1251)</f>
        <v>46007</v>
      </c>
      <c r="AD1252" s="8" t="n">
        <f aca="false">IF(Q1252,B1252,AD1251)</f>
        <v>0.910347474537454</v>
      </c>
      <c r="AE1252" s="8" t="str">
        <f aca="false">IF(AA1252,L1252,"")</f>
        <v/>
      </c>
      <c r="AF1252" s="8" t="n">
        <f aca="false">U1252</f>
        <v>0.891790629201119</v>
      </c>
      <c r="AG1252" s="2" t="n">
        <f aca="false">AG1251+IF(Q1252,1,0)</f>
        <v>13</v>
      </c>
      <c r="AH1252" s="2" t="n">
        <f aca="false">AG1251</f>
        <v>13</v>
      </c>
      <c r="AI1252" s="10" t="n">
        <f aca="false">X1252+Y1252*(E1252-AB1252)-Y1252*AD1252*Inputs!$B$13*(A1252-AC1252)</f>
        <v>937.320873883343</v>
      </c>
      <c r="AJ1252" s="10" t="n">
        <v>0</v>
      </c>
      <c r="AK1252" s="8" t="n">
        <f aca="false">IF(AND(B1252&lt;=U1252,NOT(Q1252)),B1252,U1252)*(1-Inputs!$B$12)</f>
        <v>0.891612271075279</v>
      </c>
    </row>
    <row r="1253" customFormat="false" ht="15" hidden="false" customHeight="false" outlineLevel="0" collapsed="false">
      <c r="A1253" s="6" t="n">
        <v>46037</v>
      </c>
      <c r="B1253" s="7" t="n">
        <v>0.903168215378452</v>
      </c>
      <c r="C1253" s="7" t="n">
        <v>0.907540463080955</v>
      </c>
      <c r="D1253" s="7" t="n">
        <v>0.896785321063077</v>
      </c>
      <c r="E1253" s="7" t="n">
        <v>0.90014480006481</v>
      </c>
      <c r="F1253" s="8" t="n">
        <f aca="true">IF(ROW()-2&gt;=Inputs!$B$4,AVERAGE(OFFSET(E1253,1-Inputs!$B$4,0,Inputs!$B$4,1)),"")</f>
        <v>0.887604041872375</v>
      </c>
      <c r="G1253" s="8" t="n">
        <f aca="true">IF(ROW()-2&gt;=Inputs!$B$5,AVERAGE(OFFSET(E1253,1-Inputs!$B$5,0,Inputs!$B$5,1)),"")</f>
        <v>0.896454718885719</v>
      </c>
      <c r="H1253" s="8" t="n">
        <f aca="false">MAX(C1253-D1253,ABS(C1253-E1252),ABS(D1253-E1252))</f>
        <v>0.0107551420178774</v>
      </c>
      <c r="I1253" s="8" t="n">
        <f aca="true">IF(ROW()-2&lt;14,"",IF(ROW()-2=14,AVERAGE(OFFSET(H1253,-13,0,14,1)),(I1252*13+H1253)/14))</f>
        <v>0.0093410893335877</v>
      </c>
      <c r="J1253" s="9" t="b">
        <f aca="false">IF(AND(ISNUMBER(F1253),ISNUMBER(G1253),ISNUMBER(F1252),ISNUMBER(G1252)),AND(F1253&gt;G1253,F1252&lt;=G1252),FALSE())</f>
        <v>0</v>
      </c>
      <c r="K1253" s="9" t="b">
        <f aca="false">IF(AND(ISNUMBER(F1253),ISNUMBER(G1253),ISNUMBER(F1252),ISNUMBER(G1252)),AND(F1253&lt;G1253,F1252&gt;=G1252),FALSE())</f>
        <v>0</v>
      </c>
      <c r="L1253" s="8" t="n">
        <f aca="false">IF(ISNUMBER(I1253),E1253-Inputs!$B$6*I1253,"")</f>
        <v>0.881462621397634</v>
      </c>
      <c r="M1253" s="9" t="b">
        <f aca="false">AND(Y1252&gt;0,Z1252)</f>
        <v>0</v>
      </c>
      <c r="N1253" s="8" t="n">
        <f aca="false">B1253*(1-Inputs!$B$12)</f>
        <v>0.902987581735376</v>
      </c>
      <c r="O1253" s="10" t="n">
        <f aca="false">IF(M1253,Y1252*(N1253-AB1252)-Inputs!$B$9-Y1252*AD1252*Inputs!$B$13*(A1253-AC1252),0)</f>
        <v>0</v>
      </c>
      <c r="P1253" s="10" t="n">
        <f aca="false">X1252+O1253</f>
        <v>937.320873883343</v>
      </c>
      <c r="Q1253" s="9" t="b">
        <f aca="false">AND(IF(M1253,0,Y1252)=0,AA1252,IF(ISNUMBER(AE1252),B1253&gt;AE1252,FALSE()))</f>
        <v>0</v>
      </c>
      <c r="R1253" s="8" t="n">
        <f aca="false">B1253*(1+Inputs!$B$12)</f>
        <v>0.903348849021527</v>
      </c>
      <c r="S1253" s="11" t="n">
        <f aca="false">IF(Q1253,MIN(P1253*Inputs!$B$3/(R1253-AE1252),P1253*Inputs!$B$11/R1253),0)</f>
        <v>0</v>
      </c>
      <c r="T1253" s="11" t="n">
        <f aca="false">IF(Q1253,S1253,IF(M1253,0,Y1252))</f>
        <v>0</v>
      </c>
      <c r="U1253" s="8" t="n">
        <f aca="false">IF(Q1253,AE1252,AF1252)</f>
        <v>0.891790629201119</v>
      </c>
      <c r="V1253" s="9" t="b">
        <f aca="false">AND(T1253&gt;0,D1253&lt;=U1253)</f>
        <v>0</v>
      </c>
      <c r="W1253" s="10" t="n">
        <f aca="false">IF(V1253,T1253*(AK1253-AB1253)-Inputs!$B$9-T1253*AD1253*Inputs!$B$13*(A1253-AC1253),0)</f>
        <v>0</v>
      </c>
      <c r="X1253" s="10" t="n">
        <f aca="false">P1253-IF(Q1253,Inputs!$B$9,0)+W1253</f>
        <v>937.320873883343</v>
      </c>
      <c r="Y1253" s="11" t="n">
        <f aca="false">IF(V1253,0,T1253)</f>
        <v>0</v>
      </c>
      <c r="Z1253" s="9" t="b">
        <f aca="false">AND(Y1253&gt;0,K1253)</f>
        <v>0</v>
      </c>
      <c r="AA1253" s="9" t="b">
        <f aca="false">AND(Y1253=0,J1253,ISNUMBER(L1253))</f>
        <v>0</v>
      </c>
      <c r="AB1253" s="8" t="n">
        <f aca="false">IF(Q1253,R1253,AB1252)</f>
        <v>0.910529544032361</v>
      </c>
      <c r="AC1253" s="12" t="n">
        <f aca="false">IF(Q1253,A1253,AC1252)</f>
        <v>46007</v>
      </c>
      <c r="AD1253" s="8" t="n">
        <f aca="false">IF(Q1253,B1253,AD1252)</f>
        <v>0.910347474537454</v>
      </c>
      <c r="AE1253" s="8" t="str">
        <f aca="false">IF(AA1253,L1253,"")</f>
        <v/>
      </c>
      <c r="AF1253" s="8" t="n">
        <f aca="false">U1253</f>
        <v>0.891790629201119</v>
      </c>
      <c r="AG1253" s="2" t="n">
        <f aca="false">AG1252+IF(Q1253,1,0)</f>
        <v>13</v>
      </c>
      <c r="AH1253" s="2" t="n">
        <f aca="false">AG1252</f>
        <v>13</v>
      </c>
      <c r="AI1253" s="10" t="n">
        <f aca="false">X1253+Y1253*(E1253-AB1253)-Y1253*AD1253*Inputs!$B$13*(A1253-AC1253)</f>
        <v>937.320873883343</v>
      </c>
      <c r="AJ1253" s="10" t="n">
        <v>0</v>
      </c>
      <c r="AK1253" s="8" t="n">
        <f aca="false">IF(AND(B1253&lt;=U1253,NOT(Q1253)),B1253,U1253)*(1-Inputs!$B$12)</f>
        <v>0.891612271075279</v>
      </c>
    </row>
    <row r="1254" customFormat="false" ht="15" hidden="false" customHeight="false" outlineLevel="0" collapsed="false">
      <c r="A1254" s="6" t="n">
        <v>46038</v>
      </c>
      <c r="B1254" s="7" t="n">
        <v>0.90014480006481</v>
      </c>
      <c r="C1254" s="7" t="n">
        <v>0.910608566191769</v>
      </c>
      <c r="D1254" s="7" t="n">
        <v>0.899708824345947</v>
      </c>
      <c r="E1254" s="7" t="n">
        <v>0.906370013924551</v>
      </c>
      <c r="F1254" s="8" t="n">
        <f aca="true">IF(ROW()-2&gt;=Inputs!$B$4,AVERAGE(OFFSET(E1254,1-Inputs!$B$4,0,Inputs!$B$4,1)),"")</f>
        <v>0.888539725222575</v>
      </c>
      <c r="G1254" s="8" t="n">
        <f aca="true">IF(ROW()-2&gt;=Inputs!$B$5,AVERAGE(OFFSET(E1254,1-Inputs!$B$5,0,Inputs!$B$5,1)),"")</f>
        <v>0.896846935872813</v>
      </c>
      <c r="H1254" s="8" t="n">
        <f aca="false">MAX(C1254-D1254,ABS(C1254-E1253),ABS(D1254-E1253))</f>
        <v>0.010899741845822</v>
      </c>
      <c r="I1254" s="8" t="n">
        <f aca="true">IF(ROW()-2&lt;14,"",IF(ROW()-2=14,AVERAGE(OFFSET(H1254,-13,0,14,1)),(I1253*13+H1254)/14))</f>
        <v>0.00945242165589015</v>
      </c>
      <c r="J1254" s="9" t="b">
        <f aca="false">IF(AND(ISNUMBER(F1254),ISNUMBER(G1254),ISNUMBER(F1253),ISNUMBER(G1253)),AND(F1254&gt;G1254,F1253&lt;=G1253),FALSE())</f>
        <v>0</v>
      </c>
      <c r="K1254" s="9" t="b">
        <f aca="false">IF(AND(ISNUMBER(F1254),ISNUMBER(G1254),ISNUMBER(F1253),ISNUMBER(G1253)),AND(F1254&lt;G1254,F1253&gt;=G1253),FALSE())</f>
        <v>0</v>
      </c>
      <c r="L1254" s="8" t="n">
        <f aca="false">IF(ISNUMBER(I1254),E1254-Inputs!$B$6*I1254,"")</f>
        <v>0.887465170612771</v>
      </c>
      <c r="M1254" s="9" t="b">
        <f aca="false">AND(Y1253&gt;0,Z1253)</f>
        <v>0</v>
      </c>
      <c r="N1254" s="8" t="n">
        <f aca="false">B1254*(1-Inputs!$B$12)</f>
        <v>0.899964771104797</v>
      </c>
      <c r="O1254" s="10" t="n">
        <f aca="false">IF(M1254,Y1253*(N1254-AB1253)-Inputs!$B$9-Y1253*AD1253*Inputs!$B$13*(A1254-AC1253),0)</f>
        <v>0</v>
      </c>
      <c r="P1254" s="10" t="n">
        <f aca="false">X1253+O1254</f>
        <v>937.320873883343</v>
      </c>
      <c r="Q1254" s="9" t="b">
        <f aca="false">AND(IF(M1254,0,Y1253)=0,AA1253,IF(ISNUMBER(AE1253),B1254&gt;AE1253,FALSE()))</f>
        <v>0</v>
      </c>
      <c r="R1254" s="8" t="n">
        <f aca="false">B1254*(1+Inputs!$B$12)</f>
        <v>0.900324829024823</v>
      </c>
      <c r="S1254" s="11" t="n">
        <f aca="false">IF(Q1254,MIN(P1254*Inputs!$B$3/(R1254-AE1253),P1254*Inputs!$B$11/R1254),0)</f>
        <v>0</v>
      </c>
      <c r="T1254" s="11" t="n">
        <f aca="false">IF(Q1254,S1254,IF(M1254,0,Y1253))</f>
        <v>0</v>
      </c>
      <c r="U1254" s="8" t="n">
        <f aca="false">IF(Q1254,AE1253,AF1253)</f>
        <v>0.891790629201119</v>
      </c>
      <c r="V1254" s="9" t="b">
        <f aca="false">AND(T1254&gt;0,D1254&lt;=U1254)</f>
        <v>0</v>
      </c>
      <c r="W1254" s="10" t="n">
        <f aca="false">IF(V1254,T1254*(AK1254-AB1254)-Inputs!$B$9-T1254*AD1254*Inputs!$B$13*(A1254-AC1254),0)</f>
        <v>0</v>
      </c>
      <c r="X1254" s="10" t="n">
        <f aca="false">P1254-IF(Q1254,Inputs!$B$9,0)+W1254</f>
        <v>937.320873883343</v>
      </c>
      <c r="Y1254" s="11" t="n">
        <f aca="false">IF(V1254,0,T1254)</f>
        <v>0</v>
      </c>
      <c r="Z1254" s="9" t="b">
        <f aca="false">AND(Y1254&gt;0,K1254)</f>
        <v>0</v>
      </c>
      <c r="AA1254" s="9" t="b">
        <f aca="false">AND(Y1254=0,J1254,ISNUMBER(L1254))</f>
        <v>0</v>
      </c>
      <c r="AB1254" s="8" t="n">
        <f aca="false">IF(Q1254,R1254,AB1253)</f>
        <v>0.910529544032361</v>
      </c>
      <c r="AC1254" s="12" t="n">
        <f aca="false">IF(Q1254,A1254,AC1253)</f>
        <v>46007</v>
      </c>
      <c r="AD1254" s="8" t="n">
        <f aca="false">IF(Q1254,B1254,AD1253)</f>
        <v>0.910347474537454</v>
      </c>
      <c r="AE1254" s="8" t="str">
        <f aca="false">IF(AA1254,L1254,"")</f>
        <v/>
      </c>
      <c r="AF1254" s="8" t="n">
        <f aca="false">U1254</f>
        <v>0.891790629201119</v>
      </c>
      <c r="AG1254" s="2" t="n">
        <f aca="false">AG1253+IF(Q1254,1,0)</f>
        <v>13</v>
      </c>
      <c r="AH1254" s="2" t="n">
        <f aca="false">AG1253</f>
        <v>13</v>
      </c>
      <c r="AI1254" s="10" t="n">
        <f aca="false">X1254+Y1254*(E1254-AB1254)-Y1254*AD1254*Inputs!$B$13*(A1254-AC1254)</f>
        <v>937.320873883343</v>
      </c>
      <c r="AJ1254" s="10" t="n">
        <v>0</v>
      </c>
      <c r="AK1254" s="8" t="n">
        <f aca="false">IF(AND(B1254&lt;=U1254,NOT(Q1254)),B1254,U1254)*(1-Inputs!$B$12)</f>
        <v>0.891612271075279</v>
      </c>
    </row>
    <row r="1255" customFormat="false" ht="15" hidden="false" customHeight="false" outlineLevel="0" collapsed="false">
      <c r="A1255" s="6" t="n">
        <v>46039</v>
      </c>
      <c r="B1255" s="7" t="n">
        <v>0.906370013924551</v>
      </c>
      <c r="C1255" s="7" t="n">
        <v>0.91069444620762</v>
      </c>
      <c r="D1255" s="7" t="n">
        <v>0.905017643149119</v>
      </c>
      <c r="E1255" s="7" t="n">
        <v>0.906622477131158</v>
      </c>
      <c r="F1255" s="8" t="n">
        <f aca="true">IF(ROW()-2&gt;=Inputs!$B$4,AVERAGE(OFFSET(E1255,1-Inputs!$B$4,0,Inputs!$B$4,1)),"")</f>
        <v>0.889936744009922</v>
      </c>
      <c r="G1255" s="8" t="n">
        <f aca="true">IF(ROW()-2&gt;=Inputs!$B$5,AVERAGE(OFFSET(E1255,1-Inputs!$B$5,0,Inputs!$B$5,1)),"")</f>
        <v>0.897071411544486</v>
      </c>
      <c r="H1255" s="8" t="n">
        <f aca="false">MAX(C1255-D1255,ABS(C1255-E1254),ABS(D1255-E1254))</f>
        <v>0.00567680305850105</v>
      </c>
      <c r="I1255" s="8" t="n">
        <f aca="true">IF(ROW()-2&lt;14,"",IF(ROW()-2=14,AVERAGE(OFFSET(H1255,-13,0,14,1)),(I1254*13+H1255)/14))</f>
        <v>0.0091827346132195</v>
      </c>
      <c r="J1255" s="9" t="b">
        <f aca="false">IF(AND(ISNUMBER(F1255),ISNUMBER(G1255),ISNUMBER(F1254),ISNUMBER(G1254)),AND(F1255&gt;G1255,F1254&lt;=G1254),FALSE())</f>
        <v>0</v>
      </c>
      <c r="K1255" s="9" t="b">
        <f aca="false">IF(AND(ISNUMBER(F1255),ISNUMBER(G1255),ISNUMBER(F1254),ISNUMBER(G1254)),AND(F1255&lt;G1255,F1254&gt;=G1254),FALSE())</f>
        <v>0</v>
      </c>
      <c r="L1255" s="8" t="n">
        <f aca="false">IF(ISNUMBER(I1255),E1255-Inputs!$B$6*I1255,"")</f>
        <v>0.888257007904719</v>
      </c>
      <c r="M1255" s="9" t="b">
        <f aca="false">AND(Y1254&gt;0,Z1254)</f>
        <v>0</v>
      </c>
      <c r="N1255" s="8" t="n">
        <f aca="false">B1255*(1-Inputs!$B$12)</f>
        <v>0.906188739921766</v>
      </c>
      <c r="O1255" s="10" t="n">
        <f aca="false">IF(M1255,Y1254*(N1255-AB1254)-Inputs!$B$9-Y1254*AD1254*Inputs!$B$13*(A1255-AC1254),0)</f>
        <v>0</v>
      </c>
      <c r="P1255" s="10" t="n">
        <f aca="false">X1254+O1255</f>
        <v>937.320873883343</v>
      </c>
      <c r="Q1255" s="9" t="b">
        <f aca="false">AND(IF(M1255,0,Y1254)=0,AA1254,IF(ISNUMBER(AE1254),B1255&gt;AE1254,FALSE()))</f>
        <v>0</v>
      </c>
      <c r="R1255" s="8" t="n">
        <f aca="false">B1255*(1+Inputs!$B$12)</f>
        <v>0.906551287927336</v>
      </c>
      <c r="S1255" s="11" t="n">
        <f aca="false">IF(Q1255,MIN(P1255*Inputs!$B$3/(R1255-AE1254),P1255*Inputs!$B$11/R1255),0)</f>
        <v>0</v>
      </c>
      <c r="T1255" s="11" t="n">
        <f aca="false">IF(Q1255,S1255,IF(M1255,0,Y1254))</f>
        <v>0</v>
      </c>
      <c r="U1255" s="8" t="n">
        <f aca="false">IF(Q1255,AE1254,AF1254)</f>
        <v>0.891790629201119</v>
      </c>
      <c r="V1255" s="9" t="b">
        <f aca="false">AND(T1255&gt;0,D1255&lt;=U1255)</f>
        <v>0</v>
      </c>
      <c r="W1255" s="10" t="n">
        <f aca="false">IF(V1255,T1255*(AK1255-AB1255)-Inputs!$B$9-T1255*AD1255*Inputs!$B$13*(A1255-AC1255),0)</f>
        <v>0</v>
      </c>
      <c r="X1255" s="10" t="n">
        <f aca="false">P1255-IF(Q1255,Inputs!$B$9,0)+W1255</f>
        <v>937.320873883343</v>
      </c>
      <c r="Y1255" s="11" t="n">
        <f aca="false">IF(V1255,0,T1255)</f>
        <v>0</v>
      </c>
      <c r="Z1255" s="9" t="b">
        <f aca="false">AND(Y1255&gt;0,K1255)</f>
        <v>0</v>
      </c>
      <c r="AA1255" s="9" t="b">
        <f aca="false">AND(Y1255=0,J1255,ISNUMBER(L1255))</f>
        <v>0</v>
      </c>
      <c r="AB1255" s="8" t="n">
        <f aca="false">IF(Q1255,R1255,AB1254)</f>
        <v>0.910529544032361</v>
      </c>
      <c r="AC1255" s="12" t="n">
        <f aca="false">IF(Q1255,A1255,AC1254)</f>
        <v>46007</v>
      </c>
      <c r="AD1255" s="8" t="n">
        <f aca="false">IF(Q1255,B1255,AD1254)</f>
        <v>0.910347474537454</v>
      </c>
      <c r="AE1255" s="8" t="str">
        <f aca="false">IF(AA1255,L1255,"")</f>
        <v/>
      </c>
      <c r="AF1255" s="8" t="n">
        <f aca="false">U1255</f>
        <v>0.891790629201119</v>
      </c>
      <c r="AG1255" s="2" t="n">
        <f aca="false">AG1254+IF(Q1255,1,0)</f>
        <v>13</v>
      </c>
      <c r="AH1255" s="2" t="n">
        <f aca="false">AG1254</f>
        <v>13</v>
      </c>
      <c r="AI1255" s="10" t="n">
        <f aca="false">X1255+Y1255*(E1255-AB1255)-Y1255*AD1255*Inputs!$B$13*(A1255-AC1255)</f>
        <v>937.320873883343</v>
      </c>
      <c r="AJ1255" s="10" t="n">
        <v>0</v>
      </c>
      <c r="AK1255" s="8" t="n">
        <f aca="false">IF(AND(B1255&lt;=U1255,NOT(Q1255)),B1255,U1255)*(1-Inputs!$B$12)</f>
        <v>0.891612271075279</v>
      </c>
    </row>
    <row r="1256" customFormat="false" ht="15" hidden="false" customHeight="false" outlineLevel="0" collapsed="false">
      <c r="A1256" s="6" t="n">
        <v>46040</v>
      </c>
      <c r="B1256" s="7" t="n">
        <v>0.906622477131158</v>
      </c>
      <c r="C1256" s="7" t="n">
        <v>0.91062583508725</v>
      </c>
      <c r="D1256" s="7" t="n">
        <v>0.895278370093337</v>
      </c>
      <c r="E1256" s="7" t="n">
        <v>0.897330447769577</v>
      </c>
      <c r="F1256" s="8" t="n">
        <f aca="true">IF(ROW()-2&gt;=Inputs!$B$4,AVERAGE(OFFSET(E1256,1-Inputs!$B$4,0,Inputs!$B$4,1)),"")</f>
        <v>0.890799598371922</v>
      </c>
      <c r="G1256" s="8" t="n">
        <f aca="true">IF(ROW()-2&gt;=Inputs!$B$5,AVERAGE(OFFSET(E1256,1-Inputs!$B$5,0,Inputs!$B$5,1)),"")</f>
        <v>0.89698023259285</v>
      </c>
      <c r="H1256" s="8" t="n">
        <f aca="false">MAX(C1256-D1256,ABS(C1256-E1255),ABS(D1256-E1255))</f>
        <v>0.0153474649939127</v>
      </c>
      <c r="I1256" s="8" t="n">
        <f aca="true">IF(ROW()-2&lt;14,"",IF(ROW()-2=14,AVERAGE(OFFSET(H1256,-13,0,14,1)),(I1255*13+H1256)/14))</f>
        <v>0.00962307249755473</v>
      </c>
      <c r="J1256" s="9" t="b">
        <f aca="false">IF(AND(ISNUMBER(F1256),ISNUMBER(G1256),ISNUMBER(F1255),ISNUMBER(G1255)),AND(F1256&gt;G1256,F1255&lt;=G1255),FALSE())</f>
        <v>0</v>
      </c>
      <c r="K1256" s="9" t="b">
        <f aca="false">IF(AND(ISNUMBER(F1256),ISNUMBER(G1256),ISNUMBER(F1255),ISNUMBER(G1255)),AND(F1256&lt;G1256,F1255&gt;=G1255),FALSE())</f>
        <v>0</v>
      </c>
      <c r="L1256" s="8" t="n">
        <f aca="false">IF(ISNUMBER(I1256),E1256-Inputs!$B$6*I1256,"")</f>
        <v>0.878084302774468</v>
      </c>
      <c r="M1256" s="9" t="b">
        <f aca="false">AND(Y1255&gt;0,Z1255)</f>
        <v>0</v>
      </c>
      <c r="N1256" s="8" t="n">
        <f aca="false">B1256*(1-Inputs!$B$12)</f>
        <v>0.906441152635731</v>
      </c>
      <c r="O1256" s="10" t="n">
        <f aca="false">IF(M1256,Y1255*(N1256-AB1255)-Inputs!$B$9-Y1255*AD1255*Inputs!$B$13*(A1256-AC1255),0)</f>
        <v>0</v>
      </c>
      <c r="P1256" s="10" t="n">
        <f aca="false">X1255+O1256</f>
        <v>937.320873883343</v>
      </c>
      <c r="Q1256" s="9" t="b">
        <f aca="false">AND(IF(M1256,0,Y1255)=0,AA1255,IF(ISNUMBER(AE1255),B1256&gt;AE1255,FALSE()))</f>
        <v>0</v>
      </c>
      <c r="R1256" s="8" t="n">
        <f aca="false">B1256*(1+Inputs!$B$12)</f>
        <v>0.906803801626584</v>
      </c>
      <c r="S1256" s="11" t="n">
        <f aca="false">IF(Q1256,MIN(P1256*Inputs!$B$3/(R1256-AE1255),P1256*Inputs!$B$11/R1256),0)</f>
        <v>0</v>
      </c>
      <c r="T1256" s="11" t="n">
        <f aca="false">IF(Q1256,S1256,IF(M1256,0,Y1255))</f>
        <v>0</v>
      </c>
      <c r="U1256" s="8" t="n">
        <f aca="false">IF(Q1256,AE1255,AF1255)</f>
        <v>0.891790629201119</v>
      </c>
      <c r="V1256" s="9" t="b">
        <f aca="false">AND(T1256&gt;0,D1256&lt;=U1256)</f>
        <v>0</v>
      </c>
      <c r="W1256" s="10" t="n">
        <f aca="false">IF(V1256,T1256*(AK1256-AB1256)-Inputs!$B$9-T1256*AD1256*Inputs!$B$13*(A1256-AC1256),0)</f>
        <v>0</v>
      </c>
      <c r="X1256" s="10" t="n">
        <f aca="false">P1256-IF(Q1256,Inputs!$B$9,0)+W1256</f>
        <v>937.320873883343</v>
      </c>
      <c r="Y1256" s="11" t="n">
        <f aca="false">IF(V1256,0,T1256)</f>
        <v>0</v>
      </c>
      <c r="Z1256" s="9" t="b">
        <f aca="false">AND(Y1256&gt;0,K1256)</f>
        <v>0</v>
      </c>
      <c r="AA1256" s="9" t="b">
        <f aca="false">AND(Y1256=0,J1256,ISNUMBER(L1256))</f>
        <v>0</v>
      </c>
      <c r="AB1256" s="8" t="n">
        <f aca="false">IF(Q1256,R1256,AB1255)</f>
        <v>0.910529544032361</v>
      </c>
      <c r="AC1256" s="12" t="n">
        <f aca="false">IF(Q1256,A1256,AC1255)</f>
        <v>46007</v>
      </c>
      <c r="AD1256" s="8" t="n">
        <f aca="false">IF(Q1256,B1256,AD1255)</f>
        <v>0.910347474537454</v>
      </c>
      <c r="AE1256" s="8" t="str">
        <f aca="false">IF(AA1256,L1256,"")</f>
        <v/>
      </c>
      <c r="AF1256" s="8" t="n">
        <f aca="false">U1256</f>
        <v>0.891790629201119</v>
      </c>
      <c r="AG1256" s="2" t="n">
        <f aca="false">AG1255+IF(Q1256,1,0)</f>
        <v>13</v>
      </c>
      <c r="AH1256" s="2" t="n">
        <f aca="false">AG1255</f>
        <v>13</v>
      </c>
      <c r="AI1256" s="10" t="n">
        <f aca="false">X1256+Y1256*(E1256-AB1256)-Y1256*AD1256*Inputs!$B$13*(A1256-AC1256)</f>
        <v>937.320873883343</v>
      </c>
      <c r="AJ1256" s="10" t="n">
        <v>0</v>
      </c>
      <c r="AK1256" s="8" t="n">
        <f aca="false">IF(AND(B1256&lt;=U1256,NOT(Q1256)),B1256,U1256)*(1-Inputs!$B$12)</f>
        <v>0.891612271075279</v>
      </c>
    </row>
    <row r="1257" customFormat="false" ht="15" hidden="false" customHeight="false" outlineLevel="0" collapsed="false">
      <c r="A1257" s="6" t="n">
        <v>46041</v>
      </c>
      <c r="B1257" s="7" t="n">
        <v>0.897330447769577</v>
      </c>
      <c r="C1257" s="7" t="n">
        <v>0.901952390458094</v>
      </c>
      <c r="D1257" s="7" t="n">
        <v>0.895912877941446</v>
      </c>
      <c r="E1257" s="7" t="n">
        <v>0.900879818785093</v>
      </c>
      <c r="F1257" s="8" t="n">
        <f aca="true">IF(ROW()-2&gt;=Inputs!$B$4,AVERAGE(OFFSET(E1257,1-Inputs!$B$4,0,Inputs!$B$4,1)),"")</f>
        <v>0.891748530402231</v>
      </c>
      <c r="G1257" s="8" t="n">
        <f aca="true">IF(ROW()-2&gt;=Inputs!$B$5,AVERAGE(OFFSET(E1257,1-Inputs!$B$5,0,Inputs!$B$5,1)),"")</f>
        <v>0.8969181013523</v>
      </c>
      <c r="H1257" s="8" t="n">
        <f aca="false">MAX(C1257-D1257,ABS(C1257-E1256),ABS(D1257-E1256))</f>
        <v>0.00603951251664781</v>
      </c>
      <c r="I1257" s="8" t="n">
        <f aca="true">IF(ROW()-2&lt;14,"",IF(ROW()-2=14,AVERAGE(OFFSET(H1257,-13,0,14,1)),(I1256*13+H1257)/14))</f>
        <v>0.00936710392748995</v>
      </c>
      <c r="J1257" s="9" t="b">
        <f aca="false">IF(AND(ISNUMBER(F1257),ISNUMBER(G1257),ISNUMBER(F1256),ISNUMBER(G1256)),AND(F1257&gt;G1257,F1256&lt;=G1256),FALSE())</f>
        <v>0</v>
      </c>
      <c r="K1257" s="9" t="b">
        <f aca="false">IF(AND(ISNUMBER(F1257),ISNUMBER(G1257),ISNUMBER(F1256),ISNUMBER(G1256)),AND(F1257&lt;G1257,F1256&gt;=G1256),FALSE())</f>
        <v>0</v>
      </c>
      <c r="L1257" s="8" t="n">
        <f aca="false">IF(ISNUMBER(I1257),E1257-Inputs!$B$6*I1257,"")</f>
        <v>0.882145610930113</v>
      </c>
      <c r="M1257" s="9" t="b">
        <f aca="false">AND(Y1256&gt;0,Z1256)</f>
        <v>0</v>
      </c>
      <c r="N1257" s="8" t="n">
        <f aca="false">B1257*(1-Inputs!$B$12)</f>
        <v>0.897150981680023</v>
      </c>
      <c r="O1257" s="10" t="n">
        <f aca="false">IF(M1257,Y1256*(N1257-AB1256)-Inputs!$B$9-Y1256*AD1256*Inputs!$B$13*(A1257-AC1256),0)</f>
        <v>0</v>
      </c>
      <c r="P1257" s="10" t="n">
        <f aca="false">X1256+O1257</f>
        <v>937.320873883343</v>
      </c>
      <c r="Q1257" s="9" t="b">
        <f aca="false">AND(IF(M1257,0,Y1256)=0,AA1256,IF(ISNUMBER(AE1256),B1257&gt;AE1256,FALSE()))</f>
        <v>0</v>
      </c>
      <c r="R1257" s="8" t="n">
        <f aca="false">B1257*(1+Inputs!$B$12)</f>
        <v>0.897509913859131</v>
      </c>
      <c r="S1257" s="11" t="n">
        <f aca="false">IF(Q1257,MIN(P1257*Inputs!$B$3/(R1257-AE1256),P1257*Inputs!$B$11/R1257),0)</f>
        <v>0</v>
      </c>
      <c r="T1257" s="11" t="n">
        <f aca="false">IF(Q1257,S1257,IF(M1257,0,Y1256))</f>
        <v>0</v>
      </c>
      <c r="U1257" s="8" t="n">
        <f aca="false">IF(Q1257,AE1256,AF1256)</f>
        <v>0.891790629201119</v>
      </c>
      <c r="V1257" s="9" t="b">
        <f aca="false">AND(T1257&gt;0,D1257&lt;=U1257)</f>
        <v>0</v>
      </c>
      <c r="W1257" s="10" t="n">
        <f aca="false">IF(V1257,T1257*(AK1257-AB1257)-Inputs!$B$9-T1257*AD1257*Inputs!$B$13*(A1257-AC1257),0)</f>
        <v>0</v>
      </c>
      <c r="X1257" s="10" t="n">
        <f aca="false">P1257-IF(Q1257,Inputs!$B$9,0)+W1257</f>
        <v>937.320873883343</v>
      </c>
      <c r="Y1257" s="11" t="n">
        <f aca="false">IF(V1257,0,T1257)</f>
        <v>0</v>
      </c>
      <c r="Z1257" s="9" t="b">
        <f aca="false">AND(Y1257&gt;0,K1257)</f>
        <v>0</v>
      </c>
      <c r="AA1257" s="9" t="b">
        <f aca="false">AND(Y1257=0,J1257,ISNUMBER(L1257))</f>
        <v>0</v>
      </c>
      <c r="AB1257" s="8" t="n">
        <f aca="false">IF(Q1257,R1257,AB1256)</f>
        <v>0.910529544032361</v>
      </c>
      <c r="AC1257" s="12" t="n">
        <f aca="false">IF(Q1257,A1257,AC1256)</f>
        <v>46007</v>
      </c>
      <c r="AD1257" s="8" t="n">
        <f aca="false">IF(Q1257,B1257,AD1256)</f>
        <v>0.910347474537454</v>
      </c>
      <c r="AE1257" s="8" t="str">
        <f aca="false">IF(AA1257,L1257,"")</f>
        <v/>
      </c>
      <c r="AF1257" s="8" t="n">
        <f aca="false">U1257</f>
        <v>0.891790629201119</v>
      </c>
      <c r="AG1257" s="2" t="n">
        <f aca="false">AG1256+IF(Q1257,1,0)</f>
        <v>13</v>
      </c>
      <c r="AH1257" s="2" t="n">
        <f aca="false">AG1256</f>
        <v>13</v>
      </c>
      <c r="AI1257" s="10" t="n">
        <f aca="false">X1257+Y1257*(E1257-AB1257)-Y1257*AD1257*Inputs!$B$13*(A1257-AC1257)</f>
        <v>937.320873883343</v>
      </c>
      <c r="AJ1257" s="10" t="n">
        <v>0</v>
      </c>
      <c r="AK1257" s="8" t="n">
        <f aca="false">IF(AND(B1257&lt;=U1257,NOT(Q1257)),B1257,U1257)*(1-Inputs!$B$12)</f>
        <v>0.891612271075279</v>
      </c>
    </row>
    <row r="1258" customFormat="false" ht="15" hidden="false" customHeight="false" outlineLevel="0" collapsed="false">
      <c r="A1258" s="6" t="n">
        <v>46042</v>
      </c>
      <c r="B1258" s="7" t="n">
        <v>0.900879818785093</v>
      </c>
      <c r="C1258" s="7" t="n">
        <v>0.903925028175152</v>
      </c>
      <c r="D1258" s="7" t="n">
        <v>0.900130868806241</v>
      </c>
      <c r="E1258" s="7" t="n">
        <v>0.90230294542162</v>
      </c>
      <c r="F1258" s="8" t="n">
        <f aca="true">IF(ROW()-2&gt;=Inputs!$B$4,AVERAGE(OFFSET(E1258,1-Inputs!$B$4,0,Inputs!$B$4,1)),"")</f>
        <v>0.892536608079206</v>
      </c>
      <c r="G1258" s="8" t="n">
        <f aca="true">IF(ROW()-2&gt;=Inputs!$B$5,AVERAGE(OFFSET(E1258,1-Inputs!$B$5,0,Inputs!$B$5,1)),"")</f>
        <v>0.896857527612812</v>
      </c>
      <c r="H1258" s="8" t="n">
        <f aca="false">MAX(C1258-D1258,ABS(C1258-E1257),ABS(D1258-E1257))</f>
        <v>0.00379415936891048</v>
      </c>
      <c r="I1258" s="8" t="n">
        <f aca="true">IF(ROW()-2&lt;14,"",IF(ROW()-2=14,AVERAGE(OFFSET(H1258,-13,0,14,1)),(I1257*13+H1258)/14))</f>
        <v>0.00896903645901998</v>
      </c>
      <c r="J1258" s="9" t="b">
        <f aca="false">IF(AND(ISNUMBER(F1258),ISNUMBER(G1258),ISNUMBER(F1257),ISNUMBER(G1257)),AND(F1258&gt;G1258,F1257&lt;=G1257),FALSE())</f>
        <v>0</v>
      </c>
      <c r="K1258" s="9" t="b">
        <f aca="false">IF(AND(ISNUMBER(F1258),ISNUMBER(G1258),ISNUMBER(F1257),ISNUMBER(G1257)),AND(F1258&lt;G1258,F1257&gt;=G1257),FALSE())</f>
        <v>0</v>
      </c>
      <c r="L1258" s="8" t="n">
        <f aca="false">IF(ISNUMBER(I1258),E1258-Inputs!$B$6*I1258,"")</f>
        <v>0.88436487250358</v>
      </c>
      <c r="M1258" s="9" t="b">
        <f aca="false">AND(Y1257&gt;0,Z1257)</f>
        <v>0</v>
      </c>
      <c r="N1258" s="8" t="n">
        <f aca="false">B1258*(1-Inputs!$B$12)</f>
        <v>0.900699642821336</v>
      </c>
      <c r="O1258" s="10" t="n">
        <f aca="false">IF(M1258,Y1257*(N1258-AB1257)-Inputs!$B$9-Y1257*AD1257*Inputs!$B$13*(A1258-AC1257),0)</f>
        <v>0</v>
      </c>
      <c r="P1258" s="10" t="n">
        <f aca="false">X1257+O1258</f>
        <v>937.320873883343</v>
      </c>
      <c r="Q1258" s="9" t="b">
        <f aca="false">AND(IF(M1258,0,Y1257)=0,AA1257,IF(ISNUMBER(AE1257),B1258&gt;AE1257,FALSE()))</f>
        <v>0</v>
      </c>
      <c r="R1258" s="8" t="n">
        <f aca="false">B1258*(1+Inputs!$B$12)</f>
        <v>0.90105999474885</v>
      </c>
      <c r="S1258" s="11" t="n">
        <f aca="false">IF(Q1258,MIN(P1258*Inputs!$B$3/(R1258-AE1257),P1258*Inputs!$B$11/R1258),0)</f>
        <v>0</v>
      </c>
      <c r="T1258" s="11" t="n">
        <f aca="false">IF(Q1258,S1258,IF(M1258,0,Y1257))</f>
        <v>0</v>
      </c>
      <c r="U1258" s="8" t="n">
        <f aca="false">IF(Q1258,AE1257,AF1257)</f>
        <v>0.891790629201119</v>
      </c>
      <c r="V1258" s="9" t="b">
        <f aca="false">AND(T1258&gt;0,D1258&lt;=U1258)</f>
        <v>0</v>
      </c>
      <c r="W1258" s="10" t="n">
        <f aca="false">IF(V1258,T1258*(AK1258-AB1258)-Inputs!$B$9-T1258*AD1258*Inputs!$B$13*(A1258-AC1258),0)</f>
        <v>0</v>
      </c>
      <c r="X1258" s="10" t="n">
        <f aca="false">P1258-IF(Q1258,Inputs!$B$9,0)+W1258</f>
        <v>937.320873883343</v>
      </c>
      <c r="Y1258" s="11" t="n">
        <f aca="false">IF(V1258,0,T1258)</f>
        <v>0</v>
      </c>
      <c r="Z1258" s="9" t="b">
        <f aca="false">AND(Y1258&gt;0,K1258)</f>
        <v>0</v>
      </c>
      <c r="AA1258" s="9" t="b">
        <f aca="false">AND(Y1258=0,J1258,ISNUMBER(L1258))</f>
        <v>0</v>
      </c>
      <c r="AB1258" s="8" t="n">
        <f aca="false">IF(Q1258,R1258,AB1257)</f>
        <v>0.910529544032361</v>
      </c>
      <c r="AC1258" s="12" t="n">
        <f aca="false">IF(Q1258,A1258,AC1257)</f>
        <v>46007</v>
      </c>
      <c r="AD1258" s="8" t="n">
        <f aca="false">IF(Q1258,B1258,AD1257)</f>
        <v>0.910347474537454</v>
      </c>
      <c r="AE1258" s="8" t="str">
        <f aca="false">IF(AA1258,L1258,"")</f>
        <v/>
      </c>
      <c r="AF1258" s="8" t="n">
        <f aca="false">U1258</f>
        <v>0.891790629201119</v>
      </c>
      <c r="AG1258" s="2" t="n">
        <f aca="false">AG1257+IF(Q1258,1,0)</f>
        <v>13</v>
      </c>
      <c r="AH1258" s="2" t="n">
        <f aca="false">AG1257</f>
        <v>13</v>
      </c>
      <c r="AI1258" s="10" t="n">
        <f aca="false">X1258+Y1258*(E1258-AB1258)-Y1258*AD1258*Inputs!$B$13*(A1258-AC1258)</f>
        <v>937.320873883343</v>
      </c>
      <c r="AJ1258" s="10" t="n">
        <v>0</v>
      </c>
      <c r="AK1258" s="8" t="n">
        <f aca="false">IF(AND(B1258&lt;=U1258,NOT(Q1258)),B1258,U1258)*(1-Inputs!$B$12)</f>
        <v>0.891612271075279</v>
      </c>
    </row>
    <row r="1259" customFormat="false" ht="15" hidden="false" customHeight="false" outlineLevel="0" collapsed="false">
      <c r="A1259" s="6" t="n">
        <v>46043</v>
      </c>
      <c r="B1259" s="7" t="n">
        <v>0.90230294542162</v>
      </c>
      <c r="C1259" s="7" t="n">
        <v>0.909246956241894</v>
      </c>
      <c r="D1259" s="7" t="n">
        <v>0.902231977331696</v>
      </c>
      <c r="E1259" s="7" t="n">
        <v>0.908391429804431</v>
      </c>
      <c r="F1259" s="8" t="n">
        <f aca="true">IF(ROW()-2&gt;=Inputs!$B$4,AVERAGE(OFFSET(E1259,1-Inputs!$B$4,0,Inputs!$B$4,1)),"")</f>
        <v>0.893430178391809</v>
      </c>
      <c r="G1259" s="8" t="n">
        <f aca="true">IF(ROW()-2&gt;=Inputs!$B$5,AVERAGE(OFFSET(E1259,1-Inputs!$B$5,0,Inputs!$B$5,1)),"")</f>
        <v>0.897074085193175</v>
      </c>
      <c r="H1259" s="8" t="n">
        <f aca="false">MAX(C1259-D1259,ABS(C1259-E1258),ABS(D1259-E1258))</f>
        <v>0.00701497891019798</v>
      </c>
      <c r="I1259" s="8" t="n">
        <f aca="true">IF(ROW()-2&lt;14,"",IF(ROW()-2=14,AVERAGE(OFFSET(H1259,-13,0,14,1)),(I1258*13+H1259)/14))</f>
        <v>0.00882946091981841</v>
      </c>
      <c r="J1259" s="9" t="b">
        <f aca="false">IF(AND(ISNUMBER(F1259),ISNUMBER(G1259),ISNUMBER(F1258),ISNUMBER(G1258)),AND(F1259&gt;G1259,F1258&lt;=G1258),FALSE())</f>
        <v>0</v>
      </c>
      <c r="K1259" s="9" t="b">
        <f aca="false">IF(AND(ISNUMBER(F1259),ISNUMBER(G1259),ISNUMBER(F1258),ISNUMBER(G1258)),AND(F1259&lt;G1259,F1258&gt;=G1258),FALSE())</f>
        <v>0</v>
      </c>
      <c r="L1259" s="8" t="n">
        <f aca="false">IF(ISNUMBER(I1259),E1259-Inputs!$B$6*I1259,"")</f>
        <v>0.890732507964794</v>
      </c>
      <c r="M1259" s="9" t="b">
        <f aca="false">AND(Y1258&gt;0,Z1258)</f>
        <v>0</v>
      </c>
      <c r="N1259" s="8" t="n">
        <f aca="false">B1259*(1-Inputs!$B$12)</f>
        <v>0.902122484832535</v>
      </c>
      <c r="O1259" s="10" t="n">
        <f aca="false">IF(M1259,Y1258*(N1259-AB1258)-Inputs!$B$9-Y1258*AD1258*Inputs!$B$13*(A1259-AC1258),0)</f>
        <v>0</v>
      </c>
      <c r="P1259" s="10" t="n">
        <f aca="false">X1258+O1259</f>
        <v>937.320873883343</v>
      </c>
      <c r="Q1259" s="9" t="b">
        <f aca="false">AND(IF(M1259,0,Y1258)=0,AA1258,IF(ISNUMBER(AE1258),B1259&gt;AE1258,FALSE()))</f>
        <v>0</v>
      </c>
      <c r="R1259" s="8" t="n">
        <f aca="false">B1259*(1+Inputs!$B$12)</f>
        <v>0.902483406010704</v>
      </c>
      <c r="S1259" s="11" t="n">
        <f aca="false">IF(Q1259,MIN(P1259*Inputs!$B$3/(R1259-AE1258),P1259*Inputs!$B$11/R1259),0)</f>
        <v>0</v>
      </c>
      <c r="T1259" s="11" t="n">
        <f aca="false">IF(Q1259,S1259,IF(M1259,0,Y1258))</f>
        <v>0</v>
      </c>
      <c r="U1259" s="8" t="n">
        <f aca="false">IF(Q1259,AE1258,AF1258)</f>
        <v>0.891790629201119</v>
      </c>
      <c r="V1259" s="9" t="b">
        <f aca="false">AND(T1259&gt;0,D1259&lt;=U1259)</f>
        <v>0</v>
      </c>
      <c r="W1259" s="10" t="n">
        <f aca="false">IF(V1259,T1259*(AK1259-AB1259)-Inputs!$B$9-T1259*AD1259*Inputs!$B$13*(A1259-AC1259),0)</f>
        <v>0</v>
      </c>
      <c r="X1259" s="10" t="n">
        <f aca="false">P1259-IF(Q1259,Inputs!$B$9,0)+W1259</f>
        <v>937.320873883343</v>
      </c>
      <c r="Y1259" s="11" t="n">
        <f aca="false">IF(V1259,0,T1259)</f>
        <v>0</v>
      </c>
      <c r="Z1259" s="9" t="b">
        <f aca="false">AND(Y1259&gt;0,K1259)</f>
        <v>0</v>
      </c>
      <c r="AA1259" s="9" t="b">
        <f aca="false">AND(Y1259=0,J1259,ISNUMBER(L1259))</f>
        <v>0</v>
      </c>
      <c r="AB1259" s="8" t="n">
        <f aca="false">IF(Q1259,R1259,AB1258)</f>
        <v>0.910529544032361</v>
      </c>
      <c r="AC1259" s="12" t="n">
        <f aca="false">IF(Q1259,A1259,AC1258)</f>
        <v>46007</v>
      </c>
      <c r="AD1259" s="8" t="n">
        <f aca="false">IF(Q1259,B1259,AD1258)</f>
        <v>0.910347474537454</v>
      </c>
      <c r="AE1259" s="8" t="str">
        <f aca="false">IF(AA1259,L1259,"")</f>
        <v/>
      </c>
      <c r="AF1259" s="8" t="n">
        <f aca="false">U1259</f>
        <v>0.891790629201119</v>
      </c>
      <c r="AG1259" s="2" t="n">
        <f aca="false">AG1258+IF(Q1259,1,0)</f>
        <v>13</v>
      </c>
      <c r="AH1259" s="2" t="n">
        <f aca="false">AG1258</f>
        <v>13</v>
      </c>
      <c r="AI1259" s="10" t="n">
        <f aca="false">X1259+Y1259*(E1259-AB1259)-Y1259*AD1259*Inputs!$B$13*(A1259-AC1259)</f>
        <v>937.320873883343</v>
      </c>
      <c r="AJ1259" s="10" t="n">
        <v>0</v>
      </c>
      <c r="AK1259" s="8" t="n">
        <f aca="false">IF(AND(B1259&lt;=U1259,NOT(Q1259)),B1259,U1259)*(1-Inputs!$B$12)</f>
        <v>0.891612271075279</v>
      </c>
    </row>
    <row r="1260" customFormat="false" ht="15" hidden="false" customHeight="false" outlineLevel="0" collapsed="false">
      <c r="A1260" s="6" t="n">
        <v>46044</v>
      </c>
      <c r="B1260" s="7" t="n">
        <v>0.908391429804431</v>
      </c>
      <c r="C1260" s="7" t="n">
        <v>0.913515271692931</v>
      </c>
      <c r="D1260" s="7" t="n">
        <v>0.904834112710646</v>
      </c>
      <c r="E1260" s="7" t="n">
        <v>0.908754367675657</v>
      </c>
      <c r="F1260" s="8" t="n">
        <f aca="true">IF(ROW()-2&gt;=Inputs!$B$4,AVERAGE(OFFSET(E1260,1-Inputs!$B$4,0,Inputs!$B$4,1)),"")</f>
        <v>0.894872279033397</v>
      </c>
      <c r="G1260" s="8" t="n">
        <f aca="true">IF(ROW()-2&gt;=Inputs!$B$5,AVERAGE(OFFSET(E1260,1-Inputs!$B$5,0,Inputs!$B$5,1)),"")</f>
        <v>0.897343551900293</v>
      </c>
      <c r="H1260" s="8" t="n">
        <f aca="false">MAX(C1260-D1260,ABS(C1260-E1259),ABS(D1260-E1259))</f>
        <v>0.00868115898228505</v>
      </c>
      <c r="I1260" s="8" t="n">
        <f aca="true">IF(ROW()-2&lt;14,"",IF(ROW()-2=14,AVERAGE(OFFSET(H1260,-13,0,14,1)),(I1259*13+H1260)/14))</f>
        <v>0.00881886792428032</v>
      </c>
      <c r="J1260" s="9" t="b">
        <f aca="false">IF(AND(ISNUMBER(F1260),ISNUMBER(G1260),ISNUMBER(F1259),ISNUMBER(G1259)),AND(F1260&gt;G1260,F1259&lt;=G1259),FALSE())</f>
        <v>0</v>
      </c>
      <c r="K1260" s="9" t="b">
        <f aca="false">IF(AND(ISNUMBER(F1260),ISNUMBER(G1260),ISNUMBER(F1259),ISNUMBER(G1259)),AND(F1260&lt;G1260,F1259&gt;=G1259),FALSE())</f>
        <v>0</v>
      </c>
      <c r="L1260" s="8" t="n">
        <f aca="false">IF(ISNUMBER(I1260),E1260-Inputs!$B$6*I1260,"")</f>
        <v>0.891116631827097</v>
      </c>
      <c r="M1260" s="9" t="b">
        <f aca="false">AND(Y1259&gt;0,Z1259)</f>
        <v>0</v>
      </c>
      <c r="N1260" s="8" t="n">
        <f aca="false">B1260*(1-Inputs!$B$12)</f>
        <v>0.90820975151847</v>
      </c>
      <c r="O1260" s="10" t="n">
        <f aca="false">IF(M1260,Y1259*(N1260-AB1259)-Inputs!$B$9-Y1259*AD1259*Inputs!$B$13*(A1260-AC1259),0)</f>
        <v>0</v>
      </c>
      <c r="P1260" s="10" t="n">
        <f aca="false">X1259+O1260</f>
        <v>937.320873883343</v>
      </c>
      <c r="Q1260" s="9" t="b">
        <f aca="false">AND(IF(M1260,0,Y1259)=0,AA1259,IF(ISNUMBER(AE1259),B1260&gt;AE1259,FALSE()))</f>
        <v>0</v>
      </c>
      <c r="R1260" s="8" t="n">
        <f aca="false">B1260*(1+Inputs!$B$12)</f>
        <v>0.908573108090392</v>
      </c>
      <c r="S1260" s="11" t="n">
        <f aca="false">IF(Q1260,MIN(P1260*Inputs!$B$3/(R1260-AE1259),P1260*Inputs!$B$11/R1260),0)</f>
        <v>0</v>
      </c>
      <c r="T1260" s="11" t="n">
        <f aca="false">IF(Q1260,S1260,IF(M1260,0,Y1259))</f>
        <v>0</v>
      </c>
      <c r="U1260" s="8" t="n">
        <f aca="false">IF(Q1260,AE1259,AF1259)</f>
        <v>0.891790629201119</v>
      </c>
      <c r="V1260" s="9" t="b">
        <f aca="false">AND(T1260&gt;0,D1260&lt;=U1260)</f>
        <v>0</v>
      </c>
      <c r="W1260" s="10" t="n">
        <f aca="false">IF(V1260,T1260*(AK1260-AB1260)-Inputs!$B$9-T1260*AD1260*Inputs!$B$13*(A1260-AC1260),0)</f>
        <v>0</v>
      </c>
      <c r="X1260" s="10" t="n">
        <f aca="false">P1260-IF(Q1260,Inputs!$B$9,0)+W1260</f>
        <v>937.320873883343</v>
      </c>
      <c r="Y1260" s="11" t="n">
        <f aca="false">IF(V1260,0,T1260)</f>
        <v>0</v>
      </c>
      <c r="Z1260" s="9" t="b">
        <f aca="false">AND(Y1260&gt;0,K1260)</f>
        <v>0</v>
      </c>
      <c r="AA1260" s="9" t="b">
        <f aca="false">AND(Y1260=0,J1260,ISNUMBER(L1260))</f>
        <v>0</v>
      </c>
      <c r="AB1260" s="8" t="n">
        <f aca="false">IF(Q1260,R1260,AB1259)</f>
        <v>0.910529544032361</v>
      </c>
      <c r="AC1260" s="12" t="n">
        <f aca="false">IF(Q1260,A1260,AC1259)</f>
        <v>46007</v>
      </c>
      <c r="AD1260" s="8" t="n">
        <f aca="false">IF(Q1260,B1260,AD1259)</f>
        <v>0.910347474537454</v>
      </c>
      <c r="AE1260" s="8" t="str">
        <f aca="false">IF(AA1260,L1260,"")</f>
        <v/>
      </c>
      <c r="AF1260" s="8" t="n">
        <f aca="false">U1260</f>
        <v>0.891790629201119</v>
      </c>
      <c r="AG1260" s="2" t="n">
        <f aca="false">AG1259+IF(Q1260,1,0)</f>
        <v>13</v>
      </c>
      <c r="AH1260" s="2" t="n">
        <f aca="false">AG1259</f>
        <v>13</v>
      </c>
      <c r="AI1260" s="10" t="n">
        <f aca="false">X1260+Y1260*(E1260-AB1260)-Y1260*AD1260*Inputs!$B$13*(A1260-AC1260)</f>
        <v>937.320873883343</v>
      </c>
      <c r="AJ1260" s="10" t="n">
        <v>0</v>
      </c>
      <c r="AK1260" s="8" t="n">
        <f aca="false">IF(AND(B1260&lt;=U1260,NOT(Q1260)),B1260,U1260)*(1-Inputs!$B$12)</f>
        <v>0.891612271075279</v>
      </c>
    </row>
    <row r="1261" customFormat="false" ht="15" hidden="false" customHeight="false" outlineLevel="0" collapsed="false">
      <c r="A1261" s="6" t="n">
        <v>46045</v>
      </c>
      <c r="B1261" s="7" t="n">
        <v>0.908754367675657</v>
      </c>
      <c r="C1261" s="7" t="n">
        <v>0.912737135086535</v>
      </c>
      <c r="D1261" s="7" t="n">
        <v>0.899517689318451</v>
      </c>
      <c r="E1261" s="7" t="n">
        <v>0.90296085222681</v>
      </c>
      <c r="F1261" s="8" t="n">
        <f aca="true">IF(ROW()-2&gt;=Inputs!$B$4,AVERAGE(OFFSET(E1261,1-Inputs!$B$4,0,Inputs!$B$4,1)),"")</f>
        <v>0.895864776856088</v>
      </c>
      <c r="G1261" s="8" t="n">
        <f aca="true">IF(ROW()-2&gt;=Inputs!$B$5,AVERAGE(OFFSET(E1261,1-Inputs!$B$5,0,Inputs!$B$5,1)),"")</f>
        <v>0.897534648305539</v>
      </c>
      <c r="H1261" s="8" t="n">
        <f aca="false">MAX(C1261-D1261,ABS(C1261-E1260),ABS(D1261-E1260))</f>
        <v>0.0132194457680835</v>
      </c>
      <c r="I1261" s="8" t="n">
        <f aca="true">IF(ROW()-2&lt;14,"",IF(ROW()-2=14,AVERAGE(OFFSET(H1261,-13,0,14,1)),(I1260*13+H1261)/14))</f>
        <v>0.0091331949131234</v>
      </c>
      <c r="J1261" s="9" t="b">
        <f aca="false">IF(AND(ISNUMBER(F1261),ISNUMBER(G1261),ISNUMBER(F1260),ISNUMBER(G1260)),AND(F1261&gt;G1261,F1260&lt;=G1260),FALSE())</f>
        <v>0</v>
      </c>
      <c r="K1261" s="9" t="b">
        <f aca="false">IF(AND(ISNUMBER(F1261),ISNUMBER(G1261),ISNUMBER(F1260),ISNUMBER(G1260)),AND(F1261&lt;G1261,F1260&gt;=G1260),FALSE())</f>
        <v>0</v>
      </c>
      <c r="L1261" s="8" t="n">
        <f aca="false">IF(ISNUMBER(I1261),E1261-Inputs!$B$6*I1261,"")</f>
        <v>0.884694462400563</v>
      </c>
      <c r="M1261" s="9" t="b">
        <f aca="false">AND(Y1260&gt;0,Z1260)</f>
        <v>0</v>
      </c>
      <c r="N1261" s="8" t="n">
        <f aca="false">B1261*(1-Inputs!$B$12)</f>
        <v>0.908572616802122</v>
      </c>
      <c r="O1261" s="10" t="n">
        <f aca="false">IF(M1261,Y1260*(N1261-AB1260)-Inputs!$B$9-Y1260*AD1260*Inputs!$B$13*(A1261-AC1260),0)</f>
        <v>0</v>
      </c>
      <c r="P1261" s="10" t="n">
        <f aca="false">X1260+O1261</f>
        <v>937.320873883343</v>
      </c>
      <c r="Q1261" s="9" t="b">
        <f aca="false">AND(IF(M1261,0,Y1260)=0,AA1260,IF(ISNUMBER(AE1260),B1261&gt;AE1260,FALSE()))</f>
        <v>0</v>
      </c>
      <c r="R1261" s="8" t="n">
        <f aca="false">B1261*(1+Inputs!$B$12)</f>
        <v>0.908936118549192</v>
      </c>
      <c r="S1261" s="11" t="n">
        <f aca="false">IF(Q1261,MIN(P1261*Inputs!$B$3/(R1261-AE1260),P1261*Inputs!$B$11/R1261),0)</f>
        <v>0</v>
      </c>
      <c r="T1261" s="11" t="n">
        <f aca="false">IF(Q1261,S1261,IF(M1261,0,Y1260))</f>
        <v>0</v>
      </c>
      <c r="U1261" s="8" t="n">
        <f aca="false">IF(Q1261,AE1260,AF1260)</f>
        <v>0.891790629201119</v>
      </c>
      <c r="V1261" s="9" t="b">
        <f aca="false">AND(T1261&gt;0,D1261&lt;=U1261)</f>
        <v>0</v>
      </c>
      <c r="W1261" s="10" t="n">
        <f aca="false">IF(V1261,T1261*(AK1261-AB1261)-Inputs!$B$9-T1261*AD1261*Inputs!$B$13*(A1261-AC1261),0)</f>
        <v>0</v>
      </c>
      <c r="X1261" s="10" t="n">
        <f aca="false">P1261-IF(Q1261,Inputs!$B$9,0)+W1261</f>
        <v>937.320873883343</v>
      </c>
      <c r="Y1261" s="11" t="n">
        <f aca="false">IF(V1261,0,T1261)</f>
        <v>0</v>
      </c>
      <c r="Z1261" s="9" t="b">
        <f aca="false">AND(Y1261&gt;0,K1261)</f>
        <v>0</v>
      </c>
      <c r="AA1261" s="9" t="b">
        <f aca="false">AND(Y1261=0,J1261,ISNUMBER(L1261))</f>
        <v>0</v>
      </c>
      <c r="AB1261" s="8" t="n">
        <f aca="false">IF(Q1261,R1261,AB1260)</f>
        <v>0.910529544032361</v>
      </c>
      <c r="AC1261" s="12" t="n">
        <f aca="false">IF(Q1261,A1261,AC1260)</f>
        <v>46007</v>
      </c>
      <c r="AD1261" s="8" t="n">
        <f aca="false">IF(Q1261,B1261,AD1260)</f>
        <v>0.910347474537454</v>
      </c>
      <c r="AE1261" s="8" t="str">
        <f aca="false">IF(AA1261,L1261,"")</f>
        <v/>
      </c>
      <c r="AF1261" s="8" t="n">
        <f aca="false">U1261</f>
        <v>0.891790629201119</v>
      </c>
      <c r="AG1261" s="2" t="n">
        <f aca="false">AG1260+IF(Q1261,1,0)</f>
        <v>13</v>
      </c>
      <c r="AH1261" s="2" t="n">
        <f aca="false">AG1260</f>
        <v>13</v>
      </c>
      <c r="AI1261" s="10" t="n">
        <f aca="false">X1261+Y1261*(E1261-AB1261)-Y1261*AD1261*Inputs!$B$13*(A1261-AC1261)</f>
        <v>937.320873883343</v>
      </c>
      <c r="AJ1261" s="10" t="n">
        <v>0</v>
      </c>
      <c r="AK1261" s="8" t="n">
        <f aca="false">IF(AND(B1261&lt;=U1261,NOT(Q1261)),B1261,U1261)*(1-Inputs!$B$12)</f>
        <v>0.891612271075279</v>
      </c>
    </row>
    <row r="1262" customFormat="false" ht="15" hidden="false" customHeight="false" outlineLevel="0" collapsed="false">
      <c r="A1262" s="6" t="n">
        <v>46046</v>
      </c>
      <c r="B1262" s="7" t="n">
        <v>0.90296085222681</v>
      </c>
      <c r="C1262" s="7" t="n">
        <v>0.905430017017121</v>
      </c>
      <c r="D1262" s="7" t="n">
        <v>0.89570974112425</v>
      </c>
      <c r="E1262" s="7" t="n">
        <v>0.901682101624038</v>
      </c>
      <c r="F1262" s="8" t="n">
        <f aca="true">IF(ROW()-2&gt;=Inputs!$B$4,AVERAGE(OFFSET(E1262,1-Inputs!$B$4,0,Inputs!$B$4,1)),"")</f>
        <v>0.896822326148441</v>
      </c>
      <c r="G1262" s="8" t="n">
        <f aca="true">IF(ROW()-2&gt;=Inputs!$B$5,AVERAGE(OFFSET(E1262,1-Inputs!$B$5,0,Inputs!$B$5,1)),"")</f>
        <v>0.897649248764575</v>
      </c>
      <c r="H1262" s="8" t="n">
        <f aca="false">MAX(C1262-D1262,ABS(C1262-E1261),ABS(D1262-E1261))</f>
        <v>0.00972027589287106</v>
      </c>
      <c r="I1262" s="8" t="n">
        <f aca="true">IF(ROW()-2&lt;14,"",IF(ROW()-2=14,AVERAGE(OFFSET(H1262,-13,0,14,1)),(I1261*13+H1262)/14))</f>
        <v>0.00917512926881966</v>
      </c>
      <c r="J1262" s="9" t="b">
        <f aca="false">IF(AND(ISNUMBER(F1262),ISNUMBER(G1262),ISNUMBER(F1261),ISNUMBER(G1261)),AND(F1262&gt;G1262,F1261&lt;=G1261),FALSE())</f>
        <v>0</v>
      </c>
      <c r="K1262" s="9" t="b">
        <f aca="false">IF(AND(ISNUMBER(F1262),ISNUMBER(G1262),ISNUMBER(F1261),ISNUMBER(G1261)),AND(F1262&lt;G1262,F1261&gt;=G1261),FALSE())</f>
        <v>0</v>
      </c>
      <c r="L1262" s="8" t="n">
        <f aca="false">IF(ISNUMBER(I1262),E1262-Inputs!$B$6*I1262,"")</f>
        <v>0.883331843086399</v>
      </c>
      <c r="M1262" s="9" t="b">
        <f aca="false">AND(Y1261&gt;0,Z1261)</f>
        <v>0</v>
      </c>
      <c r="N1262" s="8" t="n">
        <f aca="false">B1262*(1-Inputs!$B$12)</f>
        <v>0.902780260056364</v>
      </c>
      <c r="O1262" s="10" t="n">
        <f aca="false">IF(M1262,Y1261*(N1262-AB1261)-Inputs!$B$9-Y1261*AD1261*Inputs!$B$13*(A1262-AC1261),0)</f>
        <v>0</v>
      </c>
      <c r="P1262" s="10" t="n">
        <f aca="false">X1261+O1262</f>
        <v>937.320873883343</v>
      </c>
      <c r="Q1262" s="9" t="b">
        <f aca="false">AND(IF(M1262,0,Y1261)=0,AA1261,IF(ISNUMBER(AE1261),B1262&gt;AE1261,FALSE()))</f>
        <v>0</v>
      </c>
      <c r="R1262" s="8" t="n">
        <f aca="false">B1262*(1+Inputs!$B$12)</f>
        <v>0.903141444397255</v>
      </c>
      <c r="S1262" s="11" t="n">
        <f aca="false">IF(Q1262,MIN(P1262*Inputs!$B$3/(R1262-AE1261),P1262*Inputs!$B$11/R1262),0)</f>
        <v>0</v>
      </c>
      <c r="T1262" s="11" t="n">
        <f aca="false">IF(Q1262,S1262,IF(M1262,0,Y1261))</f>
        <v>0</v>
      </c>
      <c r="U1262" s="8" t="n">
        <f aca="false">IF(Q1262,AE1261,AF1261)</f>
        <v>0.891790629201119</v>
      </c>
      <c r="V1262" s="9" t="b">
        <f aca="false">AND(T1262&gt;0,D1262&lt;=U1262)</f>
        <v>0</v>
      </c>
      <c r="W1262" s="10" t="n">
        <f aca="false">IF(V1262,T1262*(AK1262-AB1262)-Inputs!$B$9-T1262*AD1262*Inputs!$B$13*(A1262-AC1262),0)</f>
        <v>0</v>
      </c>
      <c r="X1262" s="10" t="n">
        <f aca="false">P1262-IF(Q1262,Inputs!$B$9,0)+W1262</f>
        <v>937.320873883343</v>
      </c>
      <c r="Y1262" s="11" t="n">
        <f aca="false">IF(V1262,0,T1262)</f>
        <v>0</v>
      </c>
      <c r="Z1262" s="9" t="b">
        <f aca="false">AND(Y1262&gt;0,K1262)</f>
        <v>0</v>
      </c>
      <c r="AA1262" s="9" t="b">
        <f aca="false">AND(Y1262=0,J1262,ISNUMBER(L1262))</f>
        <v>0</v>
      </c>
      <c r="AB1262" s="8" t="n">
        <f aca="false">IF(Q1262,R1262,AB1261)</f>
        <v>0.910529544032361</v>
      </c>
      <c r="AC1262" s="12" t="n">
        <f aca="false">IF(Q1262,A1262,AC1261)</f>
        <v>46007</v>
      </c>
      <c r="AD1262" s="8" t="n">
        <f aca="false">IF(Q1262,B1262,AD1261)</f>
        <v>0.910347474537454</v>
      </c>
      <c r="AE1262" s="8" t="str">
        <f aca="false">IF(AA1262,L1262,"")</f>
        <v/>
      </c>
      <c r="AF1262" s="8" t="n">
        <f aca="false">U1262</f>
        <v>0.891790629201119</v>
      </c>
      <c r="AG1262" s="2" t="n">
        <f aca="false">AG1261+IF(Q1262,1,0)</f>
        <v>13</v>
      </c>
      <c r="AH1262" s="2" t="n">
        <f aca="false">AG1261</f>
        <v>13</v>
      </c>
      <c r="AI1262" s="10" t="n">
        <f aca="false">X1262+Y1262*(E1262-AB1262)-Y1262*AD1262*Inputs!$B$13*(A1262-AC1262)</f>
        <v>937.320873883343</v>
      </c>
      <c r="AJ1262" s="10" t="n">
        <v>0</v>
      </c>
      <c r="AK1262" s="8" t="n">
        <f aca="false">IF(AND(B1262&lt;=U1262,NOT(Q1262)),B1262,U1262)*(1-Inputs!$B$12)</f>
        <v>0.891612271075279</v>
      </c>
    </row>
    <row r="1263" customFormat="false" ht="15" hidden="false" customHeight="false" outlineLevel="0" collapsed="false">
      <c r="A1263" s="6" t="n">
        <v>46047</v>
      </c>
      <c r="B1263" s="7" t="n">
        <v>0.901682101624038</v>
      </c>
      <c r="C1263" s="7" t="n">
        <v>0.902630180083851</v>
      </c>
      <c r="D1263" s="7" t="n">
        <v>0.896119689378554</v>
      </c>
      <c r="E1263" s="7" t="n">
        <v>0.900655458967885</v>
      </c>
      <c r="F1263" s="8" t="n">
        <f aca="true">IF(ROW()-2&gt;=Inputs!$B$4,AVERAGE(OFFSET(E1263,1-Inputs!$B$4,0,Inputs!$B$4,1)),"")</f>
        <v>0.897629609991564</v>
      </c>
      <c r="G1263" s="8" t="n">
        <f aca="true">IF(ROW()-2&gt;=Inputs!$B$5,AVERAGE(OFFSET(E1263,1-Inputs!$B$5,0,Inputs!$B$5,1)),"")</f>
        <v>0.897839608428332</v>
      </c>
      <c r="H1263" s="8" t="n">
        <f aca="false">MAX(C1263-D1263,ABS(C1263-E1262),ABS(D1263-E1262))</f>
        <v>0.00651049070529708</v>
      </c>
      <c r="I1263" s="8" t="n">
        <f aca="true">IF(ROW()-2&lt;14,"",IF(ROW()-2=14,AVERAGE(OFFSET(H1263,-13,0,14,1)),(I1262*13+H1263)/14))</f>
        <v>0.00898479794285377</v>
      </c>
      <c r="J1263" s="9" t="b">
        <f aca="false">IF(AND(ISNUMBER(F1263),ISNUMBER(G1263),ISNUMBER(F1262),ISNUMBER(G1262)),AND(F1263&gt;G1263,F1262&lt;=G1262),FALSE())</f>
        <v>0</v>
      </c>
      <c r="K1263" s="9" t="b">
        <f aca="false">IF(AND(ISNUMBER(F1263),ISNUMBER(G1263),ISNUMBER(F1262),ISNUMBER(G1262)),AND(F1263&lt;G1263,F1262&gt;=G1262),FALSE())</f>
        <v>0</v>
      </c>
      <c r="L1263" s="8" t="n">
        <f aca="false">IF(ISNUMBER(I1263),E1263-Inputs!$B$6*I1263,"")</f>
        <v>0.882685863082177</v>
      </c>
      <c r="M1263" s="9" t="b">
        <f aca="false">AND(Y1262&gt;0,Z1262)</f>
        <v>0</v>
      </c>
      <c r="N1263" s="8" t="n">
        <f aca="false">B1263*(1-Inputs!$B$12)</f>
        <v>0.901501765203714</v>
      </c>
      <c r="O1263" s="10" t="n">
        <f aca="false">IF(M1263,Y1262*(N1263-AB1262)-Inputs!$B$9-Y1262*AD1262*Inputs!$B$13*(A1263-AC1262),0)</f>
        <v>0</v>
      </c>
      <c r="P1263" s="10" t="n">
        <f aca="false">X1262+O1263</f>
        <v>937.320873883343</v>
      </c>
      <c r="Q1263" s="9" t="b">
        <f aca="false">AND(IF(M1263,0,Y1262)=0,AA1262,IF(ISNUMBER(AE1262),B1263&gt;AE1262,FALSE()))</f>
        <v>0</v>
      </c>
      <c r="R1263" s="8" t="n">
        <f aca="false">B1263*(1+Inputs!$B$12)</f>
        <v>0.901862438044363</v>
      </c>
      <c r="S1263" s="11" t="n">
        <f aca="false">IF(Q1263,MIN(P1263*Inputs!$B$3/(R1263-AE1262),P1263*Inputs!$B$11/R1263),0)</f>
        <v>0</v>
      </c>
      <c r="T1263" s="11" t="n">
        <f aca="false">IF(Q1263,S1263,IF(M1263,0,Y1262))</f>
        <v>0</v>
      </c>
      <c r="U1263" s="8" t="n">
        <f aca="false">IF(Q1263,AE1262,AF1262)</f>
        <v>0.891790629201119</v>
      </c>
      <c r="V1263" s="9" t="b">
        <f aca="false">AND(T1263&gt;0,D1263&lt;=U1263)</f>
        <v>0</v>
      </c>
      <c r="W1263" s="10" t="n">
        <f aca="false">IF(V1263,T1263*(AK1263-AB1263)-Inputs!$B$9-T1263*AD1263*Inputs!$B$13*(A1263-AC1263),0)</f>
        <v>0</v>
      </c>
      <c r="X1263" s="10" t="n">
        <f aca="false">P1263-IF(Q1263,Inputs!$B$9,0)+W1263</f>
        <v>937.320873883343</v>
      </c>
      <c r="Y1263" s="11" t="n">
        <f aca="false">IF(V1263,0,T1263)</f>
        <v>0</v>
      </c>
      <c r="Z1263" s="9" t="b">
        <f aca="false">AND(Y1263&gt;0,K1263)</f>
        <v>0</v>
      </c>
      <c r="AA1263" s="9" t="b">
        <f aca="false">AND(Y1263=0,J1263,ISNUMBER(L1263))</f>
        <v>0</v>
      </c>
      <c r="AB1263" s="8" t="n">
        <f aca="false">IF(Q1263,R1263,AB1262)</f>
        <v>0.910529544032361</v>
      </c>
      <c r="AC1263" s="12" t="n">
        <f aca="false">IF(Q1263,A1263,AC1262)</f>
        <v>46007</v>
      </c>
      <c r="AD1263" s="8" t="n">
        <f aca="false">IF(Q1263,B1263,AD1262)</f>
        <v>0.910347474537454</v>
      </c>
      <c r="AE1263" s="8" t="str">
        <f aca="false">IF(AA1263,L1263,"")</f>
        <v/>
      </c>
      <c r="AF1263" s="8" t="n">
        <f aca="false">U1263</f>
        <v>0.891790629201119</v>
      </c>
      <c r="AG1263" s="2" t="n">
        <f aca="false">AG1262+IF(Q1263,1,0)</f>
        <v>13</v>
      </c>
      <c r="AH1263" s="2" t="n">
        <f aca="false">AG1262</f>
        <v>13</v>
      </c>
      <c r="AI1263" s="10" t="n">
        <f aca="false">X1263+Y1263*(E1263-AB1263)-Y1263*AD1263*Inputs!$B$13*(A1263-AC1263)</f>
        <v>937.320873883343</v>
      </c>
      <c r="AJ1263" s="10" t="n">
        <v>0</v>
      </c>
      <c r="AK1263" s="8" t="n">
        <f aca="false">IF(AND(B1263&lt;=U1263,NOT(Q1263)),B1263,U1263)*(1-Inputs!$B$12)</f>
        <v>0.891612271075279</v>
      </c>
    </row>
    <row r="1264" customFormat="false" ht="15" hidden="false" customHeight="false" outlineLevel="0" collapsed="false">
      <c r="A1264" s="6" t="n">
        <v>46048</v>
      </c>
      <c r="B1264" s="7" t="n">
        <v>0.900655458967885</v>
      </c>
      <c r="C1264" s="7" t="n">
        <v>0.906668165786011</v>
      </c>
      <c r="D1264" s="7" t="n">
        <v>0.900278316018223</v>
      </c>
      <c r="E1264" s="7" t="n">
        <v>0.902736505610581</v>
      </c>
      <c r="F1264" s="8" t="n">
        <f aca="true">IF(ROW()-2&gt;=Inputs!$B$4,AVERAGE(OFFSET(E1264,1-Inputs!$B$4,0,Inputs!$B$4,1)),"")</f>
        <v>0.898835662763164</v>
      </c>
      <c r="G1264" s="8" t="n">
        <f aca="true">IF(ROW()-2&gt;=Inputs!$B$5,AVERAGE(OFFSET(E1264,1-Inputs!$B$5,0,Inputs!$B$5,1)),"")</f>
        <v>0.897966418771258</v>
      </c>
      <c r="H1264" s="8" t="n">
        <f aca="false">MAX(C1264-D1264,ABS(C1264-E1263),ABS(D1264-E1263))</f>
        <v>0.00638984976778767</v>
      </c>
      <c r="I1264" s="8" t="n">
        <f aca="true">IF(ROW()-2&lt;14,"",IF(ROW()-2=14,AVERAGE(OFFSET(H1264,-13,0,14,1)),(I1263*13+H1264)/14))</f>
        <v>0.00879944450177761</v>
      </c>
      <c r="J1264" s="9" t="b">
        <f aca="false">IF(AND(ISNUMBER(F1264),ISNUMBER(G1264),ISNUMBER(F1263),ISNUMBER(G1263)),AND(F1264&gt;G1264,F1263&lt;=G1263),FALSE())</f>
        <v>1</v>
      </c>
      <c r="K1264" s="9" t="b">
        <f aca="false">IF(AND(ISNUMBER(F1264),ISNUMBER(G1264),ISNUMBER(F1263),ISNUMBER(G1263)),AND(F1264&lt;G1264,F1263&gt;=G1263),FALSE())</f>
        <v>0</v>
      </c>
      <c r="L1264" s="8" t="n">
        <f aca="false">IF(ISNUMBER(I1264),E1264-Inputs!$B$6*I1264,"")</f>
        <v>0.885137616607025</v>
      </c>
      <c r="M1264" s="9" t="b">
        <f aca="false">AND(Y1263&gt;0,Z1263)</f>
        <v>0</v>
      </c>
      <c r="N1264" s="8" t="n">
        <f aca="false">B1264*(1-Inputs!$B$12)</f>
        <v>0.900475327876091</v>
      </c>
      <c r="O1264" s="10" t="n">
        <f aca="false">IF(M1264,Y1263*(N1264-AB1263)-Inputs!$B$9-Y1263*AD1263*Inputs!$B$13*(A1264-AC1263),0)</f>
        <v>0</v>
      </c>
      <c r="P1264" s="10" t="n">
        <f aca="false">X1263+O1264</f>
        <v>937.320873883343</v>
      </c>
      <c r="Q1264" s="9" t="b">
        <f aca="false">AND(IF(M1264,0,Y1263)=0,AA1263,IF(ISNUMBER(AE1263),B1264&gt;AE1263,FALSE()))</f>
        <v>0</v>
      </c>
      <c r="R1264" s="8" t="n">
        <f aca="false">B1264*(1+Inputs!$B$12)</f>
        <v>0.900835590059678</v>
      </c>
      <c r="S1264" s="11" t="n">
        <f aca="false">IF(Q1264,MIN(P1264*Inputs!$B$3/(R1264-AE1263),P1264*Inputs!$B$11/R1264),0)</f>
        <v>0</v>
      </c>
      <c r="T1264" s="11" t="n">
        <f aca="false">IF(Q1264,S1264,IF(M1264,0,Y1263))</f>
        <v>0</v>
      </c>
      <c r="U1264" s="8" t="n">
        <f aca="false">IF(Q1264,AE1263,AF1263)</f>
        <v>0.891790629201119</v>
      </c>
      <c r="V1264" s="9" t="b">
        <f aca="false">AND(T1264&gt;0,D1264&lt;=U1264)</f>
        <v>0</v>
      </c>
      <c r="W1264" s="10" t="n">
        <f aca="false">IF(V1264,T1264*(AK1264-AB1264)-Inputs!$B$9-T1264*AD1264*Inputs!$B$13*(A1264-AC1264),0)</f>
        <v>0</v>
      </c>
      <c r="X1264" s="10" t="n">
        <f aca="false">P1264-IF(Q1264,Inputs!$B$9,0)+W1264</f>
        <v>937.320873883343</v>
      </c>
      <c r="Y1264" s="11" t="n">
        <f aca="false">IF(V1264,0,T1264)</f>
        <v>0</v>
      </c>
      <c r="Z1264" s="9" t="b">
        <f aca="false">AND(Y1264&gt;0,K1264)</f>
        <v>0</v>
      </c>
      <c r="AA1264" s="9" t="b">
        <f aca="false">AND(Y1264=0,J1264,ISNUMBER(L1264))</f>
        <v>1</v>
      </c>
      <c r="AB1264" s="8" t="n">
        <f aca="false">IF(Q1264,R1264,AB1263)</f>
        <v>0.910529544032361</v>
      </c>
      <c r="AC1264" s="12" t="n">
        <f aca="false">IF(Q1264,A1264,AC1263)</f>
        <v>46007</v>
      </c>
      <c r="AD1264" s="8" t="n">
        <f aca="false">IF(Q1264,B1264,AD1263)</f>
        <v>0.910347474537454</v>
      </c>
      <c r="AE1264" s="8" t="n">
        <f aca="false">IF(AA1264,L1264,"")</f>
        <v>0.885137616607025</v>
      </c>
      <c r="AF1264" s="8" t="n">
        <f aca="false">U1264</f>
        <v>0.891790629201119</v>
      </c>
      <c r="AG1264" s="2" t="n">
        <f aca="false">AG1263+IF(Q1264,1,0)</f>
        <v>13</v>
      </c>
      <c r="AH1264" s="2" t="n">
        <f aca="false">AG1263</f>
        <v>13</v>
      </c>
      <c r="AI1264" s="10" t="n">
        <f aca="false">X1264+Y1264*(E1264-AB1264)-Y1264*AD1264*Inputs!$B$13*(A1264-AC1264)</f>
        <v>937.320873883343</v>
      </c>
      <c r="AJ1264" s="10" t="n">
        <v>0</v>
      </c>
      <c r="AK1264" s="8" t="n">
        <f aca="false">IF(AND(B1264&lt;=U1264,NOT(Q1264)),B1264,U1264)*(1-Inputs!$B$12)</f>
        <v>0.891612271075279</v>
      </c>
    </row>
    <row r="1265" customFormat="false" ht="15" hidden="false" customHeight="false" outlineLevel="0" collapsed="false">
      <c r="A1265" s="6" t="n">
        <v>46049</v>
      </c>
      <c r="B1265" s="7" t="n">
        <v>0.902736505610581</v>
      </c>
      <c r="C1265" s="7" t="n">
        <v>0.903706396359843</v>
      </c>
      <c r="D1265" s="7" t="n">
        <v>0.894551038862371</v>
      </c>
      <c r="E1265" s="7" t="n">
        <v>0.896935378388121</v>
      </c>
      <c r="F1265" s="8" t="n">
        <f aca="true">IF(ROW()-2&gt;=Inputs!$B$4,AVERAGE(OFFSET(E1265,1-Inputs!$B$4,0,Inputs!$B$4,1)),"")</f>
        <v>0.899905082010775</v>
      </c>
      <c r="G1265" s="8" t="n">
        <f aca="true">IF(ROW()-2&gt;=Inputs!$B$5,AVERAGE(OFFSET(E1265,1-Inputs!$B$5,0,Inputs!$B$5,1)),"")</f>
        <v>0.89794373318494</v>
      </c>
      <c r="H1265" s="8" t="n">
        <f aca="false">MAX(C1265-D1265,ABS(C1265-E1264),ABS(D1265-E1264))</f>
        <v>0.00915535749747165</v>
      </c>
      <c r="I1265" s="8" t="n">
        <f aca="true">IF(ROW()-2&lt;14,"",IF(ROW()-2=14,AVERAGE(OFFSET(H1265,-13,0,14,1)),(I1264*13+H1265)/14))</f>
        <v>0.0088248668586129</v>
      </c>
      <c r="J1265" s="9" t="b">
        <f aca="false">IF(AND(ISNUMBER(F1265),ISNUMBER(G1265),ISNUMBER(F1264),ISNUMBER(G1264)),AND(F1265&gt;G1265,F1264&lt;=G1264),FALSE())</f>
        <v>0</v>
      </c>
      <c r="K1265" s="9" t="b">
        <f aca="false">IF(AND(ISNUMBER(F1265),ISNUMBER(G1265),ISNUMBER(F1264),ISNUMBER(G1264)),AND(F1265&lt;G1265,F1264&gt;=G1264),FALSE())</f>
        <v>0</v>
      </c>
      <c r="L1265" s="8" t="n">
        <f aca="false">IF(ISNUMBER(I1265),E1265-Inputs!$B$6*I1265,"")</f>
        <v>0.879285644670895</v>
      </c>
      <c r="M1265" s="9" t="b">
        <f aca="false">AND(Y1264&gt;0,Z1264)</f>
        <v>0</v>
      </c>
      <c r="N1265" s="8" t="n">
        <f aca="false">B1265*(1-Inputs!$B$12)</f>
        <v>0.902555958309459</v>
      </c>
      <c r="O1265" s="10" t="n">
        <f aca="false">IF(M1265,Y1264*(N1265-AB1264)-Inputs!$B$9-Y1264*AD1264*Inputs!$B$13*(A1265-AC1264),0)</f>
        <v>0</v>
      </c>
      <c r="P1265" s="10" t="n">
        <f aca="false">X1264+O1265</f>
        <v>937.320873883343</v>
      </c>
      <c r="Q1265" s="9" t="b">
        <f aca="false">AND(IF(M1265,0,Y1264)=0,AA1264,IF(ISNUMBER(AE1264),B1265&gt;AE1264,FALSE()))</f>
        <v>1</v>
      </c>
      <c r="R1265" s="8" t="n">
        <f aca="false">B1265*(1+Inputs!$B$12)</f>
        <v>0.902917052911703</v>
      </c>
      <c r="S1265" s="11" t="n">
        <f aca="false">IF(Q1265,MIN(P1265*Inputs!$B$3/(R1265-AE1264),P1265*Inputs!$B$11/R1265),0)</f>
        <v>527.193808521793</v>
      </c>
      <c r="T1265" s="11" t="n">
        <f aca="false">IF(Q1265,S1265,IF(M1265,0,Y1264))</f>
        <v>527.193808521793</v>
      </c>
      <c r="U1265" s="8" t="n">
        <f aca="false">IF(Q1265,AE1264,AF1264)</f>
        <v>0.885137616607025</v>
      </c>
      <c r="V1265" s="9" t="b">
        <f aca="false">AND(T1265&gt;0,D1265&lt;=U1265)</f>
        <v>0</v>
      </c>
      <c r="W1265" s="10" t="n">
        <f aca="false">IF(V1265,T1265*(AK1265-AB1265)-Inputs!$B$9-T1265*AD1265*Inputs!$B$13*(A1265-AC1265),0)</f>
        <v>0</v>
      </c>
      <c r="X1265" s="10" t="n">
        <f aca="false">P1265-IF(Q1265,Inputs!$B$9,0)+W1265</f>
        <v>936.320873883343</v>
      </c>
      <c r="Y1265" s="11" t="n">
        <f aca="false">IF(V1265,0,T1265)</f>
        <v>527.193808521793</v>
      </c>
      <c r="Z1265" s="9" t="b">
        <f aca="false">AND(Y1265&gt;0,K1265)</f>
        <v>0</v>
      </c>
      <c r="AA1265" s="9" t="b">
        <f aca="false">AND(Y1265=0,J1265,ISNUMBER(L1265))</f>
        <v>0</v>
      </c>
      <c r="AB1265" s="8" t="n">
        <f aca="false">IF(Q1265,R1265,AB1264)</f>
        <v>0.902917052911703</v>
      </c>
      <c r="AC1265" s="12" t="n">
        <f aca="false">IF(Q1265,A1265,AC1264)</f>
        <v>46049</v>
      </c>
      <c r="AD1265" s="8" t="n">
        <f aca="false">IF(Q1265,B1265,AD1264)</f>
        <v>0.902736505610581</v>
      </c>
      <c r="AE1265" s="8" t="str">
        <f aca="false">IF(AA1265,L1265,"")</f>
        <v/>
      </c>
      <c r="AF1265" s="8" t="n">
        <f aca="false">U1265</f>
        <v>0.885137616607025</v>
      </c>
      <c r="AG1265" s="2" t="n">
        <f aca="false">AG1264+IF(Q1265,1,0)</f>
        <v>14</v>
      </c>
      <c r="AH1265" s="2" t="n">
        <f aca="false">AG1264</f>
        <v>13</v>
      </c>
      <c r="AI1265" s="10" t="n">
        <f aca="false">X1265+Y1265*(E1265-AB1265)-Y1265*AD1265*Inputs!$B$13*(A1265-AC1265)</f>
        <v>933.167372109919</v>
      </c>
      <c r="AJ1265" s="10" t="n">
        <v>0</v>
      </c>
      <c r="AK1265" s="8" t="n">
        <f aca="false">IF(AND(B1265&lt;=U1265,NOT(Q1265)),B1265,U1265)*(1-Inputs!$B$12)</f>
        <v>0.884960589083704</v>
      </c>
    </row>
    <row r="1266" customFormat="false" ht="15" hidden="false" customHeight="false" outlineLevel="0" collapsed="false">
      <c r="A1266" s="6" t="n">
        <v>46050</v>
      </c>
      <c r="B1266" s="7" t="n">
        <v>0.896935378388121</v>
      </c>
      <c r="C1266" s="7" t="n">
        <v>0.901985274634012</v>
      </c>
      <c r="D1266" s="7" t="n">
        <v>0.896073473124134</v>
      </c>
      <c r="E1266" s="7" t="n">
        <v>0.901437044123344</v>
      </c>
      <c r="F1266" s="8" t="n">
        <f aca="true">IF(ROW()-2&gt;=Inputs!$B$4,AVERAGE(OFFSET(E1266,1-Inputs!$B$4,0,Inputs!$B$4,1)),"")</f>
        <v>0.90100791981752</v>
      </c>
      <c r="G1266" s="8" t="n">
        <f aca="true">IF(ROW()-2&gt;=Inputs!$B$5,AVERAGE(OFFSET(E1266,1-Inputs!$B$5,0,Inputs!$B$5,1)),"")</f>
        <v>0.897910291007438</v>
      </c>
      <c r="H1266" s="8" t="n">
        <f aca="false">MAX(C1266-D1266,ABS(C1266-E1265),ABS(D1266-E1265))</f>
        <v>0.00591180150987791</v>
      </c>
      <c r="I1266" s="8" t="n">
        <f aca="true">IF(ROW()-2&lt;14,"",IF(ROW()-2=14,AVERAGE(OFFSET(H1266,-13,0,14,1)),(I1265*13+H1266)/14))</f>
        <v>0.00861679076227469</v>
      </c>
      <c r="J1266" s="9" t="b">
        <f aca="false">IF(AND(ISNUMBER(F1266),ISNUMBER(G1266),ISNUMBER(F1265),ISNUMBER(G1265)),AND(F1266&gt;G1266,F1265&lt;=G1265),FALSE())</f>
        <v>0</v>
      </c>
      <c r="K1266" s="9" t="b">
        <f aca="false">IF(AND(ISNUMBER(F1266),ISNUMBER(G1266),ISNUMBER(F1265),ISNUMBER(G1265)),AND(F1266&lt;G1266,F1265&gt;=G1265),FALSE())</f>
        <v>0</v>
      </c>
      <c r="L1266" s="8" t="n">
        <f aca="false">IF(ISNUMBER(I1266),E1266-Inputs!$B$6*I1266,"")</f>
        <v>0.884203462598795</v>
      </c>
      <c r="M1266" s="9" t="b">
        <f aca="false">AND(Y1265&gt;0,Z1265)</f>
        <v>0</v>
      </c>
      <c r="N1266" s="8" t="n">
        <f aca="false">B1266*(1-Inputs!$B$12)</f>
        <v>0.896755991312443</v>
      </c>
      <c r="O1266" s="10" t="n">
        <f aca="false">IF(M1266,Y1265*(N1266-AB1265)-Inputs!$B$9-Y1265*AD1265*Inputs!$B$13*(A1266-AC1265),0)</f>
        <v>0</v>
      </c>
      <c r="P1266" s="10" t="n">
        <f aca="false">X1265+O1266</f>
        <v>936.320873883343</v>
      </c>
      <c r="Q1266" s="9" t="b">
        <f aca="false">AND(IF(M1266,0,Y1265)=0,AA1265,IF(ISNUMBER(AE1265),B1266&gt;AE1265,FALSE()))</f>
        <v>0</v>
      </c>
      <c r="R1266" s="8" t="n">
        <f aca="false">B1266*(1+Inputs!$B$12)</f>
        <v>0.897114765463798</v>
      </c>
      <c r="S1266" s="11" t="n">
        <f aca="false">IF(Q1266,MIN(P1266*Inputs!$B$3/(R1266-AE1265),P1266*Inputs!$B$11/R1266),0)</f>
        <v>0</v>
      </c>
      <c r="T1266" s="11" t="n">
        <f aca="false">IF(Q1266,S1266,IF(M1266,0,Y1265))</f>
        <v>527.193808521793</v>
      </c>
      <c r="U1266" s="8" t="n">
        <f aca="false">IF(Q1266,AE1265,AF1265)</f>
        <v>0.885137616607025</v>
      </c>
      <c r="V1266" s="9" t="b">
        <f aca="false">AND(T1266&gt;0,D1266&lt;=U1266)</f>
        <v>0</v>
      </c>
      <c r="W1266" s="10" t="n">
        <f aca="false">IF(V1266,T1266*(AK1266-AB1266)-Inputs!$B$9-T1266*AD1266*Inputs!$B$13*(A1266-AC1266),0)</f>
        <v>0</v>
      </c>
      <c r="X1266" s="10" t="n">
        <f aca="false">P1266-IF(Q1266,Inputs!$B$9,0)+W1266</f>
        <v>936.320873883343</v>
      </c>
      <c r="Y1266" s="11" t="n">
        <f aca="false">IF(V1266,0,T1266)</f>
        <v>527.193808521793</v>
      </c>
      <c r="Z1266" s="9" t="b">
        <f aca="false">AND(Y1266&gt;0,K1266)</f>
        <v>0</v>
      </c>
      <c r="AA1266" s="9" t="b">
        <f aca="false">AND(Y1266=0,J1266,ISNUMBER(L1266))</f>
        <v>0</v>
      </c>
      <c r="AB1266" s="8" t="n">
        <f aca="false">IF(Q1266,R1266,AB1265)</f>
        <v>0.902917052911703</v>
      </c>
      <c r="AC1266" s="12" t="n">
        <f aca="false">IF(Q1266,A1266,AC1265)</f>
        <v>46049</v>
      </c>
      <c r="AD1266" s="8" t="n">
        <f aca="false">IF(Q1266,B1266,AD1265)</f>
        <v>0.902736505610581</v>
      </c>
      <c r="AE1266" s="8" t="str">
        <f aca="false">IF(AA1266,L1266,"")</f>
        <v/>
      </c>
      <c r="AF1266" s="8" t="n">
        <f aca="false">U1266</f>
        <v>0.885137616607025</v>
      </c>
      <c r="AG1266" s="2" t="n">
        <f aca="false">AG1265+IF(Q1266,1,0)</f>
        <v>14</v>
      </c>
      <c r="AH1266" s="2" t="n">
        <f aca="false">AG1265</f>
        <v>14</v>
      </c>
      <c r="AI1266" s="10" t="n">
        <f aca="false">X1266+Y1266*(E1266-AB1266)-Y1266*AD1266*Inputs!$B$13*(A1266-AC1266)</f>
        <v>935.455870053915</v>
      </c>
      <c r="AJ1266" s="10" t="n">
        <v>0</v>
      </c>
      <c r="AK1266" s="8" t="n">
        <f aca="false">IF(AND(B1266&lt;=U1266,NOT(Q1266)),B1266,U1266)*(1-Inputs!$B$12)</f>
        <v>0.884960589083704</v>
      </c>
    </row>
    <row r="1267" customFormat="false" ht="15" hidden="false" customHeight="false" outlineLevel="0" collapsed="false">
      <c r="A1267" s="6" t="n">
        <v>46051</v>
      </c>
      <c r="B1267" s="7" t="n">
        <v>0.901437044123344</v>
      </c>
      <c r="C1267" s="7" t="n">
        <v>0.90368355012332</v>
      </c>
      <c r="D1267" s="7" t="n">
        <v>0.894844252762494</v>
      </c>
      <c r="E1267" s="7" t="n">
        <v>0.896071722093785</v>
      </c>
      <c r="F1267" s="8" t="n">
        <f aca="true">IF(ROW()-2&gt;=Inputs!$B$4,AVERAGE(OFFSET(E1267,1-Inputs!$B$4,0,Inputs!$B$4,1)),"")</f>
        <v>0.901522163387977</v>
      </c>
      <c r="G1267" s="8" t="n">
        <f aca="true">IF(ROW()-2&gt;=Inputs!$B$5,AVERAGE(OFFSET(E1267,1-Inputs!$B$5,0,Inputs!$B$5,1)),"")</f>
        <v>0.897566082941991</v>
      </c>
      <c r="H1267" s="8" t="n">
        <f aca="false">MAX(C1267-D1267,ABS(C1267-E1266),ABS(D1267-E1266))</f>
        <v>0.00883929736082534</v>
      </c>
      <c r="I1267" s="8" t="n">
        <f aca="true">IF(ROW()-2&lt;14,"",IF(ROW()-2=14,AVERAGE(OFFSET(H1267,-13,0,14,1)),(I1266*13+H1267)/14))</f>
        <v>0.00863268409074259</v>
      </c>
      <c r="J1267" s="9" t="b">
        <f aca="false">IF(AND(ISNUMBER(F1267),ISNUMBER(G1267),ISNUMBER(F1266),ISNUMBER(G1266)),AND(F1267&gt;G1267,F1266&lt;=G1266),FALSE())</f>
        <v>0</v>
      </c>
      <c r="K1267" s="9" t="b">
        <f aca="false">IF(AND(ISNUMBER(F1267),ISNUMBER(G1267),ISNUMBER(F1266),ISNUMBER(G1266)),AND(F1267&lt;G1267,F1266&gt;=G1266),FALSE())</f>
        <v>0</v>
      </c>
      <c r="L1267" s="8" t="n">
        <f aca="false">IF(ISNUMBER(I1267),E1267-Inputs!$B$6*I1267,"")</f>
        <v>0.8788063539123</v>
      </c>
      <c r="M1267" s="9" t="b">
        <f aca="false">AND(Y1266&gt;0,Z1266)</f>
        <v>0</v>
      </c>
      <c r="N1267" s="8" t="n">
        <f aca="false">B1267*(1-Inputs!$B$12)</f>
        <v>0.901256756714519</v>
      </c>
      <c r="O1267" s="10" t="n">
        <f aca="false">IF(M1267,Y1266*(N1267-AB1266)-Inputs!$B$9-Y1266*AD1266*Inputs!$B$13*(A1267-AC1266),0)</f>
        <v>0</v>
      </c>
      <c r="P1267" s="10" t="n">
        <f aca="false">X1266+O1267</f>
        <v>936.320873883343</v>
      </c>
      <c r="Q1267" s="9" t="b">
        <f aca="false">AND(IF(M1267,0,Y1266)=0,AA1266,IF(ISNUMBER(AE1266),B1267&gt;AE1266,FALSE()))</f>
        <v>0</v>
      </c>
      <c r="R1267" s="8" t="n">
        <f aca="false">B1267*(1+Inputs!$B$12)</f>
        <v>0.901617331532169</v>
      </c>
      <c r="S1267" s="11" t="n">
        <f aca="false">IF(Q1267,MIN(P1267*Inputs!$B$3/(R1267-AE1266),P1267*Inputs!$B$11/R1267),0)</f>
        <v>0</v>
      </c>
      <c r="T1267" s="11" t="n">
        <f aca="false">IF(Q1267,S1267,IF(M1267,0,Y1266))</f>
        <v>527.193808521793</v>
      </c>
      <c r="U1267" s="8" t="n">
        <f aca="false">IF(Q1267,AE1266,AF1266)</f>
        <v>0.885137616607025</v>
      </c>
      <c r="V1267" s="9" t="b">
        <f aca="false">AND(T1267&gt;0,D1267&lt;=U1267)</f>
        <v>0</v>
      </c>
      <c r="W1267" s="10" t="n">
        <f aca="false">IF(V1267,T1267*(AK1267-AB1267)-Inputs!$B$9-T1267*AD1267*Inputs!$B$13*(A1267-AC1267),0)</f>
        <v>0</v>
      </c>
      <c r="X1267" s="10" t="n">
        <f aca="false">P1267-IF(Q1267,Inputs!$B$9,0)+W1267</f>
        <v>936.320873883343</v>
      </c>
      <c r="Y1267" s="11" t="n">
        <f aca="false">IF(V1267,0,T1267)</f>
        <v>527.193808521793</v>
      </c>
      <c r="Z1267" s="9" t="b">
        <f aca="false">AND(Y1267&gt;0,K1267)</f>
        <v>0</v>
      </c>
      <c r="AA1267" s="9" t="b">
        <f aca="false">AND(Y1267=0,J1267,ISNUMBER(L1267))</f>
        <v>0</v>
      </c>
      <c r="AB1267" s="8" t="n">
        <f aca="false">IF(Q1267,R1267,AB1266)</f>
        <v>0.902917052911703</v>
      </c>
      <c r="AC1267" s="12" t="n">
        <f aca="false">IF(Q1267,A1267,AC1266)</f>
        <v>46049</v>
      </c>
      <c r="AD1267" s="8" t="n">
        <f aca="false">IF(Q1267,B1267,AD1266)</f>
        <v>0.902736505610581</v>
      </c>
      <c r="AE1267" s="8" t="str">
        <f aca="false">IF(AA1267,L1267,"")</f>
        <v/>
      </c>
      <c r="AF1267" s="8" t="n">
        <f aca="false">U1267</f>
        <v>0.885137616607025</v>
      </c>
      <c r="AG1267" s="2" t="n">
        <f aca="false">AG1266+IF(Q1267,1,0)</f>
        <v>14</v>
      </c>
      <c r="AH1267" s="2" t="n">
        <f aca="false">AG1266</f>
        <v>14</v>
      </c>
      <c r="AI1267" s="10" t="n">
        <f aca="false">X1267+Y1267*(E1267-AB1267)-Y1267*AD1267*Inputs!$B$13*(A1267-AC1267)</f>
        <v>932.542553139558</v>
      </c>
      <c r="AJ1267" s="10" t="n">
        <v>0</v>
      </c>
      <c r="AK1267" s="8" t="n">
        <f aca="false">IF(AND(B1267&lt;=U1267,NOT(Q1267)),B1267,U1267)*(1-Inputs!$B$12)</f>
        <v>0.884960589083704</v>
      </c>
    </row>
    <row r="1268" customFormat="false" ht="15" hidden="false" customHeight="false" outlineLevel="0" collapsed="false">
      <c r="A1268" s="6" t="n">
        <v>46052</v>
      </c>
      <c r="B1268" s="7" t="n">
        <v>0.896071722093785</v>
      </c>
      <c r="C1268" s="7" t="n">
        <v>0.905141184355962</v>
      </c>
      <c r="D1268" s="7" t="n">
        <v>0.892285890240889</v>
      </c>
      <c r="E1268" s="7" t="n">
        <v>0.904571670734918</v>
      </c>
      <c r="F1268" s="8" t="n">
        <f aca="true">IF(ROW()-2&gt;=Inputs!$B$4,AVERAGE(OFFSET(E1268,1-Inputs!$B$4,0,Inputs!$B$4,1)),"")</f>
        <v>0.901913221273012</v>
      </c>
      <c r="G1268" s="8" t="n">
        <f aca="true">IF(ROW()-2&gt;=Inputs!$B$5,AVERAGE(OFFSET(E1268,1-Inputs!$B$5,0,Inputs!$B$5,1)),"")</f>
        <v>0.897410578939868</v>
      </c>
      <c r="H1268" s="8" t="n">
        <f aca="false">MAX(C1268-D1268,ABS(C1268-E1267),ABS(D1268-E1267))</f>
        <v>0.0128552941150726</v>
      </c>
      <c r="I1268" s="8" t="n">
        <f aca="true">IF(ROW()-2&lt;14,"",IF(ROW()-2=14,AVERAGE(OFFSET(H1268,-13,0,14,1)),(I1267*13+H1268)/14))</f>
        <v>0.00893429909248045</v>
      </c>
      <c r="J1268" s="9" t="b">
        <f aca="false">IF(AND(ISNUMBER(F1268),ISNUMBER(G1268),ISNUMBER(F1267),ISNUMBER(G1267)),AND(F1268&gt;G1268,F1267&lt;=G1267),FALSE())</f>
        <v>0</v>
      </c>
      <c r="K1268" s="9" t="b">
        <f aca="false">IF(AND(ISNUMBER(F1268),ISNUMBER(G1268),ISNUMBER(F1267),ISNUMBER(G1267)),AND(F1268&lt;G1268,F1267&gt;=G1267),FALSE())</f>
        <v>0</v>
      </c>
      <c r="L1268" s="8" t="n">
        <f aca="false">IF(ISNUMBER(I1268),E1268-Inputs!$B$6*I1268,"")</f>
        <v>0.886703072549957</v>
      </c>
      <c r="M1268" s="9" t="b">
        <f aca="false">AND(Y1267&gt;0,Z1267)</f>
        <v>0</v>
      </c>
      <c r="N1268" s="8" t="n">
        <f aca="false">B1268*(1-Inputs!$B$12)</f>
        <v>0.895892507749367</v>
      </c>
      <c r="O1268" s="10" t="n">
        <f aca="false">IF(M1268,Y1267*(N1268-AB1267)-Inputs!$B$9-Y1267*AD1267*Inputs!$B$13*(A1268-AC1267),0)</f>
        <v>0</v>
      </c>
      <c r="P1268" s="10" t="n">
        <f aca="false">X1267+O1268</f>
        <v>936.320873883343</v>
      </c>
      <c r="Q1268" s="9" t="b">
        <f aca="false">AND(IF(M1268,0,Y1267)=0,AA1267,IF(ISNUMBER(AE1267),B1268&gt;AE1267,FALSE()))</f>
        <v>0</v>
      </c>
      <c r="R1268" s="8" t="n">
        <f aca="false">B1268*(1+Inputs!$B$12)</f>
        <v>0.896250936438204</v>
      </c>
      <c r="S1268" s="11" t="n">
        <f aca="false">IF(Q1268,MIN(P1268*Inputs!$B$3/(R1268-AE1267),P1268*Inputs!$B$11/R1268),0)</f>
        <v>0</v>
      </c>
      <c r="T1268" s="11" t="n">
        <f aca="false">IF(Q1268,S1268,IF(M1268,0,Y1267))</f>
        <v>527.193808521793</v>
      </c>
      <c r="U1268" s="8" t="n">
        <f aca="false">IF(Q1268,AE1267,AF1267)</f>
        <v>0.885137616607025</v>
      </c>
      <c r="V1268" s="9" t="b">
        <f aca="false">AND(T1268&gt;0,D1268&lt;=U1268)</f>
        <v>0</v>
      </c>
      <c r="W1268" s="10" t="n">
        <f aca="false">IF(V1268,T1268*(AK1268-AB1268)-Inputs!$B$9-T1268*AD1268*Inputs!$B$13*(A1268-AC1268),0)</f>
        <v>0</v>
      </c>
      <c r="X1268" s="10" t="n">
        <f aca="false">P1268-IF(Q1268,Inputs!$B$9,0)+W1268</f>
        <v>936.320873883343</v>
      </c>
      <c r="Y1268" s="11" t="n">
        <f aca="false">IF(V1268,0,T1268)</f>
        <v>527.193808521793</v>
      </c>
      <c r="Z1268" s="9" t="b">
        <f aca="false">AND(Y1268&gt;0,K1268)</f>
        <v>0</v>
      </c>
      <c r="AA1268" s="9" t="b">
        <f aca="false">AND(Y1268=0,J1268,ISNUMBER(L1268))</f>
        <v>0</v>
      </c>
      <c r="AB1268" s="8" t="n">
        <f aca="false">IF(Q1268,R1268,AB1267)</f>
        <v>0.902917052911703</v>
      </c>
      <c r="AC1268" s="12" t="n">
        <f aca="false">IF(Q1268,A1268,AC1267)</f>
        <v>46049</v>
      </c>
      <c r="AD1268" s="8" t="n">
        <f aca="false">IF(Q1268,B1268,AD1267)</f>
        <v>0.902736505610581</v>
      </c>
      <c r="AE1268" s="8" t="str">
        <f aca="false">IF(AA1268,L1268,"")</f>
        <v/>
      </c>
      <c r="AF1268" s="8" t="n">
        <f aca="false">U1268</f>
        <v>0.885137616607025</v>
      </c>
      <c r="AG1268" s="2" t="n">
        <f aca="false">AG1267+IF(Q1268,1,0)</f>
        <v>14</v>
      </c>
      <c r="AH1268" s="2" t="n">
        <f aca="false">AG1267</f>
        <v>14</v>
      </c>
      <c r="AI1268" s="10" t="n">
        <f aca="false">X1268+Y1268*(E1268-AB1268)-Y1268*AD1268*Inputs!$B$13*(A1268-AC1268)</f>
        <v>936.938921076269</v>
      </c>
      <c r="AJ1268" s="10" t="n">
        <v>0</v>
      </c>
      <c r="AK1268" s="8" t="n">
        <f aca="false">IF(AND(B1268&lt;=U1268,NOT(Q1268)),B1268,U1268)*(1-Inputs!$B$12)</f>
        <v>0.884960589083704</v>
      </c>
    </row>
    <row r="1269" customFormat="false" ht="15" hidden="false" customHeight="false" outlineLevel="0" collapsed="false">
      <c r="A1269" s="6" t="n">
        <v>46053</v>
      </c>
      <c r="B1269" s="7" t="n">
        <v>0.904571670734918</v>
      </c>
      <c r="C1269" s="7" t="n">
        <v>0.911516465339725</v>
      </c>
      <c r="D1269" s="7" t="n">
        <v>0.89197050610236</v>
      </c>
      <c r="E1269" s="7" t="n">
        <v>0.892890898442337</v>
      </c>
      <c r="F1269" s="8" t="n">
        <f aca="true">IF(ROW()-2&gt;=Inputs!$B$4,AVERAGE(OFFSET(E1269,1-Inputs!$B$4,0,Inputs!$B$4,1)),"")</f>
        <v>0.901591170930778</v>
      </c>
      <c r="G1269" s="8" t="n">
        <f aca="true">IF(ROW()-2&gt;=Inputs!$B$5,AVERAGE(OFFSET(E1269,1-Inputs!$B$5,0,Inputs!$B$5,1)),"")</f>
        <v>0.896886724409947</v>
      </c>
      <c r="H1269" s="8" t="n">
        <f aca="false">MAX(C1269-D1269,ABS(C1269-E1268),ABS(D1269-E1268))</f>
        <v>0.0195459592373642</v>
      </c>
      <c r="I1269" s="8" t="n">
        <f aca="true">IF(ROW()-2&lt;14,"",IF(ROW()-2=14,AVERAGE(OFFSET(H1269,-13,0,14,1)),(I1268*13+H1269)/14))</f>
        <v>0.00969227481711501</v>
      </c>
      <c r="J1269" s="9" t="b">
        <f aca="false">IF(AND(ISNUMBER(F1269),ISNUMBER(G1269),ISNUMBER(F1268),ISNUMBER(G1268)),AND(F1269&gt;G1269,F1268&lt;=G1268),FALSE())</f>
        <v>0</v>
      </c>
      <c r="K1269" s="9" t="b">
        <f aca="false">IF(AND(ISNUMBER(F1269),ISNUMBER(G1269),ISNUMBER(F1268),ISNUMBER(G1268)),AND(F1269&lt;G1269,F1268&gt;=G1268),FALSE())</f>
        <v>0</v>
      </c>
      <c r="L1269" s="8" t="n">
        <f aca="false">IF(ISNUMBER(I1269),E1269-Inputs!$B$6*I1269,"")</f>
        <v>0.873506348808107</v>
      </c>
      <c r="M1269" s="9" t="b">
        <f aca="false">AND(Y1268&gt;0,Z1268)</f>
        <v>0</v>
      </c>
      <c r="N1269" s="8" t="n">
        <f aca="false">B1269*(1-Inputs!$B$12)</f>
        <v>0.904390756400771</v>
      </c>
      <c r="O1269" s="10" t="n">
        <f aca="false">IF(M1269,Y1268*(N1269-AB1268)-Inputs!$B$9-Y1268*AD1268*Inputs!$B$13*(A1269-AC1268),0)</f>
        <v>0</v>
      </c>
      <c r="P1269" s="10" t="n">
        <f aca="false">X1268+O1269</f>
        <v>936.320873883343</v>
      </c>
      <c r="Q1269" s="9" t="b">
        <f aca="false">AND(IF(M1269,0,Y1268)=0,AA1268,IF(ISNUMBER(AE1268),B1269&gt;AE1268,FALSE()))</f>
        <v>0</v>
      </c>
      <c r="R1269" s="8" t="n">
        <f aca="false">B1269*(1+Inputs!$B$12)</f>
        <v>0.904752585069065</v>
      </c>
      <c r="S1269" s="11" t="n">
        <f aca="false">IF(Q1269,MIN(P1269*Inputs!$B$3/(R1269-AE1268),P1269*Inputs!$B$11/R1269),0)</f>
        <v>0</v>
      </c>
      <c r="T1269" s="11" t="n">
        <f aca="false">IF(Q1269,S1269,IF(M1269,0,Y1268))</f>
        <v>527.193808521793</v>
      </c>
      <c r="U1269" s="8" t="n">
        <f aca="false">IF(Q1269,AE1268,AF1268)</f>
        <v>0.885137616607025</v>
      </c>
      <c r="V1269" s="9" t="b">
        <f aca="false">AND(T1269&gt;0,D1269&lt;=U1269)</f>
        <v>0</v>
      </c>
      <c r="W1269" s="10" t="n">
        <f aca="false">IF(V1269,T1269*(AK1269-AB1269)-Inputs!$B$9-T1269*AD1269*Inputs!$B$13*(A1269-AC1269),0)</f>
        <v>0</v>
      </c>
      <c r="X1269" s="10" t="n">
        <f aca="false">P1269-IF(Q1269,Inputs!$B$9,0)+W1269</f>
        <v>936.320873883343</v>
      </c>
      <c r="Y1269" s="11" t="n">
        <f aca="false">IF(V1269,0,T1269)</f>
        <v>527.193808521793</v>
      </c>
      <c r="Z1269" s="9" t="b">
        <f aca="false">AND(Y1269&gt;0,K1269)</f>
        <v>0</v>
      </c>
      <c r="AA1269" s="9" t="b">
        <f aca="false">AND(Y1269=0,J1269,ISNUMBER(L1269))</f>
        <v>0</v>
      </c>
      <c r="AB1269" s="8" t="n">
        <f aca="false">IF(Q1269,R1269,AB1268)</f>
        <v>0.902917052911703</v>
      </c>
      <c r="AC1269" s="12" t="n">
        <f aca="false">IF(Q1269,A1269,AC1268)</f>
        <v>46049</v>
      </c>
      <c r="AD1269" s="8" t="n">
        <f aca="false">IF(Q1269,B1269,AD1268)</f>
        <v>0.902736505610581</v>
      </c>
      <c r="AE1269" s="8" t="str">
        <f aca="false">IF(AA1269,L1269,"")</f>
        <v/>
      </c>
      <c r="AF1269" s="8" t="n">
        <f aca="false">U1269</f>
        <v>0.885137616607025</v>
      </c>
      <c r="AG1269" s="2" t="n">
        <f aca="false">AG1268+IF(Q1269,1,0)</f>
        <v>14</v>
      </c>
      <c r="AH1269" s="2" t="n">
        <f aca="false">AG1268</f>
        <v>14</v>
      </c>
      <c r="AI1269" s="10" t="n">
        <f aca="false">X1269+Y1269*(E1269-AB1269)-Y1269*AD1269*Inputs!$B$13*(A1269-AC1269)</f>
        <v>930.696137885219</v>
      </c>
      <c r="AJ1269" s="10" t="n">
        <v>0</v>
      </c>
      <c r="AK1269" s="8" t="n">
        <f aca="false">IF(AND(B1269&lt;=U1269,NOT(Q1269)),B1269,U1269)*(1-Inputs!$B$12)</f>
        <v>0.884960589083704</v>
      </c>
    </row>
    <row r="1270" customFormat="false" ht="15" hidden="false" customHeight="false" outlineLevel="0" collapsed="false">
      <c r="A1270" s="6" t="n">
        <v>46054</v>
      </c>
      <c r="B1270" s="7" t="n">
        <v>0.892890898442337</v>
      </c>
      <c r="C1270" s="7" t="n">
        <v>0.895782008806486</v>
      </c>
      <c r="D1270" s="7" t="n">
        <v>0.890503748568435</v>
      </c>
      <c r="E1270" s="7" t="n">
        <v>0.893692843605163</v>
      </c>
      <c r="F1270" s="8" t="n">
        <f aca="true">IF(ROW()-2&gt;=Inputs!$B$4,AVERAGE(OFFSET(E1270,1-Inputs!$B$4,0,Inputs!$B$4,1)),"")</f>
        <v>0.901410492342553</v>
      </c>
      <c r="G1270" s="8" t="n">
        <f aca="true">IF(ROW()-2&gt;=Inputs!$B$5,AVERAGE(OFFSET(E1270,1-Inputs!$B$5,0,Inputs!$B$5,1)),"")</f>
        <v>0.896530009510438</v>
      </c>
      <c r="H1270" s="8" t="n">
        <f aca="false">MAX(C1270-D1270,ABS(C1270-E1269),ABS(D1270-E1269))</f>
        <v>0.00527826023805122</v>
      </c>
      <c r="I1270" s="8" t="n">
        <f aca="true">IF(ROW()-2&lt;14,"",IF(ROW()-2=14,AVERAGE(OFFSET(H1270,-13,0,14,1)),(I1269*13+H1270)/14))</f>
        <v>0.00937698806146759</v>
      </c>
      <c r="J1270" s="9" t="b">
        <f aca="false">IF(AND(ISNUMBER(F1270),ISNUMBER(G1270),ISNUMBER(F1269),ISNUMBER(G1269)),AND(F1270&gt;G1270,F1269&lt;=G1269),FALSE())</f>
        <v>0</v>
      </c>
      <c r="K1270" s="9" t="b">
        <f aca="false">IF(AND(ISNUMBER(F1270),ISNUMBER(G1270),ISNUMBER(F1269),ISNUMBER(G1269)),AND(F1270&lt;G1270,F1269&gt;=G1269),FALSE())</f>
        <v>0</v>
      </c>
      <c r="L1270" s="8" t="n">
        <f aca="false">IF(ISNUMBER(I1270),E1270-Inputs!$B$6*I1270,"")</f>
        <v>0.874938867482228</v>
      </c>
      <c r="M1270" s="9" t="b">
        <f aca="false">AND(Y1269&gt;0,Z1269)</f>
        <v>0</v>
      </c>
      <c r="N1270" s="8" t="n">
        <f aca="false">B1270*(1-Inputs!$B$12)</f>
        <v>0.892712320262648</v>
      </c>
      <c r="O1270" s="10" t="n">
        <f aca="false">IF(M1270,Y1269*(N1270-AB1269)-Inputs!$B$9-Y1269*AD1269*Inputs!$B$13*(A1270-AC1269),0)</f>
        <v>0</v>
      </c>
      <c r="P1270" s="10" t="n">
        <f aca="false">X1269+O1270</f>
        <v>936.320873883343</v>
      </c>
      <c r="Q1270" s="9" t="b">
        <f aca="false">AND(IF(M1270,0,Y1269)=0,AA1269,IF(ISNUMBER(AE1269),B1270&gt;AE1269,FALSE()))</f>
        <v>0</v>
      </c>
      <c r="R1270" s="8" t="n">
        <f aca="false">B1270*(1+Inputs!$B$12)</f>
        <v>0.893069476622025</v>
      </c>
      <c r="S1270" s="11" t="n">
        <f aca="false">IF(Q1270,MIN(P1270*Inputs!$B$3/(R1270-AE1269),P1270*Inputs!$B$11/R1270),0)</f>
        <v>0</v>
      </c>
      <c r="T1270" s="11" t="n">
        <f aca="false">IF(Q1270,S1270,IF(M1270,0,Y1269))</f>
        <v>527.193808521793</v>
      </c>
      <c r="U1270" s="8" t="n">
        <f aca="false">IF(Q1270,AE1269,AF1269)</f>
        <v>0.885137616607025</v>
      </c>
      <c r="V1270" s="9" t="b">
        <f aca="false">AND(T1270&gt;0,D1270&lt;=U1270)</f>
        <v>0</v>
      </c>
      <c r="W1270" s="10" t="n">
        <f aca="false">IF(V1270,T1270*(AK1270-AB1270)-Inputs!$B$9-T1270*AD1270*Inputs!$B$13*(A1270-AC1270),0)</f>
        <v>0</v>
      </c>
      <c r="X1270" s="10" t="n">
        <f aca="false">P1270-IF(Q1270,Inputs!$B$9,0)+W1270</f>
        <v>936.320873883343</v>
      </c>
      <c r="Y1270" s="11" t="n">
        <f aca="false">IF(V1270,0,T1270)</f>
        <v>527.193808521793</v>
      </c>
      <c r="Z1270" s="9" t="b">
        <f aca="false">AND(Y1270&gt;0,K1270)</f>
        <v>0</v>
      </c>
      <c r="AA1270" s="9" t="b">
        <f aca="false">AND(Y1270=0,J1270,ISNUMBER(L1270))</f>
        <v>0</v>
      </c>
      <c r="AB1270" s="8" t="n">
        <f aca="false">IF(Q1270,R1270,AB1269)</f>
        <v>0.902917052911703</v>
      </c>
      <c r="AC1270" s="12" t="n">
        <f aca="false">IF(Q1270,A1270,AC1269)</f>
        <v>46049</v>
      </c>
      <c r="AD1270" s="8" t="n">
        <f aca="false">IF(Q1270,B1270,AD1269)</f>
        <v>0.902736505610581</v>
      </c>
      <c r="AE1270" s="8" t="str">
        <f aca="false">IF(AA1270,L1270,"")</f>
        <v/>
      </c>
      <c r="AF1270" s="8" t="n">
        <f aca="false">U1270</f>
        <v>0.885137616607025</v>
      </c>
      <c r="AG1270" s="2" t="n">
        <f aca="false">AG1269+IF(Q1270,1,0)</f>
        <v>14</v>
      </c>
      <c r="AH1270" s="2" t="n">
        <f aca="false">AG1269</f>
        <v>14</v>
      </c>
      <c r="AI1270" s="10" t="n">
        <f aca="false">X1270+Y1270*(E1270-AB1270)-Y1270*AD1270*Inputs!$B$13*(A1270-AC1270)</f>
        <v>931.034166050187</v>
      </c>
      <c r="AJ1270" s="10" t="n">
        <v>0</v>
      </c>
      <c r="AK1270" s="8" t="n">
        <f aca="false">IF(AND(B1270&lt;=U1270,NOT(Q1270)),B1270,U1270)*(1-Inputs!$B$12)</f>
        <v>0.884960589083704</v>
      </c>
    </row>
    <row r="1271" customFormat="false" ht="15" hidden="false" customHeight="false" outlineLevel="0" collapsed="false">
      <c r="A1271" s="6" t="n">
        <v>46055</v>
      </c>
      <c r="B1271" s="7" t="n">
        <v>0.893692843605163</v>
      </c>
      <c r="C1271" s="7" t="n">
        <v>0.898765635417773</v>
      </c>
      <c r="D1271" s="7" t="n">
        <v>0.884254638669375</v>
      </c>
      <c r="E1271" s="7" t="n">
        <v>0.887317572344206</v>
      </c>
      <c r="F1271" s="8" t="n">
        <f aca="true">IF(ROW()-2&gt;=Inputs!$B$4,AVERAGE(OFFSET(E1271,1-Inputs!$B$4,0,Inputs!$B$4,1)),"")</f>
        <v>0.900745828205827</v>
      </c>
      <c r="G1271" s="8" t="n">
        <f aca="true">IF(ROW()-2&gt;=Inputs!$B$5,AVERAGE(OFFSET(E1271,1-Inputs!$B$5,0,Inputs!$B$5,1)),"")</f>
        <v>0.896072377928947</v>
      </c>
      <c r="H1271" s="8" t="n">
        <f aca="false">MAX(C1271-D1271,ABS(C1271-E1270),ABS(D1271-E1270))</f>
        <v>0.0145109967483981</v>
      </c>
      <c r="I1271" s="8" t="n">
        <f aca="true">IF(ROW()-2&lt;14,"",IF(ROW()-2=14,AVERAGE(OFFSET(H1271,-13,0,14,1)),(I1270*13+H1271)/14))</f>
        <v>0.00974370296767691</v>
      </c>
      <c r="J1271" s="9" t="b">
        <f aca="false">IF(AND(ISNUMBER(F1271),ISNUMBER(G1271),ISNUMBER(F1270),ISNUMBER(G1270)),AND(F1271&gt;G1271,F1270&lt;=G1270),FALSE())</f>
        <v>0</v>
      </c>
      <c r="K1271" s="9" t="b">
        <f aca="false">IF(AND(ISNUMBER(F1271),ISNUMBER(G1271),ISNUMBER(F1270),ISNUMBER(G1270)),AND(F1271&lt;G1271,F1270&gt;=G1270),FALSE())</f>
        <v>0</v>
      </c>
      <c r="L1271" s="8" t="n">
        <f aca="false">IF(ISNUMBER(I1271),E1271-Inputs!$B$6*I1271,"")</f>
        <v>0.867830166408852</v>
      </c>
      <c r="M1271" s="9" t="b">
        <f aca="false">AND(Y1270&gt;0,Z1270)</f>
        <v>0</v>
      </c>
      <c r="N1271" s="8" t="n">
        <f aca="false">B1271*(1-Inputs!$B$12)</f>
        <v>0.893514105036442</v>
      </c>
      <c r="O1271" s="10" t="n">
        <f aca="false">IF(M1271,Y1270*(N1271-AB1270)-Inputs!$B$9-Y1270*AD1270*Inputs!$B$13*(A1271-AC1270),0)</f>
        <v>0</v>
      </c>
      <c r="P1271" s="10" t="n">
        <f aca="false">X1270+O1271</f>
        <v>936.320873883343</v>
      </c>
      <c r="Q1271" s="9" t="b">
        <f aca="false">AND(IF(M1271,0,Y1270)=0,AA1270,IF(ISNUMBER(AE1270),B1271&gt;AE1270,FALSE()))</f>
        <v>0</v>
      </c>
      <c r="R1271" s="8" t="n">
        <f aca="false">B1271*(1+Inputs!$B$12)</f>
        <v>0.893871582173884</v>
      </c>
      <c r="S1271" s="11" t="n">
        <f aca="false">IF(Q1271,MIN(P1271*Inputs!$B$3/(R1271-AE1270),P1271*Inputs!$B$11/R1271),0)</f>
        <v>0</v>
      </c>
      <c r="T1271" s="11" t="n">
        <f aca="false">IF(Q1271,S1271,IF(M1271,0,Y1270))</f>
        <v>527.193808521793</v>
      </c>
      <c r="U1271" s="8" t="n">
        <f aca="false">IF(Q1271,AE1270,AF1270)</f>
        <v>0.885137616607025</v>
      </c>
      <c r="V1271" s="9" t="b">
        <f aca="false">AND(T1271&gt;0,D1271&lt;=U1271)</f>
        <v>1</v>
      </c>
      <c r="W1271" s="10" t="n">
        <f aca="false">IF(V1271,T1271*(AK1271-AB1271)-Inputs!$B$9-T1271*AD1271*Inputs!$B$13*(A1271-AC1271),0)</f>
        <v>-10.975050710954</v>
      </c>
      <c r="X1271" s="10" t="n">
        <f aca="false">P1271-IF(Q1271,Inputs!$B$9,0)+W1271</f>
        <v>925.345823172389</v>
      </c>
      <c r="Y1271" s="11" t="n">
        <f aca="false">IF(V1271,0,T1271)</f>
        <v>0</v>
      </c>
      <c r="Z1271" s="9" t="b">
        <f aca="false">AND(Y1271&gt;0,K1271)</f>
        <v>0</v>
      </c>
      <c r="AA1271" s="9" t="b">
        <f aca="false">AND(Y1271=0,J1271,ISNUMBER(L1271))</f>
        <v>0</v>
      </c>
      <c r="AB1271" s="8" t="n">
        <f aca="false">IF(Q1271,R1271,AB1270)</f>
        <v>0.902917052911703</v>
      </c>
      <c r="AC1271" s="12" t="n">
        <f aca="false">IF(Q1271,A1271,AC1270)</f>
        <v>46049</v>
      </c>
      <c r="AD1271" s="8" t="n">
        <f aca="false">IF(Q1271,B1271,AD1270)</f>
        <v>0.902736505610581</v>
      </c>
      <c r="AE1271" s="8" t="str">
        <f aca="false">IF(AA1271,L1271,"")</f>
        <v/>
      </c>
      <c r="AF1271" s="8" t="n">
        <f aca="false">U1271</f>
        <v>0.885137616607025</v>
      </c>
      <c r="AG1271" s="2" t="n">
        <f aca="false">AG1270+IF(Q1271,1,0)</f>
        <v>14</v>
      </c>
      <c r="AH1271" s="2" t="n">
        <f aca="false">AG1270</f>
        <v>14</v>
      </c>
      <c r="AI1271" s="10" t="n">
        <f aca="false">X1271+Y1271*(E1271-AB1271)-Y1271*AD1271*Inputs!$B$13*(A1271-AC1271)</f>
        <v>925.345823172389</v>
      </c>
      <c r="AJ1271" s="10" t="n">
        <v>0</v>
      </c>
      <c r="AK1271" s="8" t="n">
        <f aca="false">IF(AND(B1271&lt;=U1271,NOT(Q1271)),B1271,U1271)*(1-Inputs!$B$12)</f>
        <v>0.884960589083704</v>
      </c>
    </row>
    <row r="1272" customFormat="false" ht="15" hidden="false" customHeight="false" outlineLevel="0" collapsed="false">
      <c r="A1272" s="6" t="n">
        <v>46056</v>
      </c>
      <c r="B1272" s="7" t="n">
        <v>0.887317572344206</v>
      </c>
      <c r="C1272" s="7" t="n">
        <v>0.892026539670886</v>
      </c>
      <c r="D1272" s="7" t="n">
        <v>0.886063011387062</v>
      </c>
      <c r="E1272" s="7" t="n">
        <v>0.890309668892478</v>
      </c>
      <c r="F1272" s="8" t="n">
        <f aca="true">IF(ROW()-2&gt;=Inputs!$B$4,AVERAGE(OFFSET(E1272,1-Inputs!$B$4,0,Inputs!$B$4,1)),"")</f>
        <v>0.900102900881528</v>
      </c>
      <c r="G1272" s="8" t="n">
        <f aca="true">IF(ROW()-2&gt;=Inputs!$B$5,AVERAGE(OFFSET(E1272,1-Inputs!$B$5,0,Inputs!$B$5,1)),"")</f>
        <v>0.895671621816048</v>
      </c>
      <c r="H1272" s="8" t="n">
        <f aca="false">MAX(C1272-D1272,ABS(C1272-E1271),ABS(D1272-E1271))</f>
        <v>0.00596352828382452</v>
      </c>
      <c r="I1272" s="8" t="n">
        <f aca="true">IF(ROW()-2&lt;14,"",IF(ROW()-2=14,AVERAGE(OFFSET(H1272,-13,0,14,1)),(I1271*13+H1272)/14))</f>
        <v>0.00947369049025888</v>
      </c>
      <c r="J1272" s="9" t="b">
        <f aca="false">IF(AND(ISNUMBER(F1272),ISNUMBER(G1272),ISNUMBER(F1271),ISNUMBER(G1271)),AND(F1272&gt;G1272,F1271&lt;=G1271),FALSE())</f>
        <v>0</v>
      </c>
      <c r="K1272" s="9" t="b">
        <f aca="false">IF(AND(ISNUMBER(F1272),ISNUMBER(G1272),ISNUMBER(F1271),ISNUMBER(G1271)),AND(F1272&lt;G1272,F1271&gt;=G1271),FALSE())</f>
        <v>0</v>
      </c>
      <c r="L1272" s="8" t="n">
        <f aca="false">IF(ISNUMBER(I1272),E1272-Inputs!$B$6*I1272,"")</f>
        <v>0.871362287911961</v>
      </c>
      <c r="M1272" s="9" t="b">
        <f aca="false">AND(Y1271&gt;0,Z1271)</f>
        <v>0</v>
      </c>
      <c r="N1272" s="8" t="n">
        <f aca="false">B1272*(1-Inputs!$B$12)</f>
        <v>0.887140108829737</v>
      </c>
      <c r="O1272" s="10" t="n">
        <f aca="false">IF(M1272,Y1271*(N1272-AB1271)-Inputs!$B$9-Y1271*AD1271*Inputs!$B$13*(A1272-AC1271),0)</f>
        <v>0</v>
      </c>
      <c r="P1272" s="10" t="n">
        <f aca="false">X1271+O1272</f>
        <v>925.345823172389</v>
      </c>
      <c r="Q1272" s="9" t="b">
        <f aca="false">AND(IF(M1272,0,Y1271)=0,AA1271,IF(ISNUMBER(AE1271),B1272&gt;AE1271,FALSE()))</f>
        <v>0</v>
      </c>
      <c r="R1272" s="8" t="n">
        <f aca="false">B1272*(1+Inputs!$B$12)</f>
        <v>0.887495035858675</v>
      </c>
      <c r="S1272" s="11" t="n">
        <f aca="false">IF(Q1272,MIN(P1272*Inputs!$B$3/(R1272-AE1271),P1272*Inputs!$B$11/R1272),0)</f>
        <v>0</v>
      </c>
      <c r="T1272" s="11" t="n">
        <f aca="false">IF(Q1272,S1272,IF(M1272,0,Y1271))</f>
        <v>0</v>
      </c>
      <c r="U1272" s="8" t="n">
        <f aca="false">IF(Q1272,AE1271,AF1271)</f>
        <v>0.885137616607025</v>
      </c>
      <c r="V1272" s="9" t="b">
        <f aca="false">AND(T1272&gt;0,D1272&lt;=U1272)</f>
        <v>0</v>
      </c>
      <c r="W1272" s="10" t="n">
        <f aca="false">IF(V1272,T1272*(AK1272-AB1272)-Inputs!$B$9-T1272*AD1272*Inputs!$B$13*(A1272-AC1272),0)</f>
        <v>0</v>
      </c>
      <c r="X1272" s="10" t="n">
        <f aca="false">P1272-IF(Q1272,Inputs!$B$9,0)+W1272</f>
        <v>925.345823172389</v>
      </c>
      <c r="Y1272" s="11" t="n">
        <f aca="false">IF(V1272,0,T1272)</f>
        <v>0</v>
      </c>
      <c r="Z1272" s="9" t="b">
        <f aca="false">AND(Y1272&gt;0,K1272)</f>
        <v>0</v>
      </c>
      <c r="AA1272" s="9" t="b">
        <f aca="false">AND(Y1272=0,J1272,ISNUMBER(L1272))</f>
        <v>0</v>
      </c>
      <c r="AB1272" s="8" t="n">
        <f aca="false">IF(Q1272,R1272,AB1271)</f>
        <v>0.902917052911703</v>
      </c>
      <c r="AC1272" s="12" t="n">
        <f aca="false">IF(Q1272,A1272,AC1271)</f>
        <v>46049</v>
      </c>
      <c r="AD1272" s="8" t="n">
        <f aca="false">IF(Q1272,B1272,AD1271)</f>
        <v>0.902736505610581</v>
      </c>
      <c r="AE1272" s="8" t="str">
        <f aca="false">IF(AA1272,L1272,"")</f>
        <v/>
      </c>
      <c r="AF1272" s="8" t="n">
        <f aca="false">U1272</f>
        <v>0.885137616607025</v>
      </c>
      <c r="AG1272" s="2" t="n">
        <f aca="false">AG1271+IF(Q1272,1,0)</f>
        <v>14</v>
      </c>
      <c r="AH1272" s="2" t="n">
        <f aca="false">AG1271</f>
        <v>14</v>
      </c>
      <c r="AI1272" s="10" t="n">
        <f aca="false">X1272+Y1272*(E1272-AB1272)-Y1272*AD1272*Inputs!$B$13*(A1272-AC1272)</f>
        <v>925.345823172389</v>
      </c>
      <c r="AJ1272" s="10" t="n">
        <v>0</v>
      </c>
      <c r="AK1272" s="8" t="n">
        <f aca="false">IF(AND(B1272&lt;=U1272,NOT(Q1272)),B1272,U1272)*(1-Inputs!$B$12)</f>
        <v>0.884960589083704</v>
      </c>
    </row>
    <row r="1273" customFormat="false" ht="15" hidden="false" customHeight="false" outlineLevel="0" collapsed="false">
      <c r="A1273" s="6" t="n">
        <v>46057</v>
      </c>
      <c r="B1273" s="7" t="n">
        <v>0.890309668892478</v>
      </c>
      <c r="C1273" s="7" t="n">
        <v>0.895021838414136</v>
      </c>
      <c r="D1273" s="7" t="n">
        <v>0.889068422491811</v>
      </c>
      <c r="E1273" s="7" t="n">
        <v>0.89106194815267</v>
      </c>
      <c r="F1273" s="8" t="n">
        <f aca="true">IF(ROW()-2&gt;=Inputs!$B$4,AVERAGE(OFFSET(E1273,1-Inputs!$B$4,0,Inputs!$B$4,1)),"")</f>
        <v>0.899648758285921</v>
      </c>
      <c r="G1273" s="8" t="n">
        <f aca="true">IF(ROW()-2&gt;=Inputs!$B$5,AVERAGE(OFFSET(E1273,1-Inputs!$B$5,0,Inputs!$B$5,1)),"")</f>
        <v>0.89522060645227</v>
      </c>
      <c r="H1273" s="8" t="n">
        <f aca="false">MAX(C1273-D1273,ABS(C1273-E1272),ABS(D1273-E1272))</f>
        <v>0.00595341592232546</v>
      </c>
      <c r="I1273" s="8" t="n">
        <f aca="true">IF(ROW()-2&lt;14,"",IF(ROW()-2=14,AVERAGE(OFFSET(H1273,-13,0,14,1)),(I1272*13+H1273)/14))</f>
        <v>0.00922224230683507</v>
      </c>
      <c r="J1273" s="9" t="b">
        <f aca="false">IF(AND(ISNUMBER(F1273),ISNUMBER(G1273),ISNUMBER(F1272),ISNUMBER(G1272)),AND(F1273&gt;G1273,F1272&lt;=G1272),FALSE())</f>
        <v>0</v>
      </c>
      <c r="K1273" s="9" t="b">
        <f aca="false">IF(AND(ISNUMBER(F1273),ISNUMBER(G1273),ISNUMBER(F1272),ISNUMBER(G1272)),AND(F1273&lt;G1273,F1272&gt;=G1272),FALSE())</f>
        <v>0</v>
      </c>
      <c r="L1273" s="8" t="n">
        <f aca="false">IF(ISNUMBER(I1273),E1273-Inputs!$B$6*I1273,"")</f>
        <v>0.872617463539</v>
      </c>
      <c r="M1273" s="9" t="b">
        <f aca="false">AND(Y1272&gt;0,Z1272)</f>
        <v>0</v>
      </c>
      <c r="N1273" s="8" t="n">
        <f aca="false">B1273*(1-Inputs!$B$12)</f>
        <v>0.8901316069587</v>
      </c>
      <c r="O1273" s="10" t="n">
        <f aca="false">IF(M1273,Y1272*(N1273-AB1272)-Inputs!$B$9-Y1272*AD1272*Inputs!$B$13*(A1273-AC1272),0)</f>
        <v>0</v>
      </c>
      <c r="P1273" s="10" t="n">
        <f aca="false">X1272+O1273</f>
        <v>925.345823172389</v>
      </c>
      <c r="Q1273" s="9" t="b">
        <f aca="false">AND(IF(M1273,0,Y1272)=0,AA1272,IF(ISNUMBER(AE1272),B1273&gt;AE1272,FALSE()))</f>
        <v>0</v>
      </c>
      <c r="R1273" s="8" t="n">
        <f aca="false">B1273*(1+Inputs!$B$12)</f>
        <v>0.890487730826257</v>
      </c>
      <c r="S1273" s="11" t="n">
        <f aca="false">IF(Q1273,MIN(P1273*Inputs!$B$3/(R1273-AE1272),P1273*Inputs!$B$11/R1273),0)</f>
        <v>0</v>
      </c>
      <c r="T1273" s="11" t="n">
        <f aca="false">IF(Q1273,S1273,IF(M1273,0,Y1272))</f>
        <v>0</v>
      </c>
      <c r="U1273" s="8" t="n">
        <f aca="false">IF(Q1273,AE1272,AF1272)</f>
        <v>0.885137616607025</v>
      </c>
      <c r="V1273" s="9" t="b">
        <f aca="false">AND(T1273&gt;0,D1273&lt;=U1273)</f>
        <v>0</v>
      </c>
      <c r="W1273" s="10" t="n">
        <f aca="false">IF(V1273,T1273*(AK1273-AB1273)-Inputs!$B$9-T1273*AD1273*Inputs!$B$13*(A1273-AC1273),0)</f>
        <v>0</v>
      </c>
      <c r="X1273" s="10" t="n">
        <f aca="false">P1273-IF(Q1273,Inputs!$B$9,0)+W1273</f>
        <v>925.345823172389</v>
      </c>
      <c r="Y1273" s="11" t="n">
        <f aca="false">IF(V1273,0,T1273)</f>
        <v>0</v>
      </c>
      <c r="Z1273" s="9" t="b">
        <f aca="false">AND(Y1273&gt;0,K1273)</f>
        <v>0</v>
      </c>
      <c r="AA1273" s="9" t="b">
        <f aca="false">AND(Y1273=0,J1273,ISNUMBER(L1273))</f>
        <v>0</v>
      </c>
      <c r="AB1273" s="8" t="n">
        <f aca="false">IF(Q1273,R1273,AB1272)</f>
        <v>0.902917052911703</v>
      </c>
      <c r="AC1273" s="12" t="n">
        <f aca="false">IF(Q1273,A1273,AC1272)</f>
        <v>46049</v>
      </c>
      <c r="AD1273" s="8" t="n">
        <f aca="false">IF(Q1273,B1273,AD1272)</f>
        <v>0.902736505610581</v>
      </c>
      <c r="AE1273" s="8" t="str">
        <f aca="false">IF(AA1273,L1273,"")</f>
        <v/>
      </c>
      <c r="AF1273" s="8" t="n">
        <f aca="false">U1273</f>
        <v>0.885137616607025</v>
      </c>
      <c r="AG1273" s="2" t="n">
        <f aca="false">AG1272+IF(Q1273,1,0)</f>
        <v>14</v>
      </c>
      <c r="AH1273" s="2" t="n">
        <f aca="false">AG1272</f>
        <v>14</v>
      </c>
      <c r="AI1273" s="10" t="n">
        <f aca="false">X1273+Y1273*(E1273-AB1273)-Y1273*AD1273*Inputs!$B$13*(A1273-AC1273)</f>
        <v>925.345823172389</v>
      </c>
      <c r="AJ1273" s="10" t="n">
        <v>0</v>
      </c>
      <c r="AK1273" s="8" t="n">
        <f aca="false">IF(AND(B1273&lt;=U1273,NOT(Q1273)),B1273,U1273)*(1-Inputs!$B$12)</f>
        <v>0.884960589083704</v>
      </c>
    </row>
    <row r="1274" customFormat="false" ht="15" hidden="false" customHeight="false" outlineLevel="0" collapsed="false">
      <c r="A1274" s="6" t="n">
        <v>46058</v>
      </c>
      <c r="B1274" s="7" t="n">
        <v>0.89106194815267</v>
      </c>
      <c r="C1274" s="7" t="n">
        <v>0.898213745721967</v>
      </c>
      <c r="D1274" s="7" t="n">
        <v>0.890451868628694</v>
      </c>
      <c r="E1274" s="7" t="n">
        <v>0.891920636727419</v>
      </c>
      <c r="F1274" s="8" t="n">
        <f aca="true">IF(ROW()-2&gt;=Inputs!$B$4,AVERAGE(OFFSET(E1274,1-Inputs!$B$4,0,Inputs!$B$4,1)),"")</f>
        <v>0.898926289426065</v>
      </c>
      <c r="G1274" s="8" t="n">
        <f aca="true">IF(ROW()-2&gt;=Inputs!$B$5,AVERAGE(OFFSET(E1274,1-Inputs!$B$5,0,Inputs!$B$5,1)),"")</f>
        <v>0.894823725667953</v>
      </c>
      <c r="H1274" s="8" t="n">
        <f aca="false">MAX(C1274-D1274,ABS(C1274-E1273),ABS(D1274-E1273))</f>
        <v>0.00776187709327358</v>
      </c>
      <c r="I1274" s="8" t="n">
        <f aca="true">IF(ROW()-2&lt;14,"",IF(ROW()-2=14,AVERAGE(OFFSET(H1274,-13,0,14,1)),(I1273*13+H1274)/14))</f>
        <v>0.00911793050586639</v>
      </c>
      <c r="J1274" s="9" t="b">
        <f aca="false">IF(AND(ISNUMBER(F1274),ISNUMBER(G1274),ISNUMBER(F1273),ISNUMBER(G1273)),AND(F1274&gt;G1274,F1273&lt;=G1273),FALSE())</f>
        <v>0</v>
      </c>
      <c r="K1274" s="9" t="b">
        <f aca="false">IF(AND(ISNUMBER(F1274),ISNUMBER(G1274),ISNUMBER(F1273),ISNUMBER(G1273)),AND(F1274&lt;G1274,F1273&gt;=G1273),FALSE())</f>
        <v>0</v>
      </c>
      <c r="L1274" s="8" t="n">
        <f aca="false">IF(ISNUMBER(I1274),E1274-Inputs!$B$6*I1274,"")</f>
        <v>0.873684775715686</v>
      </c>
      <c r="M1274" s="9" t="b">
        <f aca="false">AND(Y1273&gt;0,Z1273)</f>
        <v>0</v>
      </c>
      <c r="N1274" s="8" t="n">
        <f aca="false">B1274*(1-Inputs!$B$12)</f>
        <v>0.89088373576304</v>
      </c>
      <c r="O1274" s="10" t="n">
        <f aca="false">IF(M1274,Y1273*(N1274-AB1273)-Inputs!$B$9-Y1273*AD1273*Inputs!$B$13*(A1274-AC1273),0)</f>
        <v>0</v>
      </c>
      <c r="P1274" s="10" t="n">
        <f aca="false">X1273+O1274</f>
        <v>925.345823172389</v>
      </c>
      <c r="Q1274" s="9" t="b">
        <f aca="false">AND(IF(M1274,0,Y1273)=0,AA1273,IF(ISNUMBER(AE1273),B1274&gt;AE1273,FALSE()))</f>
        <v>0</v>
      </c>
      <c r="R1274" s="8" t="n">
        <f aca="false">B1274*(1+Inputs!$B$12)</f>
        <v>0.891240160542301</v>
      </c>
      <c r="S1274" s="11" t="n">
        <f aca="false">IF(Q1274,MIN(P1274*Inputs!$B$3/(R1274-AE1273),P1274*Inputs!$B$11/R1274),0)</f>
        <v>0</v>
      </c>
      <c r="T1274" s="11" t="n">
        <f aca="false">IF(Q1274,S1274,IF(M1274,0,Y1273))</f>
        <v>0</v>
      </c>
      <c r="U1274" s="8" t="n">
        <f aca="false">IF(Q1274,AE1273,AF1273)</f>
        <v>0.885137616607025</v>
      </c>
      <c r="V1274" s="9" t="b">
        <f aca="false">AND(T1274&gt;0,D1274&lt;=U1274)</f>
        <v>0</v>
      </c>
      <c r="W1274" s="10" t="n">
        <f aca="false">IF(V1274,T1274*(AK1274-AB1274)-Inputs!$B$9-T1274*AD1274*Inputs!$B$13*(A1274-AC1274),0)</f>
        <v>0</v>
      </c>
      <c r="X1274" s="10" t="n">
        <f aca="false">P1274-IF(Q1274,Inputs!$B$9,0)+W1274</f>
        <v>925.345823172389</v>
      </c>
      <c r="Y1274" s="11" t="n">
        <f aca="false">IF(V1274,0,T1274)</f>
        <v>0</v>
      </c>
      <c r="Z1274" s="9" t="b">
        <f aca="false">AND(Y1274&gt;0,K1274)</f>
        <v>0</v>
      </c>
      <c r="AA1274" s="9" t="b">
        <f aca="false">AND(Y1274=0,J1274,ISNUMBER(L1274))</f>
        <v>0</v>
      </c>
      <c r="AB1274" s="8" t="n">
        <f aca="false">IF(Q1274,R1274,AB1273)</f>
        <v>0.902917052911703</v>
      </c>
      <c r="AC1274" s="12" t="n">
        <f aca="false">IF(Q1274,A1274,AC1273)</f>
        <v>46049</v>
      </c>
      <c r="AD1274" s="8" t="n">
        <f aca="false">IF(Q1274,B1274,AD1273)</f>
        <v>0.902736505610581</v>
      </c>
      <c r="AE1274" s="8" t="str">
        <f aca="false">IF(AA1274,L1274,"")</f>
        <v/>
      </c>
      <c r="AF1274" s="8" t="n">
        <f aca="false">U1274</f>
        <v>0.885137616607025</v>
      </c>
      <c r="AG1274" s="2" t="n">
        <f aca="false">AG1273+IF(Q1274,1,0)</f>
        <v>14</v>
      </c>
      <c r="AH1274" s="2" t="n">
        <f aca="false">AG1273</f>
        <v>14</v>
      </c>
      <c r="AI1274" s="10" t="n">
        <f aca="false">X1274+Y1274*(E1274-AB1274)-Y1274*AD1274*Inputs!$B$13*(A1274-AC1274)</f>
        <v>925.345823172389</v>
      </c>
      <c r="AJ1274" s="10" t="n">
        <v>0</v>
      </c>
      <c r="AK1274" s="8" t="n">
        <f aca="false">IF(AND(B1274&lt;=U1274,NOT(Q1274)),B1274,U1274)*(1-Inputs!$B$12)</f>
        <v>0.884960589083704</v>
      </c>
    </row>
    <row r="1275" customFormat="false" ht="15" hidden="false" customHeight="false" outlineLevel="0" collapsed="false">
      <c r="A1275" s="6" t="n">
        <v>46059</v>
      </c>
      <c r="B1275" s="7" t="n">
        <v>0.891920636727419</v>
      </c>
      <c r="C1275" s="7" t="n">
        <v>0.894724953315887</v>
      </c>
      <c r="D1275" s="7" t="n">
        <v>0.88644205255507</v>
      </c>
      <c r="E1275" s="7" t="n">
        <v>0.891334799105794</v>
      </c>
      <c r="F1275" s="8" t="n">
        <f aca="true">IF(ROW()-2&gt;=Inputs!$B$4,AVERAGE(OFFSET(E1275,1-Inputs!$B$4,0,Inputs!$B$4,1)),"")</f>
        <v>0.898161905524796</v>
      </c>
      <c r="G1275" s="8" t="n">
        <f aca="true">IF(ROW()-2&gt;=Inputs!$B$5,AVERAGE(OFFSET(E1275,1-Inputs!$B$5,0,Inputs!$B$5,1)),"")</f>
        <v>0.894542025971443</v>
      </c>
      <c r="H1275" s="8" t="n">
        <f aca="false">MAX(C1275-D1275,ABS(C1275-E1274),ABS(D1275-E1274))</f>
        <v>0.00828290076081695</v>
      </c>
      <c r="I1275" s="8" t="n">
        <f aca="true">IF(ROW()-2&lt;14,"",IF(ROW()-2=14,AVERAGE(OFFSET(H1275,-13,0,14,1)),(I1274*13+H1275)/14))</f>
        <v>0.00905828552407714</v>
      </c>
      <c r="J1275" s="9" t="b">
        <f aca="false">IF(AND(ISNUMBER(F1275),ISNUMBER(G1275),ISNUMBER(F1274),ISNUMBER(G1274)),AND(F1275&gt;G1275,F1274&lt;=G1274),FALSE())</f>
        <v>0</v>
      </c>
      <c r="K1275" s="9" t="b">
        <f aca="false">IF(AND(ISNUMBER(F1275),ISNUMBER(G1275),ISNUMBER(F1274),ISNUMBER(G1274)),AND(F1275&lt;G1275,F1274&gt;=G1274),FALSE())</f>
        <v>0</v>
      </c>
      <c r="L1275" s="8" t="n">
        <f aca="false">IF(ISNUMBER(I1275),E1275-Inputs!$B$6*I1275,"")</f>
        <v>0.873218228057639</v>
      </c>
      <c r="M1275" s="9" t="b">
        <f aca="false">AND(Y1274&gt;0,Z1274)</f>
        <v>0</v>
      </c>
      <c r="N1275" s="8" t="n">
        <f aca="false">B1275*(1-Inputs!$B$12)</f>
        <v>0.891742252600073</v>
      </c>
      <c r="O1275" s="10" t="n">
        <f aca="false">IF(M1275,Y1274*(N1275-AB1274)-Inputs!$B$9-Y1274*AD1274*Inputs!$B$13*(A1275-AC1274),0)</f>
        <v>0</v>
      </c>
      <c r="P1275" s="10" t="n">
        <f aca="false">X1274+O1275</f>
        <v>925.345823172389</v>
      </c>
      <c r="Q1275" s="9" t="b">
        <f aca="false">AND(IF(M1275,0,Y1274)=0,AA1274,IF(ISNUMBER(AE1274),B1275&gt;AE1274,FALSE()))</f>
        <v>0</v>
      </c>
      <c r="R1275" s="8" t="n">
        <f aca="false">B1275*(1+Inputs!$B$12)</f>
        <v>0.892099020854764</v>
      </c>
      <c r="S1275" s="11" t="n">
        <f aca="false">IF(Q1275,MIN(P1275*Inputs!$B$3/(R1275-AE1274),P1275*Inputs!$B$11/R1275),0)</f>
        <v>0</v>
      </c>
      <c r="T1275" s="11" t="n">
        <f aca="false">IF(Q1275,S1275,IF(M1275,0,Y1274))</f>
        <v>0</v>
      </c>
      <c r="U1275" s="8" t="n">
        <f aca="false">IF(Q1275,AE1274,AF1274)</f>
        <v>0.885137616607025</v>
      </c>
      <c r="V1275" s="9" t="b">
        <f aca="false">AND(T1275&gt;0,D1275&lt;=U1275)</f>
        <v>0</v>
      </c>
      <c r="W1275" s="10" t="n">
        <f aca="false">IF(V1275,T1275*(AK1275-AB1275)-Inputs!$B$9-T1275*AD1275*Inputs!$B$13*(A1275-AC1275),0)</f>
        <v>0</v>
      </c>
      <c r="X1275" s="10" t="n">
        <f aca="false">P1275-IF(Q1275,Inputs!$B$9,0)+W1275</f>
        <v>925.345823172389</v>
      </c>
      <c r="Y1275" s="11" t="n">
        <f aca="false">IF(V1275,0,T1275)</f>
        <v>0</v>
      </c>
      <c r="Z1275" s="9" t="b">
        <f aca="false">AND(Y1275&gt;0,K1275)</f>
        <v>0</v>
      </c>
      <c r="AA1275" s="9" t="b">
        <f aca="false">AND(Y1275=0,J1275,ISNUMBER(L1275))</f>
        <v>0</v>
      </c>
      <c r="AB1275" s="8" t="n">
        <f aca="false">IF(Q1275,R1275,AB1274)</f>
        <v>0.902917052911703</v>
      </c>
      <c r="AC1275" s="12" t="n">
        <f aca="false">IF(Q1275,A1275,AC1274)</f>
        <v>46049</v>
      </c>
      <c r="AD1275" s="8" t="n">
        <f aca="false">IF(Q1275,B1275,AD1274)</f>
        <v>0.902736505610581</v>
      </c>
      <c r="AE1275" s="8" t="str">
        <f aca="false">IF(AA1275,L1275,"")</f>
        <v/>
      </c>
      <c r="AF1275" s="8" t="n">
        <f aca="false">U1275</f>
        <v>0.885137616607025</v>
      </c>
      <c r="AG1275" s="2" t="n">
        <f aca="false">AG1274+IF(Q1275,1,0)</f>
        <v>14</v>
      </c>
      <c r="AH1275" s="2" t="n">
        <f aca="false">AG1274</f>
        <v>14</v>
      </c>
      <c r="AI1275" s="10" t="n">
        <f aca="false">X1275+Y1275*(E1275-AB1275)-Y1275*AD1275*Inputs!$B$13*(A1275-AC1275)</f>
        <v>925.345823172389</v>
      </c>
      <c r="AJ1275" s="10" t="n">
        <v>0</v>
      </c>
      <c r="AK1275" s="8" t="n">
        <f aca="false">IF(AND(B1275&lt;=U1275,NOT(Q1275)),B1275,U1275)*(1-Inputs!$B$12)</f>
        <v>0.884960589083704</v>
      </c>
    </row>
    <row r="1276" customFormat="false" ht="15" hidden="false" customHeight="false" outlineLevel="0" collapsed="false">
      <c r="A1276" s="6" t="n">
        <v>46060</v>
      </c>
      <c r="B1276" s="7" t="n">
        <v>0.891334799105794</v>
      </c>
      <c r="C1276" s="7" t="n">
        <v>0.895171520099751</v>
      </c>
      <c r="D1276" s="7" t="n">
        <v>0.883298532105162</v>
      </c>
      <c r="E1276" s="7" t="n">
        <v>0.889935578647251</v>
      </c>
      <c r="F1276" s="8" t="n">
        <f aca="true">IF(ROW()-2&gt;=Inputs!$B$4,AVERAGE(OFFSET(E1276,1-Inputs!$B$4,0,Inputs!$B$4,1)),"")</f>
        <v>0.89779216206868</v>
      </c>
      <c r="G1276" s="8" t="n">
        <f aca="true">IF(ROW()-2&gt;=Inputs!$B$5,AVERAGE(OFFSET(E1276,1-Inputs!$B$5,0,Inputs!$B$5,1)),"")</f>
        <v>0.894165400227606</v>
      </c>
      <c r="H1276" s="8" t="n">
        <f aca="false">MAX(C1276-D1276,ABS(C1276-E1275),ABS(D1276-E1275))</f>
        <v>0.0118729879945889</v>
      </c>
      <c r="I1276" s="8" t="n">
        <f aca="true">IF(ROW()-2&lt;14,"",IF(ROW()-2=14,AVERAGE(OFFSET(H1276,-13,0,14,1)),(I1275*13+H1276)/14))</f>
        <v>0.00925933570054227</v>
      </c>
      <c r="J1276" s="9" t="b">
        <f aca="false">IF(AND(ISNUMBER(F1276),ISNUMBER(G1276),ISNUMBER(F1275),ISNUMBER(G1275)),AND(F1276&gt;G1276,F1275&lt;=G1275),FALSE())</f>
        <v>0</v>
      </c>
      <c r="K1276" s="9" t="b">
        <f aca="false">IF(AND(ISNUMBER(F1276),ISNUMBER(G1276),ISNUMBER(F1275),ISNUMBER(G1275)),AND(F1276&lt;G1276,F1275&gt;=G1275),FALSE())</f>
        <v>0</v>
      </c>
      <c r="L1276" s="8" t="n">
        <f aca="false">IF(ISNUMBER(I1276),E1276-Inputs!$B$6*I1276,"")</f>
        <v>0.871416907246167</v>
      </c>
      <c r="M1276" s="9" t="b">
        <f aca="false">AND(Y1275&gt;0,Z1275)</f>
        <v>0</v>
      </c>
      <c r="N1276" s="8" t="n">
        <f aca="false">B1276*(1-Inputs!$B$12)</f>
        <v>0.891156532145973</v>
      </c>
      <c r="O1276" s="10" t="n">
        <f aca="false">IF(M1276,Y1275*(N1276-AB1275)-Inputs!$B$9-Y1275*AD1275*Inputs!$B$13*(A1276-AC1275),0)</f>
        <v>0</v>
      </c>
      <c r="P1276" s="10" t="n">
        <f aca="false">X1275+O1276</f>
        <v>925.345823172389</v>
      </c>
      <c r="Q1276" s="9" t="b">
        <f aca="false">AND(IF(M1276,0,Y1275)=0,AA1275,IF(ISNUMBER(AE1275),B1276&gt;AE1275,FALSE()))</f>
        <v>0</v>
      </c>
      <c r="R1276" s="8" t="n">
        <f aca="false">B1276*(1+Inputs!$B$12)</f>
        <v>0.891513066065615</v>
      </c>
      <c r="S1276" s="11" t="n">
        <f aca="false">IF(Q1276,MIN(P1276*Inputs!$B$3/(R1276-AE1275),P1276*Inputs!$B$11/R1276),0)</f>
        <v>0</v>
      </c>
      <c r="T1276" s="11" t="n">
        <f aca="false">IF(Q1276,S1276,IF(M1276,0,Y1275))</f>
        <v>0</v>
      </c>
      <c r="U1276" s="8" t="n">
        <f aca="false">IF(Q1276,AE1275,AF1275)</f>
        <v>0.885137616607025</v>
      </c>
      <c r="V1276" s="9" t="b">
        <f aca="false">AND(T1276&gt;0,D1276&lt;=U1276)</f>
        <v>0</v>
      </c>
      <c r="W1276" s="10" t="n">
        <f aca="false">IF(V1276,T1276*(AK1276-AB1276)-Inputs!$B$9-T1276*AD1276*Inputs!$B$13*(A1276-AC1276),0)</f>
        <v>0</v>
      </c>
      <c r="X1276" s="10" t="n">
        <f aca="false">P1276-IF(Q1276,Inputs!$B$9,0)+W1276</f>
        <v>925.345823172389</v>
      </c>
      <c r="Y1276" s="11" t="n">
        <f aca="false">IF(V1276,0,T1276)</f>
        <v>0</v>
      </c>
      <c r="Z1276" s="9" t="b">
        <f aca="false">AND(Y1276&gt;0,K1276)</f>
        <v>0</v>
      </c>
      <c r="AA1276" s="9" t="b">
        <f aca="false">AND(Y1276=0,J1276,ISNUMBER(L1276))</f>
        <v>0</v>
      </c>
      <c r="AB1276" s="8" t="n">
        <f aca="false">IF(Q1276,R1276,AB1275)</f>
        <v>0.902917052911703</v>
      </c>
      <c r="AC1276" s="12" t="n">
        <f aca="false">IF(Q1276,A1276,AC1275)</f>
        <v>46049</v>
      </c>
      <c r="AD1276" s="8" t="n">
        <f aca="false">IF(Q1276,B1276,AD1275)</f>
        <v>0.902736505610581</v>
      </c>
      <c r="AE1276" s="8" t="str">
        <f aca="false">IF(AA1276,L1276,"")</f>
        <v/>
      </c>
      <c r="AF1276" s="8" t="n">
        <f aca="false">U1276</f>
        <v>0.885137616607025</v>
      </c>
      <c r="AG1276" s="2" t="n">
        <f aca="false">AG1275+IF(Q1276,1,0)</f>
        <v>14</v>
      </c>
      <c r="AH1276" s="2" t="n">
        <f aca="false">AG1275</f>
        <v>14</v>
      </c>
      <c r="AI1276" s="10" t="n">
        <f aca="false">X1276+Y1276*(E1276-AB1276)-Y1276*AD1276*Inputs!$B$13*(A1276-AC1276)</f>
        <v>925.345823172389</v>
      </c>
      <c r="AJ1276" s="10" t="n">
        <v>0</v>
      </c>
      <c r="AK1276" s="8" t="n">
        <f aca="false">IF(AND(B1276&lt;=U1276,NOT(Q1276)),B1276,U1276)*(1-Inputs!$B$12)</f>
        <v>0.884960589083704</v>
      </c>
    </row>
    <row r="1277" customFormat="false" ht="15" hidden="false" customHeight="false" outlineLevel="0" collapsed="false">
      <c r="A1277" s="6" t="n">
        <v>46061</v>
      </c>
      <c r="B1277" s="7" t="n">
        <v>0.889935578647251</v>
      </c>
      <c r="C1277" s="7" t="n">
        <v>0.893443992370644</v>
      </c>
      <c r="D1277" s="7" t="n">
        <v>0.888099452775933</v>
      </c>
      <c r="E1277" s="7" t="n">
        <v>0.892130409310697</v>
      </c>
      <c r="F1277" s="8" t="n">
        <f aca="true">IF(ROW()-2&gt;=Inputs!$B$4,AVERAGE(OFFSET(E1277,1-Inputs!$B$4,0,Inputs!$B$4,1)),"")</f>
        <v>0.89735469159496</v>
      </c>
      <c r="G1277" s="8" t="n">
        <f aca="true">IF(ROW()-2&gt;=Inputs!$B$5,AVERAGE(OFFSET(E1277,1-Inputs!$B$5,0,Inputs!$B$5,1)),"")</f>
        <v>0.893872253065272</v>
      </c>
      <c r="H1277" s="8" t="n">
        <f aca="false">MAX(C1277-D1277,ABS(C1277-E1276),ABS(D1277-E1276))</f>
        <v>0.00534453959471082</v>
      </c>
      <c r="I1277" s="8" t="n">
        <f aca="true">IF(ROW()-2&lt;14,"",IF(ROW()-2=14,AVERAGE(OFFSET(H1277,-13,0,14,1)),(I1276*13+H1277)/14))</f>
        <v>0.0089797074072686</v>
      </c>
      <c r="J1277" s="9" t="b">
        <f aca="false">IF(AND(ISNUMBER(F1277),ISNUMBER(G1277),ISNUMBER(F1276),ISNUMBER(G1276)),AND(F1277&gt;G1277,F1276&lt;=G1276),FALSE())</f>
        <v>0</v>
      </c>
      <c r="K1277" s="9" t="b">
        <f aca="false">IF(AND(ISNUMBER(F1277),ISNUMBER(G1277),ISNUMBER(F1276),ISNUMBER(G1276)),AND(F1277&lt;G1277,F1276&gt;=G1276),FALSE())</f>
        <v>0</v>
      </c>
      <c r="L1277" s="8" t="n">
        <f aca="false">IF(ISNUMBER(I1277),E1277-Inputs!$B$6*I1277,"")</f>
        <v>0.87417099449616</v>
      </c>
      <c r="M1277" s="9" t="b">
        <f aca="false">AND(Y1276&gt;0,Z1276)</f>
        <v>0</v>
      </c>
      <c r="N1277" s="8" t="n">
        <f aca="false">B1277*(1-Inputs!$B$12)</f>
        <v>0.889757591531522</v>
      </c>
      <c r="O1277" s="10" t="n">
        <f aca="false">IF(M1277,Y1276*(N1277-AB1276)-Inputs!$B$9-Y1276*AD1276*Inputs!$B$13*(A1277-AC1276),0)</f>
        <v>0</v>
      </c>
      <c r="P1277" s="10" t="n">
        <f aca="false">X1276+O1277</f>
        <v>925.345823172389</v>
      </c>
      <c r="Q1277" s="9" t="b">
        <f aca="false">AND(IF(M1277,0,Y1276)=0,AA1276,IF(ISNUMBER(AE1276),B1277&gt;AE1276,FALSE()))</f>
        <v>0</v>
      </c>
      <c r="R1277" s="8" t="n">
        <f aca="false">B1277*(1+Inputs!$B$12)</f>
        <v>0.890113565762981</v>
      </c>
      <c r="S1277" s="11" t="n">
        <f aca="false">IF(Q1277,MIN(P1277*Inputs!$B$3/(R1277-AE1276),P1277*Inputs!$B$11/R1277),0)</f>
        <v>0</v>
      </c>
      <c r="T1277" s="11" t="n">
        <f aca="false">IF(Q1277,S1277,IF(M1277,0,Y1276))</f>
        <v>0</v>
      </c>
      <c r="U1277" s="8" t="n">
        <f aca="false">IF(Q1277,AE1276,AF1276)</f>
        <v>0.885137616607025</v>
      </c>
      <c r="V1277" s="9" t="b">
        <f aca="false">AND(T1277&gt;0,D1277&lt;=U1277)</f>
        <v>0</v>
      </c>
      <c r="W1277" s="10" t="n">
        <f aca="false">IF(V1277,T1277*(AK1277-AB1277)-Inputs!$B$9-T1277*AD1277*Inputs!$B$13*(A1277-AC1277),0)</f>
        <v>0</v>
      </c>
      <c r="X1277" s="10" t="n">
        <f aca="false">P1277-IF(Q1277,Inputs!$B$9,0)+W1277</f>
        <v>925.345823172389</v>
      </c>
      <c r="Y1277" s="11" t="n">
        <f aca="false">IF(V1277,0,T1277)</f>
        <v>0</v>
      </c>
      <c r="Z1277" s="9" t="b">
        <f aca="false">AND(Y1277&gt;0,K1277)</f>
        <v>0</v>
      </c>
      <c r="AA1277" s="9" t="b">
        <f aca="false">AND(Y1277=0,J1277,ISNUMBER(L1277))</f>
        <v>0</v>
      </c>
      <c r="AB1277" s="8" t="n">
        <f aca="false">IF(Q1277,R1277,AB1276)</f>
        <v>0.902917052911703</v>
      </c>
      <c r="AC1277" s="12" t="n">
        <f aca="false">IF(Q1277,A1277,AC1276)</f>
        <v>46049</v>
      </c>
      <c r="AD1277" s="8" t="n">
        <f aca="false">IF(Q1277,B1277,AD1276)</f>
        <v>0.902736505610581</v>
      </c>
      <c r="AE1277" s="8" t="str">
        <f aca="false">IF(AA1277,L1277,"")</f>
        <v/>
      </c>
      <c r="AF1277" s="8" t="n">
        <f aca="false">U1277</f>
        <v>0.885137616607025</v>
      </c>
      <c r="AG1277" s="2" t="n">
        <f aca="false">AG1276+IF(Q1277,1,0)</f>
        <v>14</v>
      </c>
      <c r="AH1277" s="2" t="n">
        <f aca="false">AG1276</f>
        <v>14</v>
      </c>
      <c r="AI1277" s="10" t="n">
        <f aca="false">X1277+Y1277*(E1277-AB1277)-Y1277*AD1277*Inputs!$B$13*(A1277-AC1277)</f>
        <v>925.345823172389</v>
      </c>
      <c r="AJ1277" s="10" t="n">
        <v>0</v>
      </c>
      <c r="AK1277" s="8" t="n">
        <f aca="false">IF(AND(B1277&lt;=U1277,NOT(Q1277)),B1277,U1277)*(1-Inputs!$B$12)</f>
        <v>0.884960589083704</v>
      </c>
    </row>
    <row r="1278" customFormat="false" ht="15" hidden="false" customHeight="false" outlineLevel="0" collapsed="false">
      <c r="A1278" s="6" t="n">
        <v>46062</v>
      </c>
      <c r="B1278" s="7" t="n">
        <v>0.892130409310697</v>
      </c>
      <c r="C1278" s="7" t="n">
        <v>0.894513864194527</v>
      </c>
      <c r="D1278" s="7" t="n">
        <v>0.886103864133733</v>
      </c>
      <c r="E1278" s="7" t="n">
        <v>0.886934859966975</v>
      </c>
      <c r="F1278" s="8" t="n">
        <f aca="true">IF(ROW()-2&gt;=Inputs!$B$4,AVERAGE(OFFSET(E1278,1-Inputs!$B$4,0,Inputs!$B$4,1)),"")</f>
        <v>0.896586287322228</v>
      </c>
      <c r="G1278" s="8" t="n">
        <f aca="true">IF(ROW()-2&gt;=Inputs!$B$5,AVERAGE(OFFSET(E1278,1-Inputs!$B$5,0,Inputs!$B$5,1)),"")</f>
        <v>0.893593345447289</v>
      </c>
      <c r="H1278" s="8" t="n">
        <f aca="false">MAX(C1278-D1278,ABS(C1278-E1277),ABS(D1278-E1277))</f>
        <v>0.0084100000607944</v>
      </c>
      <c r="I1278" s="8" t="n">
        <f aca="true">IF(ROW()-2&lt;14,"",IF(ROW()-2=14,AVERAGE(OFFSET(H1278,-13,0,14,1)),(I1277*13+H1278)/14))</f>
        <v>0.00893901402537758</v>
      </c>
      <c r="J1278" s="9" t="b">
        <f aca="false">IF(AND(ISNUMBER(F1278),ISNUMBER(G1278),ISNUMBER(F1277),ISNUMBER(G1277)),AND(F1278&gt;G1278,F1277&lt;=G1277),FALSE())</f>
        <v>0</v>
      </c>
      <c r="K1278" s="9" t="b">
        <f aca="false">IF(AND(ISNUMBER(F1278),ISNUMBER(G1278),ISNUMBER(F1277),ISNUMBER(G1277)),AND(F1278&lt;G1278,F1277&gt;=G1277),FALSE())</f>
        <v>0</v>
      </c>
      <c r="L1278" s="8" t="n">
        <f aca="false">IF(ISNUMBER(I1278),E1278-Inputs!$B$6*I1278,"")</f>
        <v>0.86905683191622</v>
      </c>
      <c r="M1278" s="9" t="b">
        <f aca="false">AND(Y1277&gt;0,Z1277)</f>
        <v>0</v>
      </c>
      <c r="N1278" s="8" t="n">
        <f aca="false">B1278*(1-Inputs!$B$12)</f>
        <v>0.891951983228835</v>
      </c>
      <c r="O1278" s="10" t="n">
        <f aca="false">IF(M1278,Y1277*(N1278-AB1277)-Inputs!$B$9-Y1277*AD1277*Inputs!$B$13*(A1278-AC1277),0)</f>
        <v>0</v>
      </c>
      <c r="P1278" s="10" t="n">
        <f aca="false">X1277+O1278</f>
        <v>925.345823172389</v>
      </c>
      <c r="Q1278" s="9" t="b">
        <f aca="false">AND(IF(M1278,0,Y1277)=0,AA1277,IF(ISNUMBER(AE1277),B1278&gt;AE1277,FALSE()))</f>
        <v>0</v>
      </c>
      <c r="R1278" s="8" t="n">
        <f aca="false">B1278*(1+Inputs!$B$12)</f>
        <v>0.892308835392559</v>
      </c>
      <c r="S1278" s="11" t="n">
        <f aca="false">IF(Q1278,MIN(P1278*Inputs!$B$3/(R1278-AE1277),P1278*Inputs!$B$11/R1278),0)</f>
        <v>0</v>
      </c>
      <c r="T1278" s="11" t="n">
        <f aca="false">IF(Q1278,S1278,IF(M1278,0,Y1277))</f>
        <v>0</v>
      </c>
      <c r="U1278" s="8" t="n">
        <f aca="false">IF(Q1278,AE1277,AF1277)</f>
        <v>0.885137616607025</v>
      </c>
      <c r="V1278" s="9" t="b">
        <f aca="false">AND(T1278&gt;0,D1278&lt;=U1278)</f>
        <v>0</v>
      </c>
      <c r="W1278" s="10" t="n">
        <f aca="false">IF(V1278,T1278*(AK1278-AB1278)-Inputs!$B$9-T1278*AD1278*Inputs!$B$13*(A1278-AC1278),0)</f>
        <v>0</v>
      </c>
      <c r="X1278" s="10" t="n">
        <f aca="false">P1278-IF(Q1278,Inputs!$B$9,0)+W1278</f>
        <v>925.345823172389</v>
      </c>
      <c r="Y1278" s="11" t="n">
        <f aca="false">IF(V1278,0,T1278)</f>
        <v>0</v>
      </c>
      <c r="Z1278" s="9" t="b">
        <f aca="false">AND(Y1278&gt;0,K1278)</f>
        <v>0</v>
      </c>
      <c r="AA1278" s="9" t="b">
        <f aca="false">AND(Y1278=0,J1278,ISNUMBER(L1278))</f>
        <v>0</v>
      </c>
      <c r="AB1278" s="8" t="n">
        <f aca="false">IF(Q1278,R1278,AB1277)</f>
        <v>0.902917052911703</v>
      </c>
      <c r="AC1278" s="12" t="n">
        <f aca="false">IF(Q1278,A1278,AC1277)</f>
        <v>46049</v>
      </c>
      <c r="AD1278" s="8" t="n">
        <f aca="false">IF(Q1278,B1278,AD1277)</f>
        <v>0.902736505610581</v>
      </c>
      <c r="AE1278" s="8" t="str">
        <f aca="false">IF(AA1278,L1278,"")</f>
        <v/>
      </c>
      <c r="AF1278" s="8" t="n">
        <f aca="false">U1278</f>
        <v>0.885137616607025</v>
      </c>
      <c r="AG1278" s="2" t="n">
        <f aca="false">AG1277+IF(Q1278,1,0)</f>
        <v>14</v>
      </c>
      <c r="AH1278" s="2" t="n">
        <f aca="false">AG1277</f>
        <v>14</v>
      </c>
      <c r="AI1278" s="10" t="n">
        <f aca="false">X1278+Y1278*(E1278-AB1278)-Y1278*AD1278*Inputs!$B$13*(A1278-AC1278)</f>
        <v>925.345823172389</v>
      </c>
      <c r="AJ1278" s="10" t="n">
        <v>0</v>
      </c>
      <c r="AK1278" s="8" t="n">
        <f aca="false">IF(AND(B1278&lt;=U1278,NOT(Q1278)),B1278,U1278)*(1-Inputs!$B$12)</f>
        <v>0.884960589083704</v>
      </c>
    </row>
    <row r="1279" customFormat="false" ht="15" hidden="false" customHeight="false" outlineLevel="0" collapsed="false">
      <c r="A1279" s="6" t="n">
        <v>46063</v>
      </c>
      <c r="B1279" s="7" t="n">
        <v>0.886934859966975</v>
      </c>
      <c r="C1279" s="7" t="n">
        <v>0.890181963380553</v>
      </c>
      <c r="D1279" s="7" t="n">
        <v>0.885646759846784</v>
      </c>
      <c r="E1279" s="7" t="n">
        <v>0.889386548554493</v>
      </c>
      <c r="F1279" s="8" t="n">
        <f aca="true">IF(ROW()-2&gt;=Inputs!$B$4,AVERAGE(OFFSET(E1279,1-Inputs!$B$4,0,Inputs!$B$4,1)),"")</f>
        <v>0.895636043259731</v>
      </c>
      <c r="G1279" s="8" t="n">
        <f aca="true">IF(ROW()-2&gt;=Inputs!$B$5,AVERAGE(OFFSET(E1279,1-Inputs!$B$5,0,Inputs!$B$5,1)),"")</f>
        <v>0.893382485345961</v>
      </c>
      <c r="H1279" s="8" t="n">
        <f aca="false">MAX(C1279-D1279,ABS(C1279-E1278),ABS(D1279-E1278))</f>
        <v>0.00453520353376924</v>
      </c>
      <c r="I1279" s="8" t="n">
        <f aca="true">IF(ROW()-2&lt;14,"",IF(ROW()-2=14,AVERAGE(OFFSET(H1279,-13,0,14,1)),(I1278*13+H1279)/14))</f>
        <v>0.00862445613311984</v>
      </c>
      <c r="J1279" s="9" t="b">
        <f aca="false">IF(AND(ISNUMBER(F1279),ISNUMBER(G1279),ISNUMBER(F1278),ISNUMBER(G1278)),AND(F1279&gt;G1279,F1278&lt;=G1278),FALSE())</f>
        <v>0</v>
      </c>
      <c r="K1279" s="9" t="b">
        <f aca="false">IF(AND(ISNUMBER(F1279),ISNUMBER(G1279),ISNUMBER(F1278),ISNUMBER(G1278)),AND(F1279&lt;G1279,F1278&gt;=G1278),FALSE())</f>
        <v>0</v>
      </c>
      <c r="L1279" s="8" t="n">
        <f aca="false">IF(ISNUMBER(I1279),E1279-Inputs!$B$6*I1279,"")</f>
        <v>0.872137636288254</v>
      </c>
      <c r="M1279" s="9" t="b">
        <f aca="false">AND(Y1278&gt;0,Z1278)</f>
        <v>0</v>
      </c>
      <c r="N1279" s="8" t="n">
        <f aca="false">B1279*(1-Inputs!$B$12)</f>
        <v>0.886757472994981</v>
      </c>
      <c r="O1279" s="10" t="n">
        <f aca="false">IF(M1279,Y1278*(N1279-AB1278)-Inputs!$B$9-Y1278*AD1278*Inputs!$B$13*(A1279-AC1278),0)</f>
        <v>0</v>
      </c>
      <c r="P1279" s="10" t="n">
        <f aca="false">X1278+O1279</f>
        <v>925.345823172389</v>
      </c>
      <c r="Q1279" s="9" t="b">
        <f aca="false">AND(IF(M1279,0,Y1278)=0,AA1278,IF(ISNUMBER(AE1278),B1279&gt;AE1278,FALSE()))</f>
        <v>0</v>
      </c>
      <c r="R1279" s="8" t="n">
        <f aca="false">B1279*(1+Inputs!$B$12)</f>
        <v>0.887112246938968</v>
      </c>
      <c r="S1279" s="11" t="n">
        <f aca="false">IF(Q1279,MIN(P1279*Inputs!$B$3/(R1279-AE1278),P1279*Inputs!$B$11/R1279),0)</f>
        <v>0</v>
      </c>
      <c r="T1279" s="11" t="n">
        <f aca="false">IF(Q1279,S1279,IF(M1279,0,Y1278))</f>
        <v>0</v>
      </c>
      <c r="U1279" s="8" t="n">
        <f aca="false">IF(Q1279,AE1278,AF1278)</f>
        <v>0.885137616607025</v>
      </c>
      <c r="V1279" s="9" t="b">
        <f aca="false">AND(T1279&gt;0,D1279&lt;=U1279)</f>
        <v>0</v>
      </c>
      <c r="W1279" s="10" t="n">
        <f aca="false">IF(V1279,T1279*(AK1279-AB1279)-Inputs!$B$9-T1279*AD1279*Inputs!$B$13*(A1279-AC1279),0)</f>
        <v>0</v>
      </c>
      <c r="X1279" s="10" t="n">
        <f aca="false">P1279-IF(Q1279,Inputs!$B$9,0)+W1279</f>
        <v>925.345823172389</v>
      </c>
      <c r="Y1279" s="11" t="n">
        <f aca="false">IF(V1279,0,T1279)</f>
        <v>0</v>
      </c>
      <c r="Z1279" s="9" t="b">
        <f aca="false">AND(Y1279&gt;0,K1279)</f>
        <v>0</v>
      </c>
      <c r="AA1279" s="9" t="b">
        <f aca="false">AND(Y1279=0,J1279,ISNUMBER(L1279))</f>
        <v>0</v>
      </c>
      <c r="AB1279" s="8" t="n">
        <f aca="false">IF(Q1279,R1279,AB1278)</f>
        <v>0.902917052911703</v>
      </c>
      <c r="AC1279" s="12" t="n">
        <f aca="false">IF(Q1279,A1279,AC1278)</f>
        <v>46049</v>
      </c>
      <c r="AD1279" s="8" t="n">
        <f aca="false">IF(Q1279,B1279,AD1278)</f>
        <v>0.902736505610581</v>
      </c>
      <c r="AE1279" s="8" t="str">
        <f aca="false">IF(AA1279,L1279,"")</f>
        <v/>
      </c>
      <c r="AF1279" s="8" t="n">
        <f aca="false">U1279</f>
        <v>0.885137616607025</v>
      </c>
      <c r="AG1279" s="2" t="n">
        <f aca="false">AG1278+IF(Q1279,1,0)</f>
        <v>14</v>
      </c>
      <c r="AH1279" s="2" t="n">
        <f aca="false">AG1278</f>
        <v>14</v>
      </c>
      <c r="AI1279" s="10" t="n">
        <f aca="false">X1279+Y1279*(E1279-AB1279)-Y1279*AD1279*Inputs!$B$13*(A1279-AC1279)</f>
        <v>925.345823172389</v>
      </c>
      <c r="AJ1279" s="10" t="n">
        <v>0</v>
      </c>
      <c r="AK1279" s="8" t="n">
        <f aca="false">IF(AND(B1279&lt;=U1279,NOT(Q1279)),B1279,U1279)*(1-Inputs!$B$12)</f>
        <v>0.884960589083704</v>
      </c>
    </row>
    <row r="1280" customFormat="false" ht="15" hidden="false" customHeight="false" outlineLevel="0" collapsed="false">
      <c r="A1280" s="6" t="n">
        <v>46064</v>
      </c>
      <c r="B1280" s="7" t="n">
        <v>0.889386548554493</v>
      </c>
      <c r="C1280" s="7" t="n">
        <v>0.89110584747167</v>
      </c>
      <c r="D1280" s="7" t="n">
        <v>0.878978321779604</v>
      </c>
      <c r="E1280" s="7" t="n">
        <v>0.880413447163164</v>
      </c>
      <c r="F1280" s="8" t="n">
        <f aca="true">IF(ROW()-2&gt;=Inputs!$B$4,AVERAGE(OFFSET(E1280,1-Inputs!$B$4,0,Inputs!$B$4,1)),"")</f>
        <v>0.894218997234106</v>
      </c>
      <c r="G1280" s="8" t="n">
        <f aca="true">IF(ROW()-2&gt;=Inputs!$B$5,AVERAGE(OFFSET(E1280,1-Inputs!$B$5,0,Inputs!$B$5,1)),"")</f>
        <v>0.892977725408819</v>
      </c>
      <c r="H1280" s="8" t="n">
        <f aca="false">MAX(C1280-D1280,ABS(C1280-E1279),ABS(D1280-E1279))</f>
        <v>0.0121275256920654</v>
      </c>
      <c r="I1280" s="8" t="n">
        <f aca="true">IF(ROW()-2&lt;14,"",IF(ROW()-2=14,AVERAGE(OFFSET(H1280,-13,0,14,1)),(I1279*13+H1280)/14))</f>
        <v>0.00887467538733024</v>
      </c>
      <c r="J1280" s="9" t="b">
        <f aca="false">IF(AND(ISNUMBER(F1280),ISNUMBER(G1280),ISNUMBER(F1279),ISNUMBER(G1279)),AND(F1280&gt;G1280,F1279&lt;=G1279),FALSE())</f>
        <v>0</v>
      </c>
      <c r="K1280" s="9" t="b">
        <f aca="false">IF(AND(ISNUMBER(F1280),ISNUMBER(G1280),ISNUMBER(F1279),ISNUMBER(G1279)),AND(F1280&lt;G1280,F1279&gt;=G1279),FALSE())</f>
        <v>0</v>
      </c>
      <c r="L1280" s="8" t="n">
        <f aca="false">IF(ISNUMBER(I1280),E1280-Inputs!$B$6*I1280,"")</f>
        <v>0.862664096388504</v>
      </c>
      <c r="M1280" s="9" t="b">
        <f aca="false">AND(Y1279&gt;0,Z1279)</f>
        <v>0</v>
      </c>
      <c r="N1280" s="8" t="n">
        <f aca="false">B1280*(1-Inputs!$B$12)</f>
        <v>0.889208671244782</v>
      </c>
      <c r="O1280" s="10" t="n">
        <f aca="false">IF(M1280,Y1279*(N1280-AB1279)-Inputs!$B$9-Y1279*AD1279*Inputs!$B$13*(A1280-AC1279),0)</f>
        <v>0</v>
      </c>
      <c r="P1280" s="10" t="n">
        <f aca="false">X1279+O1280</f>
        <v>925.345823172389</v>
      </c>
      <c r="Q1280" s="9" t="b">
        <f aca="false">AND(IF(M1280,0,Y1279)=0,AA1279,IF(ISNUMBER(AE1279),B1280&gt;AE1279,FALSE()))</f>
        <v>0</v>
      </c>
      <c r="R1280" s="8" t="n">
        <f aca="false">B1280*(1+Inputs!$B$12)</f>
        <v>0.889564425864204</v>
      </c>
      <c r="S1280" s="11" t="n">
        <f aca="false">IF(Q1280,MIN(P1280*Inputs!$B$3/(R1280-AE1279),P1280*Inputs!$B$11/R1280),0)</f>
        <v>0</v>
      </c>
      <c r="T1280" s="11" t="n">
        <f aca="false">IF(Q1280,S1280,IF(M1280,0,Y1279))</f>
        <v>0</v>
      </c>
      <c r="U1280" s="8" t="n">
        <f aca="false">IF(Q1280,AE1279,AF1279)</f>
        <v>0.885137616607025</v>
      </c>
      <c r="V1280" s="9" t="b">
        <f aca="false">AND(T1280&gt;0,D1280&lt;=U1280)</f>
        <v>0</v>
      </c>
      <c r="W1280" s="10" t="n">
        <f aca="false">IF(V1280,T1280*(AK1280-AB1280)-Inputs!$B$9-T1280*AD1280*Inputs!$B$13*(A1280-AC1280),0)</f>
        <v>0</v>
      </c>
      <c r="X1280" s="10" t="n">
        <f aca="false">P1280-IF(Q1280,Inputs!$B$9,0)+W1280</f>
        <v>925.345823172389</v>
      </c>
      <c r="Y1280" s="11" t="n">
        <f aca="false">IF(V1280,0,T1280)</f>
        <v>0</v>
      </c>
      <c r="Z1280" s="9" t="b">
        <f aca="false">AND(Y1280&gt;0,K1280)</f>
        <v>0</v>
      </c>
      <c r="AA1280" s="9" t="b">
        <f aca="false">AND(Y1280=0,J1280,ISNUMBER(L1280))</f>
        <v>0</v>
      </c>
      <c r="AB1280" s="8" t="n">
        <f aca="false">IF(Q1280,R1280,AB1279)</f>
        <v>0.902917052911703</v>
      </c>
      <c r="AC1280" s="12" t="n">
        <f aca="false">IF(Q1280,A1280,AC1279)</f>
        <v>46049</v>
      </c>
      <c r="AD1280" s="8" t="n">
        <f aca="false">IF(Q1280,B1280,AD1279)</f>
        <v>0.902736505610581</v>
      </c>
      <c r="AE1280" s="8" t="str">
        <f aca="false">IF(AA1280,L1280,"")</f>
        <v/>
      </c>
      <c r="AF1280" s="8" t="n">
        <f aca="false">U1280</f>
        <v>0.885137616607025</v>
      </c>
      <c r="AG1280" s="2" t="n">
        <f aca="false">AG1279+IF(Q1280,1,0)</f>
        <v>14</v>
      </c>
      <c r="AH1280" s="2" t="n">
        <f aca="false">AG1279</f>
        <v>14</v>
      </c>
      <c r="AI1280" s="10" t="n">
        <f aca="false">X1280+Y1280*(E1280-AB1280)-Y1280*AD1280*Inputs!$B$13*(A1280-AC1280)</f>
        <v>925.345823172389</v>
      </c>
      <c r="AJ1280" s="10" t="n">
        <v>0</v>
      </c>
      <c r="AK1280" s="8" t="n">
        <f aca="false">IF(AND(B1280&lt;=U1280,NOT(Q1280)),B1280,U1280)*(1-Inputs!$B$12)</f>
        <v>0.884960589083704</v>
      </c>
    </row>
    <row r="1281" customFormat="false" ht="15" hidden="false" customHeight="false" outlineLevel="0" collapsed="false">
      <c r="A1281" s="6" t="n">
        <v>46065</v>
      </c>
      <c r="B1281" s="7" t="n">
        <v>0.880413447163164</v>
      </c>
      <c r="C1281" s="7" t="n">
        <v>0.884857299693757</v>
      </c>
      <c r="D1281" s="7" t="n">
        <v>0.880183573292659</v>
      </c>
      <c r="E1281" s="7" t="n">
        <v>0.884093676837103</v>
      </c>
      <c r="F1281" s="8" t="n">
        <f aca="true">IF(ROW()-2&gt;=Inputs!$B$4,AVERAGE(OFFSET(E1281,1-Inputs!$B$4,0,Inputs!$B$4,1)),"")</f>
        <v>0.893275638464621</v>
      </c>
      <c r="G1281" s="8" t="n">
        <f aca="true">IF(ROW()-2&gt;=Inputs!$B$5,AVERAGE(OFFSET(E1281,1-Inputs!$B$5,0,Inputs!$B$5,1)),"")</f>
        <v>0.892758416453674</v>
      </c>
      <c r="H1281" s="8" t="n">
        <f aca="false">MAX(C1281-D1281,ABS(C1281-E1280),ABS(D1281-E1280))</f>
        <v>0.00467372640109753</v>
      </c>
      <c r="I1281" s="8" t="n">
        <f aca="true">IF(ROW()-2&lt;14,"",IF(ROW()-2=14,AVERAGE(OFFSET(H1281,-13,0,14,1)),(I1280*13+H1281)/14))</f>
        <v>0.00857460760259933</v>
      </c>
      <c r="J1281" s="9" t="b">
        <f aca="false">IF(AND(ISNUMBER(F1281),ISNUMBER(G1281),ISNUMBER(F1280),ISNUMBER(G1280)),AND(F1281&gt;G1281,F1280&lt;=G1280),FALSE())</f>
        <v>0</v>
      </c>
      <c r="K1281" s="9" t="b">
        <f aca="false">IF(AND(ISNUMBER(F1281),ISNUMBER(G1281),ISNUMBER(F1280),ISNUMBER(G1280)),AND(F1281&lt;G1281,F1280&gt;=G1280),FALSE())</f>
        <v>0</v>
      </c>
      <c r="L1281" s="8" t="n">
        <f aca="false">IF(ISNUMBER(I1281),E1281-Inputs!$B$6*I1281,"")</f>
        <v>0.866944461631904</v>
      </c>
      <c r="M1281" s="9" t="b">
        <f aca="false">AND(Y1280&gt;0,Z1280)</f>
        <v>0</v>
      </c>
      <c r="N1281" s="8" t="n">
        <f aca="false">B1281*(1-Inputs!$B$12)</f>
        <v>0.880237364473732</v>
      </c>
      <c r="O1281" s="10" t="n">
        <f aca="false">IF(M1281,Y1280*(N1281-AB1280)-Inputs!$B$9-Y1280*AD1280*Inputs!$B$13*(A1281-AC1280),0)</f>
        <v>0</v>
      </c>
      <c r="P1281" s="10" t="n">
        <f aca="false">X1280+O1281</f>
        <v>925.345823172389</v>
      </c>
      <c r="Q1281" s="9" t="b">
        <f aca="false">AND(IF(M1281,0,Y1280)=0,AA1280,IF(ISNUMBER(AE1280),B1281&gt;AE1280,FALSE()))</f>
        <v>0</v>
      </c>
      <c r="R1281" s="8" t="n">
        <f aca="false">B1281*(1+Inputs!$B$12)</f>
        <v>0.880589529852597</v>
      </c>
      <c r="S1281" s="11" t="n">
        <f aca="false">IF(Q1281,MIN(P1281*Inputs!$B$3/(R1281-AE1280),P1281*Inputs!$B$11/R1281),0)</f>
        <v>0</v>
      </c>
      <c r="T1281" s="11" t="n">
        <f aca="false">IF(Q1281,S1281,IF(M1281,0,Y1280))</f>
        <v>0</v>
      </c>
      <c r="U1281" s="8" t="n">
        <f aca="false">IF(Q1281,AE1280,AF1280)</f>
        <v>0.885137616607025</v>
      </c>
      <c r="V1281" s="9" t="b">
        <f aca="false">AND(T1281&gt;0,D1281&lt;=U1281)</f>
        <v>0</v>
      </c>
      <c r="W1281" s="10" t="n">
        <f aca="false">IF(V1281,T1281*(AK1281-AB1281)-Inputs!$B$9-T1281*AD1281*Inputs!$B$13*(A1281-AC1281),0)</f>
        <v>0</v>
      </c>
      <c r="X1281" s="10" t="n">
        <f aca="false">P1281-IF(Q1281,Inputs!$B$9,0)+W1281</f>
        <v>925.345823172389</v>
      </c>
      <c r="Y1281" s="11" t="n">
        <f aca="false">IF(V1281,0,T1281)</f>
        <v>0</v>
      </c>
      <c r="Z1281" s="9" t="b">
        <f aca="false">AND(Y1281&gt;0,K1281)</f>
        <v>0</v>
      </c>
      <c r="AA1281" s="9" t="b">
        <f aca="false">AND(Y1281=0,J1281,ISNUMBER(L1281))</f>
        <v>0</v>
      </c>
      <c r="AB1281" s="8" t="n">
        <f aca="false">IF(Q1281,R1281,AB1280)</f>
        <v>0.902917052911703</v>
      </c>
      <c r="AC1281" s="12" t="n">
        <f aca="false">IF(Q1281,A1281,AC1280)</f>
        <v>46049</v>
      </c>
      <c r="AD1281" s="8" t="n">
        <f aca="false">IF(Q1281,B1281,AD1280)</f>
        <v>0.902736505610581</v>
      </c>
      <c r="AE1281" s="8" t="str">
        <f aca="false">IF(AA1281,L1281,"")</f>
        <v/>
      </c>
      <c r="AF1281" s="8" t="n">
        <f aca="false">U1281</f>
        <v>0.885137616607025</v>
      </c>
      <c r="AG1281" s="2" t="n">
        <f aca="false">AG1280+IF(Q1281,1,0)</f>
        <v>14</v>
      </c>
      <c r="AH1281" s="2" t="n">
        <f aca="false">AG1280</f>
        <v>14</v>
      </c>
      <c r="AI1281" s="10" t="n">
        <f aca="false">X1281+Y1281*(E1281-AB1281)-Y1281*AD1281*Inputs!$B$13*(A1281-AC1281)</f>
        <v>925.345823172389</v>
      </c>
      <c r="AJ1281" s="10" t="n">
        <v>0</v>
      </c>
      <c r="AK1281" s="8" t="n">
        <f aca="false">IF(AND(B1281&lt;=U1281,NOT(Q1281)),B1281,U1281)*(1-Inputs!$B$12)</f>
        <v>0.880237364473732</v>
      </c>
    </row>
    <row r="1282" customFormat="false" ht="15" hidden="false" customHeight="false" outlineLevel="0" collapsed="false">
      <c r="A1282" s="6" t="n">
        <v>46066</v>
      </c>
      <c r="B1282" s="7" t="n">
        <v>0.884093676837103</v>
      </c>
      <c r="C1282" s="7" t="n">
        <v>0.890983790925328</v>
      </c>
      <c r="D1282" s="7" t="n">
        <v>0.883962290813777</v>
      </c>
      <c r="E1282" s="7" t="n">
        <v>0.890012269615004</v>
      </c>
      <c r="F1282" s="8" t="n">
        <f aca="true">IF(ROW()-2&gt;=Inputs!$B$4,AVERAGE(OFFSET(E1282,1-Inputs!$B$4,0,Inputs!$B$4,1)),"")</f>
        <v>0.892692146864169</v>
      </c>
      <c r="G1282" s="8" t="n">
        <f aca="true">IF(ROW()-2&gt;=Inputs!$B$5,AVERAGE(OFFSET(E1282,1-Inputs!$B$5,0,Inputs!$B$5,1)),"")</f>
        <v>0.892622903371504</v>
      </c>
      <c r="H1282" s="8" t="n">
        <f aca="false">MAX(C1282-D1282,ABS(C1282-E1281),ABS(D1282-E1281))</f>
        <v>0.00702150011155067</v>
      </c>
      <c r="I1282" s="8" t="n">
        <f aca="true">IF(ROW()-2&lt;14,"",IF(ROW()-2=14,AVERAGE(OFFSET(H1282,-13,0,14,1)),(I1281*13+H1282)/14))</f>
        <v>0.00846367135323871</v>
      </c>
      <c r="J1282" s="9" t="b">
        <f aca="false">IF(AND(ISNUMBER(F1282),ISNUMBER(G1282),ISNUMBER(F1281),ISNUMBER(G1281)),AND(F1282&gt;G1282,F1281&lt;=G1281),FALSE())</f>
        <v>0</v>
      </c>
      <c r="K1282" s="9" t="b">
        <f aca="false">IF(AND(ISNUMBER(F1282),ISNUMBER(G1282),ISNUMBER(F1281),ISNUMBER(G1281)),AND(F1282&lt;G1282,F1281&gt;=G1281),FALSE())</f>
        <v>0</v>
      </c>
      <c r="L1282" s="8" t="n">
        <f aca="false">IF(ISNUMBER(I1282),E1282-Inputs!$B$6*I1282,"")</f>
        <v>0.873084926908527</v>
      </c>
      <c r="M1282" s="9" t="b">
        <f aca="false">AND(Y1281&gt;0,Z1281)</f>
        <v>0</v>
      </c>
      <c r="N1282" s="8" t="n">
        <f aca="false">B1282*(1-Inputs!$B$12)</f>
        <v>0.883916858101736</v>
      </c>
      <c r="O1282" s="10" t="n">
        <f aca="false">IF(M1282,Y1281*(N1282-AB1281)-Inputs!$B$9-Y1281*AD1281*Inputs!$B$13*(A1282-AC1281),0)</f>
        <v>0</v>
      </c>
      <c r="P1282" s="10" t="n">
        <f aca="false">X1281+O1282</f>
        <v>925.345823172389</v>
      </c>
      <c r="Q1282" s="9" t="b">
        <f aca="false">AND(IF(M1282,0,Y1281)=0,AA1281,IF(ISNUMBER(AE1281),B1282&gt;AE1281,FALSE()))</f>
        <v>0</v>
      </c>
      <c r="R1282" s="8" t="n">
        <f aca="false">B1282*(1+Inputs!$B$12)</f>
        <v>0.88427049557247</v>
      </c>
      <c r="S1282" s="11" t="n">
        <f aca="false">IF(Q1282,MIN(P1282*Inputs!$B$3/(R1282-AE1281),P1282*Inputs!$B$11/R1282),0)</f>
        <v>0</v>
      </c>
      <c r="T1282" s="11" t="n">
        <f aca="false">IF(Q1282,S1282,IF(M1282,0,Y1281))</f>
        <v>0</v>
      </c>
      <c r="U1282" s="8" t="n">
        <f aca="false">IF(Q1282,AE1281,AF1281)</f>
        <v>0.885137616607025</v>
      </c>
      <c r="V1282" s="9" t="b">
        <f aca="false">AND(T1282&gt;0,D1282&lt;=U1282)</f>
        <v>0</v>
      </c>
      <c r="W1282" s="10" t="n">
        <f aca="false">IF(V1282,T1282*(AK1282-AB1282)-Inputs!$B$9-T1282*AD1282*Inputs!$B$13*(A1282-AC1282),0)</f>
        <v>0</v>
      </c>
      <c r="X1282" s="10" t="n">
        <f aca="false">P1282-IF(Q1282,Inputs!$B$9,0)+W1282</f>
        <v>925.345823172389</v>
      </c>
      <c r="Y1282" s="11" t="n">
        <f aca="false">IF(V1282,0,T1282)</f>
        <v>0</v>
      </c>
      <c r="Z1282" s="9" t="b">
        <f aca="false">AND(Y1282&gt;0,K1282)</f>
        <v>0</v>
      </c>
      <c r="AA1282" s="9" t="b">
        <f aca="false">AND(Y1282=0,J1282,ISNUMBER(L1282))</f>
        <v>0</v>
      </c>
      <c r="AB1282" s="8" t="n">
        <f aca="false">IF(Q1282,R1282,AB1281)</f>
        <v>0.902917052911703</v>
      </c>
      <c r="AC1282" s="12" t="n">
        <f aca="false">IF(Q1282,A1282,AC1281)</f>
        <v>46049</v>
      </c>
      <c r="AD1282" s="8" t="n">
        <f aca="false">IF(Q1282,B1282,AD1281)</f>
        <v>0.902736505610581</v>
      </c>
      <c r="AE1282" s="8" t="str">
        <f aca="false">IF(AA1282,L1282,"")</f>
        <v/>
      </c>
      <c r="AF1282" s="8" t="n">
        <f aca="false">U1282</f>
        <v>0.885137616607025</v>
      </c>
      <c r="AG1282" s="2" t="n">
        <f aca="false">AG1281+IF(Q1282,1,0)</f>
        <v>14</v>
      </c>
      <c r="AH1282" s="2" t="n">
        <f aca="false">AG1281</f>
        <v>14</v>
      </c>
      <c r="AI1282" s="10" t="n">
        <f aca="false">X1282+Y1282*(E1282-AB1282)-Y1282*AD1282*Inputs!$B$13*(A1282-AC1282)</f>
        <v>925.345823172389</v>
      </c>
      <c r="AJ1282" s="10" t="n">
        <v>0</v>
      </c>
      <c r="AK1282" s="8" t="n">
        <f aca="false">IF(AND(B1282&lt;=U1282,NOT(Q1282)),B1282,U1282)*(1-Inputs!$B$12)</f>
        <v>0.883916858101736</v>
      </c>
    </row>
    <row r="1283" customFormat="false" ht="15" hidden="false" customHeight="false" outlineLevel="0" collapsed="false">
      <c r="A1283" s="6" t="n">
        <v>46067</v>
      </c>
      <c r="B1283" s="7" t="n">
        <v>0.890012269615004</v>
      </c>
      <c r="C1283" s="7" t="n">
        <v>0.897167507817209</v>
      </c>
      <c r="D1283" s="7" t="n">
        <v>0.887046550705333</v>
      </c>
      <c r="E1283" s="7" t="n">
        <v>0.894981648130741</v>
      </c>
      <c r="F1283" s="8" t="n">
        <f aca="true">IF(ROW()-2&gt;=Inputs!$B$4,AVERAGE(OFFSET(E1283,1-Inputs!$B$4,0,Inputs!$B$4,1)),"")</f>
        <v>0.892408456322312</v>
      </c>
      <c r="G1283" s="8" t="n">
        <f aca="true">IF(ROW()-2&gt;=Inputs!$B$5,AVERAGE(OFFSET(E1283,1-Inputs!$B$5,0,Inputs!$B$5,1)),"")</f>
        <v>0.892723997544491</v>
      </c>
      <c r="H1283" s="8" t="n">
        <f aca="false">MAX(C1283-D1283,ABS(C1283-E1282),ABS(D1283-E1282))</f>
        <v>0.0101209571118757</v>
      </c>
      <c r="I1283" s="8" t="n">
        <f aca="true">IF(ROW()-2&lt;14,"",IF(ROW()-2=14,AVERAGE(OFFSET(H1283,-13,0,14,1)),(I1282*13+H1283)/14))</f>
        <v>0.00858204890742707</v>
      </c>
      <c r="J1283" s="9" t="b">
        <f aca="false">IF(AND(ISNUMBER(F1283),ISNUMBER(G1283),ISNUMBER(F1282),ISNUMBER(G1282)),AND(F1283&gt;G1283,F1282&lt;=G1282),FALSE())</f>
        <v>0</v>
      </c>
      <c r="K1283" s="9" t="b">
        <f aca="false">IF(AND(ISNUMBER(F1283),ISNUMBER(G1283),ISNUMBER(F1282),ISNUMBER(G1282)),AND(F1283&lt;G1283,F1282&gt;=G1282),FALSE())</f>
        <v>1</v>
      </c>
      <c r="L1283" s="8" t="n">
        <f aca="false">IF(ISNUMBER(I1283),E1283-Inputs!$B$6*I1283,"")</f>
        <v>0.877817550315887</v>
      </c>
      <c r="M1283" s="9" t="b">
        <f aca="false">AND(Y1282&gt;0,Z1282)</f>
        <v>0</v>
      </c>
      <c r="N1283" s="8" t="n">
        <f aca="false">B1283*(1-Inputs!$B$12)</f>
        <v>0.889834267161081</v>
      </c>
      <c r="O1283" s="10" t="n">
        <f aca="false">IF(M1283,Y1282*(N1283-AB1282)-Inputs!$B$9-Y1282*AD1282*Inputs!$B$13*(A1283-AC1282),0)</f>
        <v>0</v>
      </c>
      <c r="P1283" s="10" t="n">
        <f aca="false">X1282+O1283</f>
        <v>925.345823172389</v>
      </c>
      <c r="Q1283" s="9" t="b">
        <f aca="false">AND(IF(M1283,0,Y1282)=0,AA1282,IF(ISNUMBER(AE1282),B1283&gt;AE1282,FALSE()))</f>
        <v>0</v>
      </c>
      <c r="R1283" s="8" t="n">
        <f aca="false">B1283*(1+Inputs!$B$12)</f>
        <v>0.890190272068927</v>
      </c>
      <c r="S1283" s="11" t="n">
        <f aca="false">IF(Q1283,MIN(P1283*Inputs!$B$3/(R1283-AE1282),P1283*Inputs!$B$11/R1283),0)</f>
        <v>0</v>
      </c>
      <c r="T1283" s="11" t="n">
        <f aca="false">IF(Q1283,S1283,IF(M1283,0,Y1282))</f>
        <v>0</v>
      </c>
      <c r="U1283" s="8" t="n">
        <f aca="false">IF(Q1283,AE1282,AF1282)</f>
        <v>0.885137616607025</v>
      </c>
      <c r="V1283" s="9" t="b">
        <f aca="false">AND(T1283&gt;0,D1283&lt;=U1283)</f>
        <v>0</v>
      </c>
      <c r="W1283" s="10" t="n">
        <f aca="false">IF(V1283,T1283*(AK1283-AB1283)-Inputs!$B$9-T1283*AD1283*Inputs!$B$13*(A1283-AC1283),0)</f>
        <v>0</v>
      </c>
      <c r="X1283" s="10" t="n">
        <f aca="false">P1283-IF(Q1283,Inputs!$B$9,0)+W1283</f>
        <v>925.345823172389</v>
      </c>
      <c r="Y1283" s="11" t="n">
        <f aca="false">IF(V1283,0,T1283)</f>
        <v>0</v>
      </c>
      <c r="Z1283" s="9" t="b">
        <f aca="false">AND(Y1283&gt;0,K1283)</f>
        <v>0</v>
      </c>
      <c r="AA1283" s="9" t="b">
        <f aca="false">AND(Y1283=0,J1283,ISNUMBER(L1283))</f>
        <v>0</v>
      </c>
      <c r="AB1283" s="8" t="n">
        <f aca="false">IF(Q1283,R1283,AB1282)</f>
        <v>0.902917052911703</v>
      </c>
      <c r="AC1283" s="12" t="n">
        <f aca="false">IF(Q1283,A1283,AC1282)</f>
        <v>46049</v>
      </c>
      <c r="AD1283" s="8" t="n">
        <f aca="false">IF(Q1283,B1283,AD1282)</f>
        <v>0.902736505610581</v>
      </c>
      <c r="AE1283" s="8" t="str">
        <f aca="false">IF(AA1283,L1283,"")</f>
        <v/>
      </c>
      <c r="AF1283" s="8" t="n">
        <f aca="false">U1283</f>
        <v>0.885137616607025</v>
      </c>
      <c r="AG1283" s="2" t="n">
        <f aca="false">AG1282+IF(Q1283,1,0)</f>
        <v>14</v>
      </c>
      <c r="AH1283" s="2" t="n">
        <f aca="false">AG1282</f>
        <v>14</v>
      </c>
      <c r="AI1283" s="10" t="n">
        <f aca="false">X1283+Y1283*(E1283-AB1283)-Y1283*AD1283*Inputs!$B$13*(A1283-AC1283)</f>
        <v>925.345823172389</v>
      </c>
      <c r="AJ1283" s="10" t="n">
        <v>0</v>
      </c>
      <c r="AK1283" s="8" t="n">
        <f aca="false">IF(AND(B1283&lt;=U1283,NOT(Q1283)),B1283,U1283)*(1-Inputs!$B$12)</f>
        <v>0.884960589083704</v>
      </c>
    </row>
    <row r="1284" customFormat="false" ht="15" hidden="false" customHeight="false" outlineLevel="0" collapsed="false">
      <c r="A1284" s="6" t="n">
        <v>46068</v>
      </c>
      <c r="B1284" s="7" t="n">
        <v>0.894981648130741</v>
      </c>
      <c r="C1284" s="7" t="n">
        <v>0.897219912722397</v>
      </c>
      <c r="D1284" s="7" t="n">
        <v>0.880299683967615</v>
      </c>
      <c r="E1284" s="7" t="n">
        <v>0.885435491394343</v>
      </c>
      <c r="F1284" s="8" t="n">
        <f aca="true">IF(ROW()-2&gt;=Inputs!$B$4,AVERAGE(OFFSET(E1284,1-Inputs!$B$4,0,Inputs!$B$4,1)),"")</f>
        <v>0.8915434056115</v>
      </c>
      <c r="G1284" s="8" t="n">
        <f aca="true">IF(ROW()-2&gt;=Inputs!$B$5,AVERAGE(OFFSET(E1284,1-Inputs!$B$5,0,Inputs!$B$5,1)),"")</f>
        <v>0.892679580433967</v>
      </c>
      <c r="H1284" s="8" t="n">
        <f aca="false">MAX(C1284-D1284,ABS(C1284-E1283),ABS(D1284-E1283))</f>
        <v>0.0169202287547819</v>
      </c>
      <c r="I1284" s="8" t="n">
        <f aca="true">IF(ROW()-2&lt;14,"",IF(ROW()-2=14,AVERAGE(OFFSET(H1284,-13,0,14,1)),(I1283*13+H1284)/14))</f>
        <v>0.00917763318223813</v>
      </c>
      <c r="J1284" s="9" t="b">
        <f aca="false">IF(AND(ISNUMBER(F1284),ISNUMBER(G1284),ISNUMBER(F1283),ISNUMBER(G1283)),AND(F1284&gt;G1284,F1283&lt;=G1283),FALSE())</f>
        <v>0</v>
      </c>
      <c r="K1284" s="9" t="b">
        <f aca="false">IF(AND(ISNUMBER(F1284),ISNUMBER(G1284),ISNUMBER(F1283),ISNUMBER(G1283)),AND(F1284&lt;G1284,F1283&gt;=G1283),FALSE())</f>
        <v>0</v>
      </c>
      <c r="L1284" s="8" t="n">
        <f aca="false">IF(ISNUMBER(I1284),E1284-Inputs!$B$6*I1284,"")</f>
        <v>0.867080225029867</v>
      </c>
      <c r="M1284" s="9" t="b">
        <f aca="false">AND(Y1283&gt;0,Z1283)</f>
        <v>0</v>
      </c>
      <c r="N1284" s="8" t="n">
        <f aca="false">B1284*(1-Inputs!$B$12)</f>
        <v>0.894802651801115</v>
      </c>
      <c r="O1284" s="10" t="n">
        <f aca="false">IF(M1284,Y1283*(N1284-AB1283)-Inputs!$B$9-Y1283*AD1283*Inputs!$B$13*(A1284-AC1283),0)</f>
        <v>0</v>
      </c>
      <c r="P1284" s="10" t="n">
        <f aca="false">X1283+O1284</f>
        <v>925.345823172389</v>
      </c>
      <c r="Q1284" s="9" t="b">
        <f aca="false">AND(IF(M1284,0,Y1283)=0,AA1283,IF(ISNUMBER(AE1283),B1284&gt;AE1283,FALSE()))</f>
        <v>0</v>
      </c>
      <c r="R1284" s="8" t="n">
        <f aca="false">B1284*(1+Inputs!$B$12)</f>
        <v>0.895160644460367</v>
      </c>
      <c r="S1284" s="11" t="n">
        <f aca="false">IF(Q1284,MIN(P1284*Inputs!$B$3/(R1284-AE1283),P1284*Inputs!$B$11/R1284),0)</f>
        <v>0</v>
      </c>
      <c r="T1284" s="11" t="n">
        <f aca="false">IF(Q1284,S1284,IF(M1284,0,Y1283))</f>
        <v>0</v>
      </c>
      <c r="U1284" s="8" t="n">
        <f aca="false">IF(Q1284,AE1283,AF1283)</f>
        <v>0.885137616607025</v>
      </c>
      <c r="V1284" s="9" t="b">
        <f aca="false">AND(T1284&gt;0,D1284&lt;=U1284)</f>
        <v>0</v>
      </c>
      <c r="W1284" s="10" t="n">
        <f aca="false">IF(V1284,T1284*(AK1284-AB1284)-Inputs!$B$9-T1284*AD1284*Inputs!$B$13*(A1284-AC1284),0)</f>
        <v>0</v>
      </c>
      <c r="X1284" s="10" t="n">
        <f aca="false">P1284-IF(Q1284,Inputs!$B$9,0)+W1284</f>
        <v>925.345823172389</v>
      </c>
      <c r="Y1284" s="11" t="n">
        <f aca="false">IF(V1284,0,T1284)</f>
        <v>0</v>
      </c>
      <c r="Z1284" s="9" t="b">
        <f aca="false">AND(Y1284&gt;0,K1284)</f>
        <v>0</v>
      </c>
      <c r="AA1284" s="9" t="b">
        <f aca="false">AND(Y1284=0,J1284,ISNUMBER(L1284))</f>
        <v>0</v>
      </c>
      <c r="AB1284" s="8" t="n">
        <f aca="false">IF(Q1284,R1284,AB1283)</f>
        <v>0.902917052911703</v>
      </c>
      <c r="AC1284" s="12" t="n">
        <f aca="false">IF(Q1284,A1284,AC1283)</f>
        <v>46049</v>
      </c>
      <c r="AD1284" s="8" t="n">
        <f aca="false">IF(Q1284,B1284,AD1283)</f>
        <v>0.902736505610581</v>
      </c>
      <c r="AE1284" s="8" t="str">
        <f aca="false">IF(AA1284,L1284,"")</f>
        <v/>
      </c>
      <c r="AF1284" s="8" t="n">
        <f aca="false">U1284</f>
        <v>0.885137616607025</v>
      </c>
      <c r="AG1284" s="2" t="n">
        <f aca="false">AG1283+IF(Q1284,1,0)</f>
        <v>14</v>
      </c>
      <c r="AH1284" s="2" t="n">
        <f aca="false">AG1283</f>
        <v>14</v>
      </c>
      <c r="AI1284" s="10" t="n">
        <f aca="false">X1284+Y1284*(E1284-AB1284)-Y1284*AD1284*Inputs!$B$13*(A1284-AC1284)</f>
        <v>925.345823172389</v>
      </c>
      <c r="AJ1284" s="10" t="n">
        <v>0</v>
      </c>
      <c r="AK1284" s="8" t="n">
        <f aca="false">IF(AND(B1284&lt;=U1284,NOT(Q1284)),B1284,U1284)*(1-Inputs!$B$12)</f>
        <v>0.884960589083704</v>
      </c>
    </row>
    <row r="1285" customFormat="false" ht="15" hidden="false" customHeight="false" outlineLevel="0" collapsed="false">
      <c r="A1285" s="6" t="n">
        <v>46069</v>
      </c>
      <c r="B1285" s="7" t="n">
        <v>0.885435491394343</v>
      </c>
      <c r="C1285" s="7" t="n">
        <v>0.888641922680441</v>
      </c>
      <c r="D1285" s="7" t="n">
        <v>0.881435346292975</v>
      </c>
      <c r="E1285" s="7" t="n">
        <v>0.882858836231739</v>
      </c>
      <c r="F1285" s="8" t="n">
        <f aca="true">IF(ROW()-2&gt;=Inputs!$B$4,AVERAGE(OFFSET(E1285,1-Inputs!$B$4,0,Inputs!$B$4,1)),"")</f>
        <v>0.890839578503681</v>
      </c>
      <c r="G1285" s="8" t="n">
        <f aca="true">IF(ROW()-2&gt;=Inputs!$B$5,AVERAGE(OFFSET(E1285,1-Inputs!$B$5,0,Inputs!$B$5,1)),"")</f>
        <v>0.892763115130918</v>
      </c>
      <c r="H1285" s="8" t="n">
        <f aca="false">MAX(C1285-D1285,ABS(C1285-E1284),ABS(D1285-E1284))</f>
        <v>0.00720657638746569</v>
      </c>
      <c r="I1285" s="8" t="n">
        <f aca="true">IF(ROW()-2&lt;14,"",IF(ROW()-2=14,AVERAGE(OFFSET(H1285,-13,0,14,1)),(I1284*13+H1285)/14))</f>
        <v>0.00903684341118296</v>
      </c>
      <c r="J1285" s="9" t="b">
        <f aca="false">IF(AND(ISNUMBER(F1285),ISNUMBER(G1285),ISNUMBER(F1284),ISNUMBER(G1284)),AND(F1285&gt;G1285,F1284&lt;=G1284),FALSE())</f>
        <v>0</v>
      </c>
      <c r="K1285" s="9" t="b">
        <f aca="false">IF(AND(ISNUMBER(F1285),ISNUMBER(G1285),ISNUMBER(F1284),ISNUMBER(G1284)),AND(F1285&lt;G1285,F1284&gt;=G1284),FALSE())</f>
        <v>0</v>
      </c>
      <c r="L1285" s="8" t="n">
        <f aca="false">IF(ISNUMBER(I1285),E1285-Inputs!$B$6*I1285,"")</f>
        <v>0.864785149409373</v>
      </c>
      <c r="M1285" s="9" t="b">
        <f aca="false">AND(Y1284&gt;0,Z1284)</f>
        <v>0</v>
      </c>
      <c r="N1285" s="8" t="n">
        <f aca="false">B1285*(1-Inputs!$B$12)</f>
        <v>0.885258404296064</v>
      </c>
      <c r="O1285" s="10" t="n">
        <f aca="false">IF(M1285,Y1284*(N1285-AB1284)-Inputs!$B$9-Y1284*AD1284*Inputs!$B$13*(A1285-AC1284),0)</f>
        <v>0</v>
      </c>
      <c r="P1285" s="10" t="n">
        <f aca="false">X1284+O1285</f>
        <v>925.345823172389</v>
      </c>
      <c r="Q1285" s="9" t="b">
        <f aca="false">AND(IF(M1285,0,Y1284)=0,AA1284,IF(ISNUMBER(AE1284),B1285&gt;AE1284,FALSE()))</f>
        <v>0</v>
      </c>
      <c r="R1285" s="8" t="n">
        <f aca="false">B1285*(1+Inputs!$B$12)</f>
        <v>0.885612578492622</v>
      </c>
      <c r="S1285" s="11" t="n">
        <f aca="false">IF(Q1285,MIN(P1285*Inputs!$B$3/(R1285-AE1284),P1285*Inputs!$B$11/R1285),0)</f>
        <v>0</v>
      </c>
      <c r="T1285" s="11" t="n">
        <f aca="false">IF(Q1285,S1285,IF(M1285,0,Y1284))</f>
        <v>0</v>
      </c>
      <c r="U1285" s="8" t="n">
        <f aca="false">IF(Q1285,AE1284,AF1284)</f>
        <v>0.885137616607025</v>
      </c>
      <c r="V1285" s="9" t="b">
        <f aca="false">AND(T1285&gt;0,D1285&lt;=U1285)</f>
        <v>0</v>
      </c>
      <c r="W1285" s="10" t="n">
        <f aca="false">IF(V1285,T1285*(AK1285-AB1285)-Inputs!$B$9-T1285*AD1285*Inputs!$B$13*(A1285-AC1285),0)</f>
        <v>0</v>
      </c>
      <c r="X1285" s="10" t="n">
        <f aca="false">P1285-IF(Q1285,Inputs!$B$9,0)+W1285</f>
        <v>925.345823172389</v>
      </c>
      <c r="Y1285" s="11" t="n">
        <f aca="false">IF(V1285,0,T1285)</f>
        <v>0</v>
      </c>
      <c r="Z1285" s="9" t="b">
        <f aca="false">AND(Y1285&gt;0,K1285)</f>
        <v>0</v>
      </c>
      <c r="AA1285" s="9" t="b">
        <f aca="false">AND(Y1285=0,J1285,ISNUMBER(L1285))</f>
        <v>0</v>
      </c>
      <c r="AB1285" s="8" t="n">
        <f aca="false">IF(Q1285,R1285,AB1284)</f>
        <v>0.902917052911703</v>
      </c>
      <c r="AC1285" s="12" t="n">
        <f aca="false">IF(Q1285,A1285,AC1284)</f>
        <v>46049</v>
      </c>
      <c r="AD1285" s="8" t="n">
        <f aca="false">IF(Q1285,B1285,AD1284)</f>
        <v>0.902736505610581</v>
      </c>
      <c r="AE1285" s="8" t="str">
        <f aca="false">IF(AA1285,L1285,"")</f>
        <v/>
      </c>
      <c r="AF1285" s="8" t="n">
        <f aca="false">U1285</f>
        <v>0.885137616607025</v>
      </c>
      <c r="AG1285" s="2" t="n">
        <f aca="false">AG1284+IF(Q1285,1,0)</f>
        <v>14</v>
      </c>
      <c r="AH1285" s="2" t="n">
        <f aca="false">AG1284</f>
        <v>14</v>
      </c>
      <c r="AI1285" s="10" t="n">
        <f aca="false">X1285+Y1285*(E1285-AB1285)-Y1285*AD1285*Inputs!$B$13*(A1285-AC1285)</f>
        <v>925.345823172389</v>
      </c>
      <c r="AJ1285" s="10" t="n">
        <v>0</v>
      </c>
      <c r="AK1285" s="8" t="n">
        <f aca="false">IF(AND(B1285&lt;=U1285,NOT(Q1285)),B1285,U1285)*(1-Inputs!$B$12)</f>
        <v>0.884960589083704</v>
      </c>
    </row>
    <row r="1286" customFormat="false" ht="15" hidden="false" customHeight="false" outlineLevel="0" collapsed="false">
      <c r="A1286" s="6" t="n">
        <v>46070</v>
      </c>
      <c r="B1286" s="7" t="n">
        <v>0.882858836231739</v>
      </c>
      <c r="C1286" s="7" t="n">
        <v>0.884073984924122</v>
      </c>
      <c r="D1286" s="7" t="n">
        <v>0.879468271376175</v>
      </c>
      <c r="E1286" s="7" t="n">
        <v>0.881791150936277</v>
      </c>
      <c r="F1286" s="8" t="n">
        <f aca="true">IF(ROW()-2&gt;=Inputs!$B$4,AVERAGE(OFFSET(E1286,1-Inputs!$B$4,0,Inputs!$B$4,1)),"")</f>
        <v>0.889857283844328</v>
      </c>
      <c r="G1286" s="8" t="n">
        <f aca="true">IF(ROW()-2&gt;=Inputs!$B$5,AVERAGE(OFFSET(E1286,1-Inputs!$B$5,0,Inputs!$B$5,1)),"")</f>
        <v>0.892797470939052</v>
      </c>
      <c r="H1286" s="8" t="n">
        <f aca="false">MAX(C1286-D1286,ABS(C1286-E1285),ABS(D1286-E1285))</f>
        <v>0.00460571354794659</v>
      </c>
      <c r="I1286" s="8" t="n">
        <f aca="true">IF(ROW()-2&lt;14,"",IF(ROW()-2=14,AVERAGE(OFFSET(H1286,-13,0,14,1)),(I1285*13+H1286)/14))</f>
        <v>0.0087203341352375</v>
      </c>
      <c r="J1286" s="9" t="b">
        <f aca="false">IF(AND(ISNUMBER(F1286),ISNUMBER(G1286),ISNUMBER(F1285),ISNUMBER(G1285)),AND(F1286&gt;G1286,F1285&lt;=G1285),FALSE())</f>
        <v>0</v>
      </c>
      <c r="K1286" s="9" t="b">
        <f aca="false">IF(AND(ISNUMBER(F1286),ISNUMBER(G1286),ISNUMBER(F1285),ISNUMBER(G1285)),AND(F1286&lt;G1286,F1285&gt;=G1285),FALSE())</f>
        <v>0</v>
      </c>
      <c r="L1286" s="8" t="n">
        <f aca="false">IF(ISNUMBER(I1286),E1286-Inputs!$B$6*I1286,"")</f>
        <v>0.864350482665802</v>
      </c>
      <c r="M1286" s="9" t="b">
        <f aca="false">AND(Y1285&gt;0,Z1285)</f>
        <v>0</v>
      </c>
      <c r="N1286" s="8" t="n">
        <f aca="false">B1286*(1-Inputs!$B$12)</f>
        <v>0.882682264464493</v>
      </c>
      <c r="O1286" s="10" t="n">
        <f aca="false">IF(M1286,Y1285*(N1286-AB1285)-Inputs!$B$9-Y1285*AD1285*Inputs!$B$13*(A1286-AC1285),0)</f>
        <v>0</v>
      </c>
      <c r="P1286" s="10" t="n">
        <f aca="false">X1285+O1286</f>
        <v>925.345823172389</v>
      </c>
      <c r="Q1286" s="9" t="b">
        <f aca="false">AND(IF(M1286,0,Y1285)=0,AA1285,IF(ISNUMBER(AE1285),B1286&gt;AE1285,FALSE()))</f>
        <v>0</v>
      </c>
      <c r="R1286" s="8" t="n">
        <f aca="false">B1286*(1+Inputs!$B$12)</f>
        <v>0.883035407998985</v>
      </c>
      <c r="S1286" s="11" t="n">
        <f aca="false">IF(Q1286,MIN(P1286*Inputs!$B$3/(R1286-AE1285),P1286*Inputs!$B$11/R1286),0)</f>
        <v>0</v>
      </c>
      <c r="T1286" s="11" t="n">
        <f aca="false">IF(Q1286,S1286,IF(M1286,0,Y1285))</f>
        <v>0</v>
      </c>
      <c r="U1286" s="8" t="n">
        <f aca="false">IF(Q1286,AE1285,AF1285)</f>
        <v>0.885137616607025</v>
      </c>
      <c r="V1286" s="9" t="b">
        <f aca="false">AND(T1286&gt;0,D1286&lt;=U1286)</f>
        <v>0</v>
      </c>
      <c r="W1286" s="10" t="n">
        <f aca="false">IF(V1286,T1286*(AK1286-AB1286)-Inputs!$B$9-T1286*AD1286*Inputs!$B$13*(A1286-AC1286),0)</f>
        <v>0</v>
      </c>
      <c r="X1286" s="10" t="n">
        <f aca="false">P1286-IF(Q1286,Inputs!$B$9,0)+W1286</f>
        <v>925.345823172389</v>
      </c>
      <c r="Y1286" s="11" t="n">
        <f aca="false">IF(V1286,0,T1286)</f>
        <v>0</v>
      </c>
      <c r="Z1286" s="9" t="b">
        <f aca="false">AND(Y1286&gt;0,K1286)</f>
        <v>0</v>
      </c>
      <c r="AA1286" s="9" t="b">
        <f aca="false">AND(Y1286=0,J1286,ISNUMBER(L1286))</f>
        <v>0</v>
      </c>
      <c r="AB1286" s="8" t="n">
        <f aca="false">IF(Q1286,R1286,AB1285)</f>
        <v>0.902917052911703</v>
      </c>
      <c r="AC1286" s="12" t="n">
        <f aca="false">IF(Q1286,A1286,AC1285)</f>
        <v>46049</v>
      </c>
      <c r="AD1286" s="8" t="n">
        <f aca="false">IF(Q1286,B1286,AD1285)</f>
        <v>0.902736505610581</v>
      </c>
      <c r="AE1286" s="8" t="str">
        <f aca="false">IF(AA1286,L1286,"")</f>
        <v/>
      </c>
      <c r="AF1286" s="8" t="n">
        <f aca="false">U1286</f>
        <v>0.885137616607025</v>
      </c>
      <c r="AG1286" s="2" t="n">
        <f aca="false">AG1285+IF(Q1286,1,0)</f>
        <v>14</v>
      </c>
      <c r="AH1286" s="2" t="n">
        <f aca="false">AG1285</f>
        <v>14</v>
      </c>
      <c r="AI1286" s="10" t="n">
        <f aca="false">X1286+Y1286*(E1286-AB1286)-Y1286*AD1286*Inputs!$B$13*(A1286-AC1286)</f>
        <v>925.345823172389</v>
      </c>
      <c r="AJ1286" s="10" t="n">
        <v>0</v>
      </c>
      <c r="AK1286" s="8" t="n">
        <f aca="false">IF(AND(B1286&lt;=U1286,NOT(Q1286)),B1286,U1286)*(1-Inputs!$B$12)</f>
        <v>0.882682264464493</v>
      </c>
    </row>
    <row r="1287" customFormat="false" ht="15" hidden="false" customHeight="false" outlineLevel="0" collapsed="false">
      <c r="A1287" s="6" t="n">
        <v>46071</v>
      </c>
      <c r="B1287" s="7" t="n">
        <v>0.881791150936277</v>
      </c>
      <c r="C1287" s="7" t="n">
        <v>0.886458242465633</v>
      </c>
      <c r="D1287" s="7" t="n">
        <v>0.877791853218024</v>
      </c>
      <c r="E1287" s="7" t="n">
        <v>0.879154592126712</v>
      </c>
      <c r="F1287" s="8" t="n">
        <f aca="true">IF(ROW()-2&gt;=Inputs!$B$4,AVERAGE(OFFSET(E1287,1-Inputs!$B$4,0,Inputs!$B$4,1)),"")</f>
        <v>0.889011427345974</v>
      </c>
      <c r="G1287" s="8" t="n">
        <f aca="true">IF(ROW()-2&gt;=Inputs!$B$5,AVERAGE(OFFSET(E1287,1-Inputs!$B$5,0,Inputs!$B$5,1)),"")</f>
        <v>0.892742539218008</v>
      </c>
      <c r="H1287" s="8" t="n">
        <f aca="false">MAX(C1287-D1287,ABS(C1287-E1286),ABS(D1287-E1286))</f>
        <v>0.0086663892476091</v>
      </c>
      <c r="I1287" s="8" t="n">
        <f aca="true">IF(ROW()-2&lt;14,"",IF(ROW()-2=14,AVERAGE(OFFSET(H1287,-13,0,14,1)),(I1286*13+H1287)/14))</f>
        <v>0.00871648092897833</v>
      </c>
      <c r="J1287" s="9" t="b">
        <f aca="false">IF(AND(ISNUMBER(F1287),ISNUMBER(G1287),ISNUMBER(F1286),ISNUMBER(G1286)),AND(F1287&gt;G1287,F1286&lt;=G1286),FALSE())</f>
        <v>0</v>
      </c>
      <c r="K1287" s="9" t="b">
        <f aca="false">IF(AND(ISNUMBER(F1287),ISNUMBER(G1287),ISNUMBER(F1286),ISNUMBER(G1286)),AND(F1287&lt;G1287,F1286&gt;=G1286),FALSE())</f>
        <v>0</v>
      </c>
      <c r="L1287" s="8" t="n">
        <f aca="false">IF(ISNUMBER(I1287),E1287-Inputs!$B$6*I1287,"")</f>
        <v>0.861721630268755</v>
      </c>
      <c r="M1287" s="9" t="b">
        <f aca="false">AND(Y1286&gt;0,Z1286)</f>
        <v>0</v>
      </c>
      <c r="N1287" s="8" t="n">
        <f aca="false">B1287*(1-Inputs!$B$12)</f>
        <v>0.88161479270609</v>
      </c>
      <c r="O1287" s="10" t="n">
        <f aca="false">IF(M1287,Y1286*(N1287-AB1286)-Inputs!$B$9-Y1286*AD1286*Inputs!$B$13*(A1287-AC1286),0)</f>
        <v>0</v>
      </c>
      <c r="P1287" s="10" t="n">
        <f aca="false">X1286+O1287</f>
        <v>925.345823172389</v>
      </c>
      <c r="Q1287" s="9" t="b">
        <f aca="false">AND(IF(M1287,0,Y1286)=0,AA1286,IF(ISNUMBER(AE1286),B1287&gt;AE1286,FALSE()))</f>
        <v>0</v>
      </c>
      <c r="R1287" s="8" t="n">
        <f aca="false">B1287*(1+Inputs!$B$12)</f>
        <v>0.881967509166464</v>
      </c>
      <c r="S1287" s="11" t="n">
        <f aca="false">IF(Q1287,MIN(P1287*Inputs!$B$3/(R1287-AE1286),P1287*Inputs!$B$11/R1287),0)</f>
        <v>0</v>
      </c>
      <c r="T1287" s="11" t="n">
        <f aca="false">IF(Q1287,S1287,IF(M1287,0,Y1286))</f>
        <v>0</v>
      </c>
      <c r="U1287" s="8" t="n">
        <f aca="false">IF(Q1287,AE1286,AF1286)</f>
        <v>0.885137616607025</v>
      </c>
      <c r="V1287" s="9" t="b">
        <f aca="false">AND(T1287&gt;0,D1287&lt;=U1287)</f>
        <v>0</v>
      </c>
      <c r="W1287" s="10" t="n">
        <f aca="false">IF(V1287,T1287*(AK1287-AB1287)-Inputs!$B$9-T1287*AD1287*Inputs!$B$13*(A1287-AC1287),0)</f>
        <v>0</v>
      </c>
      <c r="X1287" s="10" t="n">
        <f aca="false">P1287-IF(Q1287,Inputs!$B$9,0)+W1287</f>
        <v>925.345823172389</v>
      </c>
      <c r="Y1287" s="11" t="n">
        <f aca="false">IF(V1287,0,T1287)</f>
        <v>0</v>
      </c>
      <c r="Z1287" s="9" t="b">
        <f aca="false">AND(Y1287&gt;0,K1287)</f>
        <v>0</v>
      </c>
      <c r="AA1287" s="9" t="b">
        <f aca="false">AND(Y1287=0,J1287,ISNUMBER(L1287))</f>
        <v>0</v>
      </c>
      <c r="AB1287" s="8" t="n">
        <f aca="false">IF(Q1287,R1287,AB1286)</f>
        <v>0.902917052911703</v>
      </c>
      <c r="AC1287" s="12" t="n">
        <f aca="false">IF(Q1287,A1287,AC1286)</f>
        <v>46049</v>
      </c>
      <c r="AD1287" s="8" t="n">
        <f aca="false">IF(Q1287,B1287,AD1286)</f>
        <v>0.902736505610581</v>
      </c>
      <c r="AE1287" s="8" t="str">
        <f aca="false">IF(AA1287,L1287,"")</f>
        <v/>
      </c>
      <c r="AF1287" s="8" t="n">
        <f aca="false">U1287</f>
        <v>0.885137616607025</v>
      </c>
      <c r="AG1287" s="2" t="n">
        <f aca="false">AG1286+IF(Q1287,1,0)</f>
        <v>14</v>
      </c>
      <c r="AH1287" s="2" t="n">
        <f aca="false">AG1286</f>
        <v>14</v>
      </c>
      <c r="AI1287" s="10" t="n">
        <f aca="false">X1287+Y1287*(E1287-AB1287)-Y1287*AD1287*Inputs!$B$13*(A1287-AC1287)</f>
        <v>925.345823172389</v>
      </c>
      <c r="AJ1287" s="10" t="n">
        <v>0</v>
      </c>
      <c r="AK1287" s="8" t="n">
        <f aca="false">IF(AND(B1287&lt;=U1287,NOT(Q1287)),B1287,U1287)*(1-Inputs!$B$12)</f>
        <v>0.88161479270609</v>
      </c>
    </row>
    <row r="1288" customFormat="false" ht="15" hidden="false" customHeight="false" outlineLevel="0" collapsed="false">
      <c r="A1288" s="6" t="n">
        <v>46072</v>
      </c>
      <c r="B1288" s="7" t="n">
        <v>0.879154592126712</v>
      </c>
      <c r="C1288" s="7" t="n">
        <v>0.884771487763356</v>
      </c>
      <c r="D1288" s="7" t="n">
        <v>0.872098404099627</v>
      </c>
      <c r="E1288" s="7" t="n">
        <v>0.882843041115678</v>
      </c>
      <c r="F1288" s="8" t="n">
        <f aca="true">IF(ROW()-2&gt;=Inputs!$B$4,AVERAGE(OFFSET(E1288,1-Inputs!$B$4,0,Inputs!$B$4,1)),"")</f>
        <v>0.887924995865012</v>
      </c>
      <c r="G1288" s="8" t="n">
        <f aca="true">IF(ROW()-2&gt;=Inputs!$B$5,AVERAGE(OFFSET(E1288,1-Inputs!$B$5,0,Inputs!$B$5,1)),"")</f>
        <v>0.892668572202679</v>
      </c>
      <c r="H1288" s="8" t="n">
        <f aca="false">MAX(C1288-D1288,ABS(C1288-E1287),ABS(D1288-E1287))</f>
        <v>0.0126730836637297</v>
      </c>
      <c r="I1288" s="8" t="n">
        <f aca="true">IF(ROW()-2&lt;14,"",IF(ROW()-2=14,AVERAGE(OFFSET(H1288,-13,0,14,1)),(I1287*13+H1288)/14))</f>
        <v>0.008999095410032</v>
      </c>
      <c r="J1288" s="9" t="b">
        <f aca="false">IF(AND(ISNUMBER(F1288),ISNUMBER(G1288),ISNUMBER(F1287),ISNUMBER(G1287)),AND(F1288&gt;G1288,F1287&lt;=G1287),FALSE())</f>
        <v>0</v>
      </c>
      <c r="K1288" s="9" t="b">
        <f aca="false">IF(AND(ISNUMBER(F1288),ISNUMBER(G1288),ISNUMBER(F1287),ISNUMBER(G1287)),AND(F1288&lt;G1288,F1287&gt;=G1287),FALSE())</f>
        <v>0</v>
      </c>
      <c r="L1288" s="8" t="n">
        <f aca="false">IF(ISNUMBER(I1288),E1288-Inputs!$B$6*I1288,"")</f>
        <v>0.864844850295614</v>
      </c>
      <c r="M1288" s="9" t="b">
        <f aca="false">AND(Y1287&gt;0,Z1287)</f>
        <v>0</v>
      </c>
      <c r="N1288" s="8" t="n">
        <f aca="false">B1288*(1-Inputs!$B$12)</f>
        <v>0.878978761208287</v>
      </c>
      <c r="O1288" s="10" t="n">
        <f aca="false">IF(M1288,Y1287*(N1288-AB1287)-Inputs!$B$9-Y1287*AD1287*Inputs!$B$13*(A1288-AC1287),0)</f>
        <v>0</v>
      </c>
      <c r="P1288" s="10" t="n">
        <f aca="false">X1287+O1288</f>
        <v>925.345823172389</v>
      </c>
      <c r="Q1288" s="9" t="b">
        <f aca="false">AND(IF(M1288,0,Y1287)=0,AA1287,IF(ISNUMBER(AE1287),B1288&gt;AE1287,FALSE()))</f>
        <v>0</v>
      </c>
      <c r="R1288" s="8" t="n">
        <f aca="false">B1288*(1+Inputs!$B$12)</f>
        <v>0.879330423045137</v>
      </c>
      <c r="S1288" s="11" t="n">
        <f aca="false">IF(Q1288,MIN(P1288*Inputs!$B$3/(R1288-AE1287),P1288*Inputs!$B$11/R1288),0)</f>
        <v>0</v>
      </c>
      <c r="T1288" s="11" t="n">
        <f aca="false">IF(Q1288,S1288,IF(M1288,0,Y1287))</f>
        <v>0</v>
      </c>
      <c r="U1288" s="8" t="n">
        <f aca="false">IF(Q1288,AE1287,AF1287)</f>
        <v>0.885137616607025</v>
      </c>
      <c r="V1288" s="9" t="b">
        <f aca="false">AND(T1288&gt;0,D1288&lt;=U1288)</f>
        <v>0</v>
      </c>
      <c r="W1288" s="10" t="n">
        <f aca="false">IF(V1288,T1288*(AK1288-AB1288)-Inputs!$B$9-T1288*AD1288*Inputs!$B$13*(A1288-AC1288),0)</f>
        <v>0</v>
      </c>
      <c r="X1288" s="10" t="n">
        <f aca="false">P1288-IF(Q1288,Inputs!$B$9,0)+W1288</f>
        <v>925.345823172389</v>
      </c>
      <c r="Y1288" s="11" t="n">
        <f aca="false">IF(V1288,0,T1288)</f>
        <v>0</v>
      </c>
      <c r="Z1288" s="9" t="b">
        <f aca="false">AND(Y1288&gt;0,K1288)</f>
        <v>0</v>
      </c>
      <c r="AA1288" s="9" t="b">
        <f aca="false">AND(Y1288=0,J1288,ISNUMBER(L1288))</f>
        <v>0</v>
      </c>
      <c r="AB1288" s="8" t="n">
        <f aca="false">IF(Q1288,R1288,AB1287)</f>
        <v>0.902917052911703</v>
      </c>
      <c r="AC1288" s="12" t="n">
        <f aca="false">IF(Q1288,A1288,AC1287)</f>
        <v>46049</v>
      </c>
      <c r="AD1288" s="8" t="n">
        <f aca="false">IF(Q1288,B1288,AD1287)</f>
        <v>0.902736505610581</v>
      </c>
      <c r="AE1288" s="8" t="str">
        <f aca="false">IF(AA1288,L1288,"")</f>
        <v/>
      </c>
      <c r="AF1288" s="8" t="n">
        <f aca="false">U1288</f>
        <v>0.885137616607025</v>
      </c>
      <c r="AG1288" s="2" t="n">
        <f aca="false">AG1287+IF(Q1288,1,0)</f>
        <v>14</v>
      </c>
      <c r="AH1288" s="2" t="n">
        <f aca="false">AG1287</f>
        <v>14</v>
      </c>
      <c r="AI1288" s="10" t="n">
        <f aca="false">X1288+Y1288*(E1288-AB1288)-Y1288*AD1288*Inputs!$B$13*(A1288-AC1288)</f>
        <v>925.345823172389</v>
      </c>
      <c r="AJ1288" s="10" t="n">
        <v>0</v>
      </c>
      <c r="AK1288" s="8" t="n">
        <f aca="false">IF(AND(B1288&lt;=U1288,NOT(Q1288)),B1288,U1288)*(1-Inputs!$B$12)</f>
        <v>0.878978761208287</v>
      </c>
    </row>
    <row r="1289" customFormat="false" ht="15" hidden="false" customHeight="false" outlineLevel="0" collapsed="false">
      <c r="A1289" s="6" t="n">
        <v>46073</v>
      </c>
      <c r="B1289" s="7" t="n">
        <v>0.882843041115678</v>
      </c>
      <c r="C1289" s="7" t="n">
        <v>0.884218807956221</v>
      </c>
      <c r="D1289" s="7" t="n">
        <v>0.872752841689741</v>
      </c>
      <c r="E1289" s="7" t="n">
        <v>0.880830654084185</v>
      </c>
      <c r="F1289" s="8" t="n">
        <f aca="true">IF(ROW()-2&gt;=Inputs!$B$4,AVERAGE(OFFSET(E1289,1-Inputs!$B$4,0,Inputs!$B$4,1)),"")</f>
        <v>0.887321983647105</v>
      </c>
      <c r="G1289" s="8" t="n">
        <f aca="true">IF(ROW()-2&gt;=Inputs!$B$5,AVERAGE(OFFSET(E1289,1-Inputs!$B$5,0,Inputs!$B$5,1)),"")</f>
        <v>0.892474784813315</v>
      </c>
      <c r="H1289" s="8" t="n">
        <f aca="false">MAX(C1289-D1289,ABS(C1289-E1288),ABS(D1289-E1288))</f>
        <v>0.0114659662664799</v>
      </c>
      <c r="I1289" s="8" t="n">
        <f aca="true">IF(ROW()-2&lt;14,"",IF(ROW()-2=14,AVERAGE(OFFSET(H1289,-13,0,14,1)),(I1288*13+H1289)/14))</f>
        <v>0.00917530047120685</v>
      </c>
      <c r="J1289" s="9" t="b">
        <f aca="false">IF(AND(ISNUMBER(F1289),ISNUMBER(G1289),ISNUMBER(F1288),ISNUMBER(G1288)),AND(F1289&gt;G1289,F1288&lt;=G1288),FALSE())</f>
        <v>0</v>
      </c>
      <c r="K1289" s="9" t="b">
        <f aca="false">IF(AND(ISNUMBER(F1289),ISNUMBER(G1289),ISNUMBER(F1288),ISNUMBER(G1288)),AND(F1289&lt;G1289,F1288&gt;=G1288),FALSE())</f>
        <v>0</v>
      </c>
      <c r="L1289" s="8" t="n">
        <f aca="false">IF(ISNUMBER(I1289),E1289-Inputs!$B$6*I1289,"")</f>
        <v>0.862480053141772</v>
      </c>
      <c r="M1289" s="9" t="b">
        <f aca="false">AND(Y1288&gt;0,Z1288)</f>
        <v>0</v>
      </c>
      <c r="N1289" s="8" t="n">
        <f aca="false">B1289*(1-Inputs!$B$12)</f>
        <v>0.882666472507454</v>
      </c>
      <c r="O1289" s="10" t="n">
        <f aca="false">IF(M1289,Y1288*(N1289-AB1288)-Inputs!$B$9-Y1288*AD1288*Inputs!$B$13*(A1289-AC1288),0)</f>
        <v>0</v>
      </c>
      <c r="P1289" s="10" t="n">
        <f aca="false">X1288+O1289</f>
        <v>925.345823172389</v>
      </c>
      <c r="Q1289" s="9" t="b">
        <f aca="false">AND(IF(M1289,0,Y1288)=0,AA1288,IF(ISNUMBER(AE1288),B1289&gt;AE1288,FALSE()))</f>
        <v>0</v>
      </c>
      <c r="R1289" s="8" t="n">
        <f aca="false">B1289*(1+Inputs!$B$12)</f>
        <v>0.883019609723901</v>
      </c>
      <c r="S1289" s="11" t="n">
        <f aca="false">IF(Q1289,MIN(P1289*Inputs!$B$3/(R1289-AE1288),P1289*Inputs!$B$11/R1289),0)</f>
        <v>0</v>
      </c>
      <c r="T1289" s="11" t="n">
        <f aca="false">IF(Q1289,S1289,IF(M1289,0,Y1288))</f>
        <v>0</v>
      </c>
      <c r="U1289" s="8" t="n">
        <f aca="false">IF(Q1289,AE1288,AF1288)</f>
        <v>0.885137616607025</v>
      </c>
      <c r="V1289" s="9" t="b">
        <f aca="false">AND(T1289&gt;0,D1289&lt;=U1289)</f>
        <v>0</v>
      </c>
      <c r="W1289" s="10" t="n">
        <f aca="false">IF(V1289,T1289*(AK1289-AB1289)-Inputs!$B$9-T1289*AD1289*Inputs!$B$13*(A1289-AC1289),0)</f>
        <v>0</v>
      </c>
      <c r="X1289" s="10" t="n">
        <f aca="false">P1289-IF(Q1289,Inputs!$B$9,0)+W1289</f>
        <v>925.345823172389</v>
      </c>
      <c r="Y1289" s="11" t="n">
        <f aca="false">IF(V1289,0,T1289)</f>
        <v>0</v>
      </c>
      <c r="Z1289" s="9" t="b">
        <f aca="false">AND(Y1289&gt;0,K1289)</f>
        <v>0</v>
      </c>
      <c r="AA1289" s="9" t="b">
        <f aca="false">AND(Y1289=0,J1289,ISNUMBER(L1289))</f>
        <v>0</v>
      </c>
      <c r="AB1289" s="8" t="n">
        <f aca="false">IF(Q1289,R1289,AB1288)</f>
        <v>0.902917052911703</v>
      </c>
      <c r="AC1289" s="12" t="n">
        <f aca="false">IF(Q1289,A1289,AC1288)</f>
        <v>46049</v>
      </c>
      <c r="AD1289" s="8" t="n">
        <f aca="false">IF(Q1289,B1289,AD1288)</f>
        <v>0.902736505610581</v>
      </c>
      <c r="AE1289" s="8" t="str">
        <f aca="false">IF(AA1289,L1289,"")</f>
        <v/>
      </c>
      <c r="AF1289" s="8" t="n">
        <f aca="false">U1289</f>
        <v>0.885137616607025</v>
      </c>
      <c r="AG1289" s="2" t="n">
        <f aca="false">AG1288+IF(Q1289,1,0)</f>
        <v>14</v>
      </c>
      <c r="AH1289" s="2" t="n">
        <f aca="false">AG1288</f>
        <v>14</v>
      </c>
      <c r="AI1289" s="10" t="n">
        <f aca="false">X1289+Y1289*(E1289-AB1289)-Y1289*AD1289*Inputs!$B$13*(A1289-AC1289)</f>
        <v>925.345823172389</v>
      </c>
      <c r="AJ1289" s="10" t="n">
        <v>0</v>
      </c>
      <c r="AK1289" s="8" t="n">
        <f aca="false">IF(AND(B1289&lt;=U1289,NOT(Q1289)),B1289,U1289)*(1-Inputs!$B$12)</f>
        <v>0.882666472507454</v>
      </c>
    </row>
    <row r="1290" customFormat="false" ht="15" hidden="false" customHeight="false" outlineLevel="0" collapsed="false">
      <c r="A1290" s="6" t="n">
        <v>46074</v>
      </c>
      <c r="B1290" s="7" t="n">
        <v>0.880830654084185</v>
      </c>
      <c r="C1290" s="7" t="n">
        <v>0.885244992465764</v>
      </c>
      <c r="D1290" s="7" t="n">
        <v>0.878009464896811</v>
      </c>
      <c r="E1290" s="7" t="n">
        <v>0.881920062146449</v>
      </c>
      <c r="F1290" s="8" t="n">
        <f aca="true">IF(ROW()-2&gt;=Inputs!$B$4,AVERAGE(OFFSET(E1290,1-Inputs!$B$4,0,Inputs!$B$4,1)),"")</f>
        <v>0.886733344574169</v>
      </c>
      <c r="G1290" s="8" t="n">
        <f aca="true">IF(ROW()-2&gt;=Inputs!$B$5,AVERAGE(OFFSET(E1290,1-Inputs!$B$5,0,Inputs!$B$5,1)),"")</f>
        <v>0.892514938959366</v>
      </c>
      <c r="H1290" s="8" t="n">
        <f aca="false">MAX(C1290-D1290,ABS(C1290-E1289),ABS(D1290-E1289))</f>
        <v>0.00723552756895252</v>
      </c>
      <c r="I1290" s="8" t="n">
        <f aca="true">IF(ROW()-2&lt;14,"",IF(ROW()-2=14,AVERAGE(OFFSET(H1290,-13,0,14,1)),(I1289*13+H1290)/14))</f>
        <v>0.00903674526390296</v>
      </c>
      <c r="J1290" s="9" t="b">
        <f aca="false">IF(AND(ISNUMBER(F1290),ISNUMBER(G1290),ISNUMBER(F1289),ISNUMBER(G1289)),AND(F1290&gt;G1290,F1289&lt;=G1289),FALSE())</f>
        <v>0</v>
      </c>
      <c r="K1290" s="9" t="b">
        <f aca="false">IF(AND(ISNUMBER(F1290),ISNUMBER(G1290),ISNUMBER(F1289),ISNUMBER(G1289)),AND(F1290&lt;G1290,F1289&gt;=G1289),FALSE())</f>
        <v>0</v>
      </c>
      <c r="L1290" s="8" t="n">
        <f aca="false">IF(ISNUMBER(I1290),E1290-Inputs!$B$6*I1290,"")</f>
        <v>0.863846571618643</v>
      </c>
      <c r="M1290" s="9" t="b">
        <f aca="false">AND(Y1289&gt;0,Z1289)</f>
        <v>0</v>
      </c>
      <c r="N1290" s="8" t="n">
        <f aca="false">B1290*(1-Inputs!$B$12)</f>
        <v>0.880654487953368</v>
      </c>
      <c r="O1290" s="10" t="n">
        <f aca="false">IF(M1290,Y1289*(N1290-AB1289)-Inputs!$B$9-Y1289*AD1289*Inputs!$B$13*(A1290-AC1289),0)</f>
        <v>0</v>
      </c>
      <c r="P1290" s="10" t="n">
        <f aca="false">X1289+O1290</f>
        <v>925.345823172389</v>
      </c>
      <c r="Q1290" s="9" t="b">
        <f aca="false">AND(IF(M1290,0,Y1289)=0,AA1289,IF(ISNUMBER(AE1289),B1290&gt;AE1289,FALSE()))</f>
        <v>0</v>
      </c>
      <c r="R1290" s="8" t="n">
        <f aca="false">B1290*(1+Inputs!$B$12)</f>
        <v>0.881006820215002</v>
      </c>
      <c r="S1290" s="11" t="n">
        <f aca="false">IF(Q1290,MIN(P1290*Inputs!$B$3/(R1290-AE1289),P1290*Inputs!$B$11/R1290),0)</f>
        <v>0</v>
      </c>
      <c r="T1290" s="11" t="n">
        <f aca="false">IF(Q1290,S1290,IF(M1290,0,Y1289))</f>
        <v>0</v>
      </c>
      <c r="U1290" s="8" t="n">
        <f aca="false">IF(Q1290,AE1289,AF1289)</f>
        <v>0.885137616607025</v>
      </c>
      <c r="V1290" s="9" t="b">
        <f aca="false">AND(T1290&gt;0,D1290&lt;=U1290)</f>
        <v>0</v>
      </c>
      <c r="W1290" s="10" t="n">
        <f aca="false">IF(V1290,T1290*(AK1290-AB1290)-Inputs!$B$9-T1290*AD1290*Inputs!$B$13*(A1290-AC1290),0)</f>
        <v>0</v>
      </c>
      <c r="X1290" s="10" t="n">
        <f aca="false">P1290-IF(Q1290,Inputs!$B$9,0)+W1290</f>
        <v>925.345823172389</v>
      </c>
      <c r="Y1290" s="11" t="n">
        <f aca="false">IF(V1290,0,T1290)</f>
        <v>0</v>
      </c>
      <c r="Z1290" s="9" t="b">
        <f aca="false">AND(Y1290&gt;0,K1290)</f>
        <v>0</v>
      </c>
      <c r="AA1290" s="9" t="b">
        <f aca="false">AND(Y1290=0,J1290,ISNUMBER(L1290))</f>
        <v>0</v>
      </c>
      <c r="AB1290" s="8" t="n">
        <f aca="false">IF(Q1290,R1290,AB1289)</f>
        <v>0.902917052911703</v>
      </c>
      <c r="AC1290" s="12" t="n">
        <f aca="false">IF(Q1290,A1290,AC1289)</f>
        <v>46049</v>
      </c>
      <c r="AD1290" s="8" t="n">
        <f aca="false">IF(Q1290,B1290,AD1289)</f>
        <v>0.902736505610581</v>
      </c>
      <c r="AE1290" s="8" t="str">
        <f aca="false">IF(AA1290,L1290,"")</f>
        <v/>
      </c>
      <c r="AF1290" s="8" t="n">
        <f aca="false">U1290</f>
        <v>0.885137616607025</v>
      </c>
      <c r="AG1290" s="2" t="n">
        <f aca="false">AG1289+IF(Q1290,1,0)</f>
        <v>14</v>
      </c>
      <c r="AH1290" s="2" t="n">
        <f aca="false">AG1289</f>
        <v>14</v>
      </c>
      <c r="AI1290" s="10" t="n">
        <f aca="false">X1290+Y1290*(E1290-AB1290)-Y1290*AD1290*Inputs!$B$13*(A1290-AC1290)</f>
        <v>925.345823172389</v>
      </c>
      <c r="AJ1290" s="10" t="n">
        <v>0</v>
      </c>
      <c r="AK1290" s="8" t="n">
        <f aca="false">IF(AND(B1290&lt;=U1290,NOT(Q1290)),B1290,U1290)*(1-Inputs!$B$12)</f>
        <v>0.880654487953368</v>
      </c>
    </row>
    <row r="1291" customFormat="false" ht="15" hidden="false" customHeight="false" outlineLevel="0" collapsed="false">
      <c r="A1291" s="6" t="n">
        <v>46075</v>
      </c>
      <c r="B1291" s="7" t="n">
        <v>0.881920062146449</v>
      </c>
      <c r="C1291" s="7" t="n">
        <v>0.882206896857025</v>
      </c>
      <c r="D1291" s="7" t="n">
        <v>0.879868367417189</v>
      </c>
      <c r="E1291" s="7" t="n">
        <v>0.881866587074078</v>
      </c>
      <c r="F1291" s="8" t="n">
        <f aca="true">IF(ROW()-2&gt;=Inputs!$B$4,AVERAGE(OFFSET(E1291,1-Inputs!$B$4,0,Inputs!$B$4,1)),"")</f>
        <v>0.886460795310663</v>
      </c>
      <c r="G1291" s="8" t="n">
        <f aca="true">IF(ROW()-2&gt;=Inputs!$B$5,AVERAGE(OFFSET(E1291,1-Inputs!$B$5,0,Inputs!$B$5,1)),"")</f>
        <v>0.892490052785388</v>
      </c>
      <c r="H1291" s="8" t="n">
        <f aca="false">MAX(C1291-D1291,ABS(C1291-E1290),ABS(D1291-E1290))</f>
        <v>0.00233852943983537</v>
      </c>
      <c r="I1291" s="8" t="n">
        <f aca="true">IF(ROW()-2&lt;14,"",IF(ROW()-2=14,AVERAGE(OFFSET(H1291,-13,0,14,1)),(I1290*13+H1291)/14))</f>
        <v>0.00855830127646957</v>
      </c>
      <c r="J1291" s="9" t="b">
        <f aca="false">IF(AND(ISNUMBER(F1291),ISNUMBER(G1291),ISNUMBER(F1290),ISNUMBER(G1290)),AND(F1291&gt;G1291,F1290&lt;=G1290),FALSE())</f>
        <v>0</v>
      </c>
      <c r="K1291" s="9" t="b">
        <f aca="false">IF(AND(ISNUMBER(F1291),ISNUMBER(G1291),ISNUMBER(F1290),ISNUMBER(G1290)),AND(F1291&lt;G1291,F1290&gt;=G1290),FALSE())</f>
        <v>0</v>
      </c>
      <c r="L1291" s="8" t="n">
        <f aca="false">IF(ISNUMBER(I1291),E1291-Inputs!$B$6*I1291,"")</f>
        <v>0.864749984521139</v>
      </c>
      <c r="M1291" s="9" t="b">
        <f aca="false">AND(Y1290&gt;0,Z1290)</f>
        <v>0</v>
      </c>
      <c r="N1291" s="8" t="n">
        <f aca="false">B1291*(1-Inputs!$B$12)</f>
        <v>0.88174367813402</v>
      </c>
      <c r="O1291" s="10" t="n">
        <f aca="false">IF(M1291,Y1290*(N1291-AB1290)-Inputs!$B$9-Y1290*AD1290*Inputs!$B$13*(A1291-AC1290),0)</f>
        <v>0</v>
      </c>
      <c r="P1291" s="10" t="n">
        <f aca="false">X1290+O1291</f>
        <v>925.345823172389</v>
      </c>
      <c r="Q1291" s="9" t="b">
        <f aca="false">AND(IF(M1291,0,Y1290)=0,AA1290,IF(ISNUMBER(AE1290),B1291&gt;AE1290,FALSE()))</f>
        <v>0</v>
      </c>
      <c r="R1291" s="8" t="n">
        <f aca="false">B1291*(1+Inputs!$B$12)</f>
        <v>0.882096446158878</v>
      </c>
      <c r="S1291" s="11" t="n">
        <f aca="false">IF(Q1291,MIN(P1291*Inputs!$B$3/(R1291-AE1290),P1291*Inputs!$B$11/R1291),0)</f>
        <v>0</v>
      </c>
      <c r="T1291" s="11" t="n">
        <f aca="false">IF(Q1291,S1291,IF(M1291,0,Y1290))</f>
        <v>0</v>
      </c>
      <c r="U1291" s="8" t="n">
        <f aca="false">IF(Q1291,AE1290,AF1290)</f>
        <v>0.885137616607025</v>
      </c>
      <c r="V1291" s="9" t="b">
        <f aca="false">AND(T1291&gt;0,D1291&lt;=U1291)</f>
        <v>0</v>
      </c>
      <c r="W1291" s="10" t="n">
        <f aca="false">IF(V1291,T1291*(AK1291-AB1291)-Inputs!$B$9-T1291*AD1291*Inputs!$B$13*(A1291-AC1291),0)</f>
        <v>0</v>
      </c>
      <c r="X1291" s="10" t="n">
        <f aca="false">P1291-IF(Q1291,Inputs!$B$9,0)+W1291</f>
        <v>925.345823172389</v>
      </c>
      <c r="Y1291" s="11" t="n">
        <f aca="false">IF(V1291,0,T1291)</f>
        <v>0</v>
      </c>
      <c r="Z1291" s="9" t="b">
        <f aca="false">AND(Y1291&gt;0,K1291)</f>
        <v>0</v>
      </c>
      <c r="AA1291" s="9" t="b">
        <f aca="false">AND(Y1291=0,J1291,ISNUMBER(L1291))</f>
        <v>0</v>
      </c>
      <c r="AB1291" s="8" t="n">
        <f aca="false">IF(Q1291,R1291,AB1290)</f>
        <v>0.902917052911703</v>
      </c>
      <c r="AC1291" s="12" t="n">
        <f aca="false">IF(Q1291,A1291,AC1290)</f>
        <v>46049</v>
      </c>
      <c r="AD1291" s="8" t="n">
        <f aca="false">IF(Q1291,B1291,AD1290)</f>
        <v>0.902736505610581</v>
      </c>
      <c r="AE1291" s="8" t="str">
        <f aca="false">IF(AA1291,L1291,"")</f>
        <v/>
      </c>
      <c r="AF1291" s="8" t="n">
        <f aca="false">U1291</f>
        <v>0.885137616607025</v>
      </c>
      <c r="AG1291" s="2" t="n">
        <f aca="false">AG1290+IF(Q1291,1,0)</f>
        <v>14</v>
      </c>
      <c r="AH1291" s="2" t="n">
        <f aca="false">AG1290</f>
        <v>14</v>
      </c>
      <c r="AI1291" s="10" t="n">
        <f aca="false">X1291+Y1291*(E1291-AB1291)-Y1291*AD1291*Inputs!$B$13*(A1291-AC1291)</f>
        <v>925.345823172389</v>
      </c>
      <c r="AJ1291" s="10" t="n">
        <v>0</v>
      </c>
      <c r="AK1291" s="8" t="n">
        <f aca="false">IF(AND(B1291&lt;=U1291,NOT(Q1291)),B1291,U1291)*(1-Inputs!$B$12)</f>
        <v>0.88174367813402</v>
      </c>
    </row>
    <row r="1292" customFormat="false" ht="15" hidden="false" customHeight="false" outlineLevel="0" collapsed="false">
      <c r="A1292" s="6" t="n">
        <v>46076</v>
      </c>
      <c r="B1292" s="7" t="n">
        <v>0.881866587074078</v>
      </c>
      <c r="C1292" s="7" t="n">
        <v>0.884244045330502</v>
      </c>
      <c r="D1292" s="7" t="n">
        <v>0.868403218411994</v>
      </c>
      <c r="E1292" s="7" t="n">
        <v>0.874276935568261</v>
      </c>
      <c r="F1292" s="8" t="n">
        <f aca="true">IF(ROW()-2&gt;=Inputs!$B$4,AVERAGE(OFFSET(E1292,1-Inputs!$B$4,0,Inputs!$B$4,1)),"")</f>
        <v>0.885659158644452</v>
      </c>
      <c r="G1292" s="8" t="n">
        <f aca="true">IF(ROW()-2&gt;=Inputs!$B$5,AVERAGE(OFFSET(E1292,1-Inputs!$B$5,0,Inputs!$B$5,1)),"")</f>
        <v>0.892324969181213</v>
      </c>
      <c r="H1292" s="8" t="n">
        <f aca="false">MAX(C1292-D1292,ABS(C1292-E1291),ABS(D1292-E1291))</f>
        <v>0.0158408269185079</v>
      </c>
      <c r="I1292" s="8" t="n">
        <f aca="true">IF(ROW()-2&lt;14,"",IF(ROW()-2=14,AVERAGE(OFFSET(H1292,-13,0,14,1)),(I1291*13+H1292)/14))</f>
        <v>0.0090784816794723</v>
      </c>
      <c r="J1292" s="9" t="b">
        <f aca="false">IF(AND(ISNUMBER(F1292),ISNUMBER(G1292),ISNUMBER(F1291),ISNUMBER(G1291)),AND(F1292&gt;G1292,F1291&lt;=G1291),FALSE())</f>
        <v>0</v>
      </c>
      <c r="K1292" s="9" t="b">
        <f aca="false">IF(AND(ISNUMBER(F1292),ISNUMBER(G1292),ISNUMBER(F1291),ISNUMBER(G1291)),AND(F1292&lt;G1292,F1291&gt;=G1291),FALSE())</f>
        <v>0</v>
      </c>
      <c r="L1292" s="8" t="n">
        <f aca="false">IF(ISNUMBER(I1292),E1292-Inputs!$B$6*I1292,"")</f>
        <v>0.856119972209316</v>
      </c>
      <c r="M1292" s="9" t="b">
        <f aca="false">AND(Y1291&gt;0,Z1291)</f>
        <v>0</v>
      </c>
      <c r="N1292" s="8" t="n">
        <f aca="false">B1292*(1-Inputs!$B$12)</f>
        <v>0.881690213756663</v>
      </c>
      <c r="O1292" s="10" t="n">
        <f aca="false">IF(M1292,Y1291*(N1292-AB1291)-Inputs!$B$9-Y1291*AD1291*Inputs!$B$13*(A1292-AC1291),0)</f>
        <v>0</v>
      </c>
      <c r="P1292" s="10" t="n">
        <f aca="false">X1291+O1292</f>
        <v>925.345823172389</v>
      </c>
      <c r="Q1292" s="9" t="b">
        <f aca="false">AND(IF(M1292,0,Y1291)=0,AA1291,IF(ISNUMBER(AE1291),B1292&gt;AE1291,FALSE()))</f>
        <v>0</v>
      </c>
      <c r="R1292" s="8" t="n">
        <f aca="false">B1292*(1+Inputs!$B$12)</f>
        <v>0.882042960391493</v>
      </c>
      <c r="S1292" s="11" t="n">
        <f aca="false">IF(Q1292,MIN(P1292*Inputs!$B$3/(R1292-AE1291),P1292*Inputs!$B$11/R1292),0)</f>
        <v>0</v>
      </c>
      <c r="T1292" s="11" t="n">
        <f aca="false">IF(Q1292,S1292,IF(M1292,0,Y1291))</f>
        <v>0</v>
      </c>
      <c r="U1292" s="8" t="n">
        <f aca="false">IF(Q1292,AE1291,AF1291)</f>
        <v>0.885137616607025</v>
      </c>
      <c r="V1292" s="9" t="b">
        <f aca="false">AND(T1292&gt;0,D1292&lt;=U1292)</f>
        <v>0</v>
      </c>
      <c r="W1292" s="10" t="n">
        <f aca="false">IF(V1292,T1292*(AK1292-AB1292)-Inputs!$B$9-T1292*AD1292*Inputs!$B$13*(A1292-AC1292),0)</f>
        <v>0</v>
      </c>
      <c r="X1292" s="10" t="n">
        <f aca="false">P1292-IF(Q1292,Inputs!$B$9,0)+W1292</f>
        <v>925.345823172389</v>
      </c>
      <c r="Y1292" s="11" t="n">
        <f aca="false">IF(V1292,0,T1292)</f>
        <v>0</v>
      </c>
      <c r="Z1292" s="9" t="b">
        <f aca="false">AND(Y1292&gt;0,K1292)</f>
        <v>0</v>
      </c>
      <c r="AA1292" s="9" t="b">
        <f aca="false">AND(Y1292=0,J1292,ISNUMBER(L1292))</f>
        <v>0</v>
      </c>
      <c r="AB1292" s="8" t="n">
        <f aca="false">IF(Q1292,R1292,AB1291)</f>
        <v>0.902917052911703</v>
      </c>
      <c r="AC1292" s="12" t="n">
        <f aca="false">IF(Q1292,A1292,AC1291)</f>
        <v>46049</v>
      </c>
      <c r="AD1292" s="8" t="n">
        <f aca="false">IF(Q1292,B1292,AD1291)</f>
        <v>0.902736505610581</v>
      </c>
      <c r="AE1292" s="8" t="str">
        <f aca="false">IF(AA1292,L1292,"")</f>
        <v/>
      </c>
      <c r="AF1292" s="8" t="n">
        <f aca="false">U1292</f>
        <v>0.885137616607025</v>
      </c>
      <c r="AG1292" s="2" t="n">
        <f aca="false">AG1291+IF(Q1292,1,0)</f>
        <v>14</v>
      </c>
      <c r="AH1292" s="2" t="n">
        <f aca="false">AG1291</f>
        <v>14</v>
      </c>
      <c r="AI1292" s="10" t="n">
        <f aca="false">X1292+Y1292*(E1292-AB1292)-Y1292*AD1292*Inputs!$B$13*(A1292-AC1292)</f>
        <v>925.345823172389</v>
      </c>
      <c r="AJ1292" s="10" t="n">
        <v>0</v>
      </c>
      <c r="AK1292" s="8" t="n">
        <f aca="false">IF(AND(B1292&lt;=U1292,NOT(Q1292)),B1292,U1292)*(1-Inputs!$B$12)</f>
        <v>0.881690213756663</v>
      </c>
    </row>
    <row r="1293" customFormat="false" ht="15" hidden="false" customHeight="false" outlineLevel="0" collapsed="false">
      <c r="A1293" s="6" t="n">
        <v>46077</v>
      </c>
      <c r="B1293" s="7" t="n">
        <v>0.874276935568261</v>
      </c>
      <c r="C1293" s="7" t="n">
        <v>0.876727718222709</v>
      </c>
      <c r="D1293" s="7" t="n">
        <v>0.867233537891932</v>
      </c>
      <c r="E1293" s="7" t="n">
        <v>0.86865872966644</v>
      </c>
      <c r="F1293" s="8" t="n">
        <f aca="true">IF(ROW()-2&gt;=Inputs!$B$4,AVERAGE(OFFSET(E1293,1-Inputs!$B$4,0,Inputs!$B$4,1)),"")</f>
        <v>0.88453899772014</v>
      </c>
      <c r="G1293" s="8" t="n">
        <f aca="true">IF(ROW()-2&gt;=Inputs!$B$5,AVERAGE(OFFSET(E1293,1-Inputs!$B$5,0,Inputs!$B$5,1)),"")</f>
        <v>0.892007948132434</v>
      </c>
      <c r="H1293" s="8" t="n">
        <f aca="false">MAX(C1293-D1293,ABS(C1293-E1292),ABS(D1293-E1292))</f>
        <v>0.00949418033077709</v>
      </c>
      <c r="I1293" s="8" t="n">
        <f aca="true">IF(ROW()-2&lt;14,"",IF(ROW()-2=14,AVERAGE(OFFSET(H1293,-13,0,14,1)),(I1292*13+H1293)/14))</f>
        <v>0.00910817444027979</v>
      </c>
      <c r="J1293" s="9" t="b">
        <f aca="false">IF(AND(ISNUMBER(F1293),ISNUMBER(G1293),ISNUMBER(F1292),ISNUMBER(G1292)),AND(F1293&gt;G1293,F1292&lt;=G1292),FALSE())</f>
        <v>0</v>
      </c>
      <c r="K1293" s="9" t="b">
        <f aca="false">IF(AND(ISNUMBER(F1293),ISNUMBER(G1293),ISNUMBER(F1292),ISNUMBER(G1292)),AND(F1293&lt;G1293,F1292&gt;=G1292),FALSE())</f>
        <v>0</v>
      </c>
      <c r="L1293" s="8" t="n">
        <f aca="false">IF(ISNUMBER(I1293),E1293-Inputs!$B$6*I1293,"")</f>
        <v>0.850442380785881</v>
      </c>
      <c r="M1293" s="9" t="b">
        <f aca="false">AND(Y1292&gt;0,Z1292)</f>
        <v>0</v>
      </c>
      <c r="N1293" s="8" t="n">
        <f aca="false">B1293*(1-Inputs!$B$12)</f>
        <v>0.874102080181147</v>
      </c>
      <c r="O1293" s="10" t="n">
        <f aca="false">IF(M1293,Y1292*(N1293-AB1292)-Inputs!$B$9-Y1292*AD1292*Inputs!$B$13*(A1293-AC1292),0)</f>
        <v>0</v>
      </c>
      <c r="P1293" s="10" t="n">
        <f aca="false">X1292+O1293</f>
        <v>925.345823172389</v>
      </c>
      <c r="Q1293" s="9" t="b">
        <f aca="false">AND(IF(M1293,0,Y1292)=0,AA1292,IF(ISNUMBER(AE1292),B1293&gt;AE1292,FALSE()))</f>
        <v>0</v>
      </c>
      <c r="R1293" s="8" t="n">
        <f aca="false">B1293*(1+Inputs!$B$12)</f>
        <v>0.874451790955374</v>
      </c>
      <c r="S1293" s="11" t="n">
        <f aca="false">IF(Q1293,MIN(P1293*Inputs!$B$3/(R1293-AE1292),P1293*Inputs!$B$11/R1293),0)</f>
        <v>0</v>
      </c>
      <c r="T1293" s="11" t="n">
        <f aca="false">IF(Q1293,S1293,IF(M1293,0,Y1292))</f>
        <v>0</v>
      </c>
      <c r="U1293" s="8" t="n">
        <f aca="false">IF(Q1293,AE1292,AF1292)</f>
        <v>0.885137616607025</v>
      </c>
      <c r="V1293" s="9" t="b">
        <f aca="false">AND(T1293&gt;0,D1293&lt;=U1293)</f>
        <v>0</v>
      </c>
      <c r="W1293" s="10" t="n">
        <f aca="false">IF(V1293,T1293*(AK1293-AB1293)-Inputs!$B$9-T1293*AD1293*Inputs!$B$13*(A1293-AC1293),0)</f>
        <v>0</v>
      </c>
      <c r="X1293" s="10" t="n">
        <f aca="false">P1293-IF(Q1293,Inputs!$B$9,0)+W1293</f>
        <v>925.345823172389</v>
      </c>
      <c r="Y1293" s="11" t="n">
        <f aca="false">IF(V1293,0,T1293)</f>
        <v>0</v>
      </c>
      <c r="Z1293" s="9" t="b">
        <f aca="false">AND(Y1293&gt;0,K1293)</f>
        <v>0</v>
      </c>
      <c r="AA1293" s="9" t="b">
        <f aca="false">AND(Y1293=0,J1293,ISNUMBER(L1293))</f>
        <v>0</v>
      </c>
      <c r="AB1293" s="8" t="n">
        <f aca="false">IF(Q1293,R1293,AB1292)</f>
        <v>0.902917052911703</v>
      </c>
      <c r="AC1293" s="12" t="n">
        <f aca="false">IF(Q1293,A1293,AC1292)</f>
        <v>46049</v>
      </c>
      <c r="AD1293" s="8" t="n">
        <f aca="false">IF(Q1293,B1293,AD1292)</f>
        <v>0.902736505610581</v>
      </c>
      <c r="AE1293" s="8" t="str">
        <f aca="false">IF(AA1293,L1293,"")</f>
        <v/>
      </c>
      <c r="AF1293" s="8" t="n">
        <f aca="false">U1293</f>
        <v>0.885137616607025</v>
      </c>
      <c r="AG1293" s="2" t="n">
        <f aca="false">AG1292+IF(Q1293,1,0)</f>
        <v>14</v>
      </c>
      <c r="AH1293" s="2" t="n">
        <f aca="false">AG1292</f>
        <v>14</v>
      </c>
      <c r="AI1293" s="10" t="n">
        <f aca="false">X1293+Y1293*(E1293-AB1293)-Y1293*AD1293*Inputs!$B$13*(A1293-AC1293)</f>
        <v>925.345823172389</v>
      </c>
      <c r="AJ1293" s="10" t="n">
        <v>0</v>
      </c>
      <c r="AK1293" s="8" t="n">
        <f aca="false">IF(AND(B1293&lt;=U1293,NOT(Q1293)),B1293,U1293)*(1-Inputs!$B$12)</f>
        <v>0.874102080181147</v>
      </c>
    </row>
    <row r="1294" customFormat="false" ht="15" hidden="false" customHeight="false" outlineLevel="0" collapsed="false">
      <c r="A1294" s="6" t="n">
        <v>46078</v>
      </c>
      <c r="B1294" s="7" t="n">
        <v>0.86865872966644</v>
      </c>
      <c r="C1294" s="7" t="n">
        <v>0.873696746336817</v>
      </c>
      <c r="D1294" s="7" t="n">
        <v>0.865694444216544</v>
      </c>
      <c r="E1294" s="7" t="n">
        <v>0.872355790879433</v>
      </c>
      <c r="F1294" s="8" t="n">
        <f aca="true">IF(ROW()-2&gt;=Inputs!$B$4,AVERAGE(OFFSET(E1294,1-Inputs!$B$4,0,Inputs!$B$4,1)),"")</f>
        <v>0.883560755427741</v>
      </c>
      <c r="G1294" s="8" t="n">
        <f aca="true">IF(ROW()-2&gt;=Inputs!$B$5,AVERAGE(OFFSET(E1294,1-Inputs!$B$5,0,Inputs!$B$5,1)),"")</f>
        <v>0.891882754946451</v>
      </c>
      <c r="H1294" s="8" t="n">
        <f aca="false">MAX(C1294-D1294,ABS(C1294-E1293),ABS(D1294-E1293))</f>
        <v>0.00800230212027331</v>
      </c>
      <c r="I1294" s="8" t="n">
        <f aca="true">IF(ROW()-2&lt;14,"",IF(ROW()-2=14,AVERAGE(OFFSET(H1294,-13,0,14,1)),(I1293*13+H1294)/14))</f>
        <v>0.00902918356027932</v>
      </c>
      <c r="J1294" s="9" t="b">
        <f aca="false">IF(AND(ISNUMBER(F1294),ISNUMBER(G1294),ISNUMBER(F1293),ISNUMBER(G1293)),AND(F1294&gt;G1294,F1293&lt;=G1293),FALSE())</f>
        <v>0</v>
      </c>
      <c r="K1294" s="9" t="b">
        <f aca="false">IF(AND(ISNUMBER(F1294),ISNUMBER(G1294),ISNUMBER(F1293),ISNUMBER(G1293)),AND(F1294&lt;G1294,F1293&gt;=G1293),FALSE())</f>
        <v>0</v>
      </c>
      <c r="L1294" s="8" t="n">
        <f aca="false">IF(ISNUMBER(I1294),E1294-Inputs!$B$6*I1294,"")</f>
        <v>0.854297423758874</v>
      </c>
      <c r="M1294" s="9" t="b">
        <f aca="false">AND(Y1293&gt;0,Z1293)</f>
        <v>0</v>
      </c>
      <c r="N1294" s="8" t="n">
        <f aca="false">B1294*(1-Inputs!$B$12)</f>
        <v>0.868484997920507</v>
      </c>
      <c r="O1294" s="10" t="n">
        <f aca="false">IF(M1294,Y1293*(N1294-AB1293)-Inputs!$B$9-Y1293*AD1293*Inputs!$B$13*(A1294-AC1293),0)</f>
        <v>0</v>
      </c>
      <c r="P1294" s="10" t="n">
        <f aca="false">X1293+O1294</f>
        <v>925.345823172389</v>
      </c>
      <c r="Q1294" s="9" t="b">
        <f aca="false">AND(IF(M1294,0,Y1293)=0,AA1293,IF(ISNUMBER(AE1293),B1294&gt;AE1293,FALSE()))</f>
        <v>0</v>
      </c>
      <c r="R1294" s="8" t="n">
        <f aca="false">B1294*(1+Inputs!$B$12)</f>
        <v>0.868832461412374</v>
      </c>
      <c r="S1294" s="11" t="n">
        <f aca="false">IF(Q1294,MIN(P1294*Inputs!$B$3/(R1294-AE1293),P1294*Inputs!$B$11/R1294),0)</f>
        <v>0</v>
      </c>
      <c r="T1294" s="11" t="n">
        <f aca="false">IF(Q1294,S1294,IF(M1294,0,Y1293))</f>
        <v>0</v>
      </c>
      <c r="U1294" s="8" t="n">
        <f aca="false">IF(Q1294,AE1293,AF1293)</f>
        <v>0.885137616607025</v>
      </c>
      <c r="V1294" s="9" t="b">
        <f aca="false">AND(T1294&gt;0,D1294&lt;=U1294)</f>
        <v>0</v>
      </c>
      <c r="W1294" s="10" t="n">
        <f aca="false">IF(V1294,T1294*(AK1294-AB1294)-Inputs!$B$9-T1294*AD1294*Inputs!$B$13*(A1294-AC1294),0)</f>
        <v>0</v>
      </c>
      <c r="X1294" s="10" t="n">
        <f aca="false">P1294-IF(Q1294,Inputs!$B$9,0)+W1294</f>
        <v>925.345823172389</v>
      </c>
      <c r="Y1294" s="11" t="n">
        <f aca="false">IF(V1294,0,T1294)</f>
        <v>0</v>
      </c>
      <c r="Z1294" s="9" t="b">
        <f aca="false">AND(Y1294&gt;0,K1294)</f>
        <v>0</v>
      </c>
      <c r="AA1294" s="9" t="b">
        <f aca="false">AND(Y1294=0,J1294,ISNUMBER(L1294))</f>
        <v>0</v>
      </c>
      <c r="AB1294" s="8" t="n">
        <f aca="false">IF(Q1294,R1294,AB1293)</f>
        <v>0.902917052911703</v>
      </c>
      <c r="AC1294" s="12" t="n">
        <f aca="false">IF(Q1294,A1294,AC1293)</f>
        <v>46049</v>
      </c>
      <c r="AD1294" s="8" t="n">
        <f aca="false">IF(Q1294,B1294,AD1293)</f>
        <v>0.902736505610581</v>
      </c>
      <c r="AE1294" s="8" t="str">
        <f aca="false">IF(AA1294,L1294,"")</f>
        <v/>
      </c>
      <c r="AF1294" s="8" t="n">
        <f aca="false">U1294</f>
        <v>0.885137616607025</v>
      </c>
      <c r="AG1294" s="2" t="n">
        <f aca="false">AG1293+IF(Q1294,1,0)</f>
        <v>14</v>
      </c>
      <c r="AH1294" s="2" t="n">
        <f aca="false">AG1293</f>
        <v>14</v>
      </c>
      <c r="AI1294" s="10" t="n">
        <f aca="false">X1294+Y1294*(E1294-AB1294)-Y1294*AD1294*Inputs!$B$13*(A1294-AC1294)</f>
        <v>925.345823172389</v>
      </c>
      <c r="AJ1294" s="10" t="n">
        <v>0</v>
      </c>
      <c r="AK1294" s="8" t="n">
        <f aca="false">IF(AND(B1294&lt;=U1294,NOT(Q1294)),B1294,U1294)*(1-Inputs!$B$12)</f>
        <v>0.868484997920507</v>
      </c>
    </row>
    <row r="1295" customFormat="false" ht="15" hidden="false" customHeight="false" outlineLevel="0" collapsed="false">
      <c r="A1295" s="6" t="n">
        <v>46079</v>
      </c>
      <c r="B1295" s="7" t="n">
        <v>0.872355790879433</v>
      </c>
      <c r="C1295" s="7" t="n">
        <v>0.872404867108476</v>
      </c>
      <c r="D1295" s="7" t="n">
        <v>0.868816160112213</v>
      </c>
      <c r="E1295" s="7" t="n">
        <v>0.870855578050508</v>
      </c>
      <c r="F1295" s="8" t="n">
        <f aca="true">IF(ROW()-2&gt;=Inputs!$B$4,AVERAGE(OFFSET(E1295,1-Inputs!$B$4,0,Inputs!$B$4,1)),"")</f>
        <v>0.882536794374977</v>
      </c>
      <c r="G1295" s="8" t="n">
        <f aca="true">IF(ROW()-2&gt;=Inputs!$B$5,AVERAGE(OFFSET(E1295,1-Inputs!$B$5,0,Inputs!$B$5,1)),"")</f>
        <v>0.891788926638743</v>
      </c>
      <c r="H1295" s="8" t="n">
        <f aca="false">MAX(C1295-D1295,ABS(C1295-E1294),ABS(D1295-E1294))</f>
        <v>0.00358870699626301</v>
      </c>
      <c r="I1295" s="8" t="n">
        <f aca="true">IF(ROW()-2&lt;14,"",IF(ROW()-2=14,AVERAGE(OFFSET(H1295,-13,0,14,1)),(I1294*13+H1295)/14))</f>
        <v>0.00864057809142101</v>
      </c>
      <c r="J1295" s="9" t="b">
        <f aca="false">IF(AND(ISNUMBER(F1295),ISNUMBER(G1295),ISNUMBER(F1294),ISNUMBER(G1294)),AND(F1295&gt;G1295,F1294&lt;=G1294),FALSE())</f>
        <v>0</v>
      </c>
      <c r="K1295" s="9" t="b">
        <f aca="false">IF(AND(ISNUMBER(F1295),ISNUMBER(G1295),ISNUMBER(F1294),ISNUMBER(G1294)),AND(F1295&lt;G1295,F1294&gt;=G1294),FALSE())</f>
        <v>0</v>
      </c>
      <c r="L1295" s="8" t="n">
        <f aca="false">IF(ISNUMBER(I1295),E1295-Inputs!$B$6*I1295,"")</f>
        <v>0.853574421867666</v>
      </c>
      <c r="M1295" s="9" t="b">
        <f aca="false">AND(Y1294&gt;0,Z1294)</f>
        <v>0</v>
      </c>
      <c r="N1295" s="8" t="n">
        <f aca="false">B1295*(1-Inputs!$B$12)</f>
        <v>0.872181319721257</v>
      </c>
      <c r="O1295" s="10" t="n">
        <f aca="false">IF(M1295,Y1294*(N1295-AB1294)-Inputs!$B$9-Y1294*AD1294*Inputs!$B$13*(A1295-AC1294),0)</f>
        <v>0</v>
      </c>
      <c r="P1295" s="10" t="n">
        <f aca="false">X1294+O1295</f>
        <v>925.345823172389</v>
      </c>
      <c r="Q1295" s="9" t="b">
        <f aca="false">AND(IF(M1295,0,Y1294)=0,AA1294,IF(ISNUMBER(AE1294),B1295&gt;AE1294,FALSE()))</f>
        <v>0</v>
      </c>
      <c r="R1295" s="8" t="n">
        <f aca="false">B1295*(1+Inputs!$B$12)</f>
        <v>0.872530262037608</v>
      </c>
      <c r="S1295" s="11" t="n">
        <f aca="false">IF(Q1295,MIN(P1295*Inputs!$B$3/(R1295-AE1294),P1295*Inputs!$B$11/R1295),0)</f>
        <v>0</v>
      </c>
      <c r="T1295" s="11" t="n">
        <f aca="false">IF(Q1295,S1295,IF(M1295,0,Y1294))</f>
        <v>0</v>
      </c>
      <c r="U1295" s="8" t="n">
        <f aca="false">IF(Q1295,AE1294,AF1294)</f>
        <v>0.885137616607025</v>
      </c>
      <c r="V1295" s="9" t="b">
        <f aca="false">AND(T1295&gt;0,D1295&lt;=U1295)</f>
        <v>0</v>
      </c>
      <c r="W1295" s="10" t="n">
        <f aca="false">IF(V1295,T1295*(AK1295-AB1295)-Inputs!$B$9-T1295*AD1295*Inputs!$B$13*(A1295-AC1295),0)</f>
        <v>0</v>
      </c>
      <c r="X1295" s="10" t="n">
        <f aca="false">P1295-IF(Q1295,Inputs!$B$9,0)+W1295</f>
        <v>925.345823172389</v>
      </c>
      <c r="Y1295" s="11" t="n">
        <f aca="false">IF(V1295,0,T1295)</f>
        <v>0</v>
      </c>
      <c r="Z1295" s="9" t="b">
        <f aca="false">AND(Y1295&gt;0,K1295)</f>
        <v>0</v>
      </c>
      <c r="AA1295" s="9" t="b">
        <f aca="false">AND(Y1295=0,J1295,ISNUMBER(L1295))</f>
        <v>0</v>
      </c>
      <c r="AB1295" s="8" t="n">
        <f aca="false">IF(Q1295,R1295,AB1294)</f>
        <v>0.902917052911703</v>
      </c>
      <c r="AC1295" s="12" t="n">
        <f aca="false">IF(Q1295,A1295,AC1294)</f>
        <v>46049</v>
      </c>
      <c r="AD1295" s="8" t="n">
        <f aca="false">IF(Q1295,B1295,AD1294)</f>
        <v>0.902736505610581</v>
      </c>
      <c r="AE1295" s="8" t="str">
        <f aca="false">IF(AA1295,L1295,"")</f>
        <v/>
      </c>
      <c r="AF1295" s="8" t="n">
        <f aca="false">U1295</f>
        <v>0.885137616607025</v>
      </c>
      <c r="AG1295" s="2" t="n">
        <f aca="false">AG1294+IF(Q1295,1,0)</f>
        <v>14</v>
      </c>
      <c r="AH1295" s="2" t="n">
        <f aca="false">AG1294</f>
        <v>14</v>
      </c>
      <c r="AI1295" s="10" t="n">
        <f aca="false">X1295+Y1295*(E1295-AB1295)-Y1295*AD1295*Inputs!$B$13*(A1295-AC1295)</f>
        <v>925.345823172389</v>
      </c>
      <c r="AJ1295" s="10" t="n">
        <v>0</v>
      </c>
      <c r="AK1295" s="8" t="n">
        <f aca="false">IF(AND(B1295&lt;=U1295,NOT(Q1295)),B1295,U1295)*(1-Inputs!$B$12)</f>
        <v>0.872181319721257</v>
      </c>
    </row>
    <row r="1296" customFormat="false" ht="15" hidden="false" customHeight="false" outlineLevel="0" collapsed="false">
      <c r="A1296" s="6" t="n">
        <v>46080</v>
      </c>
      <c r="B1296" s="7" t="n">
        <v>0.870855578050508</v>
      </c>
      <c r="C1296" s="7" t="n">
        <v>0.871996563917826</v>
      </c>
      <c r="D1296" s="7" t="n">
        <v>0.870627033875344</v>
      </c>
      <c r="E1296" s="7" t="n">
        <v>0.871782138379994</v>
      </c>
      <c r="F1296" s="8" t="n">
        <f aca="true">IF(ROW()-2&gt;=Inputs!$B$4,AVERAGE(OFFSET(E1296,1-Inputs!$B$4,0,Inputs!$B$4,1)),"")</f>
        <v>0.881629122361614</v>
      </c>
      <c r="G1296" s="8" t="n">
        <f aca="true">IF(ROW()-2&gt;=Inputs!$B$5,AVERAGE(OFFSET(E1296,1-Inputs!$B$5,0,Inputs!$B$5,1)),"")</f>
        <v>0.891636963646574</v>
      </c>
      <c r="H1296" s="8" t="n">
        <f aca="false">MAX(C1296-D1296,ABS(C1296-E1295),ABS(D1296-E1295))</f>
        <v>0.00136953004248219</v>
      </c>
      <c r="I1296" s="8" t="n">
        <f aca="true">IF(ROW()-2&lt;14,"",IF(ROW()-2=14,AVERAGE(OFFSET(H1296,-13,0,14,1)),(I1295*13+H1296)/14))</f>
        <v>0.00812121751649681</v>
      </c>
      <c r="J1296" s="9" t="b">
        <f aca="false">IF(AND(ISNUMBER(F1296),ISNUMBER(G1296),ISNUMBER(F1295),ISNUMBER(G1295)),AND(F1296&gt;G1296,F1295&lt;=G1295),FALSE())</f>
        <v>0</v>
      </c>
      <c r="K1296" s="9" t="b">
        <f aca="false">IF(AND(ISNUMBER(F1296),ISNUMBER(G1296),ISNUMBER(F1295),ISNUMBER(G1295)),AND(F1296&lt;G1296,F1295&gt;=G1295),FALSE())</f>
        <v>0</v>
      </c>
      <c r="L1296" s="8" t="n">
        <f aca="false">IF(ISNUMBER(I1296),E1296-Inputs!$B$6*I1296,"")</f>
        <v>0.855539703347</v>
      </c>
      <c r="M1296" s="9" t="b">
        <f aca="false">AND(Y1295&gt;0,Z1295)</f>
        <v>0</v>
      </c>
      <c r="N1296" s="8" t="n">
        <f aca="false">B1296*(1-Inputs!$B$12)</f>
        <v>0.870681406934898</v>
      </c>
      <c r="O1296" s="10" t="n">
        <f aca="false">IF(M1296,Y1295*(N1296-AB1295)-Inputs!$B$9-Y1295*AD1295*Inputs!$B$13*(A1296-AC1295),0)</f>
        <v>0</v>
      </c>
      <c r="P1296" s="10" t="n">
        <f aca="false">X1295+O1296</f>
        <v>925.345823172389</v>
      </c>
      <c r="Q1296" s="9" t="b">
        <f aca="false">AND(IF(M1296,0,Y1295)=0,AA1295,IF(ISNUMBER(AE1295),B1296&gt;AE1295,FALSE()))</f>
        <v>0</v>
      </c>
      <c r="R1296" s="8" t="n">
        <f aca="false">B1296*(1+Inputs!$B$12)</f>
        <v>0.871029749166118</v>
      </c>
      <c r="S1296" s="11" t="n">
        <f aca="false">IF(Q1296,MIN(P1296*Inputs!$B$3/(R1296-AE1295),P1296*Inputs!$B$11/R1296),0)</f>
        <v>0</v>
      </c>
      <c r="T1296" s="11" t="n">
        <f aca="false">IF(Q1296,S1296,IF(M1296,0,Y1295))</f>
        <v>0</v>
      </c>
      <c r="U1296" s="8" t="n">
        <f aca="false">IF(Q1296,AE1295,AF1295)</f>
        <v>0.885137616607025</v>
      </c>
      <c r="V1296" s="9" t="b">
        <f aca="false">AND(T1296&gt;0,D1296&lt;=U1296)</f>
        <v>0</v>
      </c>
      <c r="W1296" s="10" t="n">
        <f aca="false">IF(V1296,T1296*(AK1296-AB1296)-Inputs!$B$9-T1296*AD1296*Inputs!$B$13*(A1296-AC1296),0)</f>
        <v>0</v>
      </c>
      <c r="X1296" s="10" t="n">
        <f aca="false">P1296-IF(Q1296,Inputs!$B$9,0)+W1296</f>
        <v>925.345823172389</v>
      </c>
      <c r="Y1296" s="11" t="n">
        <f aca="false">IF(V1296,0,T1296)</f>
        <v>0</v>
      </c>
      <c r="Z1296" s="9" t="b">
        <f aca="false">AND(Y1296&gt;0,K1296)</f>
        <v>0</v>
      </c>
      <c r="AA1296" s="9" t="b">
        <f aca="false">AND(Y1296=0,J1296,ISNUMBER(L1296))</f>
        <v>0</v>
      </c>
      <c r="AB1296" s="8" t="n">
        <f aca="false">IF(Q1296,R1296,AB1295)</f>
        <v>0.902917052911703</v>
      </c>
      <c r="AC1296" s="12" t="n">
        <f aca="false">IF(Q1296,A1296,AC1295)</f>
        <v>46049</v>
      </c>
      <c r="AD1296" s="8" t="n">
        <f aca="false">IF(Q1296,B1296,AD1295)</f>
        <v>0.902736505610581</v>
      </c>
      <c r="AE1296" s="8" t="str">
        <f aca="false">IF(AA1296,L1296,"")</f>
        <v/>
      </c>
      <c r="AF1296" s="8" t="n">
        <f aca="false">U1296</f>
        <v>0.885137616607025</v>
      </c>
      <c r="AG1296" s="2" t="n">
        <f aca="false">AG1295+IF(Q1296,1,0)</f>
        <v>14</v>
      </c>
      <c r="AH1296" s="2" t="n">
        <f aca="false">AG1295</f>
        <v>14</v>
      </c>
      <c r="AI1296" s="10" t="n">
        <f aca="false">X1296+Y1296*(E1296-AB1296)-Y1296*AD1296*Inputs!$B$13*(A1296-AC1296)</f>
        <v>925.345823172389</v>
      </c>
      <c r="AJ1296" s="10" t="n">
        <v>0</v>
      </c>
      <c r="AK1296" s="8" t="n">
        <f aca="false">IF(AND(B1296&lt;=U1296,NOT(Q1296)),B1296,U1296)*(1-Inputs!$B$12)</f>
        <v>0.870681406934898</v>
      </c>
    </row>
    <row r="1297" customFormat="false" ht="15" hidden="false" customHeight="false" outlineLevel="0" collapsed="false">
      <c r="A1297" s="6" t="n">
        <v>46081</v>
      </c>
      <c r="B1297" s="7" t="n">
        <v>0.871782138379994</v>
      </c>
      <c r="C1297" s="7" t="n">
        <v>0.87219156888102</v>
      </c>
      <c r="D1297" s="7" t="n">
        <v>0.867601051654326</v>
      </c>
      <c r="E1297" s="7" t="n">
        <v>0.867994111267417</v>
      </c>
      <c r="F1297" s="8" t="n">
        <f aca="true">IF(ROW()-2&gt;=Inputs!$B$4,AVERAGE(OFFSET(E1297,1-Inputs!$B$4,0,Inputs!$B$4,1)),"")</f>
        <v>0.88042230745945</v>
      </c>
      <c r="G1297" s="8" t="n">
        <f aca="true">IF(ROW()-2&gt;=Inputs!$B$5,AVERAGE(OFFSET(E1297,1-Inputs!$B$5,0,Inputs!$B$5,1)),"")</f>
        <v>0.891281108858229</v>
      </c>
      <c r="H1297" s="8" t="n">
        <f aca="false">MAX(C1297-D1297,ABS(C1297-E1296),ABS(D1297-E1296))</f>
        <v>0.00459051722669457</v>
      </c>
      <c r="I1297" s="8" t="n">
        <f aca="true">IF(ROW()-2&lt;14,"",IF(ROW()-2=14,AVERAGE(OFFSET(H1297,-13,0,14,1)),(I1296*13+H1297)/14))</f>
        <v>0.0078690246386538</v>
      </c>
      <c r="J1297" s="9" t="b">
        <f aca="false">IF(AND(ISNUMBER(F1297),ISNUMBER(G1297),ISNUMBER(F1296),ISNUMBER(G1296)),AND(F1297&gt;G1297,F1296&lt;=G1296),FALSE())</f>
        <v>0</v>
      </c>
      <c r="K1297" s="9" t="b">
        <f aca="false">IF(AND(ISNUMBER(F1297),ISNUMBER(G1297),ISNUMBER(F1296),ISNUMBER(G1296)),AND(F1297&lt;G1297,F1296&gt;=G1296),FALSE())</f>
        <v>0</v>
      </c>
      <c r="L1297" s="8" t="n">
        <f aca="false">IF(ISNUMBER(I1297),E1297-Inputs!$B$6*I1297,"")</f>
        <v>0.852256061990109</v>
      </c>
      <c r="M1297" s="9" t="b">
        <f aca="false">AND(Y1296&gt;0,Z1296)</f>
        <v>0</v>
      </c>
      <c r="N1297" s="8" t="n">
        <f aca="false">B1297*(1-Inputs!$B$12)</f>
        <v>0.871607781952318</v>
      </c>
      <c r="O1297" s="10" t="n">
        <f aca="false">IF(M1297,Y1296*(N1297-AB1296)-Inputs!$B$9-Y1296*AD1296*Inputs!$B$13*(A1297-AC1296),0)</f>
        <v>0</v>
      </c>
      <c r="P1297" s="10" t="n">
        <f aca="false">X1296+O1297</f>
        <v>925.345823172389</v>
      </c>
      <c r="Q1297" s="9" t="b">
        <f aca="false">AND(IF(M1297,0,Y1296)=0,AA1296,IF(ISNUMBER(AE1296),B1297&gt;AE1296,FALSE()))</f>
        <v>0</v>
      </c>
      <c r="R1297" s="8" t="n">
        <f aca="false">B1297*(1+Inputs!$B$12)</f>
        <v>0.87195649480767</v>
      </c>
      <c r="S1297" s="11" t="n">
        <f aca="false">IF(Q1297,MIN(P1297*Inputs!$B$3/(R1297-AE1296),P1297*Inputs!$B$11/R1297),0)</f>
        <v>0</v>
      </c>
      <c r="T1297" s="11" t="n">
        <f aca="false">IF(Q1297,S1297,IF(M1297,0,Y1296))</f>
        <v>0</v>
      </c>
      <c r="U1297" s="8" t="n">
        <f aca="false">IF(Q1297,AE1296,AF1296)</f>
        <v>0.885137616607025</v>
      </c>
      <c r="V1297" s="9" t="b">
        <f aca="false">AND(T1297&gt;0,D1297&lt;=U1297)</f>
        <v>0</v>
      </c>
      <c r="W1297" s="10" t="n">
        <f aca="false">IF(V1297,T1297*(AK1297-AB1297)-Inputs!$B$9-T1297*AD1297*Inputs!$B$13*(A1297-AC1297),0)</f>
        <v>0</v>
      </c>
      <c r="X1297" s="10" t="n">
        <f aca="false">P1297-IF(Q1297,Inputs!$B$9,0)+W1297</f>
        <v>925.345823172389</v>
      </c>
      <c r="Y1297" s="11" t="n">
        <f aca="false">IF(V1297,0,T1297)</f>
        <v>0</v>
      </c>
      <c r="Z1297" s="9" t="b">
        <f aca="false">AND(Y1297&gt;0,K1297)</f>
        <v>0</v>
      </c>
      <c r="AA1297" s="9" t="b">
        <f aca="false">AND(Y1297=0,J1297,ISNUMBER(L1297))</f>
        <v>0</v>
      </c>
      <c r="AB1297" s="8" t="n">
        <f aca="false">IF(Q1297,R1297,AB1296)</f>
        <v>0.902917052911703</v>
      </c>
      <c r="AC1297" s="12" t="n">
        <f aca="false">IF(Q1297,A1297,AC1296)</f>
        <v>46049</v>
      </c>
      <c r="AD1297" s="8" t="n">
        <f aca="false">IF(Q1297,B1297,AD1296)</f>
        <v>0.902736505610581</v>
      </c>
      <c r="AE1297" s="8" t="str">
        <f aca="false">IF(AA1297,L1297,"")</f>
        <v/>
      </c>
      <c r="AF1297" s="8" t="n">
        <f aca="false">U1297</f>
        <v>0.885137616607025</v>
      </c>
      <c r="AG1297" s="2" t="n">
        <f aca="false">AG1296+IF(Q1297,1,0)</f>
        <v>14</v>
      </c>
      <c r="AH1297" s="2" t="n">
        <f aca="false">AG1296</f>
        <v>14</v>
      </c>
      <c r="AI1297" s="10" t="n">
        <f aca="false">X1297+Y1297*(E1297-AB1297)-Y1297*AD1297*Inputs!$B$13*(A1297-AC1297)</f>
        <v>925.345823172389</v>
      </c>
      <c r="AJ1297" s="10" t="n">
        <v>0</v>
      </c>
      <c r="AK1297" s="8" t="n">
        <f aca="false">IF(AND(B1297&lt;=U1297,NOT(Q1297)),B1297,U1297)*(1-Inputs!$B$12)</f>
        <v>0.871607781952318</v>
      </c>
    </row>
    <row r="1298" customFormat="false" ht="15" hidden="false" customHeight="false" outlineLevel="0" collapsed="false">
      <c r="A1298" s="6" t="n">
        <v>46082</v>
      </c>
      <c r="B1298" s="7" t="n">
        <v>0.867994111267417</v>
      </c>
      <c r="C1298" s="7" t="n">
        <v>0.874557057814499</v>
      </c>
      <c r="D1298" s="7" t="n">
        <v>0.863179750282812</v>
      </c>
      <c r="E1298" s="7" t="n">
        <v>0.873824177390468</v>
      </c>
      <c r="F1298" s="8" t="n">
        <f aca="true">IF(ROW()-2&gt;=Inputs!$B$4,AVERAGE(OFFSET(E1298,1-Inputs!$B$4,0,Inputs!$B$4,1)),"")</f>
        <v>0.879766773330624</v>
      </c>
      <c r="G1298" s="8" t="n">
        <f aca="true">IF(ROW()-2&gt;=Inputs!$B$5,AVERAGE(OFFSET(E1298,1-Inputs!$B$5,0,Inputs!$B$5,1)),"")</f>
        <v>0.890822582145354</v>
      </c>
      <c r="H1298" s="8" t="n">
        <f aca="false">MAX(C1298-D1298,ABS(C1298-E1297),ABS(D1298-E1297))</f>
        <v>0.0113773075316869</v>
      </c>
      <c r="I1298" s="8" t="n">
        <f aca="true">IF(ROW()-2&lt;14,"",IF(ROW()-2=14,AVERAGE(OFFSET(H1298,-13,0,14,1)),(I1297*13+H1298)/14))</f>
        <v>0.00811961627387044</v>
      </c>
      <c r="J1298" s="9" t="b">
        <f aca="false">IF(AND(ISNUMBER(F1298),ISNUMBER(G1298),ISNUMBER(F1297),ISNUMBER(G1297)),AND(F1298&gt;G1298,F1297&lt;=G1297),FALSE())</f>
        <v>0</v>
      </c>
      <c r="K1298" s="9" t="b">
        <f aca="false">IF(AND(ISNUMBER(F1298),ISNUMBER(G1298),ISNUMBER(F1297),ISNUMBER(G1297)),AND(F1298&lt;G1298,F1297&gt;=G1297),FALSE())</f>
        <v>0</v>
      </c>
      <c r="L1298" s="8" t="n">
        <f aca="false">IF(ISNUMBER(I1298),E1298-Inputs!$B$6*I1298,"")</f>
        <v>0.857584944842727</v>
      </c>
      <c r="M1298" s="9" t="b">
        <f aca="false">AND(Y1297&gt;0,Z1297)</f>
        <v>0</v>
      </c>
      <c r="N1298" s="8" t="n">
        <f aca="false">B1298*(1-Inputs!$B$12)</f>
        <v>0.867820512445163</v>
      </c>
      <c r="O1298" s="10" t="n">
        <f aca="false">IF(M1298,Y1297*(N1298-AB1297)-Inputs!$B$9-Y1297*AD1297*Inputs!$B$13*(A1298-AC1297),0)</f>
        <v>0</v>
      </c>
      <c r="P1298" s="10" t="n">
        <f aca="false">X1297+O1298</f>
        <v>925.345823172389</v>
      </c>
      <c r="Q1298" s="9" t="b">
        <f aca="false">AND(IF(M1298,0,Y1297)=0,AA1297,IF(ISNUMBER(AE1297),B1298&gt;AE1297,FALSE()))</f>
        <v>0</v>
      </c>
      <c r="R1298" s="8" t="n">
        <f aca="false">B1298*(1+Inputs!$B$12)</f>
        <v>0.86816771008967</v>
      </c>
      <c r="S1298" s="11" t="n">
        <f aca="false">IF(Q1298,MIN(P1298*Inputs!$B$3/(R1298-AE1297),P1298*Inputs!$B$11/R1298),0)</f>
        <v>0</v>
      </c>
      <c r="T1298" s="11" t="n">
        <f aca="false">IF(Q1298,S1298,IF(M1298,0,Y1297))</f>
        <v>0</v>
      </c>
      <c r="U1298" s="8" t="n">
        <f aca="false">IF(Q1298,AE1297,AF1297)</f>
        <v>0.885137616607025</v>
      </c>
      <c r="V1298" s="9" t="b">
        <f aca="false">AND(T1298&gt;0,D1298&lt;=U1298)</f>
        <v>0</v>
      </c>
      <c r="W1298" s="10" t="n">
        <f aca="false">IF(V1298,T1298*(AK1298-AB1298)-Inputs!$B$9-T1298*AD1298*Inputs!$B$13*(A1298-AC1298),0)</f>
        <v>0</v>
      </c>
      <c r="X1298" s="10" t="n">
        <f aca="false">P1298-IF(Q1298,Inputs!$B$9,0)+W1298</f>
        <v>925.345823172389</v>
      </c>
      <c r="Y1298" s="11" t="n">
        <f aca="false">IF(V1298,0,T1298)</f>
        <v>0</v>
      </c>
      <c r="Z1298" s="9" t="b">
        <f aca="false">AND(Y1298&gt;0,K1298)</f>
        <v>0</v>
      </c>
      <c r="AA1298" s="9" t="b">
        <f aca="false">AND(Y1298=0,J1298,ISNUMBER(L1298))</f>
        <v>0</v>
      </c>
      <c r="AB1298" s="8" t="n">
        <f aca="false">IF(Q1298,R1298,AB1297)</f>
        <v>0.902917052911703</v>
      </c>
      <c r="AC1298" s="12" t="n">
        <f aca="false">IF(Q1298,A1298,AC1297)</f>
        <v>46049</v>
      </c>
      <c r="AD1298" s="8" t="n">
        <f aca="false">IF(Q1298,B1298,AD1297)</f>
        <v>0.902736505610581</v>
      </c>
      <c r="AE1298" s="8" t="str">
        <f aca="false">IF(AA1298,L1298,"")</f>
        <v/>
      </c>
      <c r="AF1298" s="8" t="n">
        <f aca="false">U1298</f>
        <v>0.885137616607025</v>
      </c>
      <c r="AG1298" s="2" t="n">
        <f aca="false">AG1297+IF(Q1298,1,0)</f>
        <v>14</v>
      </c>
      <c r="AH1298" s="2" t="n">
        <f aca="false">AG1297</f>
        <v>14</v>
      </c>
      <c r="AI1298" s="10" t="n">
        <f aca="false">X1298+Y1298*(E1298-AB1298)-Y1298*AD1298*Inputs!$B$13*(A1298-AC1298)</f>
        <v>925.345823172389</v>
      </c>
      <c r="AJ1298" s="10" t="n">
        <v>0</v>
      </c>
      <c r="AK1298" s="8" t="n">
        <f aca="false">IF(AND(B1298&lt;=U1298,NOT(Q1298)),B1298,U1298)*(1-Inputs!$B$12)</f>
        <v>0.867820512445163</v>
      </c>
    </row>
    <row r="1299" customFormat="false" ht="15" hidden="false" customHeight="false" outlineLevel="0" collapsed="false">
      <c r="A1299" s="6" t="n">
        <v>46083</v>
      </c>
      <c r="B1299" s="7" t="n">
        <v>0.873824177390468</v>
      </c>
      <c r="C1299" s="7" t="n">
        <v>0.876064564496331</v>
      </c>
      <c r="D1299" s="7" t="n">
        <v>0.868906637844355</v>
      </c>
      <c r="E1299" s="7" t="n">
        <v>0.875335000182319</v>
      </c>
      <c r="F1299" s="8" t="n">
        <f aca="true">IF(ROW()-2&gt;=Inputs!$B$4,AVERAGE(OFFSET(E1299,1-Inputs!$B$4,0,Inputs!$B$4,1)),"")</f>
        <v>0.879064195912016</v>
      </c>
      <c r="G1299" s="8" t="n">
        <f aca="true">IF(ROW()-2&gt;=Inputs!$B$5,AVERAGE(OFFSET(E1299,1-Inputs!$B$5,0,Inputs!$B$5,1)),"")</f>
        <v>0.89034264404326</v>
      </c>
      <c r="H1299" s="8" t="n">
        <f aca="false">MAX(C1299-D1299,ABS(C1299-E1298),ABS(D1299-E1298))</f>
        <v>0.0071579266519759</v>
      </c>
      <c r="I1299" s="8" t="n">
        <f aca="true">IF(ROW()-2&lt;14,"",IF(ROW()-2=14,AVERAGE(OFFSET(H1299,-13,0,14,1)),(I1298*13+H1299)/14))</f>
        <v>0.00805092415802083</v>
      </c>
      <c r="J1299" s="9" t="b">
        <f aca="false">IF(AND(ISNUMBER(F1299),ISNUMBER(G1299),ISNUMBER(F1298),ISNUMBER(G1298)),AND(F1299&gt;G1299,F1298&lt;=G1298),FALSE())</f>
        <v>0</v>
      </c>
      <c r="K1299" s="9" t="b">
        <f aca="false">IF(AND(ISNUMBER(F1299),ISNUMBER(G1299),ISNUMBER(F1298),ISNUMBER(G1298)),AND(F1299&lt;G1299,F1298&gt;=G1298),FALSE())</f>
        <v>0</v>
      </c>
      <c r="L1299" s="8" t="n">
        <f aca="false">IF(ISNUMBER(I1299),E1299-Inputs!$B$6*I1299,"")</f>
        <v>0.859233151866277</v>
      </c>
      <c r="M1299" s="9" t="b">
        <f aca="false">AND(Y1298&gt;0,Z1298)</f>
        <v>0</v>
      </c>
      <c r="N1299" s="8" t="n">
        <f aca="false">B1299*(1-Inputs!$B$12)</f>
        <v>0.87364941255499</v>
      </c>
      <c r="O1299" s="10" t="n">
        <f aca="false">IF(M1299,Y1298*(N1299-AB1298)-Inputs!$B$9-Y1298*AD1298*Inputs!$B$13*(A1299-AC1298),0)</f>
        <v>0</v>
      </c>
      <c r="P1299" s="10" t="n">
        <f aca="false">X1298+O1299</f>
        <v>925.345823172389</v>
      </c>
      <c r="Q1299" s="9" t="b">
        <f aca="false">AND(IF(M1299,0,Y1298)=0,AA1298,IF(ISNUMBER(AE1298),B1299&gt;AE1298,FALSE()))</f>
        <v>0</v>
      </c>
      <c r="R1299" s="8" t="n">
        <f aca="false">B1299*(1+Inputs!$B$12)</f>
        <v>0.873998942225946</v>
      </c>
      <c r="S1299" s="11" t="n">
        <f aca="false">IF(Q1299,MIN(P1299*Inputs!$B$3/(R1299-AE1298),P1299*Inputs!$B$11/R1299),0)</f>
        <v>0</v>
      </c>
      <c r="T1299" s="11" t="n">
        <f aca="false">IF(Q1299,S1299,IF(M1299,0,Y1298))</f>
        <v>0</v>
      </c>
      <c r="U1299" s="8" t="n">
        <f aca="false">IF(Q1299,AE1298,AF1298)</f>
        <v>0.885137616607025</v>
      </c>
      <c r="V1299" s="9" t="b">
        <f aca="false">AND(T1299&gt;0,D1299&lt;=U1299)</f>
        <v>0</v>
      </c>
      <c r="W1299" s="10" t="n">
        <f aca="false">IF(V1299,T1299*(AK1299-AB1299)-Inputs!$B$9-T1299*AD1299*Inputs!$B$13*(A1299-AC1299),0)</f>
        <v>0</v>
      </c>
      <c r="X1299" s="10" t="n">
        <f aca="false">P1299-IF(Q1299,Inputs!$B$9,0)+W1299</f>
        <v>925.345823172389</v>
      </c>
      <c r="Y1299" s="11" t="n">
        <f aca="false">IF(V1299,0,T1299)</f>
        <v>0</v>
      </c>
      <c r="Z1299" s="9" t="b">
        <f aca="false">AND(Y1299&gt;0,K1299)</f>
        <v>0</v>
      </c>
      <c r="AA1299" s="9" t="b">
        <f aca="false">AND(Y1299=0,J1299,ISNUMBER(L1299))</f>
        <v>0</v>
      </c>
      <c r="AB1299" s="8" t="n">
        <f aca="false">IF(Q1299,R1299,AB1298)</f>
        <v>0.902917052911703</v>
      </c>
      <c r="AC1299" s="12" t="n">
        <f aca="false">IF(Q1299,A1299,AC1298)</f>
        <v>46049</v>
      </c>
      <c r="AD1299" s="8" t="n">
        <f aca="false">IF(Q1299,B1299,AD1298)</f>
        <v>0.902736505610581</v>
      </c>
      <c r="AE1299" s="8" t="str">
        <f aca="false">IF(AA1299,L1299,"")</f>
        <v/>
      </c>
      <c r="AF1299" s="8" t="n">
        <f aca="false">U1299</f>
        <v>0.885137616607025</v>
      </c>
      <c r="AG1299" s="2" t="n">
        <f aca="false">AG1298+IF(Q1299,1,0)</f>
        <v>14</v>
      </c>
      <c r="AH1299" s="2" t="n">
        <f aca="false">AG1298</f>
        <v>14</v>
      </c>
      <c r="AI1299" s="10" t="n">
        <f aca="false">X1299+Y1299*(E1299-AB1299)-Y1299*AD1299*Inputs!$B$13*(A1299-AC1299)</f>
        <v>925.345823172389</v>
      </c>
      <c r="AJ1299" s="10" t="n">
        <v>0</v>
      </c>
      <c r="AK1299" s="8" t="n">
        <f aca="false">IF(AND(B1299&lt;=U1299,NOT(Q1299)),B1299,U1299)*(1-Inputs!$B$12)</f>
        <v>0.87364941255499</v>
      </c>
    </row>
    <row r="1300" customFormat="false" ht="15" hidden="false" customHeight="false" outlineLevel="0" collapsed="false">
      <c r="A1300" s="6" t="n">
        <v>46084</v>
      </c>
      <c r="B1300" s="7" t="n">
        <v>0.875335000182319</v>
      </c>
      <c r="C1300" s="7" t="n">
        <v>0.881154683709082</v>
      </c>
      <c r="D1300" s="7" t="n">
        <v>0.87373642009704</v>
      </c>
      <c r="E1300" s="7" t="n">
        <v>0.87924122457241</v>
      </c>
      <c r="F1300" s="8" t="n">
        <f aca="true">IF(ROW()-2&gt;=Inputs!$B$4,AVERAGE(OFFSET(E1300,1-Inputs!$B$4,0,Inputs!$B$4,1)),"")</f>
        <v>0.879005584782478</v>
      </c>
      <c r="G1300" s="8" t="n">
        <f aca="true">IF(ROW()-2&gt;=Inputs!$B$5,AVERAGE(OFFSET(E1300,1-Inputs!$B$5,0,Inputs!$B$5,1)),"")</f>
        <v>0.889981340227315</v>
      </c>
      <c r="H1300" s="8" t="n">
        <f aca="false">MAX(C1300-D1300,ABS(C1300-E1299),ABS(D1300-E1299))</f>
        <v>0.00741826361204223</v>
      </c>
      <c r="I1300" s="8" t="n">
        <f aca="true">IF(ROW()-2&lt;14,"",IF(ROW()-2=14,AVERAGE(OFFSET(H1300,-13,0,14,1)),(I1299*13+H1300)/14))</f>
        <v>0.00800573411902236</v>
      </c>
      <c r="J1300" s="9" t="b">
        <f aca="false">IF(AND(ISNUMBER(F1300),ISNUMBER(G1300),ISNUMBER(F1299),ISNUMBER(G1299)),AND(F1300&gt;G1300,F1299&lt;=G1299),FALSE())</f>
        <v>0</v>
      </c>
      <c r="K1300" s="9" t="b">
        <f aca="false">IF(AND(ISNUMBER(F1300),ISNUMBER(G1300),ISNUMBER(F1299),ISNUMBER(G1299)),AND(F1300&lt;G1300,F1299&gt;=G1299),FALSE())</f>
        <v>0</v>
      </c>
      <c r="L1300" s="8" t="n">
        <f aca="false">IF(ISNUMBER(I1300),E1300-Inputs!$B$6*I1300,"")</f>
        <v>0.863229756334366</v>
      </c>
      <c r="M1300" s="9" t="b">
        <f aca="false">AND(Y1299&gt;0,Z1299)</f>
        <v>0</v>
      </c>
      <c r="N1300" s="8" t="n">
        <f aca="false">B1300*(1-Inputs!$B$12)</f>
        <v>0.875159933182283</v>
      </c>
      <c r="O1300" s="10" t="n">
        <f aca="false">IF(M1300,Y1299*(N1300-AB1299)-Inputs!$B$9-Y1299*AD1299*Inputs!$B$13*(A1300-AC1299),0)</f>
        <v>0</v>
      </c>
      <c r="P1300" s="10" t="n">
        <f aca="false">X1299+O1300</f>
        <v>925.345823172389</v>
      </c>
      <c r="Q1300" s="9" t="b">
        <f aca="false">AND(IF(M1300,0,Y1299)=0,AA1299,IF(ISNUMBER(AE1299),B1300&gt;AE1299,FALSE()))</f>
        <v>0</v>
      </c>
      <c r="R1300" s="8" t="n">
        <f aca="false">B1300*(1+Inputs!$B$12)</f>
        <v>0.875510067182355</v>
      </c>
      <c r="S1300" s="11" t="n">
        <f aca="false">IF(Q1300,MIN(P1300*Inputs!$B$3/(R1300-AE1299),P1300*Inputs!$B$11/R1300),0)</f>
        <v>0</v>
      </c>
      <c r="T1300" s="11" t="n">
        <f aca="false">IF(Q1300,S1300,IF(M1300,0,Y1299))</f>
        <v>0</v>
      </c>
      <c r="U1300" s="8" t="n">
        <f aca="false">IF(Q1300,AE1299,AF1299)</f>
        <v>0.885137616607025</v>
      </c>
      <c r="V1300" s="9" t="b">
        <f aca="false">AND(T1300&gt;0,D1300&lt;=U1300)</f>
        <v>0</v>
      </c>
      <c r="W1300" s="10" t="n">
        <f aca="false">IF(V1300,T1300*(AK1300-AB1300)-Inputs!$B$9-T1300*AD1300*Inputs!$B$13*(A1300-AC1300),0)</f>
        <v>0</v>
      </c>
      <c r="X1300" s="10" t="n">
        <f aca="false">P1300-IF(Q1300,Inputs!$B$9,0)+W1300</f>
        <v>925.345823172389</v>
      </c>
      <c r="Y1300" s="11" t="n">
        <f aca="false">IF(V1300,0,T1300)</f>
        <v>0</v>
      </c>
      <c r="Z1300" s="9" t="b">
        <f aca="false">AND(Y1300&gt;0,K1300)</f>
        <v>0</v>
      </c>
      <c r="AA1300" s="9" t="b">
        <f aca="false">AND(Y1300=0,J1300,ISNUMBER(L1300))</f>
        <v>0</v>
      </c>
      <c r="AB1300" s="8" t="n">
        <f aca="false">IF(Q1300,R1300,AB1299)</f>
        <v>0.902917052911703</v>
      </c>
      <c r="AC1300" s="12" t="n">
        <f aca="false">IF(Q1300,A1300,AC1299)</f>
        <v>46049</v>
      </c>
      <c r="AD1300" s="8" t="n">
        <f aca="false">IF(Q1300,B1300,AD1299)</f>
        <v>0.902736505610581</v>
      </c>
      <c r="AE1300" s="8" t="str">
        <f aca="false">IF(AA1300,L1300,"")</f>
        <v/>
      </c>
      <c r="AF1300" s="8" t="n">
        <f aca="false">U1300</f>
        <v>0.885137616607025</v>
      </c>
      <c r="AG1300" s="2" t="n">
        <f aca="false">AG1299+IF(Q1300,1,0)</f>
        <v>14</v>
      </c>
      <c r="AH1300" s="2" t="n">
        <f aca="false">AG1299</f>
        <v>14</v>
      </c>
      <c r="AI1300" s="10" t="n">
        <f aca="false">X1300+Y1300*(E1300-AB1300)-Y1300*AD1300*Inputs!$B$13*(A1300-AC1300)</f>
        <v>925.345823172389</v>
      </c>
      <c r="AJ1300" s="10" t="n">
        <v>0</v>
      </c>
      <c r="AK1300" s="8" t="n">
        <f aca="false">IF(AND(B1300&lt;=U1300,NOT(Q1300)),B1300,U1300)*(1-Inputs!$B$12)</f>
        <v>0.875159933182283</v>
      </c>
    </row>
    <row r="1301" customFormat="false" ht="15" hidden="false" customHeight="false" outlineLevel="0" collapsed="false">
      <c r="A1301" s="6" t="n">
        <v>46085</v>
      </c>
      <c r="B1301" s="7" t="n">
        <v>0.87924122457241</v>
      </c>
      <c r="C1301" s="7" t="n">
        <v>0.881717589551917</v>
      </c>
      <c r="D1301" s="7" t="n">
        <v>0.872184628217379</v>
      </c>
      <c r="E1301" s="7" t="n">
        <v>0.876853289228536</v>
      </c>
      <c r="F1301" s="8" t="n">
        <f aca="true">IF(ROW()-2&gt;=Inputs!$B$4,AVERAGE(OFFSET(E1301,1-Inputs!$B$4,0,Inputs!$B$4,1)),"")</f>
        <v>0.87864356540205</v>
      </c>
      <c r="G1301" s="8" t="n">
        <f aca="true">IF(ROW()-2&gt;=Inputs!$B$5,AVERAGE(OFFSET(E1301,1-Inputs!$B$5,0,Inputs!$B$5,1)),"")</f>
        <v>0.889506188910311</v>
      </c>
      <c r="H1301" s="8" t="n">
        <f aca="false">MAX(C1301-D1301,ABS(C1301-E1300),ABS(D1301-E1300))</f>
        <v>0.00953296133453774</v>
      </c>
      <c r="I1301" s="8" t="n">
        <f aca="true">IF(ROW()-2&lt;14,"",IF(ROW()-2=14,AVERAGE(OFFSET(H1301,-13,0,14,1)),(I1300*13+H1301)/14))</f>
        <v>0.00811482177727346</v>
      </c>
      <c r="J1301" s="9" t="b">
        <f aca="false">IF(AND(ISNUMBER(F1301),ISNUMBER(G1301),ISNUMBER(F1300),ISNUMBER(G1300)),AND(F1301&gt;G1301,F1300&lt;=G1300),FALSE())</f>
        <v>0</v>
      </c>
      <c r="K1301" s="9" t="b">
        <f aca="false">IF(AND(ISNUMBER(F1301),ISNUMBER(G1301),ISNUMBER(F1300),ISNUMBER(G1300)),AND(F1301&lt;G1301,F1300&gt;=G1300),FALSE())</f>
        <v>0</v>
      </c>
      <c r="L1301" s="8" t="n">
        <f aca="false">IF(ISNUMBER(I1301),E1301-Inputs!$B$6*I1301,"")</f>
        <v>0.86062364567399</v>
      </c>
      <c r="M1301" s="9" t="b">
        <f aca="false">AND(Y1300&gt;0,Z1300)</f>
        <v>0</v>
      </c>
      <c r="N1301" s="8" t="n">
        <f aca="false">B1301*(1-Inputs!$B$12)</f>
        <v>0.879065376327496</v>
      </c>
      <c r="O1301" s="10" t="n">
        <f aca="false">IF(M1301,Y1300*(N1301-AB1300)-Inputs!$B$9-Y1300*AD1300*Inputs!$B$13*(A1301-AC1300),0)</f>
        <v>0</v>
      </c>
      <c r="P1301" s="10" t="n">
        <f aca="false">X1300+O1301</f>
        <v>925.345823172389</v>
      </c>
      <c r="Q1301" s="9" t="b">
        <f aca="false">AND(IF(M1301,0,Y1300)=0,AA1300,IF(ISNUMBER(AE1300),B1301&gt;AE1300,FALSE()))</f>
        <v>0</v>
      </c>
      <c r="R1301" s="8" t="n">
        <f aca="false">B1301*(1+Inputs!$B$12)</f>
        <v>0.879417072817325</v>
      </c>
      <c r="S1301" s="11" t="n">
        <f aca="false">IF(Q1301,MIN(P1301*Inputs!$B$3/(R1301-AE1300),P1301*Inputs!$B$11/R1301),0)</f>
        <v>0</v>
      </c>
      <c r="T1301" s="11" t="n">
        <f aca="false">IF(Q1301,S1301,IF(M1301,0,Y1300))</f>
        <v>0</v>
      </c>
      <c r="U1301" s="8" t="n">
        <f aca="false">IF(Q1301,AE1300,AF1300)</f>
        <v>0.885137616607025</v>
      </c>
      <c r="V1301" s="9" t="b">
        <f aca="false">AND(T1301&gt;0,D1301&lt;=U1301)</f>
        <v>0</v>
      </c>
      <c r="W1301" s="10" t="n">
        <f aca="false">IF(V1301,T1301*(AK1301-AB1301)-Inputs!$B$9-T1301*AD1301*Inputs!$B$13*(A1301-AC1301),0)</f>
        <v>0</v>
      </c>
      <c r="X1301" s="10" t="n">
        <f aca="false">P1301-IF(Q1301,Inputs!$B$9,0)+W1301</f>
        <v>925.345823172389</v>
      </c>
      <c r="Y1301" s="11" t="n">
        <f aca="false">IF(V1301,0,T1301)</f>
        <v>0</v>
      </c>
      <c r="Z1301" s="9" t="b">
        <f aca="false">AND(Y1301&gt;0,K1301)</f>
        <v>0</v>
      </c>
      <c r="AA1301" s="9" t="b">
        <f aca="false">AND(Y1301=0,J1301,ISNUMBER(L1301))</f>
        <v>0</v>
      </c>
      <c r="AB1301" s="8" t="n">
        <f aca="false">IF(Q1301,R1301,AB1300)</f>
        <v>0.902917052911703</v>
      </c>
      <c r="AC1301" s="12" t="n">
        <f aca="false">IF(Q1301,A1301,AC1300)</f>
        <v>46049</v>
      </c>
      <c r="AD1301" s="8" t="n">
        <f aca="false">IF(Q1301,B1301,AD1300)</f>
        <v>0.902736505610581</v>
      </c>
      <c r="AE1301" s="8" t="str">
        <f aca="false">IF(AA1301,L1301,"")</f>
        <v/>
      </c>
      <c r="AF1301" s="8" t="n">
        <f aca="false">U1301</f>
        <v>0.885137616607025</v>
      </c>
      <c r="AG1301" s="2" t="n">
        <f aca="false">AG1300+IF(Q1301,1,0)</f>
        <v>14</v>
      </c>
      <c r="AH1301" s="2" t="n">
        <f aca="false">AG1300</f>
        <v>14</v>
      </c>
      <c r="AI1301" s="10" t="n">
        <f aca="false">X1301+Y1301*(E1301-AB1301)-Y1301*AD1301*Inputs!$B$13*(A1301-AC1301)</f>
        <v>925.345823172389</v>
      </c>
      <c r="AJ1301" s="10" t="n">
        <v>0</v>
      </c>
      <c r="AK1301" s="8" t="n">
        <f aca="false">IF(AND(B1301&lt;=U1301,NOT(Q1301)),B1301,U1301)*(1-Inputs!$B$12)</f>
        <v>0.879065376327496</v>
      </c>
    </row>
    <row r="1302" customFormat="false" ht="15" hidden="false" customHeight="false" outlineLevel="0" collapsed="false">
      <c r="A1302" s="6" t="n">
        <v>46086</v>
      </c>
      <c r="B1302" s="7" t="n">
        <v>0.876853289228536</v>
      </c>
      <c r="C1302" s="7" t="n">
        <v>0.876864098814635</v>
      </c>
      <c r="D1302" s="7" t="n">
        <v>0.868303511199009</v>
      </c>
      <c r="E1302" s="7" t="n">
        <v>0.869195241166322</v>
      </c>
      <c r="F1302" s="8" t="n">
        <f aca="true">IF(ROW()-2&gt;=Inputs!$B$4,AVERAGE(OFFSET(E1302,1-Inputs!$B$4,0,Inputs!$B$4,1)),"")</f>
        <v>0.877602713979615</v>
      </c>
      <c r="G1302" s="8" t="n">
        <f aca="true">IF(ROW()-2&gt;=Inputs!$B$5,AVERAGE(OFFSET(E1302,1-Inputs!$B$5,0,Inputs!$B$5,1)),"")</f>
        <v>0.888826729426069</v>
      </c>
      <c r="H1302" s="8" t="n">
        <f aca="false">MAX(C1302-D1302,ABS(C1302-E1301),ABS(D1302-E1301))</f>
        <v>0.00856058761562628</v>
      </c>
      <c r="I1302" s="8" t="n">
        <f aca="true">IF(ROW()-2&lt;14,"",IF(ROW()-2=14,AVERAGE(OFFSET(H1302,-13,0,14,1)),(I1301*13+H1302)/14))</f>
        <v>0.00814666219429866</v>
      </c>
      <c r="J1302" s="9" t="b">
        <f aca="false">IF(AND(ISNUMBER(F1302),ISNUMBER(G1302),ISNUMBER(F1301),ISNUMBER(G1301)),AND(F1302&gt;G1302,F1301&lt;=G1301),FALSE())</f>
        <v>0</v>
      </c>
      <c r="K1302" s="9" t="b">
        <f aca="false">IF(AND(ISNUMBER(F1302),ISNUMBER(G1302),ISNUMBER(F1301),ISNUMBER(G1301)),AND(F1302&lt;G1302,F1301&gt;=G1301),FALSE())</f>
        <v>0</v>
      </c>
      <c r="L1302" s="8" t="n">
        <f aca="false">IF(ISNUMBER(I1302),E1302-Inputs!$B$6*I1302,"")</f>
        <v>0.852901916777725</v>
      </c>
      <c r="M1302" s="9" t="b">
        <f aca="false">AND(Y1301&gt;0,Z1301)</f>
        <v>0</v>
      </c>
      <c r="N1302" s="8" t="n">
        <f aca="false">B1302*(1-Inputs!$B$12)</f>
        <v>0.876677918570691</v>
      </c>
      <c r="O1302" s="10" t="n">
        <f aca="false">IF(M1302,Y1301*(N1302-AB1301)-Inputs!$B$9-Y1301*AD1301*Inputs!$B$13*(A1302-AC1301),0)</f>
        <v>0</v>
      </c>
      <c r="P1302" s="10" t="n">
        <f aca="false">X1301+O1302</f>
        <v>925.345823172389</v>
      </c>
      <c r="Q1302" s="9" t="b">
        <f aca="false">AND(IF(M1302,0,Y1301)=0,AA1301,IF(ISNUMBER(AE1301),B1302&gt;AE1301,FALSE()))</f>
        <v>0</v>
      </c>
      <c r="R1302" s="8" t="n">
        <f aca="false">B1302*(1+Inputs!$B$12)</f>
        <v>0.877028659886382</v>
      </c>
      <c r="S1302" s="11" t="n">
        <f aca="false">IF(Q1302,MIN(P1302*Inputs!$B$3/(R1302-AE1301),P1302*Inputs!$B$11/R1302),0)</f>
        <v>0</v>
      </c>
      <c r="T1302" s="11" t="n">
        <f aca="false">IF(Q1302,S1302,IF(M1302,0,Y1301))</f>
        <v>0</v>
      </c>
      <c r="U1302" s="8" t="n">
        <f aca="false">IF(Q1302,AE1301,AF1301)</f>
        <v>0.885137616607025</v>
      </c>
      <c r="V1302" s="9" t="b">
        <f aca="false">AND(T1302&gt;0,D1302&lt;=U1302)</f>
        <v>0</v>
      </c>
      <c r="W1302" s="10" t="n">
        <f aca="false">IF(V1302,T1302*(AK1302-AB1302)-Inputs!$B$9-T1302*AD1302*Inputs!$B$13*(A1302-AC1302),0)</f>
        <v>0</v>
      </c>
      <c r="X1302" s="10" t="n">
        <f aca="false">P1302-IF(Q1302,Inputs!$B$9,0)+W1302</f>
        <v>925.345823172389</v>
      </c>
      <c r="Y1302" s="11" t="n">
        <f aca="false">IF(V1302,0,T1302)</f>
        <v>0</v>
      </c>
      <c r="Z1302" s="9" t="b">
        <f aca="false">AND(Y1302&gt;0,K1302)</f>
        <v>0</v>
      </c>
      <c r="AA1302" s="9" t="b">
        <f aca="false">AND(Y1302=0,J1302,ISNUMBER(L1302))</f>
        <v>0</v>
      </c>
      <c r="AB1302" s="8" t="n">
        <f aca="false">IF(Q1302,R1302,AB1301)</f>
        <v>0.902917052911703</v>
      </c>
      <c r="AC1302" s="12" t="n">
        <f aca="false">IF(Q1302,A1302,AC1301)</f>
        <v>46049</v>
      </c>
      <c r="AD1302" s="8" t="n">
        <f aca="false">IF(Q1302,B1302,AD1301)</f>
        <v>0.902736505610581</v>
      </c>
      <c r="AE1302" s="8" t="str">
        <f aca="false">IF(AA1302,L1302,"")</f>
        <v/>
      </c>
      <c r="AF1302" s="8" t="n">
        <f aca="false">U1302</f>
        <v>0.885137616607025</v>
      </c>
      <c r="AG1302" s="2" t="n">
        <f aca="false">AG1301+IF(Q1302,1,0)</f>
        <v>14</v>
      </c>
      <c r="AH1302" s="2" t="n">
        <f aca="false">AG1301</f>
        <v>14</v>
      </c>
      <c r="AI1302" s="10" t="n">
        <f aca="false">X1302+Y1302*(E1302-AB1302)-Y1302*AD1302*Inputs!$B$13*(A1302-AC1302)</f>
        <v>925.345823172389</v>
      </c>
      <c r="AJ1302" s="10" t="n">
        <v>0</v>
      </c>
      <c r="AK1302" s="8" t="n">
        <f aca="false">IF(AND(B1302&lt;=U1302,NOT(Q1302)),B1302,U1302)*(1-Inputs!$B$12)</f>
        <v>0.876677918570691</v>
      </c>
    </row>
    <row r="1303" customFormat="false" ht="15" hidden="false" customHeight="false" outlineLevel="0" collapsed="false">
      <c r="A1303" s="6" t="n">
        <v>46087</v>
      </c>
      <c r="B1303" s="7" t="n">
        <v>0.869195241166322</v>
      </c>
      <c r="C1303" s="7" t="n">
        <v>0.877031587928056</v>
      </c>
      <c r="D1303" s="7" t="n">
        <v>0.867555159028897</v>
      </c>
      <c r="E1303" s="7" t="n">
        <v>0.874878707007717</v>
      </c>
      <c r="F1303" s="8" t="n">
        <f aca="true">IF(ROW()-2&gt;=Inputs!$B$4,AVERAGE(OFFSET(E1303,1-Inputs!$B$4,0,Inputs!$B$4,1)),"")</f>
        <v>0.876597566923464</v>
      </c>
      <c r="G1303" s="8" t="n">
        <f aca="true">IF(ROW()-2&gt;=Inputs!$B$5,AVERAGE(OFFSET(E1303,1-Inputs!$B$5,0,Inputs!$B$5,1)),"")</f>
        <v>0.888321407564927</v>
      </c>
      <c r="H1303" s="8" t="n">
        <f aca="false">MAX(C1303-D1303,ABS(C1303-E1302),ABS(D1303-E1302))</f>
        <v>0.00947642889915945</v>
      </c>
      <c r="I1303" s="8" t="n">
        <f aca="true">IF(ROW()-2&lt;14,"",IF(ROW()-2=14,AVERAGE(OFFSET(H1303,-13,0,14,1)),(I1302*13+H1303)/14))</f>
        <v>0.00824164553036015</v>
      </c>
      <c r="J1303" s="9" t="b">
        <f aca="false">IF(AND(ISNUMBER(F1303),ISNUMBER(G1303),ISNUMBER(F1302),ISNUMBER(G1302)),AND(F1303&gt;G1303,F1302&lt;=G1302),FALSE())</f>
        <v>0</v>
      </c>
      <c r="K1303" s="9" t="b">
        <f aca="false">IF(AND(ISNUMBER(F1303),ISNUMBER(G1303),ISNUMBER(F1302),ISNUMBER(G1302)),AND(F1303&lt;G1303,F1302&gt;=G1302),FALSE())</f>
        <v>0</v>
      </c>
      <c r="L1303" s="8" t="n">
        <f aca="false">IF(ISNUMBER(I1303),E1303-Inputs!$B$6*I1303,"")</f>
        <v>0.858395415946997</v>
      </c>
      <c r="M1303" s="9" t="b">
        <f aca="false">AND(Y1302&gt;0,Z1302)</f>
        <v>0</v>
      </c>
      <c r="N1303" s="8" t="n">
        <f aca="false">B1303*(1-Inputs!$B$12)</f>
        <v>0.869021402118089</v>
      </c>
      <c r="O1303" s="10" t="n">
        <f aca="false">IF(M1303,Y1302*(N1303-AB1302)-Inputs!$B$9-Y1302*AD1302*Inputs!$B$13*(A1303-AC1302),0)</f>
        <v>0</v>
      </c>
      <c r="P1303" s="10" t="n">
        <f aca="false">X1302+O1303</f>
        <v>925.345823172389</v>
      </c>
      <c r="Q1303" s="9" t="b">
        <f aca="false">AND(IF(M1303,0,Y1302)=0,AA1302,IF(ISNUMBER(AE1302),B1303&gt;AE1302,FALSE()))</f>
        <v>0</v>
      </c>
      <c r="R1303" s="8" t="n">
        <f aca="false">B1303*(1+Inputs!$B$12)</f>
        <v>0.869369080214555</v>
      </c>
      <c r="S1303" s="11" t="n">
        <f aca="false">IF(Q1303,MIN(P1303*Inputs!$B$3/(R1303-AE1302),P1303*Inputs!$B$11/R1303),0)</f>
        <v>0</v>
      </c>
      <c r="T1303" s="11" t="n">
        <f aca="false">IF(Q1303,S1303,IF(M1303,0,Y1302))</f>
        <v>0</v>
      </c>
      <c r="U1303" s="8" t="n">
        <f aca="false">IF(Q1303,AE1302,AF1302)</f>
        <v>0.885137616607025</v>
      </c>
      <c r="V1303" s="9" t="b">
        <f aca="false">AND(T1303&gt;0,D1303&lt;=U1303)</f>
        <v>0</v>
      </c>
      <c r="W1303" s="10" t="n">
        <f aca="false">IF(V1303,T1303*(AK1303-AB1303)-Inputs!$B$9-T1303*AD1303*Inputs!$B$13*(A1303-AC1303),0)</f>
        <v>0</v>
      </c>
      <c r="X1303" s="10" t="n">
        <f aca="false">P1303-IF(Q1303,Inputs!$B$9,0)+W1303</f>
        <v>925.345823172389</v>
      </c>
      <c r="Y1303" s="11" t="n">
        <f aca="false">IF(V1303,0,T1303)</f>
        <v>0</v>
      </c>
      <c r="Z1303" s="9" t="b">
        <f aca="false">AND(Y1303&gt;0,K1303)</f>
        <v>0</v>
      </c>
      <c r="AA1303" s="9" t="b">
        <f aca="false">AND(Y1303=0,J1303,ISNUMBER(L1303))</f>
        <v>0</v>
      </c>
      <c r="AB1303" s="8" t="n">
        <f aca="false">IF(Q1303,R1303,AB1302)</f>
        <v>0.902917052911703</v>
      </c>
      <c r="AC1303" s="12" t="n">
        <f aca="false">IF(Q1303,A1303,AC1302)</f>
        <v>46049</v>
      </c>
      <c r="AD1303" s="8" t="n">
        <f aca="false">IF(Q1303,B1303,AD1302)</f>
        <v>0.902736505610581</v>
      </c>
      <c r="AE1303" s="8" t="str">
        <f aca="false">IF(AA1303,L1303,"")</f>
        <v/>
      </c>
      <c r="AF1303" s="8" t="n">
        <f aca="false">U1303</f>
        <v>0.885137616607025</v>
      </c>
      <c r="AG1303" s="2" t="n">
        <f aca="false">AG1302+IF(Q1303,1,0)</f>
        <v>14</v>
      </c>
      <c r="AH1303" s="2" t="n">
        <f aca="false">AG1302</f>
        <v>14</v>
      </c>
      <c r="AI1303" s="10" t="n">
        <f aca="false">X1303+Y1303*(E1303-AB1303)-Y1303*AD1303*Inputs!$B$13*(A1303-AC1303)</f>
        <v>925.345823172389</v>
      </c>
      <c r="AJ1303" s="10" t="n">
        <v>0</v>
      </c>
      <c r="AK1303" s="8" t="n">
        <f aca="false">IF(AND(B1303&lt;=U1303,NOT(Q1303)),B1303,U1303)*(1-Inputs!$B$12)</f>
        <v>0.869021402118089</v>
      </c>
    </row>
    <row r="1304" customFormat="false" ht="15" hidden="false" customHeight="false" outlineLevel="0" collapsed="false">
      <c r="A1304" s="6" t="n">
        <v>46088</v>
      </c>
      <c r="B1304" s="7" t="n">
        <v>0.874878707007717</v>
      </c>
      <c r="C1304" s="7" t="n">
        <v>0.881284117791809</v>
      </c>
      <c r="D1304" s="7" t="n">
        <v>0.87238788527959</v>
      </c>
      <c r="E1304" s="7" t="n">
        <v>0.877890321642635</v>
      </c>
      <c r="F1304" s="8" t="n">
        <f aca="true">IF(ROW()-2&gt;=Inputs!$B$4,AVERAGE(OFFSET(E1304,1-Inputs!$B$4,0,Inputs!$B$4,1)),"")</f>
        <v>0.876220308435879</v>
      </c>
      <c r="G1304" s="8" t="n">
        <f aca="true">IF(ROW()-2&gt;=Inputs!$B$5,AVERAGE(OFFSET(E1304,1-Inputs!$B$5,0,Inputs!$B$5,1)),"")</f>
        <v>0.887751813719289</v>
      </c>
      <c r="H1304" s="8" t="n">
        <f aca="false">MAX(C1304-D1304,ABS(C1304-E1303),ABS(D1304-E1303))</f>
        <v>0.00889623251221949</v>
      </c>
      <c r="I1304" s="8" t="n">
        <f aca="true">IF(ROW()-2&lt;14,"",IF(ROW()-2=14,AVERAGE(OFFSET(H1304,-13,0,14,1)),(I1303*13+H1304)/14))</f>
        <v>0.0082884017433501</v>
      </c>
      <c r="J1304" s="9" t="b">
        <f aca="false">IF(AND(ISNUMBER(F1304),ISNUMBER(G1304),ISNUMBER(F1303),ISNUMBER(G1303)),AND(F1304&gt;G1304,F1303&lt;=G1303),FALSE())</f>
        <v>0</v>
      </c>
      <c r="K1304" s="9" t="b">
        <f aca="false">IF(AND(ISNUMBER(F1304),ISNUMBER(G1304),ISNUMBER(F1303),ISNUMBER(G1303)),AND(F1304&lt;G1304,F1303&gt;=G1303),FALSE())</f>
        <v>0</v>
      </c>
      <c r="L1304" s="8" t="n">
        <f aca="false">IF(ISNUMBER(I1304),E1304-Inputs!$B$6*I1304,"")</f>
        <v>0.861313518155935</v>
      </c>
      <c r="M1304" s="9" t="b">
        <f aca="false">AND(Y1303&gt;0,Z1303)</f>
        <v>0</v>
      </c>
      <c r="N1304" s="8" t="n">
        <f aca="false">B1304*(1-Inputs!$B$12)</f>
        <v>0.874703731266316</v>
      </c>
      <c r="O1304" s="10" t="n">
        <f aca="false">IF(M1304,Y1303*(N1304-AB1303)-Inputs!$B$9-Y1303*AD1303*Inputs!$B$13*(A1304-AC1303),0)</f>
        <v>0</v>
      </c>
      <c r="P1304" s="10" t="n">
        <f aca="false">X1303+O1304</f>
        <v>925.345823172389</v>
      </c>
      <c r="Q1304" s="9" t="b">
        <f aca="false">AND(IF(M1304,0,Y1303)=0,AA1303,IF(ISNUMBER(AE1303),B1304&gt;AE1303,FALSE()))</f>
        <v>0</v>
      </c>
      <c r="R1304" s="8" t="n">
        <f aca="false">B1304*(1+Inputs!$B$12)</f>
        <v>0.875053682749119</v>
      </c>
      <c r="S1304" s="11" t="n">
        <f aca="false">IF(Q1304,MIN(P1304*Inputs!$B$3/(R1304-AE1303),P1304*Inputs!$B$11/R1304),0)</f>
        <v>0</v>
      </c>
      <c r="T1304" s="11" t="n">
        <f aca="false">IF(Q1304,S1304,IF(M1304,0,Y1303))</f>
        <v>0</v>
      </c>
      <c r="U1304" s="8" t="n">
        <f aca="false">IF(Q1304,AE1303,AF1303)</f>
        <v>0.885137616607025</v>
      </c>
      <c r="V1304" s="9" t="b">
        <f aca="false">AND(T1304&gt;0,D1304&lt;=U1304)</f>
        <v>0</v>
      </c>
      <c r="W1304" s="10" t="n">
        <f aca="false">IF(V1304,T1304*(AK1304-AB1304)-Inputs!$B$9-T1304*AD1304*Inputs!$B$13*(A1304-AC1304),0)</f>
        <v>0</v>
      </c>
      <c r="X1304" s="10" t="n">
        <f aca="false">P1304-IF(Q1304,Inputs!$B$9,0)+W1304</f>
        <v>925.345823172389</v>
      </c>
      <c r="Y1304" s="11" t="n">
        <f aca="false">IF(V1304,0,T1304)</f>
        <v>0</v>
      </c>
      <c r="Z1304" s="9" t="b">
        <f aca="false">AND(Y1304&gt;0,K1304)</f>
        <v>0</v>
      </c>
      <c r="AA1304" s="9" t="b">
        <f aca="false">AND(Y1304=0,J1304,ISNUMBER(L1304))</f>
        <v>0</v>
      </c>
      <c r="AB1304" s="8" t="n">
        <f aca="false">IF(Q1304,R1304,AB1303)</f>
        <v>0.902917052911703</v>
      </c>
      <c r="AC1304" s="12" t="n">
        <f aca="false">IF(Q1304,A1304,AC1303)</f>
        <v>46049</v>
      </c>
      <c r="AD1304" s="8" t="n">
        <f aca="false">IF(Q1304,B1304,AD1303)</f>
        <v>0.902736505610581</v>
      </c>
      <c r="AE1304" s="8" t="str">
        <f aca="false">IF(AA1304,L1304,"")</f>
        <v/>
      </c>
      <c r="AF1304" s="8" t="n">
        <f aca="false">U1304</f>
        <v>0.885137616607025</v>
      </c>
      <c r="AG1304" s="2" t="n">
        <f aca="false">AG1303+IF(Q1304,1,0)</f>
        <v>14</v>
      </c>
      <c r="AH1304" s="2" t="n">
        <f aca="false">AG1303</f>
        <v>14</v>
      </c>
      <c r="AI1304" s="10" t="n">
        <f aca="false">X1304+Y1304*(E1304-AB1304)-Y1304*AD1304*Inputs!$B$13*(A1304-AC1304)</f>
        <v>925.345823172389</v>
      </c>
      <c r="AJ1304" s="10" t="n">
        <v>0</v>
      </c>
      <c r="AK1304" s="8" t="n">
        <f aca="false">IF(AND(B1304&lt;=U1304,NOT(Q1304)),B1304,U1304)*(1-Inputs!$B$12)</f>
        <v>0.874703731266316</v>
      </c>
    </row>
    <row r="1305" customFormat="false" ht="15" hidden="false" customHeight="false" outlineLevel="0" collapsed="false">
      <c r="A1305" s="6" t="n">
        <v>46089</v>
      </c>
      <c r="B1305" s="7" t="n">
        <v>0.877890321642635</v>
      </c>
      <c r="C1305" s="7" t="n">
        <v>0.878515435692024</v>
      </c>
      <c r="D1305" s="7" t="n">
        <v>0.867839741857495</v>
      </c>
      <c r="E1305" s="7" t="n">
        <v>0.869112318065645</v>
      </c>
      <c r="F1305" s="8" t="n">
        <f aca="true">IF(ROW()-2&gt;=Inputs!$B$4,AVERAGE(OFFSET(E1305,1-Inputs!$B$4,0,Inputs!$B$4,1)),"")</f>
        <v>0.875532982527574</v>
      </c>
      <c r="G1305" s="8" t="n">
        <f aca="true">IF(ROW()-2&gt;=Inputs!$B$5,AVERAGE(OFFSET(E1305,1-Inputs!$B$5,0,Inputs!$B$5,1)),"")</f>
        <v>0.887001610537978</v>
      </c>
      <c r="H1305" s="8" t="n">
        <f aca="false">MAX(C1305-D1305,ABS(C1305-E1304),ABS(D1305-E1304))</f>
        <v>0.0106756938345296</v>
      </c>
      <c r="I1305" s="8" t="n">
        <f aca="true">IF(ROW()-2&lt;14,"",IF(ROW()-2=14,AVERAGE(OFFSET(H1305,-13,0,14,1)),(I1304*13+H1305)/14))</f>
        <v>0.00845892260700578</v>
      </c>
      <c r="J1305" s="9" t="b">
        <f aca="false">IF(AND(ISNUMBER(F1305),ISNUMBER(G1305),ISNUMBER(F1304),ISNUMBER(G1304)),AND(F1305&gt;G1305,F1304&lt;=G1304),FALSE())</f>
        <v>0</v>
      </c>
      <c r="K1305" s="9" t="b">
        <f aca="false">IF(AND(ISNUMBER(F1305),ISNUMBER(G1305),ISNUMBER(F1304),ISNUMBER(G1304)),AND(F1305&lt;G1305,F1304&gt;=G1304),FALSE())</f>
        <v>0</v>
      </c>
      <c r="L1305" s="8" t="n">
        <f aca="false">IF(ISNUMBER(I1305),E1305-Inputs!$B$6*I1305,"")</f>
        <v>0.852194472851633</v>
      </c>
      <c r="M1305" s="9" t="b">
        <f aca="false">AND(Y1304&gt;0,Z1304)</f>
        <v>0</v>
      </c>
      <c r="N1305" s="8" t="n">
        <f aca="false">B1305*(1-Inputs!$B$12)</f>
        <v>0.877714743578307</v>
      </c>
      <c r="O1305" s="10" t="n">
        <f aca="false">IF(M1305,Y1304*(N1305-AB1304)-Inputs!$B$9-Y1304*AD1304*Inputs!$B$13*(A1305-AC1304),0)</f>
        <v>0</v>
      </c>
      <c r="P1305" s="10" t="n">
        <f aca="false">X1304+O1305</f>
        <v>925.345823172389</v>
      </c>
      <c r="Q1305" s="9" t="b">
        <f aca="false">AND(IF(M1305,0,Y1304)=0,AA1304,IF(ISNUMBER(AE1304),B1305&gt;AE1304,FALSE()))</f>
        <v>0</v>
      </c>
      <c r="R1305" s="8" t="n">
        <f aca="false">B1305*(1+Inputs!$B$12)</f>
        <v>0.878065899706964</v>
      </c>
      <c r="S1305" s="11" t="n">
        <f aca="false">IF(Q1305,MIN(P1305*Inputs!$B$3/(R1305-AE1304),P1305*Inputs!$B$11/R1305),0)</f>
        <v>0</v>
      </c>
      <c r="T1305" s="11" t="n">
        <f aca="false">IF(Q1305,S1305,IF(M1305,0,Y1304))</f>
        <v>0</v>
      </c>
      <c r="U1305" s="8" t="n">
        <f aca="false">IF(Q1305,AE1304,AF1304)</f>
        <v>0.885137616607025</v>
      </c>
      <c r="V1305" s="9" t="b">
        <f aca="false">AND(T1305&gt;0,D1305&lt;=U1305)</f>
        <v>0</v>
      </c>
      <c r="W1305" s="10" t="n">
        <f aca="false">IF(V1305,T1305*(AK1305-AB1305)-Inputs!$B$9-T1305*AD1305*Inputs!$B$13*(A1305-AC1305),0)</f>
        <v>0</v>
      </c>
      <c r="X1305" s="10" t="n">
        <f aca="false">P1305-IF(Q1305,Inputs!$B$9,0)+W1305</f>
        <v>925.345823172389</v>
      </c>
      <c r="Y1305" s="11" t="n">
        <f aca="false">IF(V1305,0,T1305)</f>
        <v>0</v>
      </c>
      <c r="Z1305" s="9" t="b">
        <f aca="false">AND(Y1305&gt;0,K1305)</f>
        <v>0</v>
      </c>
      <c r="AA1305" s="9" t="b">
        <f aca="false">AND(Y1305=0,J1305,ISNUMBER(L1305))</f>
        <v>0</v>
      </c>
      <c r="AB1305" s="8" t="n">
        <f aca="false">IF(Q1305,R1305,AB1304)</f>
        <v>0.902917052911703</v>
      </c>
      <c r="AC1305" s="12" t="n">
        <f aca="false">IF(Q1305,A1305,AC1304)</f>
        <v>46049</v>
      </c>
      <c r="AD1305" s="8" t="n">
        <f aca="false">IF(Q1305,B1305,AD1304)</f>
        <v>0.902736505610581</v>
      </c>
      <c r="AE1305" s="8" t="str">
        <f aca="false">IF(AA1305,L1305,"")</f>
        <v/>
      </c>
      <c r="AF1305" s="8" t="n">
        <f aca="false">U1305</f>
        <v>0.885137616607025</v>
      </c>
      <c r="AG1305" s="2" t="n">
        <f aca="false">AG1304+IF(Q1305,1,0)</f>
        <v>14</v>
      </c>
      <c r="AH1305" s="2" t="n">
        <f aca="false">AG1304</f>
        <v>14</v>
      </c>
      <c r="AI1305" s="10" t="n">
        <f aca="false">X1305+Y1305*(E1305-AB1305)-Y1305*AD1305*Inputs!$B$13*(A1305-AC1305)</f>
        <v>925.345823172389</v>
      </c>
      <c r="AJ1305" s="10" t="n">
        <v>0</v>
      </c>
      <c r="AK1305" s="8" t="n">
        <f aca="false">IF(AND(B1305&lt;=U1305,NOT(Q1305)),B1305,U1305)*(1-Inputs!$B$12)</f>
        <v>0.877714743578307</v>
      </c>
    </row>
    <row r="1306" customFormat="false" ht="15" hidden="false" customHeight="false" outlineLevel="0" collapsed="false">
      <c r="A1306" s="6" t="n">
        <v>46090</v>
      </c>
      <c r="B1306" s="7" t="n">
        <v>0.869112318065645</v>
      </c>
      <c r="C1306" s="7" t="n">
        <v>0.870495735081597</v>
      </c>
      <c r="D1306" s="7" t="n">
        <v>0.864697046288108</v>
      </c>
      <c r="E1306" s="7" t="n">
        <v>0.866107725955158</v>
      </c>
      <c r="F1306" s="8" t="n">
        <f aca="true">IF(ROW()-2&gt;=Inputs!$B$4,AVERAGE(OFFSET(E1306,1-Inputs!$B$4,0,Inputs!$B$4,1)),"")</f>
        <v>0.874748811278518</v>
      </c>
      <c r="G1306" s="8" t="n">
        <f aca="true">IF(ROW()-2&gt;=Inputs!$B$5,AVERAGE(OFFSET(E1306,1-Inputs!$B$5,0,Inputs!$B$5,1)),"")</f>
        <v>0.88637715610169</v>
      </c>
      <c r="H1306" s="8" t="n">
        <f aca="false">MAX(C1306-D1306,ABS(C1306-E1305),ABS(D1306-E1305))</f>
        <v>0.00579868879348855</v>
      </c>
      <c r="I1306" s="8" t="n">
        <f aca="true">IF(ROW()-2&lt;14,"",IF(ROW()-2=14,AVERAGE(OFFSET(H1306,-13,0,14,1)),(I1305*13+H1306)/14))</f>
        <v>0.00826890590604026</v>
      </c>
      <c r="J1306" s="9" t="b">
        <f aca="false">IF(AND(ISNUMBER(F1306),ISNUMBER(G1306),ISNUMBER(F1305),ISNUMBER(G1305)),AND(F1306&gt;G1306,F1305&lt;=G1305),FALSE())</f>
        <v>0</v>
      </c>
      <c r="K1306" s="9" t="b">
        <f aca="false">IF(AND(ISNUMBER(F1306),ISNUMBER(G1306),ISNUMBER(F1305),ISNUMBER(G1305)),AND(F1306&lt;G1306,F1305&gt;=G1305),FALSE())</f>
        <v>0</v>
      </c>
      <c r="L1306" s="8" t="n">
        <f aca="false">IF(ISNUMBER(I1306),E1306-Inputs!$B$6*I1306,"")</f>
        <v>0.849569914143078</v>
      </c>
      <c r="M1306" s="9" t="b">
        <f aca="false">AND(Y1305&gt;0,Z1305)</f>
        <v>0</v>
      </c>
      <c r="N1306" s="8" t="n">
        <f aca="false">B1306*(1-Inputs!$B$12)</f>
        <v>0.868938495602032</v>
      </c>
      <c r="O1306" s="10" t="n">
        <f aca="false">IF(M1306,Y1305*(N1306-AB1305)-Inputs!$B$9-Y1305*AD1305*Inputs!$B$13*(A1306-AC1305),0)</f>
        <v>0</v>
      </c>
      <c r="P1306" s="10" t="n">
        <f aca="false">X1305+O1306</f>
        <v>925.345823172389</v>
      </c>
      <c r="Q1306" s="9" t="b">
        <f aca="false">AND(IF(M1306,0,Y1305)=0,AA1305,IF(ISNUMBER(AE1305),B1306&gt;AE1305,FALSE()))</f>
        <v>0</v>
      </c>
      <c r="R1306" s="8" t="n">
        <f aca="false">B1306*(1+Inputs!$B$12)</f>
        <v>0.869286140529258</v>
      </c>
      <c r="S1306" s="11" t="n">
        <f aca="false">IF(Q1306,MIN(P1306*Inputs!$B$3/(R1306-AE1305),P1306*Inputs!$B$11/R1306),0)</f>
        <v>0</v>
      </c>
      <c r="T1306" s="11" t="n">
        <f aca="false">IF(Q1306,S1306,IF(M1306,0,Y1305))</f>
        <v>0</v>
      </c>
      <c r="U1306" s="8" t="n">
        <f aca="false">IF(Q1306,AE1305,AF1305)</f>
        <v>0.885137616607025</v>
      </c>
      <c r="V1306" s="9" t="b">
        <f aca="false">AND(T1306&gt;0,D1306&lt;=U1306)</f>
        <v>0</v>
      </c>
      <c r="W1306" s="10" t="n">
        <f aca="false">IF(V1306,T1306*(AK1306-AB1306)-Inputs!$B$9-T1306*AD1306*Inputs!$B$13*(A1306-AC1306),0)</f>
        <v>0</v>
      </c>
      <c r="X1306" s="10" t="n">
        <f aca="false">P1306-IF(Q1306,Inputs!$B$9,0)+W1306</f>
        <v>925.345823172389</v>
      </c>
      <c r="Y1306" s="11" t="n">
        <f aca="false">IF(V1306,0,T1306)</f>
        <v>0</v>
      </c>
      <c r="Z1306" s="9" t="b">
        <f aca="false">AND(Y1306&gt;0,K1306)</f>
        <v>0</v>
      </c>
      <c r="AA1306" s="9" t="b">
        <f aca="false">AND(Y1306=0,J1306,ISNUMBER(L1306))</f>
        <v>0</v>
      </c>
      <c r="AB1306" s="8" t="n">
        <f aca="false">IF(Q1306,R1306,AB1305)</f>
        <v>0.902917052911703</v>
      </c>
      <c r="AC1306" s="12" t="n">
        <f aca="false">IF(Q1306,A1306,AC1305)</f>
        <v>46049</v>
      </c>
      <c r="AD1306" s="8" t="n">
        <f aca="false">IF(Q1306,B1306,AD1305)</f>
        <v>0.902736505610581</v>
      </c>
      <c r="AE1306" s="8" t="str">
        <f aca="false">IF(AA1306,L1306,"")</f>
        <v/>
      </c>
      <c r="AF1306" s="8" t="n">
        <f aca="false">U1306</f>
        <v>0.885137616607025</v>
      </c>
      <c r="AG1306" s="2" t="n">
        <f aca="false">AG1305+IF(Q1306,1,0)</f>
        <v>14</v>
      </c>
      <c r="AH1306" s="2" t="n">
        <f aca="false">AG1305</f>
        <v>14</v>
      </c>
      <c r="AI1306" s="10" t="n">
        <f aca="false">X1306+Y1306*(E1306-AB1306)-Y1306*AD1306*Inputs!$B$13*(A1306-AC1306)</f>
        <v>925.345823172389</v>
      </c>
      <c r="AJ1306" s="10" t="n">
        <v>0</v>
      </c>
      <c r="AK1306" s="8" t="n">
        <f aca="false">IF(AND(B1306&lt;=U1306,NOT(Q1306)),B1306,U1306)*(1-Inputs!$B$12)</f>
        <v>0.868938495602032</v>
      </c>
    </row>
    <row r="1307" customFormat="false" ht="15" hidden="false" customHeight="false" outlineLevel="0" collapsed="false">
      <c r="A1307" s="6" t="n">
        <v>46091</v>
      </c>
      <c r="B1307" s="7" t="n">
        <v>0.866107725955158</v>
      </c>
      <c r="C1307" s="7" t="n">
        <v>0.867846606430461</v>
      </c>
      <c r="D1307" s="7" t="n">
        <v>0.856965075149905</v>
      </c>
      <c r="E1307" s="7" t="n">
        <v>0.857555279188929</v>
      </c>
      <c r="F1307" s="8" t="n">
        <f aca="true">IF(ROW()-2&gt;=Inputs!$B$4,AVERAGE(OFFSET(E1307,1-Inputs!$B$4,0,Inputs!$B$4,1)),"")</f>
        <v>0.873668845631629</v>
      </c>
      <c r="G1307" s="8" t="n">
        <f aca="true">IF(ROW()-2&gt;=Inputs!$B$5,AVERAGE(OFFSET(E1307,1-Inputs!$B$5,0,Inputs!$B$5,1)),"")</f>
        <v>0.885510665309767</v>
      </c>
      <c r="H1307" s="8" t="n">
        <f aca="false">MAX(C1307-D1307,ABS(C1307-E1306),ABS(D1307-E1306))</f>
        <v>0.0108815312805561</v>
      </c>
      <c r="I1307" s="8" t="n">
        <f aca="true">IF(ROW()-2&lt;14,"",IF(ROW()-2=14,AVERAGE(OFFSET(H1307,-13,0,14,1)),(I1306*13+H1307)/14))</f>
        <v>0.00845552200421997</v>
      </c>
      <c r="J1307" s="9" t="b">
        <f aca="false">IF(AND(ISNUMBER(F1307),ISNUMBER(G1307),ISNUMBER(F1306),ISNUMBER(G1306)),AND(F1307&gt;G1307,F1306&lt;=G1306),FALSE())</f>
        <v>0</v>
      </c>
      <c r="K1307" s="9" t="b">
        <f aca="false">IF(AND(ISNUMBER(F1307),ISNUMBER(G1307),ISNUMBER(F1306),ISNUMBER(G1306)),AND(F1307&lt;G1307,F1306&gt;=G1306),FALSE())</f>
        <v>0</v>
      </c>
      <c r="L1307" s="8" t="n">
        <f aca="false">IF(ISNUMBER(I1307),E1307-Inputs!$B$6*I1307,"")</f>
        <v>0.840644235180489</v>
      </c>
      <c r="M1307" s="9" t="b">
        <f aca="false">AND(Y1306&gt;0,Z1306)</f>
        <v>0</v>
      </c>
      <c r="N1307" s="8" t="n">
        <f aca="false">B1307*(1-Inputs!$B$12)</f>
        <v>0.865934504409967</v>
      </c>
      <c r="O1307" s="10" t="n">
        <f aca="false">IF(M1307,Y1306*(N1307-AB1306)-Inputs!$B$9-Y1306*AD1306*Inputs!$B$13*(A1307-AC1306),0)</f>
        <v>0</v>
      </c>
      <c r="P1307" s="10" t="n">
        <f aca="false">X1306+O1307</f>
        <v>925.345823172389</v>
      </c>
      <c r="Q1307" s="9" t="b">
        <f aca="false">AND(IF(M1307,0,Y1306)=0,AA1306,IF(ISNUMBER(AE1306),B1307&gt;AE1306,FALSE()))</f>
        <v>0</v>
      </c>
      <c r="R1307" s="8" t="n">
        <f aca="false">B1307*(1+Inputs!$B$12)</f>
        <v>0.866280947500349</v>
      </c>
      <c r="S1307" s="11" t="n">
        <f aca="false">IF(Q1307,MIN(P1307*Inputs!$B$3/(R1307-AE1306),P1307*Inputs!$B$11/R1307),0)</f>
        <v>0</v>
      </c>
      <c r="T1307" s="11" t="n">
        <f aca="false">IF(Q1307,S1307,IF(M1307,0,Y1306))</f>
        <v>0</v>
      </c>
      <c r="U1307" s="8" t="n">
        <f aca="false">IF(Q1307,AE1306,AF1306)</f>
        <v>0.885137616607025</v>
      </c>
      <c r="V1307" s="9" t="b">
        <f aca="false">AND(T1307&gt;0,D1307&lt;=U1307)</f>
        <v>0</v>
      </c>
      <c r="W1307" s="10" t="n">
        <f aca="false">IF(V1307,T1307*(AK1307-AB1307)-Inputs!$B$9-T1307*AD1307*Inputs!$B$13*(A1307-AC1307),0)</f>
        <v>0</v>
      </c>
      <c r="X1307" s="10" t="n">
        <f aca="false">P1307-IF(Q1307,Inputs!$B$9,0)+W1307</f>
        <v>925.345823172389</v>
      </c>
      <c r="Y1307" s="11" t="n">
        <f aca="false">IF(V1307,0,T1307)</f>
        <v>0</v>
      </c>
      <c r="Z1307" s="9" t="b">
        <f aca="false">AND(Y1307&gt;0,K1307)</f>
        <v>0</v>
      </c>
      <c r="AA1307" s="9" t="b">
        <f aca="false">AND(Y1307=0,J1307,ISNUMBER(L1307))</f>
        <v>0</v>
      </c>
      <c r="AB1307" s="8" t="n">
        <f aca="false">IF(Q1307,R1307,AB1306)</f>
        <v>0.902917052911703</v>
      </c>
      <c r="AC1307" s="12" t="n">
        <f aca="false">IF(Q1307,A1307,AC1306)</f>
        <v>46049</v>
      </c>
      <c r="AD1307" s="8" t="n">
        <f aca="false">IF(Q1307,B1307,AD1306)</f>
        <v>0.902736505610581</v>
      </c>
      <c r="AE1307" s="8" t="str">
        <f aca="false">IF(AA1307,L1307,"")</f>
        <v/>
      </c>
      <c r="AF1307" s="8" t="n">
        <f aca="false">U1307</f>
        <v>0.885137616607025</v>
      </c>
      <c r="AG1307" s="2" t="n">
        <f aca="false">AG1306+IF(Q1307,1,0)</f>
        <v>14</v>
      </c>
      <c r="AH1307" s="2" t="n">
        <f aca="false">AG1306</f>
        <v>14</v>
      </c>
      <c r="AI1307" s="10" t="n">
        <f aca="false">X1307+Y1307*(E1307-AB1307)-Y1307*AD1307*Inputs!$B$13*(A1307-AC1307)</f>
        <v>925.345823172389</v>
      </c>
      <c r="AJ1307" s="10" t="n">
        <v>0</v>
      </c>
      <c r="AK1307" s="8" t="n">
        <f aca="false">IF(AND(B1307&lt;=U1307,NOT(Q1307)),B1307,U1307)*(1-Inputs!$B$12)</f>
        <v>0.865934504409967</v>
      </c>
    </row>
    <row r="1308" customFormat="false" ht="15" hidden="false" customHeight="false" outlineLevel="0" collapsed="false">
      <c r="A1308" s="6" t="n">
        <v>46092</v>
      </c>
      <c r="B1308" s="7" t="n">
        <v>0.857555279188929</v>
      </c>
      <c r="C1308" s="7" t="n">
        <v>0.864311529903888</v>
      </c>
      <c r="D1308" s="7" t="n">
        <v>0.85573871305052</v>
      </c>
      <c r="E1308" s="7" t="n">
        <v>0.864228706060214</v>
      </c>
      <c r="F1308" s="8" t="n">
        <f aca="true">IF(ROW()-2&gt;=Inputs!$B$4,AVERAGE(OFFSET(E1308,1-Inputs!$B$4,0,Inputs!$B$4,1)),"")</f>
        <v>0.872738128878856</v>
      </c>
      <c r="G1308" s="8" t="n">
        <f aca="true">IF(ROW()-2&gt;=Inputs!$B$5,AVERAGE(OFFSET(E1308,1-Inputs!$B$5,0,Inputs!$B$5,1)),"")</f>
        <v>0.884749180522539</v>
      </c>
      <c r="H1308" s="8" t="n">
        <f aca="false">MAX(C1308-D1308,ABS(C1308-E1307),ABS(D1308-E1307))</f>
        <v>0.00857281685336753</v>
      </c>
      <c r="I1308" s="8" t="n">
        <f aca="true">IF(ROW()-2&lt;14,"",IF(ROW()-2=14,AVERAGE(OFFSET(H1308,-13,0,14,1)),(I1307*13+H1308)/14))</f>
        <v>0.00846390020773051</v>
      </c>
      <c r="J1308" s="9" t="b">
        <f aca="false">IF(AND(ISNUMBER(F1308),ISNUMBER(G1308),ISNUMBER(F1307),ISNUMBER(G1307)),AND(F1308&gt;G1308,F1307&lt;=G1307),FALSE())</f>
        <v>0</v>
      </c>
      <c r="K1308" s="9" t="b">
        <f aca="false">IF(AND(ISNUMBER(F1308),ISNUMBER(G1308),ISNUMBER(F1307),ISNUMBER(G1307)),AND(F1308&lt;G1308,F1307&gt;=G1307),FALSE())</f>
        <v>0</v>
      </c>
      <c r="L1308" s="8" t="n">
        <f aca="false">IF(ISNUMBER(I1308),E1308-Inputs!$B$6*I1308,"")</f>
        <v>0.847300905644753</v>
      </c>
      <c r="M1308" s="9" t="b">
        <f aca="false">AND(Y1307&gt;0,Z1307)</f>
        <v>0</v>
      </c>
      <c r="N1308" s="8" t="n">
        <f aca="false">B1308*(1-Inputs!$B$12)</f>
        <v>0.857383768133091</v>
      </c>
      <c r="O1308" s="10" t="n">
        <f aca="false">IF(M1308,Y1307*(N1308-AB1307)-Inputs!$B$9-Y1307*AD1307*Inputs!$B$13*(A1308-AC1307),0)</f>
        <v>0</v>
      </c>
      <c r="P1308" s="10" t="n">
        <f aca="false">X1307+O1308</f>
        <v>925.345823172389</v>
      </c>
      <c r="Q1308" s="9" t="b">
        <f aca="false">AND(IF(M1308,0,Y1307)=0,AA1307,IF(ISNUMBER(AE1307),B1308&gt;AE1307,FALSE()))</f>
        <v>0</v>
      </c>
      <c r="R1308" s="8" t="n">
        <f aca="false">B1308*(1+Inputs!$B$12)</f>
        <v>0.857726790244766</v>
      </c>
      <c r="S1308" s="11" t="n">
        <f aca="false">IF(Q1308,MIN(P1308*Inputs!$B$3/(R1308-AE1307),P1308*Inputs!$B$11/R1308),0)</f>
        <v>0</v>
      </c>
      <c r="T1308" s="11" t="n">
        <f aca="false">IF(Q1308,S1308,IF(M1308,0,Y1307))</f>
        <v>0</v>
      </c>
      <c r="U1308" s="8" t="n">
        <f aca="false">IF(Q1308,AE1307,AF1307)</f>
        <v>0.885137616607025</v>
      </c>
      <c r="V1308" s="9" t="b">
        <f aca="false">AND(T1308&gt;0,D1308&lt;=U1308)</f>
        <v>0</v>
      </c>
      <c r="W1308" s="10" t="n">
        <f aca="false">IF(V1308,T1308*(AK1308-AB1308)-Inputs!$B$9-T1308*AD1308*Inputs!$B$13*(A1308-AC1308),0)</f>
        <v>0</v>
      </c>
      <c r="X1308" s="10" t="n">
        <f aca="false">P1308-IF(Q1308,Inputs!$B$9,0)+W1308</f>
        <v>925.345823172389</v>
      </c>
      <c r="Y1308" s="11" t="n">
        <f aca="false">IF(V1308,0,T1308)</f>
        <v>0</v>
      </c>
      <c r="Z1308" s="9" t="b">
        <f aca="false">AND(Y1308&gt;0,K1308)</f>
        <v>0</v>
      </c>
      <c r="AA1308" s="9" t="b">
        <f aca="false">AND(Y1308=0,J1308,ISNUMBER(L1308))</f>
        <v>0</v>
      </c>
      <c r="AB1308" s="8" t="n">
        <f aca="false">IF(Q1308,R1308,AB1307)</f>
        <v>0.902917052911703</v>
      </c>
      <c r="AC1308" s="12" t="n">
        <f aca="false">IF(Q1308,A1308,AC1307)</f>
        <v>46049</v>
      </c>
      <c r="AD1308" s="8" t="n">
        <f aca="false">IF(Q1308,B1308,AD1307)</f>
        <v>0.902736505610581</v>
      </c>
      <c r="AE1308" s="8" t="str">
        <f aca="false">IF(AA1308,L1308,"")</f>
        <v/>
      </c>
      <c r="AF1308" s="8" t="n">
        <f aca="false">U1308</f>
        <v>0.885137616607025</v>
      </c>
      <c r="AG1308" s="2" t="n">
        <f aca="false">AG1307+IF(Q1308,1,0)</f>
        <v>14</v>
      </c>
      <c r="AH1308" s="2" t="n">
        <f aca="false">AG1307</f>
        <v>14</v>
      </c>
      <c r="AI1308" s="10" t="n">
        <f aca="false">X1308+Y1308*(E1308-AB1308)-Y1308*AD1308*Inputs!$B$13*(A1308-AC1308)</f>
        <v>925.345823172389</v>
      </c>
      <c r="AJ1308" s="10" t="n">
        <v>0</v>
      </c>
      <c r="AK1308" s="8" t="n">
        <f aca="false">IF(AND(B1308&lt;=U1308,NOT(Q1308)),B1308,U1308)*(1-Inputs!$B$12)</f>
        <v>0.857383768133091</v>
      </c>
    </row>
    <row r="1309" customFormat="false" ht="15" hidden="false" customHeight="false" outlineLevel="0" collapsed="false">
      <c r="A1309" s="6" t="n">
        <v>46093</v>
      </c>
      <c r="B1309" s="7" t="n">
        <v>0.864228706060214</v>
      </c>
      <c r="C1309" s="7" t="n">
        <v>0.872190110834013</v>
      </c>
      <c r="D1309" s="7" t="n">
        <v>0.864017122892627</v>
      </c>
      <c r="E1309" s="7" t="n">
        <v>0.866818508437643</v>
      </c>
      <c r="F1309" s="8" t="n">
        <f aca="true">IF(ROW()-2&gt;=Inputs!$B$4,AVERAGE(OFFSET(E1309,1-Inputs!$B$4,0,Inputs!$B$4,1)),"")</f>
        <v>0.872037521596529</v>
      </c>
      <c r="G1309" s="8" t="n">
        <f aca="true">IF(ROW()-2&gt;=Inputs!$B$5,AVERAGE(OFFSET(E1309,1-Inputs!$B$5,0,Inputs!$B$5,1)),"")</f>
        <v>0.883917722095203</v>
      </c>
      <c r="H1309" s="8" t="n">
        <f aca="false">MAX(C1309-D1309,ABS(C1309-E1308),ABS(D1309-E1308))</f>
        <v>0.00817298794138632</v>
      </c>
      <c r="I1309" s="8" t="n">
        <f aca="true">IF(ROW()-2&lt;14,"",IF(ROW()-2=14,AVERAGE(OFFSET(H1309,-13,0,14,1)),(I1308*13+H1309)/14))</f>
        <v>0.00844312076013449</v>
      </c>
      <c r="J1309" s="9" t="b">
        <f aca="false">IF(AND(ISNUMBER(F1309),ISNUMBER(G1309),ISNUMBER(F1308),ISNUMBER(G1308)),AND(F1309&gt;G1309,F1308&lt;=G1308),FALSE())</f>
        <v>0</v>
      </c>
      <c r="K1309" s="9" t="b">
        <f aca="false">IF(AND(ISNUMBER(F1309),ISNUMBER(G1309),ISNUMBER(F1308),ISNUMBER(G1308)),AND(F1309&lt;G1309,F1308&gt;=G1308),FALSE())</f>
        <v>0</v>
      </c>
      <c r="L1309" s="8" t="n">
        <f aca="false">IF(ISNUMBER(I1309),E1309-Inputs!$B$6*I1309,"")</f>
        <v>0.849932266917374</v>
      </c>
      <c r="M1309" s="9" t="b">
        <f aca="false">AND(Y1308&gt;0,Z1308)</f>
        <v>0</v>
      </c>
      <c r="N1309" s="8" t="n">
        <f aca="false">B1309*(1-Inputs!$B$12)</f>
        <v>0.864055860319002</v>
      </c>
      <c r="O1309" s="10" t="n">
        <f aca="false">IF(M1309,Y1308*(N1309-AB1308)-Inputs!$B$9-Y1308*AD1308*Inputs!$B$13*(A1309-AC1308),0)</f>
        <v>0</v>
      </c>
      <c r="P1309" s="10" t="n">
        <f aca="false">X1308+O1309</f>
        <v>925.345823172389</v>
      </c>
      <c r="Q1309" s="9" t="b">
        <f aca="false">AND(IF(M1309,0,Y1308)=0,AA1308,IF(ISNUMBER(AE1308),B1309&gt;AE1308,FALSE()))</f>
        <v>0</v>
      </c>
      <c r="R1309" s="8" t="n">
        <f aca="false">B1309*(1+Inputs!$B$12)</f>
        <v>0.864401551801426</v>
      </c>
      <c r="S1309" s="11" t="n">
        <f aca="false">IF(Q1309,MIN(P1309*Inputs!$B$3/(R1309-AE1308),P1309*Inputs!$B$11/R1309),0)</f>
        <v>0</v>
      </c>
      <c r="T1309" s="11" t="n">
        <f aca="false">IF(Q1309,S1309,IF(M1309,0,Y1308))</f>
        <v>0</v>
      </c>
      <c r="U1309" s="8" t="n">
        <f aca="false">IF(Q1309,AE1308,AF1308)</f>
        <v>0.885137616607025</v>
      </c>
      <c r="V1309" s="9" t="b">
        <f aca="false">AND(T1309&gt;0,D1309&lt;=U1309)</f>
        <v>0</v>
      </c>
      <c r="W1309" s="10" t="n">
        <f aca="false">IF(V1309,T1309*(AK1309-AB1309)-Inputs!$B$9-T1309*AD1309*Inputs!$B$13*(A1309-AC1309),0)</f>
        <v>0</v>
      </c>
      <c r="X1309" s="10" t="n">
        <f aca="false">P1309-IF(Q1309,Inputs!$B$9,0)+W1309</f>
        <v>925.345823172389</v>
      </c>
      <c r="Y1309" s="11" t="n">
        <f aca="false">IF(V1309,0,T1309)</f>
        <v>0</v>
      </c>
      <c r="Z1309" s="9" t="b">
        <f aca="false">AND(Y1309&gt;0,K1309)</f>
        <v>0</v>
      </c>
      <c r="AA1309" s="9" t="b">
        <f aca="false">AND(Y1309=0,J1309,ISNUMBER(L1309))</f>
        <v>0</v>
      </c>
      <c r="AB1309" s="8" t="n">
        <f aca="false">IF(Q1309,R1309,AB1308)</f>
        <v>0.902917052911703</v>
      </c>
      <c r="AC1309" s="12" t="n">
        <f aca="false">IF(Q1309,A1309,AC1308)</f>
        <v>46049</v>
      </c>
      <c r="AD1309" s="8" t="n">
        <f aca="false">IF(Q1309,B1309,AD1308)</f>
        <v>0.902736505610581</v>
      </c>
      <c r="AE1309" s="8" t="str">
        <f aca="false">IF(AA1309,L1309,"")</f>
        <v/>
      </c>
      <c r="AF1309" s="8" t="n">
        <f aca="false">U1309</f>
        <v>0.885137616607025</v>
      </c>
      <c r="AG1309" s="2" t="n">
        <f aca="false">AG1308+IF(Q1309,1,0)</f>
        <v>14</v>
      </c>
      <c r="AH1309" s="2" t="n">
        <f aca="false">AG1308</f>
        <v>14</v>
      </c>
      <c r="AI1309" s="10" t="n">
        <f aca="false">X1309+Y1309*(E1309-AB1309)-Y1309*AD1309*Inputs!$B$13*(A1309-AC1309)</f>
        <v>925.345823172389</v>
      </c>
      <c r="AJ1309" s="10" t="n">
        <v>0</v>
      </c>
      <c r="AK1309" s="8" t="n">
        <f aca="false">IF(AND(B1309&lt;=U1309,NOT(Q1309)),B1309,U1309)*(1-Inputs!$B$12)</f>
        <v>0.864055860319002</v>
      </c>
    </row>
    <row r="1310" customFormat="false" ht="15" hidden="false" customHeight="false" outlineLevel="0" collapsed="false">
      <c r="A1310" s="6" t="n">
        <v>46094</v>
      </c>
      <c r="B1310" s="7" t="n">
        <v>0.866818508437643</v>
      </c>
      <c r="C1310" s="7" t="n">
        <v>0.877882334275609</v>
      </c>
      <c r="D1310" s="7" t="n">
        <v>0.860711537043239</v>
      </c>
      <c r="E1310" s="7" t="n">
        <v>0.874671206962353</v>
      </c>
      <c r="F1310" s="8" t="n">
        <f aca="true">IF(ROW()-2&gt;=Inputs!$B$4,AVERAGE(OFFSET(E1310,1-Inputs!$B$4,0,Inputs!$B$4,1)),"")</f>
        <v>0.871675078837324</v>
      </c>
      <c r="G1310" s="8" t="n">
        <f aca="true">IF(ROW()-2&gt;=Inputs!$B$5,AVERAGE(OFFSET(E1310,1-Inputs!$B$5,0,Inputs!$B$5,1)),"")</f>
        <v>0.883236058880937</v>
      </c>
      <c r="H1310" s="8" t="n">
        <f aca="false">MAX(C1310-D1310,ABS(C1310-E1309),ABS(D1310-E1309))</f>
        <v>0.0171707972323701</v>
      </c>
      <c r="I1310" s="8" t="n">
        <f aca="true">IF(ROW()-2&lt;14,"",IF(ROW()-2=14,AVERAGE(OFFSET(H1310,-13,0,14,1)),(I1309*13+H1310)/14))</f>
        <v>0.00906652622243704</v>
      </c>
      <c r="J1310" s="9" t="b">
        <f aca="false">IF(AND(ISNUMBER(F1310),ISNUMBER(G1310),ISNUMBER(F1309),ISNUMBER(G1309)),AND(F1310&gt;G1310,F1309&lt;=G1309),FALSE())</f>
        <v>0</v>
      </c>
      <c r="K1310" s="9" t="b">
        <f aca="false">IF(AND(ISNUMBER(F1310),ISNUMBER(G1310),ISNUMBER(F1309),ISNUMBER(G1309)),AND(F1310&lt;G1310,F1309&gt;=G1309),FALSE())</f>
        <v>0</v>
      </c>
      <c r="L1310" s="8" t="n">
        <f aca="false">IF(ISNUMBER(I1310),E1310-Inputs!$B$6*I1310,"")</f>
        <v>0.856538154517479</v>
      </c>
      <c r="M1310" s="9" t="b">
        <f aca="false">AND(Y1309&gt;0,Z1309)</f>
        <v>0</v>
      </c>
      <c r="N1310" s="8" t="n">
        <f aca="false">B1310*(1-Inputs!$B$12)</f>
        <v>0.866645144735956</v>
      </c>
      <c r="O1310" s="10" t="n">
        <f aca="false">IF(M1310,Y1309*(N1310-AB1309)-Inputs!$B$9-Y1309*AD1309*Inputs!$B$13*(A1310-AC1309),0)</f>
        <v>0</v>
      </c>
      <c r="P1310" s="10" t="n">
        <f aca="false">X1309+O1310</f>
        <v>925.345823172389</v>
      </c>
      <c r="Q1310" s="9" t="b">
        <f aca="false">AND(IF(M1310,0,Y1309)=0,AA1309,IF(ISNUMBER(AE1309),B1310&gt;AE1309,FALSE()))</f>
        <v>0</v>
      </c>
      <c r="R1310" s="8" t="n">
        <f aca="false">B1310*(1+Inputs!$B$12)</f>
        <v>0.866991872139331</v>
      </c>
      <c r="S1310" s="11" t="n">
        <f aca="false">IF(Q1310,MIN(P1310*Inputs!$B$3/(R1310-AE1309),P1310*Inputs!$B$11/R1310),0)</f>
        <v>0</v>
      </c>
      <c r="T1310" s="11" t="n">
        <f aca="false">IF(Q1310,S1310,IF(M1310,0,Y1309))</f>
        <v>0</v>
      </c>
      <c r="U1310" s="8" t="n">
        <f aca="false">IF(Q1310,AE1309,AF1309)</f>
        <v>0.885137616607025</v>
      </c>
      <c r="V1310" s="9" t="b">
        <f aca="false">AND(T1310&gt;0,D1310&lt;=U1310)</f>
        <v>0</v>
      </c>
      <c r="W1310" s="10" t="n">
        <f aca="false">IF(V1310,T1310*(AK1310-AB1310)-Inputs!$B$9-T1310*AD1310*Inputs!$B$13*(A1310-AC1310),0)</f>
        <v>0</v>
      </c>
      <c r="X1310" s="10" t="n">
        <f aca="false">P1310-IF(Q1310,Inputs!$B$9,0)+W1310</f>
        <v>925.345823172389</v>
      </c>
      <c r="Y1310" s="11" t="n">
        <f aca="false">IF(V1310,0,T1310)</f>
        <v>0</v>
      </c>
      <c r="Z1310" s="9" t="b">
        <f aca="false">AND(Y1310&gt;0,K1310)</f>
        <v>0</v>
      </c>
      <c r="AA1310" s="9" t="b">
        <f aca="false">AND(Y1310=0,J1310,ISNUMBER(L1310))</f>
        <v>0</v>
      </c>
      <c r="AB1310" s="8" t="n">
        <f aca="false">IF(Q1310,R1310,AB1309)</f>
        <v>0.902917052911703</v>
      </c>
      <c r="AC1310" s="12" t="n">
        <f aca="false">IF(Q1310,A1310,AC1309)</f>
        <v>46049</v>
      </c>
      <c r="AD1310" s="8" t="n">
        <f aca="false">IF(Q1310,B1310,AD1309)</f>
        <v>0.902736505610581</v>
      </c>
      <c r="AE1310" s="8" t="str">
        <f aca="false">IF(AA1310,L1310,"")</f>
        <v/>
      </c>
      <c r="AF1310" s="8" t="n">
        <f aca="false">U1310</f>
        <v>0.885137616607025</v>
      </c>
      <c r="AG1310" s="2" t="n">
        <f aca="false">AG1309+IF(Q1310,1,0)</f>
        <v>14</v>
      </c>
      <c r="AH1310" s="2" t="n">
        <f aca="false">AG1309</f>
        <v>14</v>
      </c>
      <c r="AI1310" s="10" t="n">
        <f aca="false">X1310+Y1310*(E1310-AB1310)-Y1310*AD1310*Inputs!$B$13*(A1310-AC1310)</f>
        <v>925.345823172389</v>
      </c>
      <c r="AJ1310" s="10" t="n">
        <v>0</v>
      </c>
      <c r="AK1310" s="8" t="n">
        <f aca="false">IF(AND(B1310&lt;=U1310,NOT(Q1310)),B1310,U1310)*(1-Inputs!$B$12)</f>
        <v>0.866645144735956</v>
      </c>
    </row>
    <row r="1311" customFormat="false" ht="15" hidden="false" customHeight="false" outlineLevel="0" collapsed="false">
      <c r="A1311" s="6" t="n">
        <v>46095</v>
      </c>
      <c r="B1311" s="7" t="n">
        <v>0.874671206962353</v>
      </c>
      <c r="C1311" s="7" t="n">
        <v>0.877350429254967</v>
      </c>
      <c r="D1311" s="7" t="n">
        <v>0.874339015055245</v>
      </c>
      <c r="E1311" s="7" t="n">
        <v>0.876735665526751</v>
      </c>
      <c r="F1311" s="8" t="n">
        <f aca="true">IF(ROW()-2&gt;=Inputs!$B$4,AVERAGE(OFFSET(E1311,1-Inputs!$B$4,0,Inputs!$B$4,1)),"")</f>
        <v>0.871418532759958</v>
      </c>
      <c r="G1311" s="8" t="n">
        <f aca="true">IF(ROW()-2&gt;=Inputs!$B$5,AVERAGE(OFFSET(E1311,1-Inputs!$B$5,0,Inputs!$B$5,1)),"")</f>
        <v>0.882711555146936</v>
      </c>
      <c r="H1311" s="8" t="n">
        <f aca="false">MAX(C1311-D1311,ABS(C1311-E1310),ABS(D1311-E1310))</f>
        <v>0.00301141419972195</v>
      </c>
      <c r="I1311" s="8" t="n">
        <f aca="true">IF(ROW()-2&lt;14,"",IF(ROW()-2=14,AVERAGE(OFFSET(H1311,-13,0,14,1)),(I1310*13+H1311)/14))</f>
        <v>0.00863401822081454</v>
      </c>
      <c r="J1311" s="9" t="b">
        <f aca="false">IF(AND(ISNUMBER(F1311),ISNUMBER(G1311),ISNUMBER(F1310),ISNUMBER(G1310)),AND(F1311&gt;G1311,F1310&lt;=G1310),FALSE())</f>
        <v>0</v>
      </c>
      <c r="K1311" s="9" t="b">
        <f aca="false">IF(AND(ISNUMBER(F1311),ISNUMBER(G1311),ISNUMBER(F1310),ISNUMBER(G1310)),AND(F1311&lt;G1311,F1310&gt;=G1310),FALSE())</f>
        <v>0</v>
      </c>
      <c r="L1311" s="8" t="n">
        <f aca="false">IF(ISNUMBER(I1311),E1311-Inputs!$B$6*I1311,"")</f>
        <v>0.859467629085121</v>
      </c>
      <c r="M1311" s="9" t="b">
        <f aca="false">AND(Y1310&gt;0,Z1310)</f>
        <v>0</v>
      </c>
      <c r="N1311" s="8" t="n">
        <f aca="false">B1311*(1-Inputs!$B$12)</f>
        <v>0.874496272720961</v>
      </c>
      <c r="O1311" s="10" t="n">
        <f aca="false">IF(M1311,Y1310*(N1311-AB1310)-Inputs!$B$9-Y1310*AD1310*Inputs!$B$13*(A1311-AC1310),0)</f>
        <v>0</v>
      </c>
      <c r="P1311" s="10" t="n">
        <f aca="false">X1310+O1311</f>
        <v>925.345823172389</v>
      </c>
      <c r="Q1311" s="9" t="b">
        <f aca="false">AND(IF(M1311,0,Y1310)=0,AA1310,IF(ISNUMBER(AE1310),B1311&gt;AE1310,FALSE()))</f>
        <v>0</v>
      </c>
      <c r="R1311" s="8" t="n">
        <f aca="false">B1311*(1+Inputs!$B$12)</f>
        <v>0.874846141203746</v>
      </c>
      <c r="S1311" s="11" t="n">
        <f aca="false">IF(Q1311,MIN(P1311*Inputs!$B$3/(R1311-AE1310),P1311*Inputs!$B$11/R1311),0)</f>
        <v>0</v>
      </c>
      <c r="T1311" s="11" t="n">
        <f aca="false">IF(Q1311,S1311,IF(M1311,0,Y1310))</f>
        <v>0</v>
      </c>
      <c r="U1311" s="8" t="n">
        <f aca="false">IF(Q1311,AE1310,AF1310)</f>
        <v>0.885137616607025</v>
      </c>
      <c r="V1311" s="9" t="b">
        <f aca="false">AND(T1311&gt;0,D1311&lt;=U1311)</f>
        <v>0</v>
      </c>
      <c r="W1311" s="10" t="n">
        <f aca="false">IF(V1311,T1311*(AK1311-AB1311)-Inputs!$B$9-T1311*AD1311*Inputs!$B$13*(A1311-AC1311),0)</f>
        <v>0</v>
      </c>
      <c r="X1311" s="10" t="n">
        <f aca="false">P1311-IF(Q1311,Inputs!$B$9,0)+W1311</f>
        <v>925.345823172389</v>
      </c>
      <c r="Y1311" s="11" t="n">
        <f aca="false">IF(V1311,0,T1311)</f>
        <v>0</v>
      </c>
      <c r="Z1311" s="9" t="b">
        <f aca="false">AND(Y1311&gt;0,K1311)</f>
        <v>0</v>
      </c>
      <c r="AA1311" s="9" t="b">
        <f aca="false">AND(Y1311=0,J1311,ISNUMBER(L1311))</f>
        <v>0</v>
      </c>
      <c r="AB1311" s="8" t="n">
        <f aca="false">IF(Q1311,R1311,AB1310)</f>
        <v>0.902917052911703</v>
      </c>
      <c r="AC1311" s="12" t="n">
        <f aca="false">IF(Q1311,A1311,AC1310)</f>
        <v>46049</v>
      </c>
      <c r="AD1311" s="8" t="n">
        <f aca="false">IF(Q1311,B1311,AD1310)</f>
        <v>0.902736505610581</v>
      </c>
      <c r="AE1311" s="8" t="str">
        <f aca="false">IF(AA1311,L1311,"")</f>
        <v/>
      </c>
      <c r="AF1311" s="8" t="n">
        <f aca="false">U1311</f>
        <v>0.885137616607025</v>
      </c>
      <c r="AG1311" s="2" t="n">
        <f aca="false">AG1310+IF(Q1311,1,0)</f>
        <v>14</v>
      </c>
      <c r="AH1311" s="2" t="n">
        <f aca="false">AG1310</f>
        <v>14</v>
      </c>
      <c r="AI1311" s="10" t="n">
        <f aca="false">X1311+Y1311*(E1311-AB1311)-Y1311*AD1311*Inputs!$B$13*(A1311-AC1311)</f>
        <v>925.345823172389</v>
      </c>
      <c r="AJ1311" s="10" t="n">
        <v>0</v>
      </c>
      <c r="AK1311" s="8" t="n">
        <f aca="false">IF(AND(B1311&lt;=U1311,NOT(Q1311)),B1311,U1311)*(1-Inputs!$B$12)</f>
        <v>0.874496272720961</v>
      </c>
    </row>
    <row r="1312" customFormat="false" ht="15" hidden="false" customHeight="false" outlineLevel="0" collapsed="false">
      <c r="A1312" s="6" t="n">
        <v>46096</v>
      </c>
      <c r="B1312" s="7" t="n">
        <v>0.876735665526751</v>
      </c>
      <c r="C1312" s="7" t="n">
        <v>0.883297573434327</v>
      </c>
      <c r="D1312" s="7" t="n">
        <v>0.87548711167098</v>
      </c>
      <c r="E1312" s="7" t="n">
        <v>0.878192293348298</v>
      </c>
      <c r="F1312" s="8" t="n">
        <f aca="true">IF(ROW()-2&gt;=Inputs!$B$4,AVERAGE(OFFSET(E1312,1-Inputs!$B$4,0,Inputs!$B$4,1)),"")</f>
        <v>0.87161430064896</v>
      </c>
      <c r="G1312" s="8" t="n">
        <f aca="true">IF(ROW()-2&gt;=Inputs!$B$5,AVERAGE(OFFSET(E1312,1-Inputs!$B$5,0,Inputs!$B$5,1)),"")</f>
        <v>0.882241758981421</v>
      </c>
      <c r="H1312" s="8" t="n">
        <f aca="false">MAX(C1312-D1312,ABS(C1312-E1311),ABS(D1312-E1311))</f>
        <v>0.0078104617633471</v>
      </c>
      <c r="I1312" s="8" t="n">
        <f aca="true">IF(ROW()-2&lt;14,"",IF(ROW()-2=14,AVERAGE(OFFSET(H1312,-13,0,14,1)),(I1311*13+H1312)/14))</f>
        <v>0.00857519275956686</v>
      </c>
      <c r="J1312" s="9" t="b">
        <f aca="false">IF(AND(ISNUMBER(F1312),ISNUMBER(G1312),ISNUMBER(F1311),ISNUMBER(G1311)),AND(F1312&gt;G1312,F1311&lt;=G1311),FALSE())</f>
        <v>0</v>
      </c>
      <c r="K1312" s="9" t="b">
        <f aca="false">IF(AND(ISNUMBER(F1312),ISNUMBER(G1312),ISNUMBER(F1311),ISNUMBER(G1311)),AND(F1312&lt;G1312,F1311&gt;=G1311),FALSE())</f>
        <v>0</v>
      </c>
      <c r="L1312" s="8" t="n">
        <f aca="false">IF(ISNUMBER(I1312),E1312-Inputs!$B$6*I1312,"")</f>
        <v>0.861041907829164</v>
      </c>
      <c r="M1312" s="9" t="b">
        <f aca="false">AND(Y1311&gt;0,Z1311)</f>
        <v>0</v>
      </c>
      <c r="N1312" s="8" t="n">
        <f aca="false">B1312*(1-Inputs!$B$12)</f>
        <v>0.876560318393645</v>
      </c>
      <c r="O1312" s="10" t="n">
        <f aca="false">IF(M1312,Y1311*(N1312-AB1311)-Inputs!$B$9-Y1311*AD1311*Inputs!$B$13*(A1312-AC1311),0)</f>
        <v>0</v>
      </c>
      <c r="P1312" s="10" t="n">
        <f aca="false">X1311+O1312</f>
        <v>925.345823172389</v>
      </c>
      <c r="Q1312" s="9" t="b">
        <f aca="false">AND(IF(M1312,0,Y1311)=0,AA1311,IF(ISNUMBER(AE1311),B1312&gt;AE1311,FALSE()))</f>
        <v>0</v>
      </c>
      <c r="R1312" s="8" t="n">
        <f aca="false">B1312*(1+Inputs!$B$12)</f>
        <v>0.876911012659856</v>
      </c>
      <c r="S1312" s="11" t="n">
        <f aca="false">IF(Q1312,MIN(P1312*Inputs!$B$3/(R1312-AE1311),P1312*Inputs!$B$11/R1312),0)</f>
        <v>0</v>
      </c>
      <c r="T1312" s="11" t="n">
        <f aca="false">IF(Q1312,S1312,IF(M1312,0,Y1311))</f>
        <v>0</v>
      </c>
      <c r="U1312" s="8" t="n">
        <f aca="false">IF(Q1312,AE1311,AF1311)</f>
        <v>0.885137616607025</v>
      </c>
      <c r="V1312" s="9" t="b">
        <f aca="false">AND(T1312&gt;0,D1312&lt;=U1312)</f>
        <v>0</v>
      </c>
      <c r="W1312" s="10" t="n">
        <f aca="false">IF(V1312,T1312*(AK1312-AB1312)-Inputs!$B$9-T1312*AD1312*Inputs!$B$13*(A1312-AC1312),0)</f>
        <v>0</v>
      </c>
      <c r="X1312" s="10" t="n">
        <f aca="false">P1312-IF(Q1312,Inputs!$B$9,0)+W1312</f>
        <v>925.345823172389</v>
      </c>
      <c r="Y1312" s="11" t="n">
        <f aca="false">IF(V1312,0,T1312)</f>
        <v>0</v>
      </c>
      <c r="Z1312" s="9" t="b">
        <f aca="false">AND(Y1312&gt;0,K1312)</f>
        <v>0</v>
      </c>
      <c r="AA1312" s="9" t="b">
        <f aca="false">AND(Y1312=0,J1312,ISNUMBER(L1312))</f>
        <v>0</v>
      </c>
      <c r="AB1312" s="8" t="n">
        <f aca="false">IF(Q1312,R1312,AB1311)</f>
        <v>0.902917052911703</v>
      </c>
      <c r="AC1312" s="12" t="n">
        <f aca="false">IF(Q1312,A1312,AC1311)</f>
        <v>46049</v>
      </c>
      <c r="AD1312" s="8" t="n">
        <f aca="false">IF(Q1312,B1312,AD1311)</f>
        <v>0.902736505610581</v>
      </c>
      <c r="AE1312" s="8" t="str">
        <f aca="false">IF(AA1312,L1312,"")</f>
        <v/>
      </c>
      <c r="AF1312" s="8" t="n">
        <f aca="false">U1312</f>
        <v>0.885137616607025</v>
      </c>
      <c r="AG1312" s="2" t="n">
        <f aca="false">AG1311+IF(Q1312,1,0)</f>
        <v>14</v>
      </c>
      <c r="AH1312" s="2" t="n">
        <f aca="false">AG1311</f>
        <v>14</v>
      </c>
      <c r="AI1312" s="10" t="n">
        <f aca="false">X1312+Y1312*(E1312-AB1312)-Y1312*AD1312*Inputs!$B$13*(A1312-AC1312)</f>
        <v>925.345823172389</v>
      </c>
      <c r="AJ1312" s="10" t="n">
        <v>0</v>
      </c>
      <c r="AK1312" s="8" t="n">
        <f aca="false">IF(AND(B1312&lt;=U1312,NOT(Q1312)),B1312,U1312)*(1-Inputs!$B$12)</f>
        <v>0.876560318393645</v>
      </c>
    </row>
    <row r="1313" customFormat="false" ht="15" hidden="false" customHeight="false" outlineLevel="0" collapsed="false">
      <c r="A1313" s="6" t="n">
        <v>46097</v>
      </c>
      <c r="B1313" s="7" t="n">
        <v>0.878192293348298</v>
      </c>
      <c r="C1313" s="7" t="n">
        <v>0.880065473448682</v>
      </c>
      <c r="D1313" s="7" t="n">
        <v>0.875204884878263</v>
      </c>
      <c r="E1313" s="7" t="n">
        <v>0.880063443055095</v>
      </c>
      <c r="F1313" s="8" t="n">
        <f aca="true">IF(ROW()-2&gt;=Inputs!$B$4,AVERAGE(OFFSET(E1313,1-Inputs!$B$4,0,Inputs!$B$4,1)),"")</f>
        <v>0.872184536318392</v>
      </c>
      <c r="G1313" s="8" t="n">
        <f aca="true">IF(ROW()-2&gt;=Inputs!$B$5,AVERAGE(OFFSET(E1313,1-Inputs!$B$5,0,Inputs!$B$5,1)),"")</f>
        <v>0.881829918663165</v>
      </c>
      <c r="H1313" s="8" t="n">
        <f aca="false">MAX(C1313-D1313,ABS(C1313-E1312),ABS(D1313-E1312))</f>
        <v>0.00486058857041882</v>
      </c>
      <c r="I1313" s="8" t="n">
        <f aca="true">IF(ROW()-2&lt;14,"",IF(ROW()-2=14,AVERAGE(OFFSET(H1313,-13,0,14,1)),(I1312*13+H1313)/14))</f>
        <v>0.00830986388891343</v>
      </c>
      <c r="J1313" s="9" t="b">
        <f aca="false">IF(AND(ISNUMBER(F1313),ISNUMBER(G1313),ISNUMBER(F1312),ISNUMBER(G1312)),AND(F1313&gt;G1313,F1312&lt;=G1312),FALSE())</f>
        <v>0</v>
      </c>
      <c r="K1313" s="9" t="b">
        <f aca="false">IF(AND(ISNUMBER(F1313),ISNUMBER(G1313),ISNUMBER(F1312),ISNUMBER(G1312)),AND(F1313&lt;G1313,F1312&gt;=G1312),FALSE())</f>
        <v>0</v>
      </c>
      <c r="L1313" s="8" t="n">
        <f aca="false">IF(ISNUMBER(I1313),E1313-Inputs!$B$6*I1313,"")</f>
        <v>0.863443715277268</v>
      </c>
      <c r="M1313" s="9" t="b">
        <f aca="false">AND(Y1312&gt;0,Z1312)</f>
        <v>0</v>
      </c>
      <c r="N1313" s="8" t="n">
        <f aca="false">B1313*(1-Inputs!$B$12)</f>
        <v>0.878016654889628</v>
      </c>
      <c r="O1313" s="10" t="n">
        <f aca="false">IF(M1313,Y1312*(N1313-AB1312)-Inputs!$B$9-Y1312*AD1312*Inputs!$B$13*(A1313-AC1312),0)</f>
        <v>0</v>
      </c>
      <c r="P1313" s="10" t="n">
        <f aca="false">X1312+O1313</f>
        <v>925.345823172389</v>
      </c>
      <c r="Q1313" s="9" t="b">
        <f aca="false">AND(IF(M1313,0,Y1312)=0,AA1312,IF(ISNUMBER(AE1312),B1313&gt;AE1312,FALSE()))</f>
        <v>0</v>
      </c>
      <c r="R1313" s="8" t="n">
        <f aca="false">B1313*(1+Inputs!$B$12)</f>
        <v>0.878367931806967</v>
      </c>
      <c r="S1313" s="11" t="n">
        <f aca="false">IF(Q1313,MIN(P1313*Inputs!$B$3/(R1313-AE1312),P1313*Inputs!$B$11/R1313),0)</f>
        <v>0</v>
      </c>
      <c r="T1313" s="11" t="n">
        <f aca="false">IF(Q1313,S1313,IF(M1313,0,Y1312))</f>
        <v>0</v>
      </c>
      <c r="U1313" s="8" t="n">
        <f aca="false">IF(Q1313,AE1312,AF1312)</f>
        <v>0.885137616607025</v>
      </c>
      <c r="V1313" s="9" t="b">
        <f aca="false">AND(T1313&gt;0,D1313&lt;=U1313)</f>
        <v>0</v>
      </c>
      <c r="W1313" s="10" t="n">
        <f aca="false">IF(V1313,T1313*(AK1313-AB1313)-Inputs!$B$9-T1313*AD1313*Inputs!$B$13*(A1313-AC1313),0)</f>
        <v>0</v>
      </c>
      <c r="X1313" s="10" t="n">
        <f aca="false">P1313-IF(Q1313,Inputs!$B$9,0)+W1313</f>
        <v>925.345823172389</v>
      </c>
      <c r="Y1313" s="11" t="n">
        <f aca="false">IF(V1313,0,T1313)</f>
        <v>0</v>
      </c>
      <c r="Z1313" s="9" t="b">
        <f aca="false">AND(Y1313&gt;0,K1313)</f>
        <v>0</v>
      </c>
      <c r="AA1313" s="9" t="b">
        <f aca="false">AND(Y1313=0,J1313,ISNUMBER(L1313))</f>
        <v>0</v>
      </c>
      <c r="AB1313" s="8" t="n">
        <f aca="false">IF(Q1313,R1313,AB1312)</f>
        <v>0.902917052911703</v>
      </c>
      <c r="AC1313" s="12" t="n">
        <f aca="false">IF(Q1313,A1313,AC1312)</f>
        <v>46049</v>
      </c>
      <c r="AD1313" s="8" t="n">
        <f aca="false">IF(Q1313,B1313,AD1312)</f>
        <v>0.902736505610581</v>
      </c>
      <c r="AE1313" s="8" t="str">
        <f aca="false">IF(AA1313,L1313,"")</f>
        <v/>
      </c>
      <c r="AF1313" s="8" t="n">
        <f aca="false">U1313</f>
        <v>0.885137616607025</v>
      </c>
      <c r="AG1313" s="2" t="n">
        <f aca="false">AG1312+IF(Q1313,1,0)</f>
        <v>14</v>
      </c>
      <c r="AH1313" s="2" t="n">
        <f aca="false">AG1312</f>
        <v>14</v>
      </c>
      <c r="AI1313" s="10" t="n">
        <f aca="false">X1313+Y1313*(E1313-AB1313)-Y1313*AD1313*Inputs!$B$13*(A1313-AC1313)</f>
        <v>925.345823172389</v>
      </c>
      <c r="AJ1313" s="10" t="n">
        <v>0</v>
      </c>
      <c r="AK1313" s="8" t="n">
        <f aca="false">IF(AND(B1313&lt;=U1313,NOT(Q1313)),B1313,U1313)*(1-Inputs!$B$12)</f>
        <v>0.878016654889628</v>
      </c>
    </row>
    <row r="1314" customFormat="false" ht="15" hidden="false" customHeight="false" outlineLevel="0" collapsed="false">
      <c r="A1314" s="6" t="n">
        <v>46098</v>
      </c>
      <c r="B1314" s="7" t="n">
        <v>0.880063443055095</v>
      </c>
      <c r="C1314" s="7" t="n">
        <v>0.882551388743922</v>
      </c>
      <c r="D1314" s="7" t="n">
        <v>0.876485151790505</v>
      </c>
      <c r="E1314" s="7" t="n">
        <v>0.878555289273594</v>
      </c>
      <c r="F1314" s="8" t="n">
        <f aca="true">IF(ROW()-2&gt;=Inputs!$B$4,AVERAGE(OFFSET(E1314,1-Inputs!$B$4,0,Inputs!$B$4,1)),"")</f>
        <v>0.8724945112381</v>
      </c>
      <c r="G1314" s="8" t="n">
        <f aca="true">IF(ROW()-2&gt;=Inputs!$B$5,AVERAGE(OFFSET(E1314,1-Inputs!$B$5,0,Inputs!$B$5,1)),"")</f>
        <v>0.881346294336425</v>
      </c>
      <c r="H1314" s="8" t="n">
        <f aca="false">MAX(C1314-D1314,ABS(C1314-E1313),ABS(D1314-E1313))</f>
        <v>0.0060662369534169</v>
      </c>
      <c r="I1314" s="8" t="n">
        <f aca="true">IF(ROW()-2&lt;14,"",IF(ROW()-2=14,AVERAGE(OFFSET(H1314,-13,0,14,1)),(I1313*13+H1314)/14))</f>
        <v>0.00814960482209225</v>
      </c>
      <c r="J1314" s="9" t="b">
        <f aca="false">IF(AND(ISNUMBER(F1314),ISNUMBER(G1314),ISNUMBER(F1313),ISNUMBER(G1313)),AND(F1314&gt;G1314,F1313&lt;=G1313),FALSE())</f>
        <v>0</v>
      </c>
      <c r="K1314" s="9" t="b">
        <f aca="false">IF(AND(ISNUMBER(F1314),ISNUMBER(G1314),ISNUMBER(F1313),ISNUMBER(G1313)),AND(F1314&lt;G1314,F1313&gt;=G1313),FALSE())</f>
        <v>0</v>
      </c>
      <c r="L1314" s="8" t="n">
        <f aca="false">IF(ISNUMBER(I1314),E1314-Inputs!$B$6*I1314,"")</f>
        <v>0.862256079629409</v>
      </c>
      <c r="M1314" s="9" t="b">
        <f aca="false">AND(Y1313&gt;0,Z1313)</f>
        <v>0</v>
      </c>
      <c r="N1314" s="8" t="n">
        <f aca="false">B1314*(1-Inputs!$B$12)</f>
        <v>0.879887430366484</v>
      </c>
      <c r="O1314" s="10" t="n">
        <f aca="false">IF(M1314,Y1313*(N1314-AB1313)-Inputs!$B$9-Y1313*AD1313*Inputs!$B$13*(A1314-AC1313),0)</f>
        <v>0</v>
      </c>
      <c r="P1314" s="10" t="n">
        <f aca="false">X1313+O1314</f>
        <v>925.345823172389</v>
      </c>
      <c r="Q1314" s="9" t="b">
        <f aca="false">AND(IF(M1314,0,Y1313)=0,AA1313,IF(ISNUMBER(AE1313),B1314&gt;AE1313,FALSE()))</f>
        <v>0</v>
      </c>
      <c r="R1314" s="8" t="n">
        <f aca="false">B1314*(1+Inputs!$B$12)</f>
        <v>0.880239455743706</v>
      </c>
      <c r="S1314" s="11" t="n">
        <f aca="false">IF(Q1314,MIN(P1314*Inputs!$B$3/(R1314-AE1313),P1314*Inputs!$B$11/R1314),0)</f>
        <v>0</v>
      </c>
      <c r="T1314" s="11" t="n">
        <f aca="false">IF(Q1314,S1314,IF(M1314,0,Y1313))</f>
        <v>0</v>
      </c>
      <c r="U1314" s="8" t="n">
        <f aca="false">IF(Q1314,AE1313,AF1313)</f>
        <v>0.885137616607025</v>
      </c>
      <c r="V1314" s="9" t="b">
        <f aca="false">AND(T1314&gt;0,D1314&lt;=U1314)</f>
        <v>0</v>
      </c>
      <c r="W1314" s="10" t="n">
        <f aca="false">IF(V1314,T1314*(AK1314-AB1314)-Inputs!$B$9-T1314*AD1314*Inputs!$B$13*(A1314-AC1314),0)</f>
        <v>0</v>
      </c>
      <c r="X1314" s="10" t="n">
        <f aca="false">P1314-IF(Q1314,Inputs!$B$9,0)+W1314</f>
        <v>925.345823172389</v>
      </c>
      <c r="Y1314" s="11" t="n">
        <f aca="false">IF(V1314,0,T1314)</f>
        <v>0</v>
      </c>
      <c r="Z1314" s="9" t="b">
        <f aca="false">AND(Y1314&gt;0,K1314)</f>
        <v>0</v>
      </c>
      <c r="AA1314" s="9" t="b">
        <f aca="false">AND(Y1314=0,J1314,ISNUMBER(L1314))</f>
        <v>0</v>
      </c>
      <c r="AB1314" s="8" t="n">
        <f aca="false">IF(Q1314,R1314,AB1313)</f>
        <v>0.902917052911703</v>
      </c>
      <c r="AC1314" s="12" t="n">
        <f aca="false">IF(Q1314,A1314,AC1313)</f>
        <v>46049</v>
      </c>
      <c r="AD1314" s="8" t="n">
        <f aca="false">IF(Q1314,B1314,AD1313)</f>
        <v>0.902736505610581</v>
      </c>
      <c r="AE1314" s="8" t="str">
        <f aca="false">IF(AA1314,L1314,"")</f>
        <v/>
      </c>
      <c r="AF1314" s="8" t="n">
        <f aca="false">U1314</f>
        <v>0.885137616607025</v>
      </c>
      <c r="AG1314" s="2" t="n">
        <f aca="false">AG1313+IF(Q1314,1,0)</f>
        <v>14</v>
      </c>
      <c r="AH1314" s="2" t="n">
        <f aca="false">AG1313</f>
        <v>14</v>
      </c>
      <c r="AI1314" s="10" t="n">
        <f aca="false">X1314+Y1314*(E1314-AB1314)-Y1314*AD1314*Inputs!$B$13*(A1314-AC1314)</f>
        <v>925.345823172389</v>
      </c>
      <c r="AJ1314" s="10" t="n">
        <v>0</v>
      </c>
      <c r="AK1314" s="8" t="n">
        <f aca="false">IF(AND(B1314&lt;=U1314,NOT(Q1314)),B1314,U1314)*(1-Inputs!$B$12)</f>
        <v>0.879887430366484</v>
      </c>
    </row>
    <row r="1315" customFormat="false" ht="15" hidden="false" customHeight="false" outlineLevel="0" collapsed="false">
      <c r="A1315" s="6" t="n">
        <v>46099</v>
      </c>
      <c r="B1315" s="7" t="n">
        <v>0.878555289273594</v>
      </c>
      <c r="C1315" s="7" t="n">
        <v>0.884352667622982</v>
      </c>
      <c r="D1315" s="7" t="n">
        <v>0.878102332836196</v>
      </c>
      <c r="E1315" s="7" t="n">
        <v>0.884339015886575</v>
      </c>
      <c r="F1315" s="8" t="n">
        <f aca="true">IF(ROW()-2&gt;=Inputs!$B$4,AVERAGE(OFFSET(E1315,1-Inputs!$B$4,0,Inputs!$B$4,1)),"")</f>
        <v>0.873168683129904</v>
      </c>
      <c r="G1315" s="8" t="n">
        <f aca="true">IF(ROW()-2&gt;=Inputs!$B$5,AVERAGE(OFFSET(E1315,1-Inputs!$B$5,0,Inputs!$B$5,1)),"")</f>
        <v>0.881094367086394</v>
      </c>
      <c r="H1315" s="8" t="n">
        <f aca="false">MAX(C1315-D1315,ABS(C1315-E1314),ABS(D1315-E1314))</f>
        <v>0.00625033478678572</v>
      </c>
      <c r="I1315" s="8" t="n">
        <f aca="true">IF(ROW()-2&lt;14,"",IF(ROW()-2=14,AVERAGE(OFFSET(H1315,-13,0,14,1)),(I1314*13+H1315)/14))</f>
        <v>0.00801394267671321</v>
      </c>
      <c r="J1315" s="9" t="b">
        <f aca="false">IF(AND(ISNUMBER(F1315),ISNUMBER(G1315),ISNUMBER(F1314),ISNUMBER(G1314)),AND(F1315&gt;G1315,F1314&lt;=G1314),FALSE())</f>
        <v>0</v>
      </c>
      <c r="K1315" s="9" t="b">
        <f aca="false">IF(AND(ISNUMBER(F1315),ISNUMBER(G1315),ISNUMBER(F1314),ISNUMBER(G1314)),AND(F1315&lt;G1315,F1314&gt;=G1314),FALSE())</f>
        <v>0</v>
      </c>
      <c r="L1315" s="8" t="n">
        <f aca="false">IF(ISNUMBER(I1315),E1315-Inputs!$B$6*I1315,"")</f>
        <v>0.868311130533149</v>
      </c>
      <c r="M1315" s="9" t="b">
        <f aca="false">AND(Y1314&gt;0,Z1314)</f>
        <v>0</v>
      </c>
      <c r="N1315" s="8" t="n">
        <f aca="false">B1315*(1-Inputs!$B$12)</f>
        <v>0.878379578215739</v>
      </c>
      <c r="O1315" s="10" t="n">
        <f aca="false">IF(M1315,Y1314*(N1315-AB1314)-Inputs!$B$9-Y1314*AD1314*Inputs!$B$13*(A1315-AC1314),0)</f>
        <v>0</v>
      </c>
      <c r="P1315" s="10" t="n">
        <f aca="false">X1314+O1315</f>
        <v>925.345823172389</v>
      </c>
      <c r="Q1315" s="9" t="b">
        <f aca="false">AND(IF(M1315,0,Y1314)=0,AA1314,IF(ISNUMBER(AE1314),B1315&gt;AE1314,FALSE()))</f>
        <v>0</v>
      </c>
      <c r="R1315" s="8" t="n">
        <f aca="false">B1315*(1+Inputs!$B$12)</f>
        <v>0.878731000331448</v>
      </c>
      <c r="S1315" s="11" t="n">
        <f aca="false">IF(Q1315,MIN(P1315*Inputs!$B$3/(R1315-AE1314),P1315*Inputs!$B$11/R1315),0)</f>
        <v>0</v>
      </c>
      <c r="T1315" s="11" t="n">
        <f aca="false">IF(Q1315,S1315,IF(M1315,0,Y1314))</f>
        <v>0</v>
      </c>
      <c r="U1315" s="8" t="n">
        <f aca="false">IF(Q1315,AE1314,AF1314)</f>
        <v>0.885137616607025</v>
      </c>
      <c r="V1315" s="9" t="b">
        <f aca="false">AND(T1315&gt;0,D1315&lt;=U1315)</f>
        <v>0</v>
      </c>
      <c r="W1315" s="10" t="n">
        <f aca="false">IF(V1315,T1315*(AK1315-AB1315)-Inputs!$B$9-T1315*AD1315*Inputs!$B$13*(A1315-AC1315),0)</f>
        <v>0</v>
      </c>
      <c r="X1315" s="10" t="n">
        <f aca="false">P1315-IF(Q1315,Inputs!$B$9,0)+W1315</f>
        <v>925.345823172389</v>
      </c>
      <c r="Y1315" s="11" t="n">
        <f aca="false">IF(V1315,0,T1315)</f>
        <v>0</v>
      </c>
      <c r="Z1315" s="9" t="b">
        <f aca="false">AND(Y1315&gt;0,K1315)</f>
        <v>0</v>
      </c>
      <c r="AA1315" s="9" t="b">
        <f aca="false">AND(Y1315=0,J1315,ISNUMBER(L1315))</f>
        <v>0</v>
      </c>
      <c r="AB1315" s="8" t="n">
        <f aca="false">IF(Q1315,R1315,AB1314)</f>
        <v>0.902917052911703</v>
      </c>
      <c r="AC1315" s="12" t="n">
        <f aca="false">IF(Q1315,A1315,AC1314)</f>
        <v>46049</v>
      </c>
      <c r="AD1315" s="8" t="n">
        <f aca="false">IF(Q1315,B1315,AD1314)</f>
        <v>0.902736505610581</v>
      </c>
      <c r="AE1315" s="8" t="str">
        <f aca="false">IF(AA1315,L1315,"")</f>
        <v/>
      </c>
      <c r="AF1315" s="8" t="n">
        <f aca="false">U1315</f>
        <v>0.885137616607025</v>
      </c>
      <c r="AG1315" s="2" t="n">
        <f aca="false">AG1314+IF(Q1315,1,0)</f>
        <v>14</v>
      </c>
      <c r="AH1315" s="2" t="n">
        <f aca="false">AG1314</f>
        <v>14</v>
      </c>
      <c r="AI1315" s="10" t="n">
        <f aca="false">X1315+Y1315*(E1315-AB1315)-Y1315*AD1315*Inputs!$B$13*(A1315-AC1315)</f>
        <v>925.345823172389</v>
      </c>
      <c r="AJ1315" s="10" t="n">
        <v>0</v>
      </c>
      <c r="AK1315" s="8" t="n">
        <f aca="false">IF(AND(B1315&lt;=U1315,NOT(Q1315)),B1315,U1315)*(1-Inputs!$B$12)</f>
        <v>0.878379578215739</v>
      </c>
    </row>
    <row r="1316" customFormat="false" ht="15" hidden="false" customHeight="false" outlineLevel="0" collapsed="false">
      <c r="A1316" s="6" t="n">
        <v>46100</v>
      </c>
      <c r="B1316" s="7" t="n">
        <v>0.884339015886575</v>
      </c>
      <c r="C1316" s="7" t="n">
        <v>0.892979362270521</v>
      </c>
      <c r="D1316" s="7" t="n">
        <v>0.882349582375799</v>
      </c>
      <c r="E1316" s="7" t="n">
        <v>0.890379999161342</v>
      </c>
      <c r="F1316" s="8" t="n">
        <f aca="true">IF(ROW()-2&gt;=Inputs!$B$4,AVERAGE(OFFSET(E1316,1-Inputs!$B$4,0,Inputs!$B$4,1)),"")</f>
        <v>0.874098576168971</v>
      </c>
      <c r="G1316" s="8" t="n">
        <f aca="true">IF(ROW()-2&gt;=Inputs!$B$5,AVERAGE(OFFSET(E1316,1-Inputs!$B$5,0,Inputs!$B$5,1)),"")</f>
        <v>0.880873226187154</v>
      </c>
      <c r="H1316" s="8" t="n">
        <f aca="false">MAX(C1316-D1316,ABS(C1316-E1315),ABS(D1316-E1315))</f>
        <v>0.0106297798947222</v>
      </c>
      <c r="I1316" s="8" t="n">
        <f aca="true">IF(ROW()-2&lt;14,"",IF(ROW()-2=14,AVERAGE(OFFSET(H1316,-13,0,14,1)),(I1315*13+H1316)/14))</f>
        <v>0.00820078819228529</v>
      </c>
      <c r="J1316" s="9" t="b">
        <f aca="false">IF(AND(ISNUMBER(F1316),ISNUMBER(G1316),ISNUMBER(F1315),ISNUMBER(G1315)),AND(F1316&gt;G1316,F1315&lt;=G1315),FALSE())</f>
        <v>0</v>
      </c>
      <c r="K1316" s="9" t="b">
        <f aca="false">IF(AND(ISNUMBER(F1316),ISNUMBER(G1316),ISNUMBER(F1315),ISNUMBER(G1315)),AND(F1316&lt;G1316,F1315&gt;=G1315),FALSE())</f>
        <v>0</v>
      </c>
      <c r="L1316" s="8" t="n">
        <f aca="false">IF(ISNUMBER(I1316),E1316-Inputs!$B$6*I1316,"")</f>
        <v>0.873978422776771</v>
      </c>
      <c r="M1316" s="9" t="b">
        <f aca="false">AND(Y1315&gt;0,Z1315)</f>
        <v>0</v>
      </c>
      <c r="N1316" s="8" t="n">
        <f aca="false">B1316*(1-Inputs!$B$12)</f>
        <v>0.884162148083398</v>
      </c>
      <c r="O1316" s="10" t="n">
        <f aca="false">IF(M1316,Y1315*(N1316-AB1315)-Inputs!$B$9-Y1315*AD1315*Inputs!$B$13*(A1316-AC1315),0)</f>
        <v>0</v>
      </c>
      <c r="P1316" s="10" t="n">
        <f aca="false">X1315+O1316</f>
        <v>925.345823172389</v>
      </c>
      <c r="Q1316" s="9" t="b">
        <f aca="false">AND(IF(M1316,0,Y1315)=0,AA1315,IF(ISNUMBER(AE1315),B1316&gt;AE1315,FALSE()))</f>
        <v>0</v>
      </c>
      <c r="R1316" s="8" t="n">
        <f aca="false">B1316*(1+Inputs!$B$12)</f>
        <v>0.884515883689752</v>
      </c>
      <c r="S1316" s="11" t="n">
        <f aca="false">IF(Q1316,MIN(P1316*Inputs!$B$3/(R1316-AE1315),P1316*Inputs!$B$11/R1316),0)</f>
        <v>0</v>
      </c>
      <c r="T1316" s="11" t="n">
        <f aca="false">IF(Q1316,S1316,IF(M1316,0,Y1315))</f>
        <v>0</v>
      </c>
      <c r="U1316" s="8" t="n">
        <f aca="false">IF(Q1316,AE1315,AF1315)</f>
        <v>0.885137616607025</v>
      </c>
      <c r="V1316" s="9" t="b">
        <f aca="false">AND(T1316&gt;0,D1316&lt;=U1316)</f>
        <v>0</v>
      </c>
      <c r="W1316" s="10" t="n">
        <f aca="false">IF(V1316,T1316*(AK1316-AB1316)-Inputs!$B$9-T1316*AD1316*Inputs!$B$13*(A1316-AC1316),0)</f>
        <v>0</v>
      </c>
      <c r="X1316" s="10" t="n">
        <f aca="false">P1316-IF(Q1316,Inputs!$B$9,0)+W1316</f>
        <v>925.345823172389</v>
      </c>
      <c r="Y1316" s="11" t="n">
        <f aca="false">IF(V1316,0,T1316)</f>
        <v>0</v>
      </c>
      <c r="Z1316" s="9" t="b">
        <f aca="false">AND(Y1316&gt;0,K1316)</f>
        <v>0</v>
      </c>
      <c r="AA1316" s="9" t="b">
        <f aca="false">AND(Y1316=0,J1316,ISNUMBER(L1316))</f>
        <v>0</v>
      </c>
      <c r="AB1316" s="8" t="n">
        <f aca="false">IF(Q1316,R1316,AB1315)</f>
        <v>0.902917052911703</v>
      </c>
      <c r="AC1316" s="12" t="n">
        <f aca="false">IF(Q1316,A1316,AC1315)</f>
        <v>46049</v>
      </c>
      <c r="AD1316" s="8" t="n">
        <f aca="false">IF(Q1316,B1316,AD1315)</f>
        <v>0.902736505610581</v>
      </c>
      <c r="AE1316" s="8" t="str">
        <f aca="false">IF(AA1316,L1316,"")</f>
        <v/>
      </c>
      <c r="AF1316" s="8" t="n">
        <f aca="false">U1316</f>
        <v>0.885137616607025</v>
      </c>
      <c r="AG1316" s="2" t="n">
        <f aca="false">AG1315+IF(Q1316,1,0)</f>
        <v>14</v>
      </c>
      <c r="AH1316" s="2" t="n">
        <f aca="false">AG1315</f>
        <v>14</v>
      </c>
      <c r="AI1316" s="10" t="n">
        <f aca="false">X1316+Y1316*(E1316-AB1316)-Y1316*AD1316*Inputs!$B$13*(A1316-AC1316)</f>
        <v>925.345823172389</v>
      </c>
      <c r="AJ1316" s="10" t="n">
        <v>0</v>
      </c>
      <c r="AK1316" s="8" t="n">
        <f aca="false">IF(AND(B1316&lt;=U1316,NOT(Q1316)),B1316,U1316)*(1-Inputs!$B$12)</f>
        <v>0.884162148083398</v>
      </c>
    </row>
    <row r="1317" customFormat="false" ht="15" hidden="false" customHeight="false" outlineLevel="0" collapsed="false">
      <c r="A1317" s="6" t="n">
        <v>46101</v>
      </c>
      <c r="B1317" s="7" t="n">
        <v>0.890379999161342</v>
      </c>
      <c r="C1317" s="7" t="n">
        <v>0.891474352155113</v>
      </c>
      <c r="D1317" s="7" t="n">
        <v>0.884823736017199</v>
      </c>
      <c r="E1317" s="7" t="n">
        <v>0.88701391480507</v>
      </c>
      <c r="F1317" s="8" t="n">
        <f aca="true">IF(ROW()-2&gt;=Inputs!$B$4,AVERAGE(OFFSET(E1317,1-Inputs!$B$4,0,Inputs!$B$4,1)),"")</f>
        <v>0.875049566345854</v>
      </c>
      <c r="G1317" s="8" t="n">
        <f aca="true">IF(ROW()-2&gt;=Inputs!$B$5,AVERAGE(OFFSET(E1317,1-Inputs!$B$5,0,Inputs!$B$5,1)),"")</f>
        <v>0.88069207004138</v>
      </c>
      <c r="H1317" s="8" t="n">
        <f aca="false">MAX(C1317-D1317,ABS(C1317-E1316),ABS(D1317-E1316))</f>
        <v>0.00665061613791429</v>
      </c>
      <c r="I1317" s="8" t="n">
        <f aca="true">IF(ROW()-2&lt;14,"",IF(ROW()-2=14,AVERAGE(OFFSET(H1317,-13,0,14,1)),(I1316*13+H1317)/14))</f>
        <v>0.00809006161697307</v>
      </c>
      <c r="J1317" s="9" t="b">
        <f aca="false">IF(AND(ISNUMBER(F1317),ISNUMBER(G1317),ISNUMBER(F1316),ISNUMBER(G1316)),AND(F1317&gt;G1317,F1316&lt;=G1316),FALSE())</f>
        <v>0</v>
      </c>
      <c r="K1317" s="9" t="b">
        <f aca="false">IF(AND(ISNUMBER(F1317),ISNUMBER(G1317),ISNUMBER(F1316),ISNUMBER(G1316)),AND(F1317&lt;G1317,F1316&gt;=G1316),FALSE())</f>
        <v>0</v>
      </c>
      <c r="L1317" s="8" t="n">
        <f aca="false">IF(ISNUMBER(I1317),E1317-Inputs!$B$6*I1317,"")</f>
        <v>0.870833791571124</v>
      </c>
      <c r="M1317" s="9" t="b">
        <f aca="false">AND(Y1316&gt;0,Z1316)</f>
        <v>0</v>
      </c>
      <c r="N1317" s="8" t="n">
        <f aca="false">B1317*(1-Inputs!$B$12)</f>
        <v>0.89020192316151</v>
      </c>
      <c r="O1317" s="10" t="n">
        <f aca="false">IF(M1317,Y1316*(N1317-AB1316)-Inputs!$B$9-Y1316*AD1316*Inputs!$B$13*(A1317-AC1316),0)</f>
        <v>0</v>
      </c>
      <c r="P1317" s="10" t="n">
        <f aca="false">X1316+O1317</f>
        <v>925.345823172389</v>
      </c>
      <c r="Q1317" s="9" t="b">
        <f aca="false">AND(IF(M1317,0,Y1316)=0,AA1316,IF(ISNUMBER(AE1316),B1317&gt;AE1316,FALSE()))</f>
        <v>0</v>
      </c>
      <c r="R1317" s="8" t="n">
        <f aca="false">B1317*(1+Inputs!$B$12)</f>
        <v>0.890558075161174</v>
      </c>
      <c r="S1317" s="11" t="n">
        <f aca="false">IF(Q1317,MIN(P1317*Inputs!$B$3/(R1317-AE1316),P1317*Inputs!$B$11/R1317),0)</f>
        <v>0</v>
      </c>
      <c r="T1317" s="11" t="n">
        <f aca="false">IF(Q1317,S1317,IF(M1317,0,Y1316))</f>
        <v>0</v>
      </c>
      <c r="U1317" s="8" t="n">
        <f aca="false">IF(Q1317,AE1316,AF1316)</f>
        <v>0.885137616607025</v>
      </c>
      <c r="V1317" s="9" t="b">
        <f aca="false">AND(T1317&gt;0,D1317&lt;=U1317)</f>
        <v>0</v>
      </c>
      <c r="W1317" s="10" t="n">
        <f aca="false">IF(V1317,T1317*(AK1317-AB1317)-Inputs!$B$9-T1317*AD1317*Inputs!$B$13*(A1317-AC1317),0)</f>
        <v>0</v>
      </c>
      <c r="X1317" s="10" t="n">
        <f aca="false">P1317-IF(Q1317,Inputs!$B$9,0)+W1317</f>
        <v>925.345823172389</v>
      </c>
      <c r="Y1317" s="11" t="n">
        <f aca="false">IF(V1317,0,T1317)</f>
        <v>0</v>
      </c>
      <c r="Z1317" s="9" t="b">
        <f aca="false">AND(Y1317&gt;0,K1317)</f>
        <v>0</v>
      </c>
      <c r="AA1317" s="9" t="b">
        <f aca="false">AND(Y1317=0,J1317,ISNUMBER(L1317))</f>
        <v>0</v>
      </c>
      <c r="AB1317" s="8" t="n">
        <f aca="false">IF(Q1317,R1317,AB1316)</f>
        <v>0.902917052911703</v>
      </c>
      <c r="AC1317" s="12" t="n">
        <f aca="false">IF(Q1317,A1317,AC1316)</f>
        <v>46049</v>
      </c>
      <c r="AD1317" s="8" t="n">
        <f aca="false">IF(Q1317,B1317,AD1316)</f>
        <v>0.902736505610581</v>
      </c>
      <c r="AE1317" s="8" t="str">
        <f aca="false">IF(AA1317,L1317,"")</f>
        <v/>
      </c>
      <c r="AF1317" s="8" t="n">
        <f aca="false">U1317</f>
        <v>0.885137616607025</v>
      </c>
      <c r="AG1317" s="2" t="n">
        <f aca="false">AG1316+IF(Q1317,1,0)</f>
        <v>14</v>
      </c>
      <c r="AH1317" s="2" t="n">
        <f aca="false">AG1316</f>
        <v>14</v>
      </c>
      <c r="AI1317" s="10" t="n">
        <f aca="false">X1317+Y1317*(E1317-AB1317)-Y1317*AD1317*Inputs!$B$13*(A1317-AC1317)</f>
        <v>925.345823172389</v>
      </c>
      <c r="AJ1317" s="10" t="n">
        <v>0</v>
      </c>
      <c r="AK1317" s="8" t="n">
        <f aca="false">IF(AND(B1317&lt;=U1317,NOT(Q1317)),B1317,U1317)*(1-Inputs!$B$12)</f>
        <v>0.884960589083704</v>
      </c>
    </row>
    <row r="1318" customFormat="false" ht="15" hidden="false" customHeight="false" outlineLevel="0" collapsed="false">
      <c r="A1318" s="6" t="n">
        <v>46102</v>
      </c>
      <c r="B1318" s="7" t="n">
        <v>0.88701391480507</v>
      </c>
      <c r="C1318" s="7" t="n">
        <v>0.888227100866309</v>
      </c>
      <c r="D1318" s="7" t="n">
        <v>0.878579056278593</v>
      </c>
      <c r="E1318" s="7" t="n">
        <v>0.880153183755738</v>
      </c>
      <c r="F1318" s="8" t="n">
        <f aca="true">IF(ROW()-2&gt;=Inputs!$B$4,AVERAGE(OFFSET(E1318,1-Inputs!$B$4,0,Inputs!$B$4,1)),"")</f>
        <v>0.875366016664117</v>
      </c>
      <c r="G1318" s="8" t="n">
        <f aca="true">IF(ROW()-2&gt;=Inputs!$B$5,AVERAGE(OFFSET(E1318,1-Inputs!$B$5,0,Inputs!$B$5,1)),"")</f>
        <v>0.880203700301796</v>
      </c>
      <c r="H1318" s="8" t="n">
        <f aca="false">MAX(C1318-D1318,ABS(C1318-E1317),ABS(D1318-E1317))</f>
        <v>0.00964804458771673</v>
      </c>
      <c r="I1318" s="8" t="n">
        <f aca="true">IF(ROW()-2&lt;14,"",IF(ROW()-2=14,AVERAGE(OFFSET(H1318,-13,0,14,1)),(I1317*13+H1318)/14))</f>
        <v>0.00820134611488333</v>
      </c>
      <c r="J1318" s="9" t="b">
        <f aca="false">IF(AND(ISNUMBER(F1318),ISNUMBER(G1318),ISNUMBER(F1317),ISNUMBER(G1317)),AND(F1318&gt;G1318,F1317&lt;=G1317),FALSE())</f>
        <v>0</v>
      </c>
      <c r="K1318" s="9" t="b">
        <f aca="false">IF(AND(ISNUMBER(F1318),ISNUMBER(G1318),ISNUMBER(F1317),ISNUMBER(G1317)),AND(F1318&lt;G1318,F1317&gt;=G1317),FALSE())</f>
        <v>0</v>
      </c>
      <c r="L1318" s="8" t="n">
        <f aca="false">IF(ISNUMBER(I1318),E1318-Inputs!$B$6*I1318,"")</f>
        <v>0.863750491525971</v>
      </c>
      <c r="M1318" s="9" t="b">
        <f aca="false">AND(Y1317&gt;0,Z1317)</f>
        <v>0</v>
      </c>
      <c r="N1318" s="8" t="n">
        <f aca="false">B1318*(1-Inputs!$B$12)</f>
        <v>0.886836512022109</v>
      </c>
      <c r="O1318" s="10" t="n">
        <f aca="false">IF(M1318,Y1317*(N1318-AB1317)-Inputs!$B$9-Y1317*AD1317*Inputs!$B$13*(A1318-AC1317),0)</f>
        <v>0</v>
      </c>
      <c r="P1318" s="10" t="n">
        <f aca="false">X1317+O1318</f>
        <v>925.345823172389</v>
      </c>
      <c r="Q1318" s="9" t="b">
        <f aca="false">AND(IF(M1318,0,Y1317)=0,AA1317,IF(ISNUMBER(AE1317),B1318&gt;AE1317,FALSE()))</f>
        <v>0</v>
      </c>
      <c r="R1318" s="8" t="n">
        <f aca="false">B1318*(1+Inputs!$B$12)</f>
        <v>0.887191317588031</v>
      </c>
      <c r="S1318" s="11" t="n">
        <f aca="false">IF(Q1318,MIN(P1318*Inputs!$B$3/(R1318-AE1317),P1318*Inputs!$B$11/R1318),0)</f>
        <v>0</v>
      </c>
      <c r="T1318" s="11" t="n">
        <f aca="false">IF(Q1318,S1318,IF(M1318,0,Y1317))</f>
        <v>0</v>
      </c>
      <c r="U1318" s="8" t="n">
        <f aca="false">IF(Q1318,AE1317,AF1317)</f>
        <v>0.885137616607025</v>
      </c>
      <c r="V1318" s="9" t="b">
        <f aca="false">AND(T1318&gt;0,D1318&lt;=U1318)</f>
        <v>0</v>
      </c>
      <c r="W1318" s="10" t="n">
        <f aca="false">IF(V1318,T1318*(AK1318-AB1318)-Inputs!$B$9-T1318*AD1318*Inputs!$B$13*(A1318-AC1318),0)</f>
        <v>0</v>
      </c>
      <c r="X1318" s="10" t="n">
        <f aca="false">P1318-IF(Q1318,Inputs!$B$9,0)+W1318</f>
        <v>925.345823172389</v>
      </c>
      <c r="Y1318" s="11" t="n">
        <f aca="false">IF(V1318,0,T1318)</f>
        <v>0</v>
      </c>
      <c r="Z1318" s="9" t="b">
        <f aca="false">AND(Y1318&gt;0,K1318)</f>
        <v>0</v>
      </c>
      <c r="AA1318" s="9" t="b">
        <f aca="false">AND(Y1318=0,J1318,ISNUMBER(L1318))</f>
        <v>0</v>
      </c>
      <c r="AB1318" s="8" t="n">
        <f aca="false">IF(Q1318,R1318,AB1317)</f>
        <v>0.902917052911703</v>
      </c>
      <c r="AC1318" s="12" t="n">
        <f aca="false">IF(Q1318,A1318,AC1317)</f>
        <v>46049</v>
      </c>
      <c r="AD1318" s="8" t="n">
        <f aca="false">IF(Q1318,B1318,AD1317)</f>
        <v>0.902736505610581</v>
      </c>
      <c r="AE1318" s="8" t="str">
        <f aca="false">IF(AA1318,L1318,"")</f>
        <v/>
      </c>
      <c r="AF1318" s="8" t="n">
        <f aca="false">U1318</f>
        <v>0.885137616607025</v>
      </c>
      <c r="AG1318" s="2" t="n">
        <f aca="false">AG1317+IF(Q1318,1,0)</f>
        <v>14</v>
      </c>
      <c r="AH1318" s="2" t="n">
        <f aca="false">AG1317</f>
        <v>14</v>
      </c>
      <c r="AI1318" s="10" t="n">
        <f aca="false">X1318+Y1318*(E1318-AB1318)-Y1318*AD1318*Inputs!$B$13*(A1318-AC1318)</f>
        <v>925.345823172389</v>
      </c>
      <c r="AJ1318" s="10" t="n">
        <v>0</v>
      </c>
      <c r="AK1318" s="8" t="n">
        <f aca="false">IF(AND(B1318&lt;=U1318,NOT(Q1318)),B1318,U1318)*(1-Inputs!$B$12)</f>
        <v>0.884960589083704</v>
      </c>
    </row>
    <row r="1319" customFormat="false" ht="15" hidden="false" customHeight="false" outlineLevel="0" collapsed="false">
      <c r="A1319" s="6" t="n">
        <v>46103</v>
      </c>
      <c r="B1319" s="7" t="n">
        <v>0.880153183755738</v>
      </c>
      <c r="C1319" s="7" t="n">
        <v>0.881592582180158</v>
      </c>
      <c r="D1319" s="7" t="n">
        <v>0.878549807837211</v>
      </c>
      <c r="E1319" s="7" t="n">
        <v>0.880857926543472</v>
      </c>
      <c r="F1319" s="8" t="n">
        <f aca="true">IF(ROW()-2&gt;=Inputs!$B$4,AVERAGE(OFFSET(E1319,1-Inputs!$B$4,0,Inputs!$B$4,1)),"")</f>
        <v>0.875642162982175</v>
      </c>
      <c r="G1319" s="8" t="n">
        <f aca="true">IF(ROW()-2&gt;=Inputs!$B$5,AVERAGE(OFFSET(E1319,1-Inputs!$B$5,0,Inputs!$B$5,1)),"")</f>
        <v>0.879963040863819</v>
      </c>
      <c r="H1319" s="8" t="n">
        <f aca="false">MAX(C1319-D1319,ABS(C1319-E1318),ABS(D1319-E1318))</f>
        <v>0.0030427743429472</v>
      </c>
      <c r="I1319" s="8" t="n">
        <f aca="true">IF(ROW()-2&lt;14,"",IF(ROW()-2=14,AVERAGE(OFFSET(H1319,-13,0,14,1)),(I1318*13+H1319)/14))</f>
        <v>0.00783287670260218</v>
      </c>
      <c r="J1319" s="9" t="b">
        <f aca="false">IF(AND(ISNUMBER(F1319),ISNUMBER(G1319),ISNUMBER(F1318),ISNUMBER(G1318)),AND(F1319&gt;G1319,F1318&lt;=G1318),FALSE())</f>
        <v>0</v>
      </c>
      <c r="K1319" s="9" t="b">
        <f aca="false">IF(AND(ISNUMBER(F1319),ISNUMBER(G1319),ISNUMBER(F1318),ISNUMBER(G1318)),AND(F1319&lt;G1319,F1318&gt;=G1318),FALSE())</f>
        <v>0</v>
      </c>
      <c r="L1319" s="8" t="n">
        <f aca="false">IF(ISNUMBER(I1319),E1319-Inputs!$B$6*I1319,"")</f>
        <v>0.865192173138268</v>
      </c>
      <c r="M1319" s="9" t="b">
        <f aca="false">AND(Y1318&gt;0,Z1318)</f>
        <v>0</v>
      </c>
      <c r="N1319" s="8" t="n">
        <f aca="false">B1319*(1-Inputs!$B$12)</f>
        <v>0.879977153118987</v>
      </c>
      <c r="O1319" s="10" t="n">
        <f aca="false">IF(M1319,Y1318*(N1319-AB1318)-Inputs!$B$9-Y1318*AD1318*Inputs!$B$13*(A1319-AC1318),0)</f>
        <v>0</v>
      </c>
      <c r="P1319" s="10" t="n">
        <f aca="false">X1318+O1319</f>
        <v>925.345823172389</v>
      </c>
      <c r="Q1319" s="9" t="b">
        <f aca="false">AND(IF(M1319,0,Y1318)=0,AA1318,IF(ISNUMBER(AE1318),B1319&gt;AE1318,FALSE()))</f>
        <v>0</v>
      </c>
      <c r="R1319" s="8" t="n">
        <f aca="false">B1319*(1+Inputs!$B$12)</f>
        <v>0.880329214392489</v>
      </c>
      <c r="S1319" s="11" t="n">
        <f aca="false">IF(Q1319,MIN(P1319*Inputs!$B$3/(R1319-AE1318),P1319*Inputs!$B$11/R1319),0)</f>
        <v>0</v>
      </c>
      <c r="T1319" s="11" t="n">
        <f aca="false">IF(Q1319,S1319,IF(M1319,0,Y1318))</f>
        <v>0</v>
      </c>
      <c r="U1319" s="8" t="n">
        <f aca="false">IF(Q1319,AE1318,AF1318)</f>
        <v>0.885137616607025</v>
      </c>
      <c r="V1319" s="9" t="b">
        <f aca="false">AND(T1319&gt;0,D1319&lt;=U1319)</f>
        <v>0</v>
      </c>
      <c r="W1319" s="10" t="n">
        <f aca="false">IF(V1319,T1319*(AK1319-AB1319)-Inputs!$B$9-T1319*AD1319*Inputs!$B$13*(A1319-AC1319),0)</f>
        <v>0</v>
      </c>
      <c r="X1319" s="10" t="n">
        <f aca="false">P1319-IF(Q1319,Inputs!$B$9,0)+W1319</f>
        <v>925.345823172389</v>
      </c>
      <c r="Y1319" s="11" t="n">
        <f aca="false">IF(V1319,0,T1319)</f>
        <v>0</v>
      </c>
      <c r="Z1319" s="9" t="b">
        <f aca="false">AND(Y1319&gt;0,K1319)</f>
        <v>0</v>
      </c>
      <c r="AA1319" s="9" t="b">
        <f aca="false">AND(Y1319=0,J1319,ISNUMBER(L1319))</f>
        <v>0</v>
      </c>
      <c r="AB1319" s="8" t="n">
        <f aca="false">IF(Q1319,R1319,AB1318)</f>
        <v>0.902917052911703</v>
      </c>
      <c r="AC1319" s="12" t="n">
        <f aca="false">IF(Q1319,A1319,AC1318)</f>
        <v>46049</v>
      </c>
      <c r="AD1319" s="8" t="n">
        <f aca="false">IF(Q1319,B1319,AD1318)</f>
        <v>0.902736505610581</v>
      </c>
      <c r="AE1319" s="8" t="str">
        <f aca="false">IF(AA1319,L1319,"")</f>
        <v/>
      </c>
      <c r="AF1319" s="8" t="n">
        <f aca="false">U1319</f>
        <v>0.885137616607025</v>
      </c>
      <c r="AG1319" s="2" t="n">
        <f aca="false">AG1318+IF(Q1319,1,0)</f>
        <v>14</v>
      </c>
      <c r="AH1319" s="2" t="n">
        <f aca="false">AG1318</f>
        <v>14</v>
      </c>
      <c r="AI1319" s="10" t="n">
        <f aca="false">X1319+Y1319*(E1319-AB1319)-Y1319*AD1319*Inputs!$B$13*(A1319-AC1319)</f>
        <v>925.345823172389</v>
      </c>
      <c r="AJ1319" s="10" t="n">
        <v>0</v>
      </c>
      <c r="AK1319" s="8" t="n">
        <f aca="false">IF(AND(B1319&lt;=U1319,NOT(Q1319)),B1319,U1319)*(1-Inputs!$B$12)</f>
        <v>0.879977153118987</v>
      </c>
    </row>
    <row r="1320" customFormat="false" ht="15" hidden="false" customHeight="false" outlineLevel="0" collapsed="false">
      <c r="A1320" s="6" t="n">
        <v>46104</v>
      </c>
      <c r="B1320" s="7" t="n">
        <v>0.880857926543472</v>
      </c>
      <c r="C1320" s="7" t="n">
        <v>0.885484087705979</v>
      </c>
      <c r="D1320" s="7" t="n">
        <v>0.87744037584526</v>
      </c>
      <c r="E1320" s="7" t="n">
        <v>0.878744807788702</v>
      </c>
      <c r="F1320" s="8" t="n">
        <f aca="true">IF(ROW()-2&gt;=Inputs!$B$4,AVERAGE(OFFSET(E1320,1-Inputs!$B$4,0,Inputs!$B$4,1)),"")</f>
        <v>0.875617342142989</v>
      </c>
      <c r="G1320" s="8" t="n">
        <f aca="true">IF(ROW()-2&gt;=Inputs!$B$5,AVERAGE(OFFSET(E1320,1-Inputs!$B$5,0,Inputs!$B$5,1)),"")</f>
        <v>0.87966408014749</v>
      </c>
      <c r="H1320" s="8" t="n">
        <f aca="false">MAX(C1320-D1320,ABS(C1320-E1319),ABS(D1320-E1319))</f>
        <v>0.00804371186071884</v>
      </c>
      <c r="I1320" s="8" t="n">
        <f aca="true">IF(ROW()-2&lt;14,"",IF(ROW()-2=14,AVERAGE(OFFSET(H1320,-13,0,14,1)),(I1319*13+H1320)/14))</f>
        <v>0.00784793635675337</v>
      </c>
      <c r="J1320" s="9" t="b">
        <f aca="false">IF(AND(ISNUMBER(F1320),ISNUMBER(G1320),ISNUMBER(F1319),ISNUMBER(G1319)),AND(F1320&gt;G1320,F1319&lt;=G1319),FALSE())</f>
        <v>0</v>
      </c>
      <c r="K1320" s="9" t="b">
        <f aca="false">IF(AND(ISNUMBER(F1320),ISNUMBER(G1320),ISNUMBER(F1319),ISNUMBER(G1319)),AND(F1320&lt;G1320,F1319&gt;=G1319),FALSE())</f>
        <v>0</v>
      </c>
      <c r="L1320" s="8" t="n">
        <f aca="false">IF(ISNUMBER(I1320),E1320-Inputs!$B$6*I1320,"")</f>
        <v>0.863048935075196</v>
      </c>
      <c r="M1320" s="9" t="b">
        <f aca="false">AND(Y1319&gt;0,Z1319)</f>
        <v>0</v>
      </c>
      <c r="N1320" s="8" t="n">
        <f aca="false">B1320*(1-Inputs!$B$12)</f>
        <v>0.880681754958164</v>
      </c>
      <c r="O1320" s="10" t="n">
        <f aca="false">IF(M1320,Y1319*(N1320-AB1319)-Inputs!$B$9-Y1319*AD1319*Inputs!$B$13*(A1320-AC1319),0)</f>
        <v>0</v>
      </c>
      <c r="P1320" s="10" t="n">
        <f aca="false">X1319+O1320</f>
        <v>925.345823172389</v>
      </c>
      <c r="Q1320" s="9" t="b">
        <f aca="false">AND(IF(M1320,0,Y1319)=0,AA1319,IF(ISNUMBER(AE1319),B1320&gt;AE1319,FALSE()))</f>
        <v>0</v>
      </c>
      <c r="R1320" s="8" t="n">
        <f aca="false">B1320*(1+Inputs!$B$12)</f>
        <v>0.881034098128781</v>
      </c>
      <c r="S1320" s="11" t="n">
        <f aca="false">IF(Q1320,MIN(P1320*Inputs!$B$3/(R1320-AE1319),P1320*Inputs!$B$11/R1320),0)</f>
        <v>0</v>
      </c>
      <c r="T1320" s="11" t="n">
        <f aca="false">IF(Q1320,S1320,IF(M1320,0,Y1319))</f>
        <v>0</v>
      </c>
      <c r="U1320" s="8" t="n">
        <f aca="false">IF(Q1320,AE1319,AF1319)</f>
        <v>0.885137616607025</v>
      </c>
      <c r="V1320" s="9" t="b">
        <f aca="false">AND(T1320&gt;0,D1320&lt;=U1320)</f>
        <v>0</v>
      </c>
      <c r="W1320" s="10" t="n">
        <f aca="false">IF(V1320,T1320*(AK1320-AB1320)-Inputs!$B$9-T1320*AD1320*Inputs!$B$13*(A1320-AC1320),0)</f>
        <v>0</v>
      </c>
      <c r="X1320" s="10" t="n">
        <f aca="false">P1320-IF(Q1320,Inputs!$B$9,0)+W1320</f>
        <v>925.345823172389</v>
      </c>
      <c r="Y1320" s="11" t="n">
        <f aca="false">IF(V1320,0,T1320)</f>
        <v>0</v>
      </c>
      <c r="Z1320" s="9" t="b">
        <f aca="false">AND(Y1320&gt;0,K1320)</f>
        <v>0</v>
      </c>
      <c r="AA1320" s="9" t="b">
        <f aca="false">AND(Y1320=0,J1320,ISNUMBER(L1320))</f>
        <v>0</v>
      </c>
      <c r="AB1320" s="8" t="n">
        <f aca="false">IF(Q1320,R1320,AB1319)</f>
        <v>0.902917052911703</v>
      </c>
      <c r="AC1320" s="12" t="n">
        <f aca="false">IF(Q1320,A1320,AC1319)</f>
        <v>46049</v>
      </c>
      <c r="AD1320" s="8" t="n">
        <f aca="false">IF(Q1320,B1320,AD1319)</f>
        <v>0.902736505610581</v>
      </c>
      <c r="AE1320" s="8" t="str">
        <f aca="false">IF(AA1320,L1320,"")</f>
        <v/>
      </c>
      <c r="AF1320" s="8" t="n">
        <f aca="false">U1320</f>
        <v>0.885137616607025</v>
      </c>
      <c r="AG1320" s="2" t="n">
        <f aca="false">AG1319+IF(Q1320,1,0)</f>
        <v>14</v>
      </c>
      <c r="AH1320" s="2" t="n">
        <f aca="false">AG1319</f>
        <v>14</v>
      </c>
      <c r="AI1320" s="10" t="n">
        <f aca="false">X1320+Y1320*(E1320-AB1320)-Y1320*AD1320*Inputs!$B$13*(A1320-AC1320)</f>
        <v>925.345823172389</v>
      </c>
      <c r="AJ1320" s="10" t="n">
        <v>0</v>
      </c>
      <c r="AK1320" s="8" t="n">
        <f aca="false">IF(AND(B1320&lt;=U1320,NOT(Q1320)),B1320,U1320)*(1-Inputs!$B$12)</f>
        <v>0.880681754958164</v>
      </c>
    </row>
    <row r="1321" customFormat="false" ht="15" hidden="false" customHeight="false" outlineLevel="0" collapsed="false">
      <c r="A1321" s="6" t="n">
        <v>46105</v>
      </c>
      <c r="B1321" s="7" t="n">
        <v>0.878744807788702</v>
      </c>
      <c r="C1321" s="7" t="n">
        <v>0.880823102915921</v>
      </c>
      <c r="D1321" s="7" t="n">
        <v>0.867499579666101</v>
      </c>
      <c r="E1321" s="7" t="n">
        <v>0.867853077446745</v>
      </c>
      <c r="F1321" s="8" t="n">
        <f aca="true">IF(ROW()-2&gt;=Inputs!$B$4,AVERAGE(OFFSET(E1321,1-Inputs!$B$4,0,Inputs!$B$4,1)),"")</f>
        <v>0.8751673315539</v>
      </c>
      <c r="G1321" s="8" t="n">
        <f aca="true">IF(ROW()-2&gt;=Inputs!$B$5,AVERAGE(OFFSET(E1321,1-Inputs!$B$5,0,Inputs!$B$5,1)),"")</f>
        <v>0.879274790249541</v>
      </c>
      <c r="H1321" s="8" t="n">
        <f aca="false">MAX(C1321-D1321,ABS(C1321-E1320),ABS(D1321-E1320))</f>
        <v>0.0133235232498196</v>
      </c>
      <c r="I1321" s="8" t="n">
        <f aca="true">IF(ROW()-2&lt;14,"",IF(ROW()-2=14,AVERAGE(OFFSET(H1321,-13,0,14,1)),(I1320*13+H1321)/14))</f>
        <v>0.0082390497062581</v>
      </c>
      <c r="J1321" s="9" t="b">
        <f aca="false">IF(AND(ISNUMBER(F1321),ISNUMBER(G1321),ISNUMBER(F1320),ISNUMBER(G1320)),AND(F1321&gt;G1321,F1320&lt;=G1320),FALSE())</f>
        <v>0</v>
      </c>
      <c r="K1321" s="9" t="b">
        <f aca="false">IF(AND(ISNUMBER(F1321),ISNUMBER(G1321),ISNUMBER(F1320),ISNUMBER(G1320)),AND(F1321&lt;G1321,F1320&gt;=G1320),FALSE())</f>
        <v>0</v>
      </c>
      <c r="L1321" s="8" t="n">
        <f aca="false">IF(ISNUMBER(I1321),E1321-Inputs!$B$6*I1321,"")</f>
        <v>0.851374978034229</v>
      </c>
      <c r="M1321" s="9" t="b">
        <f aca="false">AND(Y1320&gt;0,Z1320)</f>
        <v>0</v>
      </c>
      <c r="N1321" s="8" t="n">
        <f aca="false">B1321*(1-Inputs!$B$12)</f>
        <v>0.878569058827145</v>
      </c>
      <c r="O1321" s="10" t="n">
        <f aca="false">IF(M1321,Y1320*(N1321-AB1320)-Inputs!$B$9-Y1320*AD1320*Inputs!$B$13*(A1321-AC1320),0)</f>
        <v>0</v>
      </c>
      <c r="P1321" s="10" t="n">
        <f aca="false">X1320+O1321</f>
        <v>925.345823172389</v>
      </c>
      <c r="Q1321" s="9" t="b">
        <f aca="false">AND(IF(M1321,0,Y1320)=0,AA1320,IF(ISNUMBER(AE1320),B1321&gt;AE1320,FALSE()))</f>
        <v>0</v>
      </c>
      <c r="R1321" s="8" t="n">
        <f aca="false">B1321*(1+Inputs!$B$12)</f>
        <v>0.87892055675026</v>
      </c>
      <c r="S1321" s="11" t="n">
        <f aca="false">IF(Q1321,MIN(P1321*Inputs!$B$3/(R1321-AE1320),P1321*Inputs!$B$11/R1321),0)</f>
        <v>0</v>
      </c>
      <c r="T1321" s="11" t="n">
        <f aca="false">IF(Q1321,S1321,IF(M1321,0,Y1320))</f>
        <v>0</v>
      </c>
      <c r="U1321" s="8" t="n">
        <f aca="false">IF(Q1321,AE1320,AF1320)</f>
        <v>0.885137616607025</v>
      </c>
      <c r="V1321" s="9" t="b">
        <f aca="false">AND(T1321&gt;0,D1321&lt;=U1321)</f>
        <v>0</v>
      </c>
      <c r="W1321" s="10" t="n">
        <f aca="false">IF(V1321,T1321*(AK1321-AB1321)-Inputs!$B$9-T1321*AD1321*Inputs!$B$13*(A1321-AC1321),0)</f>
        <v>0</v>
      </c>
      <c r="X1321" s="10" t="n">
        <f aca="false">P1321-IF(Q1321,Inputs!$B$9,0)+W1321</f>
        <v>925.345823172389</v>
      </c>
      <c r="Y1321" s="11" t="n">
        <f aca="false">IF(V1321,0,T1321)</f>
        <v>0</v>
      </c>
      <c r="Z1321" s="9" t="b">
        <f aca="false">AND(Y1321&gt;0,K1321)</f>
        <v>0</v>
      </c>
      <c r="AA1321" s="9" t="b">
        <f aca="false">AND(Y1321=0,J1321,ISNUMBER(L1321))</f>
        <v>0</v>
      </c>
      <c r="AB1321" s="8" t="n">
        <f aca="false">IF(Q1321,R1321,AB1320)</f>
        <v>0.902917052911703</v>
      </c>
      <c r="AC1321" s="12" t="n">
        <f aca="false">IF(Q1321,A1321,AC1320)</f>
        <v>46049</v>
      </c>
      <c r="AD1321" s="8" t="n">
        <f aca="false">IF(Q1321,B1321,AD1320)</f>
        <v>0.902736505610581</v>
      </c>
      <c r="AE1321" s="8" t="str">
        <f aca="false">IF(AA1321,L1321,"")</f>
        <v/>
      </c>
      <c r="AF1321" s="8" t="n">
        <f aca="false">U1321</f>
        <v>0.885137616607025</v>
      </c>
      <c r="AG1321" s="2" t="n">
        <f aca="false">AG1320+IF(Q1321,1,0)</f>
        <v>14</v>
      </c>
      <c r="AH1321" s="2" t="n">
        <f aca="false">AG1320</f>
        <v>14</v>
      </c>
      <c r="AI1321" s="10" t="n">
        <f aca="false">X1321+Y1321*(E1321-AB1321)-Y1321*AD1321*Inputs!$B$13*(A1321-AC1321)</f>
        <v>925.345823172389</v>
      </c>
      <c r="AJ1321" s="10" t="n">
        <v>0</v>
      </c>
      <c r="AK1321" s="8" t="n">
        <f aca="false">IF(AND(B1321&lt;=U1321,NOT(Q1321)),B1321,U1321)*(1-Inputs!$B$12)</f>
        <v>0.878569058827145</v>
      </c>
    </row>
    <row r="1322" customFormat="false" ht="15" hidden="false" customHeight="false" outlineLevel="0" collapsed="false">
      <c r="A1322" s="6" t="n">
        <v>46106</v>
      </c>
      <c r="B1322" s="7" t="n">
        <v>0.867853077446745</v>
      </c>
      <c r="C1322" s="7" t="n">
        <v>0.890041921463898</v>
      </c>
      <c r="D1322" s="7" t="n">
        <v>0.863796005838111</v>
      </c>
      <c r="E1322" s="7" t="n">
        <v>0.881344645488438</v>
      </c>
      <c r="F1322" s="8" t="n">
        <f aca="true">IF(ROW()-2&gt;=Inputs!$B$4,AVERAGE(OFFSET(E1322,1-Inputs!$B$4,0,Inputs!$B$4,1)),"")</f>
        <v>0.875774801770006</v>
      </c>
      <c r="G1322" s="8" t="n">
        <f aca="true">IF(ROW()-2&gt;=Inputs!$B$5,AVERAGE(OFFSET(E1322,1-Inputs!$B$5,0,Inputs!$B$5,1)),"")</f>
        <v>0.87909548978146</v>
      </c>
      <c r="H1322" s="8" t="n">
        <f aca="false">MAX(C1322-D1322,ABS(C1322-E1321),ABS(D1322-E1321))</f>
        <v>0.0262459156257867</v>
      </c>
      <c r="I1322" s="8" t="n">
        <f aca="true">IF(ROW()-2&lt;14,"",IF(ROW()-2=14,AVERAGE(OFFSET(H1322,-13,0,14,1)),(I1321*13+H1322)/14))</f>
        <v>0.00952525441479585</v>
      </c>
      <c r="J1322" s="9" t="b">
        <f aca="false">IF(AND(ISNUMBER(F1322),ISNUMBER(G1322),ISNUMBER(F1321),ISNUMBER(G1321)),AND(F1322&gt;G1322,F1321&lt;=G1321),FALSE())</f>
        <v>0</v>
      </c>
      <c r="K1322" s="9" t="b">
        <f aca="false">IF(AND(ISNUMBER(F1322),ISNUMBER(G1322),ISNUMBER(F1321),ISNUMBER(G1321)),AND(F1322&lt;G1322,F1321&gt;=G1321),FALSE())</f>
        <v>0</v>
      </c>
      <c r="L1322" s="8" t="n">
        <f aca="false">IF(ISNUMBER(I1322),E1322-Inputs!$B$6*I1322,"")</f>
        <v>0.862294136658847</v>
      </c>
      <c r="M1322" s="9" t="b">
        <f aca="false">AND(Y1321&gt;0,Z1321)</f>
        <v>0</v>
      </c>
      <c r="N1322" s="8" t="n">
        <f aca="false">B1322*(1-Inputs!$B$12)</f>
        <v>0.867679506831256</v>
      </c>
      <c r="O1322" s="10" t="n">
        <f aca="false">IF(M1322,Y1321*(N1322-AB1321)-Inputs!$B$9-Y1321*AD1321*Inputs!$B$13*(A1322-AC1321),0)</f>
        <v>0</v>
      </c>
      <c r="P1322" s="10" t="n">
        <f aca="false">X1321+O1322</f>
        <v>925.345823172389</v>
      </c>
      <c r="Q1322" s="9" t="b">
        <f aca="false">AND(IF(M1322,0,Y1321)=0,AA1321,IF(ISNUMBER(AE1321),B1322&gt;AE1321,FALSE()))</f>
        <v>0</v>
      </c>
      <c r="R1322" s="8" t="n">
        <f aca="false">B1322*(1+Inputs!$B$12)</f>
        <v>0.868026648062234</v>
      </c>
      <c r="S1322" s="11" t="n">
        <f aca="false">IF(Q1322,MIN(P1322*Inputs!$B$3/(R1322-AE1321),P1322*Inputs!$B$11/R1322),0)</f>
        <v>0</v>
      </c>
      <c r="T1322" s="11" t="n">
        <f aca="false">IF(Q1322,S1322,IF(M1322,0,Y1321))</f>
        <v>0</v>
      </c>
      <c r="U1322" s="8" t="n">
        <f aca="false">IF(Q1322,AE1321,AF1321)</f>
        <v>0.885137616607025</v>
      </c>
      <c r="V1322" s="9" t="b">
        <f aca="false">AND(T1322&gt;0,D1322&lt;=U1322)</f>
        <v>0</v>
      </c>
      <c r="W1322" s="10" t="n">
        <f aca="false">IF(V1322,T1322*(AK1322-AB1322)-Inputs!$B$9-T1322*AD1322*Inputs!$B$13*(A1322-AC1322),0)</f>
        <v>0</v>
      </c>
      <c r="X1322" s="10" t="n">
        <f aca="false">P1322-IF(Q1322,Inputs!$B$9,0)+W1322</f>
        <v>925.345823172389</v>
      </c>
      <c r="Y1322" s="11" t="n">
        <f aca="false">IF(V1322,0,T1322)</f>
        <v>0</v>
      </c>
      <c r="Z1322" s="9" t="b">
        <f aca="false">AND(Y1322&gt;0,K1322)</f>
        <v>0</v>
      </c>
      <c r="AA1322" s="9" t="b">
        <f aca="false">AND(Y1322=0,J1322,ISNUMBER(L1322))</f>
        <v>0</v>
      </c>
      <c r="AB1322" s="8" t="n">
        <f aca="false">IF(Q1322,R1322,AB1321)</f>
        <v>0.902917052911703</v>
      </c>
      <c r="AC1322" s="12" t="n">
        <f aca="false">IF(Q1322,A1322,AC1321)</f>
        <v>46049</v>
      </c>
      <c r="AD1322" s="8" t="n">
        <f aca="false">IF(Q1322,B1322,AD1321)</f>
        <v>0.902736505610581</v>
      </c>
      <c r="AE1322" s="8" t="str">
        <f aca="false">IF(AA1322,L1322,"")</f>
        <v/>
      </c>
      <c r="AF1322" s="8" t="n">
        <f aca="false">U1322</f>
        <v>0.885137616607025</v>
      </c>
      <c r="AG1322" s="2" t="n">
        <f aca="false">AG1321+IF(Q1322,1,0)</f>
        <v>14</v>
      </c>
      <c r="AH1322" s="2" t="n">
        <f aca="false">AG1321</f>
        <v>14</v>
      </c>
      <c r="AI1322" s="10" t="n">
        <f aca="false">X1322+Y1322*(E1322-AB1322)-Y1322*AD1322*Inputs!$B$13*(A1322-AC1322)</f>
        <v>925.345823172389</v>
      </c>
      <c r="AJ1322" s="10" t="n">
        <v>0</v>
      </c>
      <c r="AK1322" s="8" t="n">
        <f aca="false">IF(AND(B1322&lt;=U1322,NOT(Q1322)),B1322,U1322)*(1-Inputs!$B$12)</f>
        <v>0.867679506831256</v>
      </c>
    </row>
    <row r="1323" customFormat="false" ht="15" hidden="false" customHeight="false" outlineLevel="0" collapsed="false">
      <c r="A1323" s="6" t="n">
        <v>46107</v>
      </c>
      <c r="B1323" s="7" t="n">
        <v>0.881344645488438</v>
      </c>
      <c r="C1323" s="7" t="n">
        <v>0.88513656966762</v>
      </c>
      <c r="D1323" s="7" t="n">
        <v>0.88024183380704</v>
      </c>
      <c r="E1323" s="7" t="n">
        <v>0.88155286461163</v>
      </c>
      <c r="F1323" s="8" t="n">
        <f aca="true">IF(ROW()-2&gt;=Inputs!$B$4,AVERAGE(OFFSET(E1323,1-Inputs!$B$4,0,Inputs!$B$4,1)),"")</f>
        <v>0.876108509650201</v>
      </c>
      <c r="G1323" s="8" t="n">
        <f aca="true">IF(ROW()-2&gt;=Inputs!$B$5,AVERAGE(OFFSET(E1323,1-Inputs!$B$5,0,Inputs!$B$5,1)),"")</f>
        <v>0.878905308110639</v>
      </c>
      <c r="H1323" s="8" t="n">
        <f aca="false">MAX(C1323-D1323,ABS(C1323-E1322),ABS(D1323-E1322))</f>
        <v>0.00489473586058065</v>
      </c>
      <c r="I1323" s="8" t="n">
        <f aca="true">IF(ROW()-2&lt;14,"",IF(ROW()-2=14,AVERAGE(OFFSET(H1323,-13,0,14,1)),(I1322*13+H1323)/14))</f>
        <v>0.00919450308949477</v>
      </c>
      <c r="J1323" s="9" t="b">
        <f aca="false">IF(AND(ISNUMBER(F1323),ISNUMBER(G1323),ISNUMBER(F1322),ISNUMBER(G1322)),AND(F1323&gt;G1323,F1322&lt;=G1322),FALSE())</f>
        <v>0</v>
      </c>
      <c r="K1323" s="9" t="b">
        <f aca="false">IF(AND(ISNUMBER(F1323),ISNUMBER(G1323),ISNUMBER(F1322),ISNUMBER(G1322)),AND(F1323&lt;G1323,F1322&gt;=G1322),FALSE())</f>
        <v>0</v>
      </c>
      <c r="L1323" s="8" t="n">
        <f aca="false">IF(ISNUMBER(I1323),E1323-Inputs!$B$6*I1323,"")</f>
        <v>0.863163858432641</v>
      </c>
      <c r="M1323" s="9" t="b">
        <f aca="false">AND(Y1322&gt;0,Z1322)</f>
        <v>0</v>
      </c>
      <c r="N1323" s="8" t="n">
        <f aca="false">B1323*(1-Inputs!$B$12)</f>
        <v>0.881168376559341</v>
      </c>
      <c r="O1323" s="10" t="n">
        <f aca="false">IF(M1323,Y1322*(N1323-AB1322)-Inputs!$B$9-Y1322*AD1322*Inputs!$B$13*(A1323-AC1322),0)</f>
        <v>0</v>
      </c>
      <c r="P1323" s="10" t="n">
        <f aca="false">X1322+O1323</f>
        <v>925.345823172389</v>
      </c>
      <c r="Q1323" s="9" t="b">
        <f aca="false">AND(IF(M1323,0,Y1322)=0,AA1322,IF(ISNUMBER(AE1322),B1323&gt;AE1322,FALSE()))</f>
        <v>0</v>
      </c>
      <c r="R1323" s="8" t="n">
        <f aca="false">B1323*(1+Inputs!$B$12)</f>
        <v>0.881520914417536</v>
      </c>
      <c r="S1323" s="11" t="n">
        <f aca="false">IF(Q1323,MIN(P1323*Inputs!$B$3/(R1323-AE1322),P1323*Inputs!$B$11/R1323),0)</f>
        <v>0</v>
      </c>
      <c r="T1323" s="11" t="n">
        <f aca="false">IF(Q1323,S1323,IF(M1323,0,Y1322))</f>
        <v>0</v>
      </c>
      <c r="U1323" s="8" t="n">
        <f aca="false">IF(Q1323,AE1322,AF1322)</f>
        <v>0.885137616607025</v>
      </c>
      <c r="V1323" s="9" t="b">
        <f aca="false">AND(T1323&gt;0,D1323&lt;=U1323)</f>
        <v>0</v>
      </c>
      <c r="W1323" s="10" t="n">
        <f aca="false">IF(V1323,T1323*(AK1323-AB1323)-Inputs!$B$9-T1323*AD1323*Inputs!$B$13*(A1323-AC1323),0)</f>
        <v>0</v>
      </c>
      <c r="X1323" s="10" t="n">
        <f aca="false">P1323-IF(Q1323,Inputs!$B$9,0)+W1323</f>
        <v>925.345823172389</v>
      </c>
      <c r="Y1323" s="11" t="n">
        <f aca="false">IF(V1323,0,T1323)</f>
        <v>0</v>
      </c>
      <c r="Z1323" s="9" t="b">
        <f aca="false">AND(Y1323&gt;0,K1323)</f>
        <v>0</v>
      </c>
      <c r="AA1323" s="9" t="b">
        <f aca="false">AND(Y1323=0,J1323,ISNUMBER(L1323))</f>
        <v>0</v>
      </c>
      <c r="AB1323" s="8" t="n">
        <f aca="false">IF(Q1323,R1323,AB1322)</f>
        <v>0.902917052911703</v>
      </c>
      <c r="AC1323" s="12" t="n">
        <f aca="false">IF(Q1323,A1323,AC1322)</f>
        <v>46049</v>
      </c>
      <c r="AD1323" s="8" t="n">
        <f aca="false">IF(Q1323,B1323,AD1322)</f>
        <v>0.902736505610581</v>
      </c>
      <c r="AE1323" s="8" t="str">
        <f aca="false">IF(AA1323,L1323,"")</f>
        <v/>
      </c>
      <c r="AF1323" s="8" t="n">
        <f aca="false">U1323</f>
        <v>0.885137616607025</v>
      </c>
      <c r="AG1323" s="2" t="n">
        <f aca="false">AG1322+IF(Q1323,1,0)</f>
        <v>14</v>
      </c>
      <c r="AH1323" s="2" t="n">
        <f aca="false">AG1322</f>
        <v>14</v>
      </c>
      <c r="AI1323" s="10" t="n">
        <f aca="false">X1323+Y1323*(E1323-AB1323)-Y1323*AD1323*Inputs!$B$13*(A1323-AC1323)</f>
        <v>925.345823172389</v>
      </c>
      <c r="AJ1323" s="10" t="n">
        <v>0</v>
      </c>
      <c r="AK1323" s="8" t="n">
        <f aca="false">IF(AND(B1323&lt;=U1323,NOT(Q1323)),B1323,U1323)*(1-Inputs!$B$12)</f>
        <v>0.881168376559341</v>
      </c>
    </row>
    <row r="1324" customFormat="false" ht="15" hidden="false" customHeight="false" outlineLevel="0" collapsed="false">
      <c r="A1324" s="6" t="n">
        <v>46108</v>
      </c>
      <c r="B1324" s="7" t="n">
        <v>0.88155286461163</v>
      </c>
      <c r="C1324" s="7" t="n">
        <v>0.885254240629837</v>
      </c>
      <c r="D1324" s="7" t="n">
        <v>0.877667131378461</v>
      </c>
      <c r="E1324" s="7" t="n">
        <v>0.882019275628347</v>
      </c>
      <c r="F1324" s="8" t="n">
        <f aca="true">IF(ROW()-2&gt;=Inputs!$B$4,AVERAGE(OFFSET(E1324,1-Inputs!$B$4,0,Inputs!$B$4,1)),"")</f>
        <v>0.876314957349487</v>
      </c>
      <c r="G1324" s="8" t="n">
        <f aca="true">IF(ROW()-2&gt;=Inputs!$B$5,AVERAGE(OFFSET(E1324,1-Inputs!$B$5,0,Inputs!$B$5,1)),"")</f>
        <v>0.878707280888658</v>
      </c>
      <c r="H1324" s="8" t="n">
        <f aca="false">MAX(C1324-D1324,ABS(C1324-E1323),ABS(D1324-E1323))</f>
        <v>0.00758710925137651</v>
      </c>
      <c r="I1324" s="8" t="n">
        <f aca="true">IF(ROW()-2&lt;14,"",IF(ROW()-2=14,AVERAGE(OFFSET(H1324,-13,0,14,1)),(I1323*13+H1324)/14))</f>
        <v>0.00907968924391489</v>
      </c>
      <c r="J1324" s="9" t="b">
        <f aca="false">IF(AND(ISNUMBER(F1324),ISNUMBER(G1324),ISNUMBER(F1323),ISNUMBER(G1323)),AND(F1324&gt;G1324,F1323&lt;=G1323),FALSE())</f>
        <v>0</v>
      </c>
      <c r="K1324" s="9" t="b">
        <f aca="false">IF(AND(ISNUMBER(F1324),ISNUMBER(G1324),ISNUMBER(F1323),ISNUMBER(G1323)),AND(F1324&lt;G1324,F1323&gt;=G1323),FALSE())</f>
        <v>0</v>
      </c>
      <c r="L1324" s="8" t="n">
        <f aca="false">IF(ISNUMBER(I1324),E1324-Inputs!$B$6*I1324,"")</f>
        <v>0.863859897140517</v>
      </c>
      <c r="M1324" s="9" t="b">
        <f aca="false">AND(Y1323&gt;0,Z1323)</f>
        <v>0</v>
      </c>
      <c r="N1324" s="8" t="n">
        <f aca="false">B1324*(1-Inputs!$B$12)</f>
        <v>0.881376554038708</v>
      </c>
      <c r="O1324" s="10" t="n">
        <f aca="false">IF(M1324,Y1323*(N1324-AB1323)-Inputs!$B$9-Y1323*AD1323*Inputs!$B$13*(A1324-AC1323),0)</f>
        <v>0</v>
      </c>
      <c r="P1324" s="10" t="n">
        <f aca="false">X1323+O1324</f>
        <v>925.345823172389</v>
      </c>
      <c r="Q1324" s="9" t="b">
        <f aca="false">AND(IF(M1324,0,Y1323)=0,AA1323,IF(ISNUMBER(AE1323),B1324&gt;AE1323,FALSE()))</f>
        <v>0</v>
      </c>
      <c r="R1324" s="8" t="n">
        <f aca="false">B1324*(1+Inputs!$B$12)</f>
        <v>0.881729175184552</v>
      </c>
      <c r="S1324" s="11" t="n">
        <f aca="false">IF(Q1324,MIN(P1324*Inputs!$B$3/(R1324-AE1323),P1324*Inputs!$B$11/R1324),0)</f>
        <v>0</v>
      </c>
      <c r="T1324" s="11" t="n">
        <f aca="false">IF(Q1324,S1324,IF(M1324,0,Y1323))</f>
        <v>0</v>
      </c>
      <c r="U1324" s="8" t="n">
        <f aca="false">IF(Q1324,AE1323,AF1323)</f>
        <v>0.885137616607025</v>
      </c>
      <c r="V1324" s="9" t="b">
        <f aca="false">AND(T1324&gt;0,D1324&lt;=U1324)</f>
        <v>0</v>
      </c>
      <c r="W1324" s="10" t="n">
        <f aca="false">IF(V1324,T1324*(AK1324-AB1324)-Inputs!$B$9-T1324*AD1324*Inputs!$B$13*(A1324-AC1324),0)</f>
        <v>0</v>
      </c>
      <c r="X1324" s="10" t="n">
        <f aca="false">P1324-IF(Q1324,Inputs!$B$9,0)+W1324</f>
        <v>925.345823172389</v>
      </c>
      <c r="Y1324" s="11" t="n">
        <f aca="false">IF(V1324,0,T1324)</f>
        <v>0</v>
      </c>
      <c r="Z1324" s="9" t="b">
        <f aca="false">AND(Y1324&gt;0,K1324)</f>
        <v>0</v>
      </c>
      <c r="AA1324" s="9" t="b">
        <f aca="false">AND(Y1324=0,J1324,ISNUMBER(L1324))</f>
        <v>0</v>
      </c>
      <c r="AB1324" s="8" t="n">
        <f aca="false">IF(Q1324,R1324,AB1323)</f>
        <v>0.902917052911703</v>
      </c>
      <c r="AC1324" s="12" t="n">
        <f aca="false">IF(Q1324,A1324,AC1323)</f>
        <v>46049</v>
      </c>
      <c r="AD1324" s="8" t="n">
        <f aca="false">IF(Q1324,B1324,AD1323)</f>
        <v>0.902736505610581</v>
      </c>
      <c r="AE1324" s="8" t="str">
        <f aca="false">IF(AA1324,L1324,"")</f>
        <v/>
      </c>
      <c r="AF1324" s="8" t="n">
        <f aca="false">U1324</f>
        <v>0.885137616607025</v>
      </c>
      <c r="AG1324" s="2" t="n">
        <f aca="false">AG1323+IF(Q1324,1,0)</f>
        <v>14</v>
      </c>
      <c r="AH1324" s="2" t="n">
        <f aca="false">AG1323</f>
        <v>14</v>
      </c>
      <c r="AI1324" s="10" t="n">
        <f aca="false">X1324+Y1324*(E1324-AB1324)-Y1324*AD1324*Inputs!$B$13*(A1324-AC1324)</f>
        <v>925.345823172389</v>
      </c>
      <c r="AJ1324" s="10" t="n">
        <v>0</v>
      </c>
      <c r="AK1324" s="8" t="n">
        <f aca="false">IF(AND(B1324&lt;=U1324,NOT(Q1324)),B1324,U1324)*(1-Inputs!$B$12)</f>
        <v>0.881376554038708</v>
      </c>
    </row>
    <row r="1325" customFormat="false" ht="15" hidden="false" customHeight="false" outlineLevel="0" collapsed="false">
      <c r="A1325" s="6" t="n">
        <v>46109</v>
      </c>
      <c r="B1325" s="7" t="n">
        <v>0.882019275628347</v>
      </c>
      <c r="C1325" s="7" t="n">
        <v>0.890079057146954</v>
      </c>
      <c r="D1325" s="7" t="n">
        <v>0.881761639526719</v>
      </c>
      <c r="E1325" s="7" t="n">
        <v>0.889657873144081</v>
      </c>
      <c r="F1325" s="8" t="n">
        <f aca="true">IF(ROW()-2&gt;=Inputs!$B$4,AVERAGE(OFFSET(E1325,1-Inputs!$B$4,0,Inputs!$B$4,1)),"")</f>
        <v>0.877342235103409</v>
      </c>
      <c r="G1325" s="8" t="n">
        <f aca="true">IF(ROW()-2&gt;=Inputs!$B$5,AVERAGE(OFFSET(E1325,1-Inputs!$B$5,0,Inputs!$B$5,1)),"")</f>
        <v>0.878673742369423</v>
      </c>
      <c r="H1325" s="8" t="n">
        <f aca="false">MAX(C1325-D1325,ABS(C1325-E1324),ABS(D1325-E1324))</f>
        <v>0.00831741762023575</v>
      </c>
      <c r="I1325" s="8" t="n">
        <f aca="true">IF(ROW()-2&lt;14,"",IF(ROW()-2=14,AVERAGE(OFFSET(H1325,-13,0,14,1)),(I1324*13+H1325)/14))</f>
        <v>0.00902524127079495</v>
      </c>
      <c r="J1325" s="9" t="b">
        <f aca="false">IF(AND(ISNUMBER(F1325),ISNUMBER(G1325),ISNUMBER(F1324),ISNUMBER(G1324)),AND(F1325&gt;G1325,F1324&lt;=G1324),FALSE())</f>
        <v>0</v>
      </c>
      <c r="K1325" s="9" t="b">
        <f aca="false">IF(AND(ISNUMBER(F1325),ISNUMBER(G1325),ISNUMBER(F1324),ISNUMBER(G1324)),AND(F1325&lt;G1325,F1324&gt;=G1324),FALSE())</f>
        <v>0</v>
      </c>
      <c r="L1325" s="8" t="n">
        <f aca="false">IF(ISNUMBER(I1325),E1325-Inputs!$B$6*I1325,"")</f>
        <v>0.871607390602491</v>
      </c>
      <c r="M1325" s="9" t="b">
        <f aca="false">AND(Y1324&gt;0,Z1324)</f>
        <v>0</v>
      </c>
      <c r="N1325" s="8" t="n">
        <f aca="false">B1325*(1-Inputs!$B$12)</f>
        <v>0.881842871773221</v>
      </c>
      <c r="O1325" s="10" t="n">
        <f aca="false">IF(M1325,Y1324*(N1325-AB1324)-Inputs!$B$9-Y1324*AD1324*Inputs!$B$13*(A1325-AC1324),0)</f>
        <v>0</v>
      </c>
      <c r="P1325" s="10" t="n">
        <f aca="false">X1324+O1325</f>
        <v>925.345823172389</v>
      </c>
      <c r="Q1325" s="9" t="b">
        <f aca="false">AND(IF(M1325,0,Y1324)=0,AA1324,IF(ISNUMBER(AE1324),B1325&gt;AE1324,FALSE()))</f>
        <v>0</v>
      </c>
      <c r="R1325" s="8" t="n">
        <f aca="false">B1325*(1+Inputs!$B$12)</f>
        <v>0.882195679483473</v>
      </c>
      <c r="S1325" s="11" t="n">
        <f aca="false">IF(Q1325,MIN(P1325*Inputs!$B$3/(R1325-AE1324),P1325*Inputs!$B$11/R1325),0)</f>
        <v>0</v>
      </c>
      <c r="T1325" s="11" t="n">
        <f aca="false">IF(Q1325,S1325,IF(M1325,0,Y1324))</f>
        <v>0</v>
      </c>
      <c r="U1325" s="8" t="n">
        <f aca="false">IF(Q1325,AE1324,AF1324)</f>
        <v>0.885137616607025</v>
      </c>
      <c r="V1325" s="9" t="b">
        <f aca="false">AND(T1325&gt;0,D1325&lt;=U1325)</f>
        <v>0</v>
      </c>
      <c r="W1325" s="10" t="n">
        <f aca="false">IF(V1325,T1325*(AK1325-AB1325)-Inputs!$B$9-T1325*AD1325*Inputs!$B$13*(A1325-AC1325),0)</f>
        <v>0</v>
      </c>
      <c r="X1325" s="10" t="n">
        <f aca="false">P1325-IF(Q1325,Inputs!$B$9,0)+W1325</f>
        <v>925.345823172389</v>
      </c>
      <c r="Y1325" s="11" t="n">
        <f aca="false">IF(V1325,0,T1325)</f>
        <v>0</v>
      </c>
      <c r="Z1325" s="9" t="b">
        <f aca="false">AND(Y1325&gt;0,K1325)</f>
        <v>0</v>
      </c>
      <c r="AA1325" s="9" t="b">
        <f aca="false">AND(Y1325=0,J1325,ISNUMBER(L1325))</f>
        <v>0</v>
      </c>
      <c r="AB1325" s="8" t="n">
        <f aca="false">IF(Q1325,R1325,AB1324)</f>
        <v>0.902917052911703</v>
      </c>
      <c r="AC1325" s="12" t="n">
        <f aca="false">IF(Q1325,A1325,AC1324)</f>
        <v>46049</v>
      </c>
      <c r="AD1325" s="8" t="n">
        <f aca="false">IF(Q1325,B1325,AD1324)</f>
        <v>0.902736505610581</v>
      </c>
      <c r="AE1325" s="8" t="str">
        <f aca="false">IF(AA1325,L1325,"")</f>
        <v/>
      </c>
      <c r="AF1325" s="8" t="n">
        <f aca="false">U1325</f>
        <v>0.885137616607025</v>
      </c>
      <c r="AG1325" s="2" t="n">
        <f aca="false">AG1324+IF(Q1325,1,0)</f>
        <v>14</v>
      </c>
      <c r="AH1325" s="2" t="n">
        <f aca="false">AG1324</f>
        <v>14</v>
      </c>
      <c r="AI1325" s="10" t="n">
        <f aca="false">X1325+Y1325*(E1325-AB1325)-Y1325*AD1325*Inputs!$B$13*(A1325-AC1325)</f>
        <v>925.345823172389</v>
      </c>
      <c r="AJ1325" s="10" t="n">
        <v>0</v>
      </c>
      <c r="AK1325" s="8" t="n">
        <f aca="false">IF(AND(B1325&lt;=U1325,NOT(Q1325)),B1325,U1325)*(1-Inputs!$B$12)</f>
        <v>0.881842871773221</v>
      </c>
    </row>
    <row r="1326" customFormat="false" ht="15" hidden="false" customHeight="false" outlineLevel="0" collapsed="false">
      <c r="A1326" s="6" t="n">
        <v>46110</v>
      </c>
      <c r="B1326" s="7" t="n">
        <v>0.889657873144081</v>
      </c>
      <c r="C1326" s="7" t="n">
        <v>0.891792459127137</v>
      </c>
      <c r="D1326" s="7" t="n">
        <v>0.882058303386829</v>
      </c>
      <c r="E1326" s="7" t="n">
        <v>0.884816841868376</v>
      </c>
      <c r="F1326" s="8" t="n">
        <f aca="true">IF(ROW()-2&gt;=Inputs!$B$4,AVERAGE(OFFSET(E1326,1-Inputs!$B$4,0,Inputs!$B$4,1)),"")</f>
        <v>0.87827769089907</v>
      </c>
      <c r="G1326" s="8" t="n">
        <f aca="true">IF(ROW()-2&gt;=Inputs!$B$5,AVERAGE(OFFSET(E1326,1-Inputs!$B$5,0,Inputs!$B$5,1)),"")</f>
        <v>0.878571367633846</v>
      </c>
      <c r="H1326" s="8" t="n">
        <f aca="false">MAX(C1326-D1326,ABS(C1326-E1325),ABS(D1326-E1325))</f>
        <v>0.00973415574030778</v>
      </c>
      <c r="I1326" s="8" t="n">
        <f aca="true">IF(ROW()-2&lt;14,"",IF(ROW()-2=14,AVERAGE(OFFSET(H1326,-13,0,14,1)),(I1325*13+H1326)/14))</f>
        <v>0.0090758780186173</v>
      </c>
      <c r="J1326" s="9" t="b">
        <f aca="false">IF(AND(ISNUMBER(F1326),ISNUMBER(G1326),ISNUMBER(F1325),ISNUMBER(G1325)),AND(F1326&gt;G1326,F1325&lt;=G1325),FALSE())</f>
        <v>0</v>
      </c>
      <c r="K1326" s="9" t="b">
        <f aca="false">IF(AND(ISNUMBER(F1326),ISNUMBER(G1326),ISNUMBER(F1325),ISNUMBER(G1325)),AND(F1326&lt;G1326,F1325&gt;=G1325),FALSE())</f>
        <v>0</v>
      </c>
      <c r="L1326" s="8" t="n">
        <f aca="false">IF(ISNUMBER(I1326),E1326-Inputs!$B$6*I1326,"")</f>
        <v>0.866665085831141</v>
      </c>
      <c r="M1326" s="9" t="b">
        <f aca="false">AND(Y1325&gt;0,Z1325)</f>
        <v>0</v>
      </c>
      <c r="N1326" s="8" t="n">
        <f aca="false">B1326*(1-Inputs!$B$12)</f>
        <v>0.889479941569452</v>
      </c>
      <c r="O1326" s="10" t="n">
        <f aca="false">IF(M1326,Y1325*(N1326-AB1325)-Inputs!$B$9-Y1325*AD1325*Inputs!$B$13*(A1326-AC1325),0)</f>
        <v>0</v>
      </c>
      <c r="P1326" s="10" t="n">
        <f aca="false">X1325+O1326</f>
        <v>925.345823172389</v>
      </c>
      <c r="Q1326" s="9" t="b">
        <f aca="false">AND(IF(M1326,0,Y1325)=0,AA1325,IF(ISNUMBER(AE1325),B1326&gt;AE1325,FALSE()))</f>
        <v>0</v>
      </c>
      <c r="R1326" s="8" t="n">
        <f aca="false">B1326*(1+Inputs!$B$12)</f>
        <v>0.88983580471871</v>
      </c>
      <c r="S1326" s="11" t="n">
        <f aca="false">IF(Q1326,MIN(P1326*Inputs!$B$3/(R1326-AE1325),P1326*Inputs!$B$11/R1326),0)</f>
        <v>0</v>
      </c>
      <c r="T1326" s="11" t="n">
        <f aca="false">IF(Q1326,S1326,IF(M1326,0,Y1325))</f>
        <v>0</v>
      </c>
      <c r="U1326" s="8" t="n">
        <f aca="false">IF(Q1326,AE1325,AF1325)</f>
        <v>0.885137616607025</v>
      </c>
      <c r="V1326" s="9" t="b">
        <f aca="false">AND(T1326&gt;0,D1326&lt;=U1326)</f>
        <v>0</v>
      </c>
      <c r="W1326" s="10" t="n">
        <f aca="false">IF(V1326,T1326*(AK1326-AB1326)-Inputs!$B$9-T1326*AD1326*Inputs!$B$13*(A1326-AC1326),0)</f>
        <v>0</v>
      </c>
      <c r="X1326" s="10" t="n">
        <f aca="false">P1326-IF(Q1326,Inputs!$B$9,0)+W1326</f>
        <v>925.345823172389</v>
      </c>
      <c r="Y1326" s="11" t="n">
        <f aca="false">IF(V1326,0,T1326)</f>
        <v>0</v>
      </c>
      <c r="Z1326" s="9" t="b">
        <f aca="false">AND(Y1326&gt;0,K1326)</f>
        <v>0</v>
      </c>
      <c r="AA1326" s="9" t="b">
        <f aca="false">AND(Y1326=0,J1326,ISNUMBER(L1326))</f>
        <v>0</v>
      </c>
      <c r="AB1326" s="8" t="n">
        <f aca="false">IF(Q1326,R1326,AB1325)</f>
        <v>0.902917052911703</v>
      </c>
      <c r="AC1326" s="12" t="n">
        <f aca="false">IF(Q1326,A1326,AC1325)</f>
        <v>46049</v>
      </c>
      <c r="AD1326" s="8" t="n">
        <f aca="false">IF(Q1326,B1326,AD1325)</f>
        <v>0.902736505610581</v>
      </c>
      <c r="AE1326" s="8" t="str">
        <f aca="false">IF(AA1326,L1326,"")</f>
        <v/>
      </c>
      <c r="AF1326" s="8" t="n">
        <f aca="false">U1326</f>
        <v>0.885137616607025</v>
      </c>
      <c r="AG1326" s="2" t="n">
        <f aca="false">AG1325+IF(Q1326,1,0)</f>
        <v>14</v>
      </c>
      <c r="AH1326" s="2" t="n">
        <f aca="false">AG1325</f>
        <v>14</v>
      </c>
      <c r="AI1326" s="10" t="n">
        <f aca="false">X1326+Y1326*(E1326-AB1326)-Y1326*AD1326*Inputs!$B$13*(A1326-AC1326)</f>
        <v>925.345823172389</v>
      </c>
      <c r="AJ1326" s="10" t="n">
        <v>0</v>
      </c>
      <c r="AK1326" s="8" t="n">
        <f aca="false">IF(AND(B1326&lt;=U1326,NOT(Q1326)),B1326,U1326)*(1-Inputs!$B$12)</f>
        <v>0.884960589083704</v>
      </c>
    </row>
    <row r="1327" customFormat="false" ht="15" hidden="false" customHeight="false" outlineLevel="0" collapsed="false">
      <c r="A1327" s="6" t="n">
        <v>46111</v>
      </c>
      <c r="B1327" s="7" t="n">
        <v>0.884816841868376</v>
      </c>
      <c r="C1327" s="7" t="n">
        <v>0.887070623354941</v>
      </c>
      <c r="D1327" s="7" t="n">
        <v>0.869888129857266</v>
      </c>
      <c r="E1327" s="7" t="n">
        <v>0.873902535185658</v>
      </c>
      <c r="F1327" s="8" t="n">
        <f aca="true">IF(ROW()-2&gt;=Inputs!$B$4,AVERAGE(OFFSET(E1327,1-Inputs!$B$4,0,Inputs!$B$4,1)),"")</f>
        <v>0.879095053698906</v>
      </c>
      <c r="G1327" s="8" t="n">
        <f aca="true">IF(ROW()-2&gt;=Inputs!$B$5,AVERAGE(OFFSET(E1327,1-Inputs!$B$5,0,Inputs!$B$5,1)),"")</f>
        <v>0.878206810151345</v>
      </c>
      <c r="H1327" s="8" t="n">
        <f aca="false">MAX(C1327-D1327,ABS(C1327-E1326),ABS(D1327-E1326))</f>
        <v>0.0171824934976751</v>
      </c>
      <c r="I1327" s="8" t="n">
        <f aca="true">IF(ROW()-2&lt;14,"",IF(ROW()-2=14,AVERAGE(OFFSET(H1327,-13,0,14,1)),(I1326*13+H1327)/14))</f>
        <v>0.00965492198140714</v>
      </c>
      <c r="J1327" s="9" t="b">
        <f aca="false">IF(AND(ISNUMBER(F1327),ISNUMBER(G1327),ISNUMBER(F1326),ISNUMBER(G1326)),AND(F1327&gt;G1327,F1326&lt;=G1326),FALSE())</f>
        <v>1</v>
      </c>
      <c r="K1327" s="9" t="b">
        <f aca="false">IF(AND(ISNUMBER(F1327),ISNUMBER(G1327),ISNUMBER(F1326),ISNUMBER(G1326)),AND(F1327&lt;G1327,F1326&gt;=G1326),FALSE())</f>
        <v>0</v>
      </c>
      <c r="L1327" s="8" t="n">
        <f aca="false">IF(ISNUMBER(I1327),E1327-Inputs!$B$6*I1327,"")</f>
        <v>0.854592691222844</v>
      </c>
      <c r="M1327" s="9" t="b">
        <f aca="false">AND(Y1326&gt;0,Z1326)</f>
        <v>0</v>
      </c>
      <c r="N1327" s="8" t="n">
        <f aca="false">B1327*(1-Inputs!$B$12)</f>
        <v>0.884639878500002</v>
      </c>
      <c r="O1327" s="10" t="n">
        <f aca="false">IF(M1327,Y1326*(N1327-AB1326)-Inputs!$B$9-Y1326*AD1326*Inputs!$B$13*(A1327-AC1326),0)</f>
        <v>0</v>
      </c>
      <c r="P1327" s="10" t="n">
        <f aca="false">X1326+O1327</f>
        <v>925.345823172389</v>
      </c>
      <c r="Q1327" s="9" t="b">
        <f aca="false">AND(IF(M1327,0,Y1326)=0,AA1326,IF(ISNUMBER(AE1326),B1327&gt;AE1326,FALSE()))</f>
        <v>0</v>
      </c>
      <c r="R1327" s="8" t="n">
        <f aca="false">B1327*(1+Inputs!$B$12)</f>
        <v>0.88499380523675</v>
      </c>
      <c r="S1327" s="11" t="n">
        <f aca="false">IF(Q1327,MIN(P1327*Inputs!$B$3/(R1327-AE1326),P1327*Inputs!$B$11/R1327),0)</f>
        <v>0</v>
      </c>
      <c r="T1327" s="11" t="n">
        <f aca="false">IF(Q1327,S1327,IF(M1327,0,Y1326))</f>
        <v>0</v>
      </c>
      <c r="U1327" s="8" t="n">
        <f aca="false">IF(Q1327,AE1326,AF1326)</f>
        <v>0.885137616607025</v>
      </c>
      <c r="V1327" s="9" t="b">
        <f aca="false">AND(T1327&gt;0,D1327&lt;=U1327)</f>
        <v>0</v>
      </c>
      <c r="W1327" s="10" t="n">
        <f aca="false">IF(V1327,T1327*(AK1327-AB1327)-Inputs!$B$9-T1327*AD1327*Inputs!$B$13*(A1327-AC1327),0)</f>
        <v>0</v>
      </c>
      <c r="X1327" s="10" t="n">
        <f aca="false">P1327-IF(Q1327,Inputs!$B$9,0)+W1327</f>
        <v>925.345823172389</v>
      </c>
      <c r="Y1327" s="11" t="n">
        <f aca="false">IF(V1327,0,T1327)</f>
        <v>0</v>
      </c>
      <c r="Z1327" s="9" t="b">
        <f aca="false">AND(Y1327&gt;0,K1327)</f>
        <v>0</v>
      </c>
      <c r="AA1327" s="9" t="b">
        <f aca="false">AND(Y1327=0,J1327,ISNUMBER(L1327))</f>
        <v>1</v>
      </c>
      <c r="AB1327" s="8" t="n">
        <f aca="false">IF(Q1327,R1327,AB1326)</f>
        <v>0.902917052911703</v>
      </c>
      <c r="AC1327" s="12" t="n">
        <f aca="false">IF(Q1327,A1327,AC1326)</f>
        <v>46049</v>
      </c>
      <c r="AD1327" s="8" t="n">
        <f aca="false">IF(Q1327,B1327,AD1326)</f>
        <v>0.902736505610581</v>
      </c>
      <c r="AE1327" s="8" t="n">
        <f aca="false">IF(AA1327,L1327,"")</f>
        <v>0.854592691222844</v>
      </c>
      <c r="AF1327" s="8" t="n">
        <f aca="false">U1327</f>
        <v>0.885137616607025</v>
      </c>
      <c r="AG1327" s="2" t="n">
        <f aca="false">AG1326+IF(Q1327,1,0)</f>
        <v>14</v>
      </c>
      <c r="AH1327" s="2" t="n">
        <f aca="false">AG1326</f>
        <v>14</v>
      </c>
      <c r="AI1327" s="10" t="n">
        <f aca="false">X1327+Y1327*(E1327-AB1327)-Y1327*AD1327*Inputs!$B$13*(A1327-AC1327)</f>
        <v>925.345823172389</v>
      </c>
      <c r="AJ1327" s="10" t="n">
        <v>0</v>
      </c>
      <c r="AK1327" s="8" t="n">
        <f aca="false">IF(AND(B1327&lt;=U1327,NOT(Q1327)),B1327,U1327)*(1-Inputs!$B$12)</f>
        <v>0.884639878500002</v>
      </c>
    </row>
    <row r="1328" customFormat="false" ht="15" hidden="false" customHeight="false" outlineLevel="0" collapsed="false">
      <c r="A1328" s="6" t="n">
        <v>46112</v>
      </c>
      <c r="B1328" s="7" t="n">
        <v>0.873902535185658</v>
      </c>
      <c r="C1328" s="7" t="n">
        <v>0.879423587026858</v>
      </c>
      <c r="D1328" s="7" t="n">
        <v>0.873588367847436</v>
      </c>
      <c r="E1328" s="7" t="n">
        <v>0.87864202212452</v>
      </c>
      <c r="F1328" s="8" t="n">
        <f aca="true">IF(ROW()-2&gt;=Inputs!$B$4,AVERAGE(OFFSET(E1328,1-Inputs!$B$4,0,Inputs!$B$4,1)),"")</f>
        <v>0.879815719502122</v>
      </c>
      <c r="G1328" s="8" t="n">
        <f aca="true">IF(ROW()-2&gt;=Inputs!$B$5,AVERAGE(OFFSET(E1328,1-Inputs!$B$5,0,Inputs!$B$5,1)),"")</f>
        <v>0.878040953394496</v>
      </c>
      <c r="H1328" s="8" t="n">
        <f aca="false">MAX(C1328-D1328,ABS(C1328-E1327),ABS(D1328-E1327))</f>
        <v>0.0058352191794222</v>
      </c>
      <c r="I1328" s="8" t="n">
        <f aca="true">IF(ROW()-2&lt;14,"",IF(ROW()-2=14,AVERAGE(OFFSET(H1328,-13,0,14,1)),(I1327*13+H1328)/14))</f>
        <v>0.00938208606697964</v>
      </c>
      <c r="J1328" s="9" t="b">
        <f aca="false">IF(AND(ISNUMBER(F1328),ISNUMBER(G1328),ISNUMBER(F1327),ISNUMBER(G1327)),AND(F1328&gt;G1328,F1327&lt;=G1327),FALSE())</f>
        <v>0</v>
      </c>
      <c r="K1328" s="9" t="b">
        <f aca="false">IF(AND(ISNUMBER(F1328),ISNUMBER(G1328),ISNUMBER(F1327),ISNUMBER(G1327)),AND(F1328&lt;G1328,F1327&gt;=G1327),FALSE())</f>
        <v>0</v>
      </c>
      <c r="L1328" s="8" t="n">
        <f aca="false">IF(ISNUMBER(I1328),E1328-Inputs!$B$6*I1328,"")</f>
        <v>0.859877849990561</v>
      </c>
      <c r="M1328" s="9" t="b">
        <f aca="false">AND(Y1327&gt;0,Z1327)</f>
        <v>0</v>
      </c>
      <c r="N1328" s="8" t="n">
        <f aca="false">B1328*(1-Inputs!$B$12)</f>
        <v>0.873727754678621</v>
      </c>
      <c r="O1328" s="10" t="n">
        <f aca="false">IF(M1328,Y1327*(N1328-AB1327)-Inputs!$B$9-Y1327*AD1327*Inputs!$B$13*(A1328-AC1327),0)</f>
        <v>0</v>
      </c>
      <c r="P1328" s="10" t="n">
        <f aca="false">X1327+O1328</f>
        <v>925.345823172389</v>
      </c>
      <c r="Q1328" s="9" t="b">
        <f aca="false">AND(IF(M1328,0,Y1327)=0,AA1327,IF(ISNUMBER(AE1327),B1328&gt;AE1327,FALSE()))</f>
        <v>1</v>
      </c>
      <c r="R1328" s="8" t="n">
        <f aca="false">B1328*(1+Inputs!$B$12)</f>
        <v>0.874077315692695</v>
      </c>
      <c r="S1328" s="11" t="n">
        <f aca="false">IF(Q1328,MIN(P1328*Inputs!$B$3/(R1328-AE1327),P1328*Inputs!$B$11/R1328),0)</f>
        <v>474.910781372347</v>
      </c>
      <c r="T1328" s="11" t="n">
        <f aca="false">IF(Q1328,S1328,IF(M1328,0,Y1327))</f>
        <v>474.910781372347</v>
      </c>
      <c r="U1328" s="8" t="n">
        <f aca="false">IF(Q1328,AE1327,AF1327)</f>
        <v>0.854592691222844</v>
      </c>
      <c r="V1328" s="9" t="b">
        <f aca="false">AND(T1328&gt;0,D1328&lt;=U1328)</f>
        <v>0</v>
      </c>
      <c r="W1328" s="10" t="n">
        <f aca="false">IF(V1328,T1328*(AK1328-AB1328)-Inputs!$B$9-T1328*AD1328*Inputs!$B$13*(A1328-AC1328),0)</f>
        <v>0</v>
      </c>
      <c r="X1328" s="10" t="n">
        <f aca="false">P1328-IF(Q1328,Inputs!$B$9,0)+W1328</f>
        <v>924.345823172389</v>
      </c>
      <c r="Y1328" s="11" t="n">
        <f aca="false">IF(V1328,0,T1328)</f>
        <v>474.910781372347</v>
      </c>
      <c r="Z1328" s="9" t="b">
        <f aca="false">AND(Y1328&gt;0,K1328)</f>
        <v>0</v>
      </c>
      <c r="AA1328" s="9" t="b">
        <f aca="false">AND(Y1328=0,J1328,ISNUMBER(L1328))</f>
        <v>0</v>
      </c>
      <c r="AB1328" s="8" t="n">
        <f aca="false">IF(Q1328,R1328,AB1327)</f>
        <v>0.874077315692695</v>
      </c>
      <c r="AC1328" s="12" t="n">
        <f aca="false">IF(Q1328,A1328,AC1327)</f>
        <v>46112</v>
      </c>
      <c r="AD1328" s="8" t="n">
        <f aca="false">IF(Q1328,B1328,AD1327)</f>
        <v>0.873902535185658</v>
      </c>
      <c r="AE1328" s="8" t="str">
        <f aca="false">IF(AA1328,L1328,"")</f>
        <v/>
      </c>
      <c r="AF1328" s="8" t="n">
        <f aca="false">U1328</f>
        <v>0.854592691222844</v>
      </c>
      <c r="AG1328" s="2" t="n">
        <f aca="false">AG1327+IF(Q1328,1,0)</f>
        <v>15</v>
      </c>
      <c r="AH1328" s="2" t="n">
        <f aca="false">AG1327</f>
        <v>14</v>
      </c>
      <c r="AI1328" s="10" t="n">
        <f aca="false">X1328+Y1328*(E1328-AB1328)-Y1328*AD1328*Inputs!$B$13*(A1328-AC1328)</f>
        <v>926.513651470663</v>
      </c>
      <c r="AJ1328" s="10" t="n">
        <v>0</v>
      </c>
      <c r="AK1328" s="8" t="n">
        <f aca="false">IF(AND(B1328&lt;=U1328,NOT(Q1328)),B1328,U1328)*(1-Inputs!$B$12)</f>
        <v>0.854421772684599</v>
      </c>
    </row>
    <row r="1329" customFormat="false" ht="15" hidden="false" customHeight="false" outlineLevel="0" collapsed="false">
      <c r="A1329" s="6" t="n">
        <v>46113</v>
      </c>
      <c r="B1329" s="7" t="n">
        <v>0.87864202212452</v>
      </c>
      <c r="C1329" s="7" t="n">
        <v>0.889209199582185</v>
      </c>
      <c r="D1329" s="7" t="n">
        <v>0.877136879096528</v>
      </c>
      <c r="E1329" s="7" t="n">
        <v>0.88614598669236</v>
      </c>
      <c r="F1329" s="8" t="n">
        <f aca="true">IF(ROW()-2&gt;=Inputs!$B$4,AVERAGE(OFFSET(E1329,1-Inputs!$B$4,0,Inputs!$B$4,1)),"")</f>
        <v>0.880782093414857</v>
      </c>
      <c r="G1329" s="8" t="n">
        <f aca="true">IF(ROW()-2&gt;=Inputs!$B$5,AVERAGE(OFFSET(E1329,1-Inputs!$B$5,0,Inputs!$B$5,1)),"")</f>
        <v>0.877976142157253</v>
      </c>
      <c r="H1329" s="8" t="n">
        <f aca="false">MAX(C1329-D1329,ABS(C1329-E1328),ABS(D1329-E1328))</f>
        <v>0.0120723204856575</v>
      </c>
      <c r="I1329" s="8" t="n">
        <f aca="true">IF(ROW()-2&lt;14,"",IF(ROW()-2=14,AVERAGE(OFFSET(H1329,-13,0,14,1)),(I1328*13+H1329)/14))</f>
        <v>0.00957424566831378</v>
      </c>
      <c r="J1329" s="9" t="b">
        <f aca="false">IF(AND(ISNUMBER(F1329),ISNUMBER(G1329),ISNUMBER(F1328),ISNUMBER(G1328)),AND(F1329&gt;G1329,F1328&lt;=G1328),FALSE())</f>
        <v>0</v>
      </c>
      <c r="K1329" s="9" t="b">
        <f aca="false">IF(AND(ISNUMBER(F1329),ISNUMBER(G1329),ISNUMBER(F1328),ISNUMBER(G1328)),AND(F1329&lt;G1329,F1328&gt;=G1328),FALSE())</f>
        <v>0</v>
      </c>
      <c r="L1329" s="8" t="n">
        <f aca="false">IF(ISNUMBER(I1329),E1329-Inputs!$B$6*I1329,"")</f>
        <v>0.866997495355733</v>
      </c>
      <c r="M1329" s="9" t="b">
        <f aca="false">AND(Y1328&gt;0,Z1328)</f>
        <v>0</v>
      </c>
      <c r="N1329" s="8" t="n">
        <f aca="false">B1329*(1-Inputs!$B$12)</f>
        <v>0.878466293720095</v>
      </c>
      <c r="O1329" s="10" t="n">
        <f aca="false">IF(M1329,Y1328*(N1329-AB1328)-Inputs!$B$9-Y1328*AD1328*Inputs!$B$13*(A1329-AC1328),0)</f>
        <v>0</v>
      </c>
      <c r="P1329" s="10" t="n">
        <f aca="false">X1328+O1329</f>
        <v>924.345823172389</v>
      </c>
      <c r="Q1329" s="9" t="b">
        <f aca="false">AND(IF(M1329,0,Y1328)=0,AA1328,IF(ISNUMBER(AE1328),B1329&gt;AE1328,FALSE()))</f>
        <v>0</v>
      </c>
      <c r="R1329" s="8" t="n">
        <f aca="false">B1329*(1+Inputs!$B$12)</f>
        <v>0.878817750528945</v>
      </c>
      <c r="S1329" s="11" t="n">
        <f aca="false">IF(Q1329,MIN(P1329*Inputs!$B$3/(R1329-AE1328),P1329*Inputs!$B$11/R1329),0)</f>
        <v>0</v>
      </c>
      <c r="T1329" s="11" t="n">
        <f aca="false">IF(Q1329,S1329,IF(M1329,0,Y1328))</f>
        <v>474.910781372347</v>
      </c>
      <c r="U1329" s="8" t="n">
        <f aca="false">IF(Q1329,AE1328,AF1328)</f>
        <v>0.854592691222844</v>
      </c>
      <c r="V1329" s="9" t="b">
        <f aca="false">AND(T1329&gt;0,D1329&lt;=U1329)</f>
        <v>0</v>
      </c>
      <c r="W1329" s="10" t="n">
        <f aca="false">IF(V1329,T1329*(AK1329-AB1329)-Inputs!$B$9-T1329*AD1329*Inputs!$B$13*(A1329-AC1329),0)</f>
        <v>0</v>
      </c>
      <c r="X1329" s="10" t="n">
        <f aca="false">P1329-IF(Q1329,Inputs!$B$9,0)+W1329</f>
        <v>924.345823172389</v>
      </c>
      <c r="Y1329" s="11" t="n">
        <f aca="false">IF(V1329,0,T1329)</f>
        <v>474.910781372347</v>
      </c>
      <c r="Z1329" s="9" t="b">
        <f aca="false">AND(Y1329&gt;0,K1329)</f>
        <v>0</v>
      </c>
      <c r="AA1329" s="9" t="b">
        <f aca="false">AND(Y1329=0,J1329,ISNUMBER(L1329))</f>
        <v>0</v>
      </c>
      <c r="AB1329" s="8" t="n">
        <f aca="false">IF(Q1329,R1329,AB1328)</f>
        <v>0.874077315692695</v>
      </c>
      <c r="AC1329" s="12" t="n">
        <f aca="false">IF(Q1329,A1329,AC1328)</f>
        <v>46112</v>
      </c>
      <c r="AD1329" s="8" t="n">
        <f aca="false">IF(Q1329,B1329,AD1328)</f>
        <v>0.873902535185658</v>
      </c>
      <c r="AE1329" s="8" t="str">
        <f aca="false">IF(AA1329,L1329,"")</f>
        <v/>
      </c>
      <c r="AF1329" s="8" t="n">
        <f aca="false">U1329</f>
        <v>0.854592691222844</v>
      </c>
      <c r="AG1329" s="2" t="n">
        <f aca="false">AG1328+IF(Q1329,1,0)</f>
        <v>15</v>
      </c>
      <c r="AH1329" s="2" t="n">
        <f aca="false">AG1328</f>
        <v>15</v>
      </c>
      <c r="AI1329" s="10" t="n">
        <f aca="false">X1329+Y1329*(E1329-AB1329)-Y1329*AD1329*Inputs!$B$13*(A1329-AC1329)</f>
        <v>930.003456454284</v>
      </c>
      <c r="AJ1329" s="10" t="n">
        <v>0</v>
      </c>
      <c r="AK1329" s="8" t="n">
        <f aca="false">IF(AND(B1329&lt;=U1329,NOT(Q1329)),B1329,U1329)*(1-Inputs!$B$12)</f>
        <v>0.854421772684599</v>
      </c>
    </row>
    <row r="1330" customFormat="false" ht="15" hidden="false" customHeight="false" outlineLevel="0" collapsed="false">
      <c r="A1330" s="6" t="n">
        <v>46114</v>
      </c>
      <c r="B1330" s="7" t="n">
        <v>0.88614598669236</v>
      </c>
      <c r="C1330" s="7" t="n">
        <v>0.894556317022149</v>
      </c>
      <c r="D1330" s="7" t="n">
        <v>0.884983665930257</v>
      </c>
      <c r="E1330" s="7" t="n">
        <v>0.889093196735052</v>
      </c>
      <c r="F1330" s="8" t="n">
        <f aca="true">IF(ROW()-2&gt;=Inputs!$B$4,AVERAGE(OFFSET(E1330,1-Inputs!$B$4,0,Inputs!$B$4,1)),"")</f>
        <v>0.881503192903492</v>
      </c>
      <c r="G1330" s="8" t="n">
        <f aca="true">IF(ROW()-2&gt;=Inputs!$B$5,AVERAGE(OFFSET(E1330,1-Inputs!$B$5,0,Inputs!$B$5,1)),"")</f>
        <v>0.878149737148691</v>
      </c>
      <c r="H1330" s="8" t="n">
        <f aca="false">MAX(C1330-D1330,ABS(C1330-E1329),ABS(D1330-E1329))</f>
        <v>0.00957265109189209</v>
      </c>
      <c r="I1330" s="8" t="n">
        <f aca="true">IF(ROW()-2&lt;14,"",IF(ROW()-2=14,AVERAGE(OFFSET(H1330,-13,0,14,1)),(I1329*13+H1330)/14))</f>
        <v>0.00957413176999794</v>
      </c>
      <c r="J1330" s="9" t="b">
        <f aca="false">IF(AND(ISNUMBER(F1330),ISNUMBER(G1330),ISNUMBER(F1329),ISNUMBER(G1329)),AND(F1330&gt;G1330,F1329&lt;=G1329),FALSE())</f>
        <v>0</v>
      </c>
      <c r="K1330" s="9" t="b">
        <f aca="false">IF(AND(ISNUMBER(F1330),ISNUMBER(G1330),ISNUMBER(F1329),ISNUMBER(G1329)),AND(F1330&lt;G1330,F1329&gt;=G1329),FALSE())</f>
        <v>0</v>
      </c>
      <c r="L1330" s="8" t="n">
        <f aca="false">IF(ISNUMBER(I1330),E1330-Inputs!$B$6*I1330,"")</f>
        <v>0.869944933195057</v>
      </c>
      <c r="M1330" s="9" t="b">
        <f aca="false">AND(Y1329&gt;0,Z1329)</f>
        <v>0</v>
      </c>
      <c r="N1330" s="8" t="n">
        <f aca="false">B1330*(1-Inputs!$B$12)</f>
        <v>0.885968757495022</v>
      </c>
      <c r="O1330" s="10" t="n">
        <f aca="false">IF(M1330,Y1329*(N1330-AB1329)-Inputs!$B$9-Y1329*AD1329*Inputs!$B$13*(A1330-AC1329),0)</f>
        <v>0</v>
      </c>
      <c r="P1330" s="10" t="n">
        <f aca="false">X1329+O1330</f>
        <v>924.345823172389</v>
      </c>
      <c r="Q1330" s="9" t="b">
        <f aca="false">AND(IF(M1330,0,Y1329)=0,AA1329,IF(ISNUMBER(AE1329),B1330&gt;AE1329,FALSE()))</f>
        <v>0</v>
      </c>
      <c r="R1330" s="8" t="n">
        <f aca="false">B1330*(1+Inputs!$B$12)</f>
        <v>0.886323215889698</v>
      </c>
      <c r="S1330" s="11" t="n">
        <f aca="false">IF(Q1330,MIN(P1330*Inputs!$B$3/(R1330-AE1329),P1330*Inputs!$B$11/R1330),0)</f>
        <v>0</v>
      </c>
      <c r="T1330" s="11" t="n">
        <f aca="false">IF(Q1330,S1330,IF(M1330,0,Y1329))</f>
        <v>474.910781372347</v>
      </c>
      <c r="U1330" s="8" t="n">
        <f aca="false">IF(Q1330,AE1329,AF1329)</f>
        <v>0.854592691222844</v>
      </c>
      <c r="V1330" s="9" t="b">
        <f aca="false">AND(T1330&gt;0,D1330&lt;=U1330)</f>
        <v>0</v>
      </c>
      <c r="W1330" s="10" t="n">
        <f aca="false">IF(V1330,T1330*(AK1330-AB1330)-Inputs!$B$9-T1330*AD1330*Inputs!$B$13*(A1330-AC1330),0)</f>
        <v>0</v>
      </c>
      <c r="X1330" s="10" t="n">
        <f aca="false">P1330-IF(Q1330,Inputs!$B$9,0)+W1330</f>
        <v>924.345823172389</v>
      </c>
      <c r="Y1330" s="11" t="n">
        <f aca="false">IF(V1330,0,T1330)</f>
        <v>474.910781372347</v>
      </c>
      <c r="Z1330" s="9" t="b">
        <f aca="false">AND(Y1330&gt;0,K1330)</f>
        <v>0</v>
      </c>
      <c r="AA1330" s="9" t="b">
        <f aca="false">AND(Y1330=0,J1330,ISNUMBER(L1330))</f>
        <v>0</v>
      </c>
      <c r="AB1330" s="8" t="n">
        <f aca="false">IF(Q1330,R1330,AB1329)</f>
        <v>0.874077315692695</v>
      </c>
      <c r="AC1330" s="12" t="n">
        <f aca="false">IF(Q1330,A1330,AC1329)</f>
        <v>46112</v>
      </c>
      <c r="AD1330" s="8" t="n">
        <f aca="false">IF(Q1330,B1330,AD1329)</f>
        <v>0.873902535185658</v>
      </c>
      <c r="AE1330" s="8" t="str">
        <f aca="false">IF(AA1330,L1330,"")</f>
        <v/>
      </c>
      <c r="AF1330" s="8" t="n">
        <f aca="false">U1330</f>
        <v>0.854592691222844</v>
      </c>
      <c r="AG1330" s="2" t="n">
        <f aca="false">AG1329+IF(Q1330,1,0)</f>
        <v>15</v>
      </c>
      <c r="AH1330" s="2" t="n">
        <f aca="false">AG1329</f>
        <v>15</v>
      </c>
      <c r="AI1330" s="10" t="n">
        <f aca="false">X1330+Y1330*(E1330-AB1330)-Y1330*AD1330*Inputs!$B$13*(A1330-AC1330)</f>
        <v>931.329209585846</v>
      </c>
      <c r="AJ1330" s="10" t="n">
        <v>0</v>
      </c>
      <c r="AK1330" s="8" t="n">
        <f aca="false">IF(AND(B1330&lt;=U1330,NOT(Q1330)),B1330,U1330)*(1-Inputs!$B$12)</f>
        <v>0.854421772684599</v>
      </c>
    </row>
    <row r="1331" customFormat="false" ht="15" hidden="false" customHeight="false" outlineLevel="0" collapsed="false">
      <c r="A1331" s="6" t="n">
        <v>46115</v>
      </c>
      <c r="B1331" s="7" t="n">
        <v>0.889093196735052</v>
      </c>
      <c r="C1331" s="7" t="n">
        <v>0.894082223611201</v>
      </c>
      <c r="D1331" s="7" t="n">
        <v>0.886506249969769</v>
      </c>
      <c r="E1331" s="7" t="n">
        <v>0.893052886580176</v>
      </c>
      <c r="F1331" s="8" t="n">
        <f aca="true">IF(ROW()-2&gt;=Inputs!$B$4,AVERAGE(OFFSET(E1331,1-Inputs!$B$4,0,Inputs!$B$4,1)),"")</f>
        <v>0.882319053956164</v>
      </c>
      <c r="G1331" s="8" t="n">
        <f aca="true">IF(ROW()-2&gt;=Inputs!$B$5,AVERAGE(OFFSET(E1331,1-Inputs!$B$5,0,Inputs!$B$5,1)),"")</f>
        <v>0.878328921343553</v>
      </c>
      <c r="H1331" s="8" t="n">
        <f aca="false">MAX(C1331-D1331,ABS(C1331-E1330),ABS(D1331-E1330))</f>
        <v>0.00757597364143203</v>
      </c>
      <c r="I1331" s="8" t="n">
        <f aca="true">IF(ROW()-2&lt;14,"",IF(ROW()-2=14,AVERAGE(OFFSET(H1331,-13,0,14,1)),(I1330*13+H1331)/14))</f>
        <v>0.00943140618938609</v>
      </c>
      <c r="J1331" s="9" t="b">
        <f aca="false">IF(AND(ISNUMBER(F1331),ISNUMBER(G1331),ISNUMBER(F1330),ISNUMBER(G1330)),AND(F1331&gt;G1331,F1330&lt;=G1330),FALSE())</f>
        <v>0</v>
      </c>
      <c r="K1331" s="9" t="b">
        <f aca="false">IF(AND(ISNUMBER(F1331),ISNUMBER(G1331),ISNUMBER(F1330),ISNUMBER(G1330)),AND(F1331&lt;G1331,F1330&gt;=G1330),FALSE())</f>
        <v>0</v>
      </c>
      <c r="L1331" s="8" t="n">
        <f aca="false">IF(ISNUMBER(I1331),E1331-Inputs!$B$6*I1331,"")</f>
        <v>0.874190074201404</v>
      </c>
      <c r="M1331" s="9" t="b">
        <f aca="false">AND(Y1330&gt;0,Z1330)</f>
        <v>0</v>
      </c>
      <c r="N1331" s="8" t="n">
        <f aca="false">B1331*(1-Inputs!$B$12)</f>
        <v>0.888915378095705</v>
      </c>
      <c r="O1331" s="10" t="n">
        <f aca="false">IF(M1331,Y1330*(N1331-AB1330)-Inputs!$B$9-Y1330*AD1330*Inputs!$B$13*(A1331-AC1330),0)</f>
        <v>0</v>
      </c>
      <c r="P1331" s="10" t="n">
        <f aca="false">X1330+O1331</f>
        <v>924.345823172389</v>
      </c>
      <c r="Q1331" s="9" t="b">
        <f aca="false">AND(IF(M1331,0,Y1330)=0,AA1330,IF(ISNUMBER(AE1330),B1331&gt;AE1330,FALSE()))</f>
        <v>0</v>
      </c>
      <c r="R1331" s="8" t="n">
        <f aca="false">B1331*(1+Inputs!$B$12)</f>
        <v>0.889271015374399</v>
      </c>
      <c r="S1331" s="11" t="n">
        <f aca="false">IF(Q1331,MIN(P1331*Inputs!$B$3/(R1331-AE1330),P1331*Inputs!$B$11/R1331),0)</f>
        <v>0</v>
      </c>
      <c r="T1331" s="11" t="n">
        <f aca="false">IF(Q1331,S1331,IF(M1331,0,Y1330))</f>
        <v>474.910781372347</v>
      </c>
      <c r="U1331" s="8" t="n">
        <f aca="false">IF(Q1331,AE1330,AF1330)</f>
        <v>0.854592691222844</v>
      </c>
      <c r="V1331" s="9" t="b">
        <f aca="false">AND(T1331&gt;0,D1331&lt;=U1331)</f>
        <v>0</v>
      </c>
      <c r="W1331" s="10" t="n">
        <f aca="false">IF(V1331,T1331*(AK1331-AB1331)-Inputs!$B$9-T1331*AD1331*Inputs!$B$13*(A1331-AC1331),0)</f>
        <v>0</v>
      </c>
      <c r="X1331" s="10" t="n">
        <f aca="false">P1331-IF(Q1331,Inputs!$B$9,0)+W1331</f>
        <v>924.345823172389</v>
      </c>
      <c r="Y1331" s="11" t="n">
        <f aca="false">IF(V1331,0,T1331)</f>
        <v>474.910781372347</v>
      </c>
      <c r="Z1331" s="9" t="b">
        <f aca="false">AND(Y1331&gt;0,K1331)</f>
        <v>0</v>
      </c>
      <c r="AA1331" s="9" t="b">
        <f aca="false">AND(Y1331=0,J1331,ISNUMBER(L1331))</f>
        <v>0</v>
      </c>
      <c r="AB1331" s="8" t="n">
        <f aca="false">IF(Q1331,R1331,AB1330)</f>
        <v>0.874077315692695</v>
      </c>
      <c r="AC1331" s="12" t="n">
        <f aca="false">IF(Q1331,A1331,AC1330)</f>
        <v>46112</v>
      </c>
      <c r="AD1331" s="8" t="n">
        <f aca="false">IF(Q1331,B1331,AD1330)</f>
        <v>0.873902535185658</v>
      </c>
      <c r="AE1331" s="8" t="str">
        <f aca="false">IF(AA1331,L1331,"")</f>
        <v/>
      </c>
      <c r="AF1331" s="8" t="n">
        <f aca="false">U1331</f>
        <v>0.854592691222844</v>
      </c>
      <c r="AG1331" s="2" t="n">
        <f aca="false">AG1330+IF(Q1331,1,0)</f>
        <v>15</v>
      </c>
      <c r="AH1331" s="2" t="n">
        <f aca="false">AG1330</f>
        <v>15</v>
      </c>
      <c r="AI1331" s="10" t="n">
        <f aca="false">X1331+Y1331*(E1331-AB1331)-Y1331*AD1331*Inputs!$B$13*(A1331-AC1331)</f>
        <v>933.135800291504</v>
      </c>
      <c r="AJ1331" s="10" t="n">
        <v>0</v>
      </c>
      <c r="AK1331" s="8" t="n">
        <f aca="false">IF(AND(B1331&lt;=U1331,NOT(Q1331)),B1331,U1331)*(1-Inputs!$B$12)</f>
        <v>0.854421772684599</v>
      </c>
    </row>
    <row r="1332" customFormat="false" ht="15" hidden="false" customHeight="false" outlineLevel="0" collapsed="false">
      <c r="A1332" s="6" t="n">
        <v>46116</v>
      </c>
      <c r="B1332" s="7" t="n">
        <v>0.893052886580176</v>
      </c>
      <c r="C1332" s="7" t="n">
        <v>0.894850411607145</v>
      </c>
      <c r="D1332" s="7" t="n">
        <v>0.879208478023856</v>
      </c>
      <c r="E1332" s="7" t="n">
        <v>0.88434480014225</v>
      </c>
      <c r="F1332" s="8" t="n">
        <f aca="true">IF(ROW()-2&gt;=Inputs!$B$4,AVERAGE(OFFSET(E1332,1-Inputs!$B$4,0,Inputs!$B$4,1)),"")</f>
        <v>0.882626679295861</v>
      </c>
      <c r="G1332" s="8" t="n">
        <f aca="true">IF(ROW()-2&gt;=Inputs!$B$5,AVERAGE(OFFSET(E1332,1-Inputs!$B$5,0,Inputs!$B$5,1)),"")</f>
        <v>0.878215571954098</v>
      </c>
      <c r="H1332" s="8" t="n">
        <f aca="false">MAX(C1332-D1332,ABS(C1332-E1331),ABS(D1332-E1331))</f>
        <v>0.0156419335832884</v>
      </c>
      <c r="I1332" s="8" t="n">
        <f aca="true">IF(ROW()-2&lt;14,"",IF(ROW()-2=14,AVERAGE(OFFSET(H1332,-13,0,14,1)),(I1331*13+H1332)/14))</f>
        <v>0.00987501528895054</v>
      </c>
      <c r="J1332" s="9" t="b">
        <f aca="false">IF(AND(ISNUMBER(F1332),ISNUMBER(G1332),ISNUMBER(F1331),ISNUMBER(G1331)),AND(F1332&gt;G1332,F1331&lt;=G1331),FALSE())</f>
        <v>0</v>
      </c>
      <c r="K1332" s="9" t="b">
        <f aca="false">IF(AND(ISNUMBER(F1332),ISNUMBER(G1332),ISNUMBER(F1331),ISNUMBER(G1331)),AND(F1332&lt;G1332,F1331&gt;=G1331),FALSE())</f>
        <v>0</v>
      </c>
      <c r="L1332" s="8" t="n">
        <f aca="false">IF(ISNUMBER(I1332),E1332-Inputs!$B$6*I1332,"")</f>
        <v>0.864594769564348</v>
      </c>
      <c r="M1332" s="9" t="b">
        <f aca="false">AND(Y1331&gt;0,Z1331)</f>
        <v>0</v>
      </c>
      <c r="N1332" s="8" t="n">
        <f aca="false">B1332*(1-Inputs!$B$12)</f>
        <v>0.89287427600286</v>
      </c>
      <c r="O1332" s="10" t="n">
        <f aca="false">IF(M1332,Y1331*(N1332-AB1331)-Inputs!$B$9-Y1331*AD1331*Inputs!$B$13*(A1332-AC1331),0)</f>
        <v>0</v>
      </c>
      <c r="P1332" s="10" t="n">
        <f aca="false">X1331+O1332</f>
        <v>924.345823172389</v>
      </c>
      <c r="Q1332" s="9" t="b">
        <f aca="false">AND(IF(M1332,0,Y1331)=0,AA1331,IF(ISNUMBER(AE1331),B1332&gt;AE1331,FALSE()))</f>
        <v>0</v>
      </c>
      <c r="R1332" s="8" t="n">
        <f aca="false">B1332*(1+Inputs!$B$12)</f>
        <v>0.893231497157492</v>
      </c>
      <c r="S1332" s="11" t="n">
        <f aca="false">IF(Q1332,MIN(P1332*Inputs!$B$3/(R1332-AE1331),P1332*Inputs!$B$11/R1332),0)</f>
        <v>0</v>
      </c>
      <c r="T1332" s="11" t="n">
        <f aca="false">IF(Q1332,S1332,IF(M1332,0,Y1331))</f>
        <v>474.910781372347</v>
      </c>
      <c r="U1332" s="8" t="n">
        <f aca="false">IF(Q1332,AE1331,AF1331)</f>
        <v>0.854592691222844</v>
      </c>
      <c r="V1332" s="9" t="b">
        <f aca="false">AND(T1332&gt;0,D1332&lt;=U1332)</f>
        <v>0</v>
      </c>
      <c r="W1332" s="10" t="n">
        <f aca="false">IF(V1332,T1332*(AK1332-AB1332)-Inputs!$B$9-T1332*AD1332*Inputs!$B$13*(A1332-AC1332),0)</f>
        <v>0</v>
      </c>
      <c r="X1332" s="10" t="n">
        <f aca="false">P1332-IF(Q1332,Inputs!$B$9,0)+W1332</f>
        <v>924.345823172389</v>
      </c>
      <c r="Y1332" s="11" t="n">
        <f aca="false">IF(V1332,0,T1332)</f>
        <v>474.910781372347</v>
      </c>
      <c r="Z1332" s="9" t="b">
        <f aca="false">AND(Y1332&gt;0,K1332)</f>
        <v>0</v>
      </c>
      <c r="AA1332" s="9" t="b">
        <f aca="false">AND(Y1332=0,J1332,ISNUMBER(L1332))</f>
        <v>0</v>
      </c>
      <c r="AB1332" s="8" t="n">
        <f aca="false">IF(Q1332,R1332,AB1331)</f>
        <v>0.874077315692695</v>
      </c>
      <c r="AC1332" s="12" t="n">
        <f aca="false">IF(Q1332,A1332,AC1331)</f>
        <v>46112</v>
      </c>
      <c r="AD1332" s="8" t="n">
        <f aca="false">IF(Q1332,B1332,AD1331)</f>
        <v>0.873902535185658</v>
      </c>
      <c r="AE1332" s="8" t="str">
        <f aca="false">IF(AA1332,L1332,"")</f>
        <v/>
      </c>
      <c r="AF1332" s="8" t="n">
        <f aca="false">U1332</f>
        <v>0.854592691222844</v>
      </c>
      <c r="AG1332" s="2" t="n">
        <f aca="false">AG1331+IF(Q1332,1,0)</f>
        <v>15</v>
      </c>
      <c r="AH1332" s="2" t="n">
        <f aca="false">AG1331</f>
        <v>15</v>
      </c>
      <c r="AI1332" s="10" t="n">
        <f aca="false">X1332+Y1332*(E1332-AB1332)-Y1332*AD1332*Inputs!$B$13*(A1332-AC1332)</f>
        <v>928.926327464329</v>
      </c>
      <c r="AJ1332" s="10" t="n">
        <v>0</v>
      </c>
      <c r="AK1332" s="8" t="n">
        <f aca="false">IF(AND(B1332&lt;=U1332,NOT(Q1332)),B1332,U1332)*(1-Inputs!$B$12)</f>
        <v>0.854421772684599</v>
      </c>
    </row>
    <row r="1333" customFormat="false" ht="15" hidden="false" customHeight="false" outlineLevel="0" collapsed="false">
      <c r="A1333" s="6" t="n">
        <v>46117</v>
      </c>
      <c r="B1333" s="7" t="n">
        <v>0.88434480014225</v>
      </c>
      <c r="C1333" s="7" t="n">
        <v>0.894814084621795</v>
      </c>
      <c r="D1333" s="7" t="n">
        <v>0.88320908019125</v>
      </c>
      <c r="E1333" s="7" t="n">
        <v>0.88965756695704</v>
      </c>
      <c r="F1333" s="8" t="n">
        <f aca="true">IF(ROW()-2&gt;=Inputs!$B$4,AVERAGE(OFFSET(E1333,1-Inputs!$B$4,0,Inputs!$B$4,1)),"")</f>
        <v>0.883106385490958</v>
      </c>
      <c r="G1333" s="8" t="n">
        <f aca="true">IF(ROW()-2&gt;=Inputs!$B$5,AVERAGE(OFFSET(E1333,1-Inputs!$B$5,0,Inputs!$B$5,1)),"")</f>
        <v>0.878109090330624</v>
      </c>
      <c r="H1333" s="8" t="n">
        <f aca="false">MAX(C1333-D1333,ABS(C1333-E1332),ABS(D1333-E1332))</f>
        <v>0.0116050044305452</v>
      </c>
      <c r="I1333" s="8" t="n">
        <f aca="true">IF(ROW()-2&lt;14,"",IF(ROW()-2=14,AVERAGE(OFFSET(H1333,-13,0,14,1)),(I1332*13+H1333)/14))</f>
        <v>0.00999858594192159</v>
      </c>
      <c r="J1333" s="9" t="b">
        <f aca="false">IF(AND(ISNUMBER(F1333),ISNUMBER(G1333),ISNUMBER(F1332),ISNUMBER(G1332)),AND(F1333&gt;G1333,F1332&lt;=G1332),FALSE())</f>
        <v>0</v>
      </c>
      <c r="K1333" s="9" t="b">
        <f aca="false">IF(AND(ISNUMBER(F1333),ISNUMBER(G1333),ISNUMBER(F1332),ISNUMBER(G1332)),AND(F1333&lt;G1333,F1332&gt;=G1332),FALSE())</f>
        <v>0</v>
      </c>
      <c r="L1333" s="8" t="n">
        <f aca="false">IF(ISNUMBER(I1333),E1333-Inputs!$B$6*I1333,"")</f>
        <v>0.869660395073197</v>
      </c>
      <c r="M1333" s="9" t="b">
        <f aca="false">AND(Y1332&gt;0,Z1332)</f>
        <v>0</v>
      </c>
      <c r="N1333" s="8" t="n">
        <f aca="false">B1333*(1-Inputs!$B$12)</f>
        <v>0.884167931182221</v>
      </c>
      <c r="O1333" s="10" t="n">
        <f aca="false">IF(M1333,Y1332*(N1333-AB1332)-Inputs!$B$9-Y1332*AD1332*Inputs!$B$13*(A1333-AC1332),0)</f>
        <v>0</v>
      </c>
      <c r="P1333" s="10" t="n">
        <f aca="false">X1332+O1333</f>
        <v>924.345823172389</v>
      </c>
      <c r="Q1333" s="9" t="b">
        <f aca="false">AND(IF(M1333,0,Y1332)=0,AA1332,IF(ISNUMBER(AE1332),B1333&gt;AE1332,FALSE()))</f>
        <v>0</v>
      </c>
      <c r="R1333" s="8" t="n">
        <f aca="false">B1333*(1+Inputs!$B$12)</f>
        <v>0.884521669102278</v>
      </c>
      <c r="S1333" s="11" t="n">
        <f aca="false">IF(Q1333,MIN(P1333*Inputs!$B$3/(R1333-AE1332),P1333*Inputs!$B$11/R1333),0)</f>
        <v>0</v>
      </c>
      <c r="T1333" s="11" t="n">
        <f aca="false">IF(Q1333,S1333,IF(M1333,0,Y1332))</f>
        <v>474.910781372347</v>
      </c>
      <c r="U1333" s="8" t="n">
        <f aca="false">IF(Q1333,AE1332,AF1332)</f>
        <v>0.854592691222844</v>
      </c>
      <c r="V1333" s="9" t="b">
        <f aca="false">AND(T1333&gt;0,D1333&lt;=U1333)</f>
        <v>0</v>
      </c>
      <c r="W1333" s="10" t="n">
        <f aca="false">IF(V1333,T1333*(AK1333-AB1333)-Inputs!$B$9-T1333*AD1333*Inputs!$B$13*(A1333-AC1333),0)</f>
        <v>0</v>
      </c>
      <c r="X1333" s="10" t="n">
        <f aca="false">P1333-IF(Q1333,Inputs!$B$9,0)+W1333</f>
        <v>924.345823172389</v>
      </c>
      <c r="Y1333" s="11" t="n">
        <f aca="false">IF(V1333,0,T1333)</f>
        <v>474.910781372347</v>
      </c>
      <c r="Z1333" s="9" t="b">
        <f aca="false">AND(Y1333&gt;0,K1333)</f>
        <v>0</v>
      </c>
      <c r="AA1333" s="9" t="b">
        <f aca="false">AND(Y1333=0,J1333,ISNUMBER(L1333))</f>
        <v>0</v>
      </c>
      <c r="AB1333" s="8" t="n">
        <f aca="false">IF(Q1333,R1333,AB1332)</f>
        <v>0.874077315692695</v>
      </c>
      <c r="AC1333" s="12" t="n">
        <f aca="false">IF(Q1333,A1333,AC1332)</f>
        <v>46112</v>
      </c>
      <c r="AD1333" s="8" t="n">
        <f aca="false">IF(Q1333,B1333,AD1332)</f>
        <v>0.873902535185658</v>
      </c>
      <c r="AE1333" s="8" t="str">
        <f aca="false">IF(AA1333,L1333,"")</f>
        <v/>
      </c>
      <c r="AF1333" s="8" t="n">
        <f aca="false">U1333</f>
        <v>0.854592691222844</v>
      </c>
      <c r="AG1333" s="2" t="n">
        <f aca="false">AG1332+IF(Q1333,1,0)</f>
        <v>15</v>
      </c>
      <c r="AH1333" s="2" t="n">
        <f aca="false">AG1332</f>
        <v>15</v>
      </c>
      <c r="AI1333" s="10" t="n">
        <f aca="false">X1333+Y1333*(E1333-AB1333)-Y1333*AD1333*Inputs!$B$13*(A1333-AC1333)</f>
        <v>931.375509010908</v>
      </c>
      <c r="AJ1333" s="10" t="n">
        <v>0</v>
      </c>
      <c r="AK1333" s="8" t="n">
        <f aca="false">IF(AND(B1333&lt;=U1333,NOT(Q1333)),B1333,U1333)*(1-Inputs!$B$12)</f>
        <v>0.854421772684599</v>
      </c>
    </row>
    <row r="1334" customFormat="false" ht="15" hidden="false" customHeight="false" outlineLevel="0" collapsed="false">
      <c r="A1334" s="6" t="n">
        <v>46118</v>
      </c>
      <c r="B1334" s="7" t="n">
        <v>0.88965756695704</v>
      </c>
      <c r="C1334" s="7" t="n">
        <v>0.892112159670606</v>
      </c>
      <c r="D1334" s="7" t="n">
        <v>0.883354162945794</v>
      </c>
      <c r="E1334" s="7" t="n">
        <v>0.887683218338822</v>
      </c>
      <c r="F1334" s="8" t="n">
        <f aca="true">IF(ROW()-2&gt;=Inputs!$B$4,AVERAGE(OFFSET(E1334,1-Inputs!$B$4,0,Inputs!$B$4,1)),"")</f>
        <v>0.88356278194422</v>
      </c>
      <c r="G1334" s="8" t="n">
        <f aca="true">IF(ROW()-2&gt;=Inputs!$B$5,AVERAGE(OFFSET(E1334,1-Inputs!$B$5,0,Inputs!$B$5,1)),"")</f>
        <v>0.878154044869513</v>
      </c>
      <c r="H1334" s="8" t="n">
        <f aca="false">MAX(C1334-D1334,ABS(C1334-E1333),ABS(D1334-E1333))</f>
        <v>0.00875799672481259</v>
      </c>
      <c r="I1334" s="8" t="n">
        <f aca="true">IF(ROW()-2&lt;14,"",IF(ROW()-2=14,AVERAGE(OFFSET(H1334,-13,0,14,1)),(I1333*13+H1334)/14))</f>
        <v>0.00990997242641381</v>
      </c>
      <c r="J1334" s="9" t="b">
        <f aca="false">IF(AND(ISNUMBER(F1334),ISNUMBER(G1334),ISNUMBER(F1333),ISNUMBER(G1333)),AND(F1334&gt;G1334,F1333&lt;=G1333),FALSE())</f>
        <v>0</v>
      </c>
      <c r="K1334" s="9" t="b">
        <f aca="false">IF(AND(ISNUMBER(F1334),ISNUMBER(G1334),ISNUMBER(F1333),ISNUMBER(G1333)),AND(F1334&lt;G1334,F1333&gt;=G1333),FALSE())</f>
        <v>0</v>
      </c>
      <c r="L1334" s="8" t="n">
        <f aca="false">IF(ISNUMBER(I1334),E1334-Inputs!$B$6*I1334,"")</f>
        <v>0.867863273485995</v>
      </c>
      <c r="M1334" s="9" t="b">
        <f aca="false">AND(Y1333&gt;0,Z1333)</f>
        <v>0</v>
      </c>
      <c r="N1334" s="8" t="n">
        <f aca="false">B1334*(1-Inputs!$B$12)</f>
        <v>0.889479635443648</v>
      </c>
      <c r="O1334" s="10" t="n">
        <f aca="false">IF(M1334,Y1333*(N1334-AB1333)-Inputs!$B$9-Y1333*AD1333*Inputs!$B$13*(A1334-AC1333),0)</f>
        <v>0</v>
      </c>
      <c r="P1334" s="10" t="n">
        <f aca="false">X1333+O1334</f>
        <v>924.345823172389</v>
      </c>
      <c r="Q1334" s="9" t="b">
        <f aca="false">AND(IF(M1334,0,Y1333)=0,AA1333,IF(ISNUMBER(AE1333),B1334&gt;AE1333,FALSE()))</f>
        <v>0</v>
      </c>
      <c r="R1334" s="8" t="n">
        <f aca="false">B1334*(1+Inputs!$B$12)</f>
        <v>0.889835498470431</v>
      </c>
      <c r="S1334" s="11" t="n">
        <f aca="false">IF(Q1334,MIN(P1334*Inputs!$B$3/(R1334-AE1333),P1334*Inputs!$B$11/R1334),0)</f>
        <v>0</v>
      </c>
      <c r="T1334" s="11" t="n">
        <f aca="false">IF(Q1334,S1334,IF(M1334,0,Y1333))</f>
        <v>474.910781372347</v>
      </c>
      <c r="U1334" s="8" t="n">
        <f aca="false">IF(Q1334,AE1333,AF1333)</f>
        <v>0.854592691222844</v>
      </c>
      <c r="V1334" s="9" t="b">
        <f aca="false">AND(T1334&gt;0,D1334&lt;=U1334)</f>
        <v>0</v>
      </c>
      <c r="W1334" s="10" t="n">
        <f aca="false">IF(V1334,T1334*(AK1334-AB1334)-Inputs!$B$9-T1334*AD1334*Inputs!$B$13*(A1334-AC1334),0)</f>
        <v>0</v>
      </c>
      <c r="X1334" s="10" t="n">
        <f aca="false">P1334-IF(Q1334,Inputs!$B$9,0)+W1334</f>
        <v>924.345823172389</v>
      </c>
      <c r="Y1334" s="11" t="n">
        <f aca="false">IF(V1334,0,T1334)</f>
        <v>474.910781372347</v>
      </c>
      <c r="Z1334" s="9" t="b">
        <f aca="false">AND(Y1334&gt;0,K1334)</f>
        <v>0</v>
      </c>
      <c r="AA1334" s="9" t="b">
        <f aca="false">AND(Y1334=0,J1334,ISNUMBER(L1334))</f>
        <v>0</v>
      </c>
      <c r="AB1334" s="8" t="n">
        <f aca="false">IF(Q1334,R1334,AB1333)</f>
        <v>0.874077315692695</v>
      </c>
      <c r="AC1334" s="12" t="n">
        <f aca="false">IF(Q1334,A1334,AC1333)</f>
        <v>46112</v>
      </c>
      <c r="AD1334" s="8" t="n">
        <f aca="false">IF(Q1334,B1334,AD1333)</f>
        <v>0.873902535185658</v>
      </c>
      <c r="AE1334" s="8" t="str">
        <f aca="false">IF(AA1334,L1334,"")</f>
        <v/>
      </c>
      <c r="AF1334" s="8" t="n">
        <f aca="false">U1334</f>
        <v>0.854592691222844</v>
      </c>
      <c r="AG1334" s="2" t="n">
        <f aca="false">AG1333+IF(Q1334,1,0)</f>
        <v>15</v>
      </c>
      <c r="AH1334" s="2" t="n">
        <f aca="false">AG1333</f>
        <v>15</v>
      </c>
      <c r="AI1334" s="10" t="n">
        <f aca="false">X1334+Y1334*(E1334-AB1334)-Y1334*AD1334*Inputs!$B$13*(A1334-AC1334)</f>
        <v>930.363960873247</v>
      </c>
      <c r="AJ1334" s="10" t="n">
        <v>0</v>
      </c>
      <c r="AK1334" s="8" t="n">
        <f aca="false">IF(AND(B1334&lt;=U1334,NOT(Q1334)),B1334,U1334)*(1-Inputs!$B$12)</f>
        <v>0.854421772684599</v>
      </c>
    </row>
    <row r="1335" customFormat="false" ht="15" hidden="false" customHeight="false" outlineLevel="0" collapsed="false">
      <c r="A1335" s="6" t="n">
        <v>46119</v>
      </c>
      <c r="B1335" s="7" t="n">
        <v>0.887683218338822</v>
      </c>
      <c r="C1335" s="7" t="n">
        <v>0.89700248722197</v>
      </c>
      <c r="D1335" s="7" t="n">
        <v>0.887582485459485</v>
      </c>
      <c r="E1335" s="7" t="n">
        <v>0.894293762079589</v>
      </c>
      <c r="F1335" s="8" t="n">
        <f aca="true">IF(ROW()-2&gt;=Inputs!$B$4,AVERAGE(OFFSET(E1335,1-Inputs!$B$4,0,Inputs!$B$4,1)),"")</f>
        <v>0.884060519253871</v>
      </c>
      <c r="G1335" s="8" t="n">
        <f aca="true">IF(ROW()-2&gt;=Inputs!$B$5,AVERAGE(OFFSET(E1335,1-Inputs!$B$5,0,Inputs!$B$5,1)),"")</f>
        <v>0.87838274338647</v>
      </c>
      <c r="H1335" s="8" t="n">
        <f aca="false">MAX(C1335-D1335,ABS(C1335-E1334),ABS(D1335-E1334))</f>
        <v>0.00942000176248536</v>
      </c>
      <c r="I1335" s="8" t="n">
        <f aca="true">IF(ROW()-2&lt;14,"",IF(ROW()-2=14,AVERAGE(OFFSET(H1335,-13,0,14,1)),(I1334*13+H1335)/14))</f>
        <v>0.00987497452184749</v>
      </c>
      <c r="J1335" s="9" t="b">
        <f aca="false">IF(AND(ISNUMBER(F1335),ISNUMBER(G1335),ISNUMBER(F1334),ISNUMBER(G1334)),AND(F1335&gt;G1335,F1334&lt;=G1334),FALSE())</f>
        <v>0</v>
      </c>
      <c r="K1335" s="9" t="b">
        <f aca="false">IF(AND(ISNUMBER(F1335),ISNUMBER(G1335),ISNUMBER(F1334),ISNUMBER(G1334)),AND(F1335&lt;G1335,F1334&gt;=G1334),FALSE())</f>
        <v>0</v>
      </c>
      <c r="L1335" s="8" t="n">
        <f aca="false">IF(ISNUMBER(I1335),E1335-Inputs!$B$6*I1335,"")</f>
        <v>0.874543813035894</v>
      </c>
      <c r="M1335" s="9" t="b">
        <f aca="false">AND(Y1334&gt;0,Z1334)</f>
        <v>0</v>
      </c>
      <c r="N1335" s="8" t="n">
        <f aca="false">B1335*(1-Inputs!$B$12)</f>
        <v>0.887505681695155</v>
      </c>
      <c r="O1335" s="10" t="n">
        <f aca="false">IF(M1335,Y1334*(N1335-AB1334)-Inputs!$B$9-Y1334*AD1334*Inputs!$B$13*(A1335-AC1334),0)</f>
        <v>0</v>
      </c>
      <c r="P1335" s="10" t="n">
        <f aca="false">X1334+O1335</f>
        <v>924.345823172389</v>
      </c>
      <c r="Q1335" s="9" t="b">
        <f aca="false">AND(IF(M1335,0,Y1334)=0,AA1334,IF(ISNUMBER(AE1334),B1335&gt;AE1334,FALSE()))</f>
        <v>0</v>
      </c>
      <c r="R1335" s="8" t="n">
        <f aca="false">B1335*(1+Inputs!$B$12)</f>
        <v>0.88786075498249</v>
      </c>
      <c r="S1335" s="11" t="n">
        <f aca="false">IF(Q1335,MIN(P1335*Inputs!$B$3/(R1335-AE1334),P1335*Inputs!$B$11/R1335),0)</f>
        <v>0</v>
      </c>
      <c r="T1335" s="11" t="n">
        <f aca="false">IF(Q1335,S1335,IF(M1335,0,Y1334))</f>
        <v>474.910781372347</v>
      </c>
      <c r="U1335" s="8" t="n">
        <f aca="false">IF(Q1335,AE1334,AF1334)</f>
        <v>0.854592691222844</v>
      </c>
      <c r="V1335" s="9" t="b">
        <f aca="false">AND(T1335&gt;0,D1335&lt;=U1335)</f>
        <v>0</v>
      </c>
      <c r="W1335" s="10" t="n">
        <f aca="false">IF(V1335,T1335*(AK1335-AB1335)-Inputs!$B$9-T1335*AD1335*Inputs!$B$13*(A1335-AC1335),0)</f>
        <v>0</v>
      </c>
      <c r="X1335" s="10" t="n">
        <f aca="false">P1335-IF(Q1335,Inputs!$B$9,0)+W1335</f>
        <v>924.345823172389</v>
      </c>
      <c r="Y1335" s="11" t="n">
        <f aca="false">IF(V1335,0,T1335)</f>
        <v>474.910781372347</v>
      </c>
      <c r="Z1335" s="9" t="b">
        <f aca="false">AND(Y1335&gt;0,K1335)</f>
        <v>0</v>
      </c>
      <c r="AA1335" s="9" t="b">
        <f aca="false">AND(Y1335=0,J1335,ISNUMBER(L1335))</f>
        <v>0</v>
      </c>
      <c r="AB1335" s="8" t="n">
        <f aca="false">IF(Q1335,R1335,AB1334)</f>
        <v>0.874077315692695</v>
      </c>
      <c r="AC1335" s="12" t="n">
        <f aca="false">IF(Q1335,A1335,AC1334)</f>
        <v>46112</v>
      </c>
      <c r="AD1335" s="8" t="n">
        <f aca="false">IF(Q1335,B1335,AD1334)</f>
        <v>0.873902535185658</v>
      </c>
      <c r="AE1335" s="8" t="str">
        <f aca="false">IF(AA1335,L1335,"")</f>
        <v/>
      </c>
      <c r="AF1335" s="8" t="n">
        <f aca="false">U1335</f>
        <v>0.854592691222844</v>
      </c>
      <c r="AG1335" s="2" t="n">
        <f aca="false">AG1334+IF(Q1335,1,0)</f>
        <v>15</v>
      </c>
      <c r="AH1335" s="2" t="n">
        <f aca="false">AG1334</f>
        <v>15</v>
      </c>
      <c r="AI1335" s="10" t="n">
        <f aca="false">X1335+Y1335*(E1335-AB1335)-Y1335*AD1335*Inputs!$B$13*(A1335-AC1335)</f>
        <v>933.429470673789</v>
      </c>
      <c r="AJ1335" s="10" t="n">
        <v>0</v>
      </c>
      <c r="AK1335" s="8" t="n">
        <f aca="false">IF(AND(B1335&lt;=U1335,NOT(Q1335)),B1335,U1335)*(1-Inputs!$B$12)</f>
        <v>0.854421772684599</v>
      </c>
    </row>
    <row r="1336" customFormat="false" ht="15" hidden="false" customHeight="false" outlineLevel="0" collapsed="false">
      <c r="A1336" s="6" t="n">
        <v>46120</v>
      </c>
      <c r="B1336" s="7" t="n">
        <v>0.894293762079589</v>
      </c>
      <c r="C1336" s="7" t="n">
        <v>0.895843291016682</v>
      </c>
      <c r="D1336" s="7" t="n">
        <v>0.883862097023386</v>
      </c>
      <c r="E1336" s="7" t="n">
        <v>0.886942318397619</v>
      </c>
      <c r="F1336" s="8" t="n">
        <f aca="true">IF(ROW()-2&gt;=Inputs!$B$4,AVERAGE(OFFSET(E1336,1-Inputs!$B$4,0,Inputs!$B$4,1)),"")</f>
        <v>0.883888635215684</v>
      </c>
      <c r="G1336" s="8" t="n">
        <f aca="true">IF(ROW()-2&gt;=Inputs!$B$5,AVERAGE(OFFSET(E1336,1-Inputs!$B$5,0,Inputs!$B$5,1)),"")</f>
        <v>0.878485766735697</v>
      </c>
      <c r="H1336" s="8" t="n">
        <f aca="false">MAX(C1336-D1336,ABS(C1336-E1335),ABS(D1336-E1335))</f>
        <v>0.0119811939932959</v>
      </c>
      <c r="I1336" s="8" t="n">
        <f aca="true">IF(ROW()-2&lt;14,"",IF(ROW()-2=14,AVERAGE(OFFSET(H1336,-13,0,14,1)),(I1335*13+H1336)/14))</f>
        <v>0.0100254187698081</v>
      </c>
      <c r="J1336" s="9" t="b">
        <f aca="false">IF(AND(ISNUMBER(F1336),ISNUMBER(G1336),ISNUMBER(F1335),ISNUMBER(G1335)),AND(F1336&gt;G1336,F1335&lt;=G1335),FALSE())</f>
        <v>0</v>
      </c>
      <c r="K1336" s="9" t="b">
        <f aca="false">IF(AND(ISNUMBER(F1336),ISNUMBER(G1336),ISNUMBER(F1335),ISNUMBER(G1335)),AND(F1336&lt;G1336,F1335&gt;=G1335),FALSE())</f>
        <v>0</v>
      </c>
      <c r="L1336" s="8" t="n">
        <f aca="false">IF(ISNUMBER(I1336),E1336-Inputs!$B$6*I1336,"")</f>
        <v>0.866891480858003</v>
      </c>
      <c r="M1336" s="9" t="b">
        <f aca="false">AND(Y1335&gt;0,Z1335)</f>
        <v>0</v>
      </c>
      <c r="N1336" s="8" t="n">
        <f aca="false">B1336*(1-Inputs!$B$12)</f>
        <v>0.894114903327173</v>
      </c>
      <c r="O1336" s="10" t="n">
        <f aca="false">IF(M1336,Y1335*(N1336-AB1335)-Inputs!$B$9-Y1335*AD1335*Inputs!$B$13*(A1336-AC1335),0)</f>
        <v>0</v>
      </c>
      <c r="P1336" s="10" t="n">
        <f aca="false">X1335+O1336</f>
        <v>924.345823172389</v>
      </c>
      <c r="Q1336" s="9" t="b">
        <f aca="false">AND(IF(M1336,0,Y1335)=0,AA1335,IF(ISNUMBER(AE1335),B1336&gt;AE1335,FALSE()))</f>
        <v>0</v>
      </c>
      <c r="R1336" s="8" t="n">
        <f aca="false">B1336*(1+Inputs!$B$12)</f>
        <v>0.894472620832005</v>
      </c>
      <c r="S1336" s="11" t="n">
        <f aca="false">IF(Q1336,MIN(P1336*Inputs!$B$3/(R1336-AE1335),P1336*Inputs!$B$11/R1336),0)</f>
        <v>0</v>
      </c>
      <c r="T1336" s="11" t="n">
        <f aca="false">IF(Q1336,S1336,IF(M1336,0,Y1335))</f>
        <v>474.910781372347</v>
      </c>
      <c r="U1336" s="8" t="n">
        <f aca="false">IF(Q1336,AE1335,AF1335)</f>
        <v>0.854592691222844</v>
      </c>
      <c r="V1336" s="9" t="b">
        <f aca="false">AND(T1336&gt;0,D1336&lt;=U1336)</f>
        <v>0</v>
      </c>
      <c r="W1336" s="10" t="n">
        <f aca="false">IF(V1336,T1336*(AK1336-AB1336)-Inputs!$B$9-T1336*AD1336*Inputs!$B$13*(A1336-AC1336),0)</f>
        <v>0</v>
      </c>
      <c r="X1336" s="10" t="n">
        <f aca="false">P1336-IF(Q1336,Inputs!$B$9,0)+W1336</f>
        <v>924.345823172389</v>
      </c>
      <c r="Y1336" s="11" t="n">
        <f aca="false">IF(V1336,0,T1336)</f>
        <v>474.910781372347</v>
      </c>
      <c r="Z1336" s="9" t="b">
        <f aca="false">AND(Y1336&gt;0,K1336)</f>
        <v>0</v>
      </c>
      <c r="AA1336" s="9" t="b">
        <f aca="false">AND(Y1336=0,J1336,ISNUMBER(L1336))</f>
        <v>0</v>
      </c>
      <c r="AB1336" s="8" t="n">
        <f aca="false">IF(Q1336,R1336,AB1335)</f>
        <v>0.874077315692695</v>
      </c>
      <c r="AC1336" s="12" t="n">
        <f aca="false">IF(Q1336,A1336,AC1335)</f>
        <v>46112</v>
      </c>
      <c r="AD1336" s="8" t="n">
        <f aca="false">IF(Q1336,B1336,AD1335)</f>
        <v>0.873902535185658</v>
      </c>
      <c r="AE1336" s="8" t="str">
        <f aca="false">IF(AA1336,L1336,"")</f>
        <v/>
      </c>
      <c r="AF1336" s="8" t="n">
        <f aca="false">U1336</f>
        <v>0.854592691222844</v>
      </c>
      <c r="AG1336" s="2" t="n">
        <f aca="false">AG1335+IF(Q1336,1,0)</f>
        <v>15</v>
      </c>
      <c r="AH1336" s="2" t="n">
        <f aca="false">AG1335</f>
        <v>15</v>
      </c>
      <c r="AI1336" s="10" t="n">
        <f aca="false">X1336+Y1336*(E1336-AB1336)-Y1336*AD1336*Inputs!$B$13*(A1336-AC1336)</f>
        <v>929.864282117888</v>
      </c>
      <c r="AJ1336" s="10" t="n">
        <v>0</v>
      </c>
      <c r="AK1336" s="8" t="n">
        <f aca="false">IF(AND(B1336&lt;=U1336,NOT(Q1336)),B1336,U1336)*(1-Inputs!$B$12)</f>
        <v>0.854421772684599</v>
      </c>
    </row>
    <row r="1337" customFormat="false" ht="15" hidden="false" customHeight="false" outlineLevel="0" collapsed="false">
      <c r="A1337" s="6" t="n">
        <v>46121</v>
      </c>
      <c r="B1337" s="7" t="n">
        <v>0.886942318397619</v>
      </c>
      <c r="C1337" s="7" t="n">
        <v>0.887484615162786</v>
      </c>
      <c r="D1337" s="7" t="n">
        <v>0.881871295860626</v>
      </c>
      <c r="E1337" s="7" t="n">
        <v>0.885491606734483</v>
      </c>
      <c r="F1337" s="8" t="n">
        <f aca="true">IF(ROW()-2&gt;=Inputs!$B$4,AVERAGE(OFFSET(E1337,1-Inputs!$B$4,0,Inputs!$B$4,1)),"")</f>
        <v>0.883812519812155</v>
      </c>
      <c r="G1337" s="8" t="n">
        <f aca="true">IF(ROW()-2&gt;=Inputs!$B$5,AVERAGE(OFFSET(E1337,1-Inputs!$B$5,0,Inputs!$B$5,1)),"")</f>
        <v>0.878612507027852</v>
      </c>
      <c r="H1337" s="8" t="n">
        <f aca="false">MAX(C1337-D1337,ABS(C1337-E1336),ABS(D1337-E1336))</f>
        <v>0.00561331930215991</v>
      </c>
      <c r="I1337" s="8" t="n">
        <f aca="true">IF(ROW()-2&lt;14,"",IF(ROW()-2=14,AVERAGE(OFFSET(H1337,-13,0,14,1)),(I1336*13+H1337)/14))</f>
        <v>0.00971026880783322</v>
      </c>
      <c r="J1337" s="9" t="b">
        <f aca="false">IF(AND(ISNUMBER(F1337),ISNUMBER(G1337),ISNUMBER(F1336),ISNUMBER(G1336)),AND(F1337&gt;G1337,F1336&lt;=G1336),FALSE())</f>
        <v>0</v>
      </c>
      <c r="K1337" s="9" t="b">
        <f aca="false">IF(AND(ISNUMBER(F1337),ISNUMBER(G1337),ISNUMBER(F1336),ISNUMBER(G1336)),AND(F1337&lt;G1337,F1336&gt;=G1336),FALSE())</f>
        <v>0</v>
      </c>
      <c r="L1337" s="8" t="n">
        <f aca="false">IF(ISNUMBER(I1337),E1337-Inputs!$B$6*I1337,"")</f>
        <v>0.866071069118816</v>
      </c>
      <c r="M1337" s="9" t="b">
        <f aca="false">AND(Y1336&gt;0,Z1336)</f>
        <v>0</v>
      </c>
      <c r="N1337" s="8" t="n">
        <f aca="false">B1337*(1-Inputs!$B$12)</f>
        <v>0.88676492993394</v>
      </c>
      <c r="O1337" s="10" t="n">
        <f aca="false">IF(M1337,Y1336*(N1337-AB1336)-Inputs!$B$9-Y1336*AD1336*Inputs!$B$13*(A1337-AC1336),0)</f>
        <v>0</v>
      </c>
      <c r="P1337" s="10" t="n">
        <f aca="false">X1336+O1337</f>
        <v>924.345823172389</v>
      </c>
      <c r="Q1337" s="9" t="b">
        <f aca="false">AND(IF(M1337,0,Y1336)=0,AA1336,IF(ISNUMBER(AE1336),B1337&gt;AE1336,FALSE()))</f>
        <v>0</v>
      </c>
      <c r="R1337" s="8" t="n">
        <f aca="false">B1337*(1+Inputs!$B$12)</f>
        <v>0.887119706861299</v>
      </c>
      <c r="S1337" s="11" t="n">
        <f aca="false">IF(Q1337,MIN(P1337*Inputs!$B$3/(R1337-AE1336),P1337*Inputs!$B$11/R1337),0)</f>
        <v>0</v>
      </c>
      <c r="T1337" s="11" t="n">
        <f aca="false">IF(Q1337,S1337,IF(M1337,0,Y1336))</f>
        <v>474.910781372347</v>
      </c>
      <c r="U1337" s="8" t="n">
        <f aca="false">IF(Q1337,AE1336,AF1336)</f>
        <v>0.854592691222844</v>
      </c>
      <c r="V1337" s="9" t="b">
        <f aca="false">AND(T1337&gt;0,D1337&lt;=U1337)</f>
        <v>0</v>
      </c>
      <c r="W1337" s="10" t="n">
        <f aca="false">IF(V1337,T1337*(AK1337-AB1337)-Inputs!$B$9-T1337*AD1337*Inputs!$B$13*(A1337-AC1337),0)</f>
        <v>0</v>
      </c>
      <c r="X1337" s="10" t="n">
        <f aca="false">P1337-IF(Q1337,Inputs!$B$9,0)+W1337</f>
        <v>924.345823172389</v>
      </c>
      <c r="Y1337" s="11" t="n">
        <f aca="false">IF(V1337,0,T1337)</f>
        <v>474.910781372347</v>
      </c>
      <c r="Z1337" s="9" t="b">
        <f aca="false">AND(Y1337&gt;0,K1337)</f>
        <v>0</v>
      </c>
      <c r="AA1337" s="9" t="b">
        <f aca="false">AND(Y1337=0,J1337,ISNUMBER(L1337))</f>
        <v>0</v>
      </c>
      <c r="AB1337" s="8" t="n">
        <f aca="false">IF(Q1337,R1337,AB1336)</f>
        <v>0.874077315692695</v>
      </c>
      <c r="AC1337" s="12" t="n">
        <f aca="false">IF(Q1337,A1337,AC1336)</f>
        <v>46112</v>
      </c>
      <c r="AD1337" s="8" t="n">
        <f aca="false">IF(Q1337,B1337,AD1336)</f>
        <v>0.873902535185658</v>
      </c>
      <c r="AE1337" s="8" t="str">
        <f aca="false">IF(AA1337,L1337,"")</f>
        <v/>
      </c>
      <c r="AF1337" s="8" t="n">
        <f aca="false">U1337</f>
        <v>0.854592691222844</v>
      </c>
      <c r="AG1337" s="2" t="n">
        <f aca="false">AG1336+IF(Q1337,1,0)</f>
        <v>15</v>
      </c>
      <c r="AH1337" s="2" t="n">
        <f aca="false">AG1336</f>
        <v>15</v>
      </c>
      <c r="AI1337" s="10" t="n">
        <f aca="false">X1337+Y1337*(E1337-AB1337)-Y1337*AD1337*Inputs!$B$13*(A1337-AC1337)</f>
        <v>929.10141481572</v>
      </c>
      <c r="AJ1337" s="10" t="n">
        <v>0</v>
      </c>
      <c r="AK1337" s="8" t="n">
        <f aca="false">IF(AND(B1337&lt;=U1337,NOT(Q1337)),B1337,U1337)*(1-Inputs!$B$12)</f>
        <v>0.854421772684599</v>
      </c>
    </row>
    <row r="1338" customFormat="false" ht="15" hidden="false" customHeight="false" outlineLevel="0" collapsed="false">
      <c r="A1338" s="6" t="n">
        <v>46122</v>
      </c>
      <c r="B1338" s="7" t="n">
        <v>0.885491606734483</v>
      </c>
      <c r="C1338" s="7" t="n">
        <v>0.887078995877028</v>
      </c>
      <c r="D1338" s="7" t="n">
        <v>0.879920818348232</v>
      </c>
      <c r="E1338" s="7" t="n">
        <v>0.88016865661513</v>
      </c>
      <c r="F1338" s="8" t="n">
        <f aca="true">IF(ROW()-2&gt;=Inputs!$B$4,AVERAGE(OFFSET(E1338,1-Inputs!$B$4,0,Inputs!$B$4,1)),"")</f>
        <v>0.883813293455125</v>
      </c>
      <c r="G1338" s="8" t="n">
        <f aca="true">IF(ROW()-2&gt;=Inputs!$B$5,AVERAGE(OFFSET(E1338,1-Inputs!$B$5,0,Inputs!$B$5,1)),"")</f>
        <v>0.878559019337841</v>
      </c>
      <c r="H1338" s="8" t="n">
        <f aca="false">MAX(C1338-D1338,ABS(C1338-E1337),ABS(D1338-E1337))</f>
        <v>0.00715817752879588</v>
      </c>
      <c r="I1338" s="8" t="n">
        <f aca="true">IF(ROW()-2&lt;14,"",IF(ROW()-2=14,AVERAGE(OFFSET(H1338,-13,0,14,1)),(I1337*13+H1338)/14))</f>
        <v>0.00952797657361627</v>
      </c>
      <c r="J1338" s="9" t="b">
        <f aca="false">IF(AND(ISNUMBER(F1338),ISNUMBER(G1338),ISNUMBER(F1337),ISNUMBER(G1337)),AND(F1338&gt;G1338,F1337&lt;=G1337),FALSE())</f>
        <v>0</v>
      </c>
      <c r="K1338" s="9" t="b">
        <f aca="false">IF(AND(ISNUMBER(F1338),ISNUMBER(G1338),ISNUMBER(F1337),ISNUMBER(G1337)),AND(F1338&lt;G1338,F1337&gt;=G1337),FALSE())</f>
        <v>0</v>
      </c>
      <c r="L1338" s="8" t="n">
        <f aca="false">IF(ISNUMBER(I1338),E1338-Inputs!$B$6*I1338,"")</f>
        <v>0.861112703467898</v>
      </c>
      <c r="M1338" s="9" t="b">
        <f aca="false">AND(Y1337&gt;0,Z1337)</f>
        <v>0</v>
      </c>
      <c r="N1338" s="8" t="n">
        <f aca="false">B1338*(1-Inputs!$B$12)</f>
        <v>0.885314508413136</v>
      </c>
      <c r="O1338" s="10" t="n">
        <f aca="false">IF(M1338,Y1337*(N1338-AB1337)-Inputs!$B$9-Y1337*AD1337*Inputs!$B$13*(A1338-AC1337),0)</f>
        <v>0</v>
      </c>
      <c r="P1338" s="10" t="n">
        <f aca="false">X1337+O1338</f>
        <v>924.345823172389</v>
      </c>
      <c r="Q1338" s="9" t="b">
        <f aca="false">AND(IF(M1338,0,Y1337)=0,AA1337,IF(ISNUMBER(AE1337),B1338&gt;AE1337,FALSE()))</f>
        <v>0</v>
      </c>
      <c r="R1338" s="8" t="n">
        <f aca="false">B1338*(1+Inputs!$B$12)</f>
        <v>0.88566870505583</v>
      </c>
      <c r="S1338" s="11" t="n">
        <f aca="false">IF(Q1338,MIN(P1338*Inputs!$B$3/(R1338-AE1337),P1338*Inputs!$B$11/R1338),0)</f>
        <v>0</v>
      </c>
      <c r="T1338" s="11" t="n">
        <f aca="false">IF(Q1338,S1338,IF(M1338,0,Y1337))</f>
        <v>474.910781372347</v>
      </c>
      <c r="U1338" s="8" t="n">
        <f aca="false">IF(Q1338,AE1337,AF1337)</f>
        <v>0.854592691222844</v>
      </c>
      <c r="V1338" s="9" t="b">
        <f aca="false">AND(T1338&gt;0,D1338&lt;=U1338)</f>
        <v>0</v>
      </c>
      <c r="W1338" s="10" t="n">
        <f aca="false">IF(V1338,T1338*(AK1338-AB1338)-Inputs!$B$9-T1338*AD1338*Inputs!$B$13*(A1338-AC1338),0)</f>
        <v>0</v>
      </c>
      <c r="X1338" s="10" t="n">
        <f aca="false">P1338-IF(Q1338,Inputs!$B$9,0)+W1338</f>
        <v>924.345823172389</v>
      </c>
      <c r="Y1338" s="11" t="n">
        <f aca="false">IF(V1338,0,T1338)</f>
        <v>474.910781372347</v>
      </c>
      <c r="Z1338" s="9" t="b">
        <f aca="false">AND(Y1338&gt;0,K1338)</f>
        <v>0</v>
      </c>
      <c r="AA1338" s="9" t="b">
        <f aca="false">AND(Y1338=0,J1338,ISNUMBER(L1338))</f>
        <v>0</v>
      </c>
      <c r="AB1338" s="8" t="n">
        <f aca="false">IF(Q1338,R1338,AB1337)</f>
        <v>0.874077315692695</v>
      </c>
      <c r="AC1338" s="12" t="n">
        <f aca="false">IF(Q1338,A1338,AC1337)</f>
        <v>46112</v>
      </c>
      <c r="AD1338" s="8" t="n">
        <f aca="false">IF(Q1338,B1338,AD1337)</f>
        <v>0.873902535185658</v>
      </c>
      <c r="AE1338" s="8" t="str">
        <f aca="false">IF(AA1338,L1338,"")</f>
        <v/>
      </c>
      <c r="AF1338" s="8" t="n">
        <f aca="false">U1338</f>
        <v>0.854592691222844</v>
      </c>
      <c r="AG1338" s="2" t="n">
        <f aca="false">AG1337+IF(Q1338,1,0)</f>
        <v>15</v>
      </c>
      <c r="AH1338" s="2" t="n">
        <f aca="false">AG1337</f>
        <v>15</v>
      </c>
      <c r="AI1338" s="10" t="n">
        <f aca="false">X1338+Y1338*(E1338-AB1338)-Y1338*AD1338*Inputs!$B$13*(A1338-AC1338)</f>
        <v>926.499579722651</v>
      </c>
      <c r="AJ1338" s="10" t="n">
        <v>0</v>
      </c>
      <c r="AK1338" s="8" t="n">
        <f aca="false">IF(AND(B1338&lt;=U1338,NOT(Q1338)),B1338,U1338)*(1-Inputs!$B$12)</f>
        <v>0.854421772684599</v>
      </c>
    </row>
    <row r="1339" customFormat="false" ht="15" hidden="false" customHeight="false" outlineLevel="0" collapsed="false">
      <c r="A1339" s="6" t="n">
        <v>46123</v>
      </c>
      <c r="B1339" s="7" t="n">
        <v>0.88016865661513</v>
      </c>
      <c r="C1339" s="7" t="n">
        <v>0.881288390243992</v>
      </c>
      <c r="D1339" s="7" t="n">
        <v>0.876761471005853</v>
      </c>
      <c r="E1339" s="7" t="n">
        <v>0.878840938393848</v>
      </c>
      <c r="F1339" s="8" t="n">
        <f aca="true">IF(ROW()-2&gt;=Inputs!$B$4,AVERAGE(OFFSET(E1339,1-Inputs!$B$4,0,Inputs!$B$4,1)),"")</f>
        <v>0.883712444047643</v>
      </c>
      <c r="G1339" s="8" t="n">
        <f aca="true">IF(ROW()-2&gt;=Inputs!$B$5,AVERAGE(OFFSET(E1339,1-Inputs!$B$5,0,Inputs!$B$5,1)),"")</f>
        <v>0.878519225024035</v>
      </c>
      <c r="H1339" s="8" t="n">
        <f aca="false">MAX(C1339-D1339,ABS(C1339-E1338),ABS(D1339-E1338))</f>
        <v>0.0045269192381393</v>
      </c>
      <c r="I1339" s="8" t="n">
        <f aca="true">IF(ROW()-2&lt;14,"",IF(ROW()-2=14,AVERAGE(OFFSET(H1339,-13,0,14,1)),(I1338*13+H1339)/14))</f>
        <v>0.00917075819251077</v>
      </c>
      <c r="J1339" s="9" t="b">
        <f aca="false">IF(AND(ISNUMBER(F1339),ISNUMBER(G1339),ISNUMBER(F1338),ISNUMBER(G1338)),AND(F1339&gt;G1339,F1338&lt;=G1338),FALSE())</f>
        <v>0</v>
      </c>
      <c r="K1339" s="9" t="b">
        <f aca="false">IF(AND(ISNUMBER(F1339),ISNUMBER(G1339),ISNUMBER(F1338),ISNUMBER(G1338)),AND(F1339&lt;G1339,F1338&gt;=G1338),FALSE())</f>
        <v>0</v>
      </c>
      <c r="L1339" s="8" t="n">
        <f aca="false">IF(ISNUMBER(I1339),E1339-Inputs!$B$6*I1339,"")</f>
        <v>0.860499422008827</v>
      </c>
      <c r="M1339" s="9" t="b">
        <f aca="false">AND(Y1338&gt;0,Z1338)</f>
        <v>0</v>
      </c>
      <c r="N1339" s="8" t="n">
        <f aca="false">B1339*(1-Inputs!$B$12)</f>
        <v>0.879992622883807</v>
      </c>
      <c r="O1339" s="10" t="n">
        <f aca="false">IF(M1339,Y1338*(N1339-AB1338)-Inputs!$B$9-Y1338*AD1338*Inputs!$B$13*(A1339-AC1338),0)</f>
        <v>0</v>
      </c>
      <c r="P1339" s="10" t="n">
        <f aca="false">X1338+O1339</f>
        <v>924.345823172389</v>
      </c>
      <c r="Q1339" s="9" t="b">
        <f aca="false">AND(IF(M1339,0,Y1338)=0,AA1338,IF(ISNUMBER(AE1338),B1339&gt;AE1338,FALSE()))</f>
        <v>0</v>
      </c>
      <c r="R1339" s="8" t="n">
        <f aca="false">B1339*(1+Inputs!$B$12)</f>
        <v>0.880344690346453</v>
      </c>
      <c r="S1339" s="11" t="n">
        <f aca="false">IF(Q1339,MIN(P1339*Inputs!$B$3/(R1339-AE1338),P1339*Inputs!$B$11/R1339),0)</f>
        <v>0</v>
      </c>
      <c r="T1339" s="11" t="n">
        <f aca="false">IF(Q1339,S1339,IF(M1339,0,Y1338))</f>
        <v>474.910781372347</v>
      </c>
      <c r="U1339" s="8" t="n">
        <f aca="false">IF(Q1339,AE1338,AF1338)</f>
        <v>0.854592691222844</v>
      </c>
      <c r="V1339" s="9" t="b">
        <f aca="false">AND(T1339&gt;0,D1339&lt;=U1339)</f>
        <v>0</v>
      </c>
      <c r="W1339" s="10" t="n">
        <f aca="false">IF(V1339,T1339*(AK1339-AB1339)-Inputs!$B$9-T1339*AD1339*Inputs!$B$13*(A1339-AC1339),0)</f>
        <v>0</v>
      </c>
      <c r="X1339" s="10" t="n">
        <f aca="false">P1339-IF(Q1339,Inputs!$B$9,0)+W1339</f>
        <v>924.345823172389</v>
      </c>
      <c r="Y1339" s="11" t="n">
        <f aca="false">IF(V1339,0,T1339)</f>
        <v>474.910781372347</v>
      </c>
      <c r="Z1339" s="9" t="b">
        <f aca="false">AND(Y1339&gt;0,K1339)</f>
        <v>0</v>
      </c>
      <c r="AA1339" s="9" t="b">
        <f aca="false">AND(Y1339=0,J1339,ISNUMBER(L1339))</f>
        <v>0</v>
      </c>
      <c r="AB1339" s="8" t="n">
        <f aca="false">IF(Q1339,R1339,AB1338)</f>
        <v>0.874077315692695</v>
      </c>
      <c r="AC1339" s="12" t="n">
        <f aca="false">IF(Q1339,A1339,AC1338)</f>
        <v>46112</v>
      </c>
      <c r="AD1339" s="8" t="n">
        <f aca="false">IF(Q1339,B1339,AD1338)</f>
        <v>0.873902535185658</v>
      </c>
      <c r="AE1339" s="8" t="str">
        <f aca="false">IF(AA1339,L1339,"")</f>
        <v/>
      </c>
      <c r="AF1339" s="8" t="n">
        <f aca="false">U1339</f>
        <v>0.854592691222844</v>
      </c>
      <c r="AG1339" s="2" t="n">
        <f aca="false">AG1338+IF(Q1339,1,0)</f>
        <v>15</v>
      </c>
      <c r="AH1339" s="2" t="n">
        <f aca="false">AG1338</f>
        <v>15</v>
      </c>
      <c r="AI1339" s="10" t="n">
        <f aca="false">X1339+Y1339*(E1339-AB1339)-Y1339*AD1339*Inputs!$B$13*(A1339-AC1339)</f>
        <v>925.795123332058</v>
      </c>
      <c r="AJ1339" s="10" t="n">
        <v>0</v>
      </c>
      <c r="AK1339" s="8" t="n">
        <f aca="false">IF(AND(B1339&lt;=U1339,NOT(Q1339)),B1339,U1339)*(1-Inputs!$B$12)</f>
        <v>0.854421772684599</v>
      </c>
    </row>
    <row r="1340" customFormat="false" ht="15" hidden="false" customHeight="false" outlineLevel="0" collapsed="false">
      <c r="A1340" s="6" t="n">
        <v>46124</v>
      </c>
      <c r="B1340" s="7" t="n">
        <v>0.878840938393848</v>
      </c>
      <c r="C1340" s="7" t="n">
        <v>0.881557760367656</v>
      </c>
      <c r="D1340" s="7" t="n">
        <v>0.877520729880208</v>
      </c>
      <c r="E1340" s="7" t="n">
        <v>0.880725443261412</v>
      </c>
      <c r="F1340" s="8" t="n">
        <f aca="true">IF(ROW()-2&gt;=Inputs!$B$4,AVERAGE(OFFSET(E1340,1-Inputs!$B$4,0,Inputs!$B$4,1)),"")</f>
        <v>0.883811475821279</v>
      </c>
      <c r="G1340" s="8" t="n">
        <f aca="true">IF(ROW()-2&gt;=Inputs!$B$5,AVERAGE(OFFSET(E1340,1-Inputs!$B$5,0,Inputs!$B$5,1)),"")</f>
        <v>0.878495332646334</v>
      </c>
      <c r="H1340" s="8" t="n">
        <f aca="false">MAX(C1340-D1340,ABS(C1340-E1339),ABS(D1340-E1339))</f>
        <v>0.00403703048744863</v>
      </c>
      <c r="I1340" s="8" t="n">
        <f aca="true">IF(ROW()-2&lt;14,"",IF(ROW()-2=14,AVERAGE(OFFSET(H1340,-13,0,14,1)),(I1339*13+H1340)/14))</f>
        <v>0.0088040633564349</v>
      </c>
      <c r="J1340" s="9" t="b">
        <f aca="false">IF(AND(ISNUMBER(F1340),ISNUMBER(G1340),ISNUMBER(F1339),ISNUMBER(G1339)),AND(F1340&gt;G1340,F1339&lt;=G1339),FALSE())</f>
        <v>0</v>
      </c>
      <c r="K1340" s="9" t="b">
        <f aca="false">IF(AND(ISNUMBER(F1340),ISNUMBER(G1340),ISNUMBER(F1339),ISNUMBER(G1339)),AND(F1340&lt;G1340,F1339&gt;=G1339),FALSE())</f>
        <v>0</v>
      </c>
      <c r="L1340" s="8" t="n">
        <f aca="false">IF(ISNUMBER(I1340),E1340-Inputs!$B$6*I1340,"")</f>
        <v>0.863117316548542</v>
      </c>
      <c r="M1340" s="9" t="b">
        <f aca="false">AND(Y1339&gt;0,Z1339)</f>
        <v>0</v>
      </c>
      <c r="N1340" s="8" t="n">
        <f aca="false">B1340*(1-Inputs!$B$12)</f>
        <v>0.878665170206169</v>
      </c>
      <c r="O1340" s="10" t="n">
        <f aca="false">IF(M1340,Y1339*(N1340-AB1339)-Inputs!$B$9-Y1339*AD1339*Inputs!$B$13*(A1340-AC1339),0)</f>
        <v>0</v>
      </c>
      <c r="P1340" s="10" t="n">
        <f aca="false">X1339+O1340</f>
        <v>924.345823172389</v>
      </c>
      <c r="Q1340" s="9" t="b">
        <f aca="false">AND(IF(M1340,0,Y1339)=0,AA1339,IF(ISNUMBER(AE1339),B1340&gt;AE1339,FALSE()))</f>
        <v>0</v>
      </c>
      <c r="R1340" s="8" t="n">
        <f aca="false">B1340*(1+Inputs!$B$12)</f>
        <v>0.879016706581527</v>
      </c>
      <c r="S1340" s="11" t="n">
        <f aca="false">IF(Q1340,MIN(P1340*Inputs!$B$3/(R1340-AE1339),P1340*Inputs!$B$11/R1340),0)</f>
        <v>0</v>
      </c>
      <c r="T1340" s="11" t="n">
        <f aca="false">IF(Q1340,S1340,IF(M1340,0,Y1339))</f>
        <v>474.910781372347</v>
      </c>
      <c r="U1340" s="8" t="n">
        <f aca="false">IF(Q1340,AE1339,AF1339)</f>
        <v>0.854592691222844</v>
      </c>
      <c r="V1340" s="9" t="b">
        <f aca="false">AND(T1340&gt;0,D1340&lt;=U1340)</f>
        <v>0</v>
      </c>
      <c r="W1340" s="10" t="n">
        <f aca="false">IF(V1340,T1340*(AK1340-AB1340)-Inputs!$B$9-T1340*AD1340*Inputs!$B$13*(A1340-AC1340),0)</f>
        <v>0</v>
      </c>
      <c r="X1340" s="10" t="n">
        <f aca="false">P1340-IF(Q1340,Inputs!$B$9,0)+W1340</f>
        <v>924.345823172389</v>
      </c>
      <c r="Y1340" s="11" t="n">
        <f aca="false">IF(V1340,0,T1340)</f>
        <v>474.910781372347</v>
      </c>
      <c r="Z1340" s="9" t="b">
        <f aca="false">AND(Y1340&gt;0,K1340)</f>
        <v>0</v>
      </c>
      <c r="AA1340" s="9" t="b">
        <f aca="false">AND(Y1340=0,J1340,ISNUMBER(L1340))</f>
        <v>0</v>
      </c>
      <c r="AB1340" s="8" t="n">
        <f aca="false">IF(Q1340,R1340,AB1339)</f>
        <v>0.874077315692695</v>
      </c>
      <c r="AC1340" s="12" t="n">
        <f aca="false">IF(Q1340,A1340,AC1339)</f>
        <v>46112</v>
      </c>
      <c r="AD1340" s="8" t="n">
        <f aca="false">IF(Q1340,B1340,AD1339)</f>
        <v>0.873902535185658</v>
      </c>
      <c r="AE1340" s="8" t="str">
        <f aca="false">IF(AA1340,L1340,"")</f>
        <v/>
      </c>
      <c r="AF1340" s="8" t="n">
        <f aca="false">U1340</f>
        <v>0.854592691222844</v>
      </c>
      <c r="AG1340" s="2" t="n">
        <f aca="false">AG1339+IF(Q1340,1,0)</f>
        <v>15</v>
      </c>
      <c r="AH1340" s="2" t="n">
        <f aca="false">AG1339</f>
        <v>15</v>
      </c>
      <c r="AI1340" s="10" t="n">
        <f aca="false">X1340+Y1340*(E1340-AB1340)-Y1340*AD1340*Inputs!$B$13*(A1340-AC1340)</f>
        <v>926.616186318531</v>
      </c>
      <c r="AJ1340" s="10" t="n">
        <v>0</v>
      </c>
      <c r="AK1340" s="8" t="n">
        <f aca="false">IF(AND(B1340&lt;=U1340,NOT(Q1340)),B1340,U1340)*(1-Inputs!$B$12)</f>
        <v>0.854421772684599</v>
      </c>
    </row>
    <row r="1341" customFormat="false" ht="15" hidden="false" customHeight="false" outlineLevel="0" collapsed="false">
      <c r="A1341" s="6" t="n">
        <v>46125</v>
      </c>
      <c r="B1341" s="7" t="n">
        <v>0.880725443261412</v>
      </c>
      <c r="C1341" s="7" t="n">
        <v>0.883000227958421</v>
      </c>
      <c r="D1341" s="7" t="n">
        <v>0.873029556145731</v>
      </c>
      <c r="E1341" s="7" t="n">
        <v>0.873830191451702</v>
      </c>
      <c r="F1341" s="8" t="n">
        <f aca="true">IF(ROW()-2&gt;=Inputs!$B$4,AVERAGE(OFFSET(E1341,1-Inputs!$B$4,0,Inputs!$B$4,1)),"")</f>
        <v>0.884110331521527</v>
      </c>
      <c r="G1341" s="8" t="n">
        <f aca="true">IF(ROW()-2&gt;=Inputs!$B$5,AVERAGE(OFFSET(E1341,1-Inputs!$B$5,0,Inputs!$B$5,1)),"")</f>
        <v>0.878334604733886</v>
      </c>
      <c r="H1341" s="8" t="n">
        <f aca="false">MAX(C1341-D1341,ABS(C1341-E1340),ABS(D1341-E1340))</f>
        <v>0.00997067181268962</v>
      </c>
      <c r="I1341" s="8" t="n">
        <f aca="true">IF(ROW()-2&lt;14,"",IF(ROW()-2=14,AVERAGE(OFFSET(H1341,-13,0,14,1)),(I1340*13+H1341)/14))</f>
        <v>0.00888739253188167</v>
      </c>
      <c r="J1341" s="9" t="b">
        <f aca="false">IF(AND(ISNUMBER(F1341),ISNUMBER(G1341),ISNUMBER(F1340),ISNUMBER(G1340)),AND(F1341&gt;G1341,F1340&lt;=G1340),FALSE())</f>
        <v>0</v>
      </c>
      <c r="K1341" s="9" t="b">
        <f aca="false">IF(AND(ISNUMBER(F1341),ISNUMBER(G1341),ISNUMBER(F1340),ISNUMBER(G1340)),AND(F1341&lt;G1341,F1340&gt;=G1340),FALSE())</f>
        <v>0</v>
      </c>
      <c r="L1341" s="8" t="n">
        <f aca="false">IF(ISNUMBER(I1341),E1341-Inputs!$B$6*I1341,"")</f>
        <v>0.856055406387939</v>
      </c>
      <c r="M1341" s="9" t="b">
        <f aca="false">AND(Y1340&gt;0,Z1340)</f>
        <v>0</v>
      </c>
      <c r="N1341" s="8" t="n">
        <f aca="false">B1341*(1-Inputs!$B$12)</f>
        <v>0.88054929817276</v>
      </c>
      <c r="O1341" s="10" t="n">
        <f aca="false">IF(M1341,Y1340*(N1341-AB1340)-Inputs!$B$9-Y1340*AD1340*Inputs!$B$13*(A1341-AC1340),0)</f>
        <v>0</v>
      </c>
      <c r="P1341" s="10" t="n">
        <f aca="false">X1340+O1341</f>
        <v>924.345823172389</v>
      </c>
      <c r="Q1341" s="9" t="b">
        <f aca="false">AND(IF(M1341,0,Y1340)=0,AA1340,IF(ISNUMBER(AE1340),B1341&gt;AE1340,FALSE()))</f>
        <v>0</v>
      </c>
      <c r="R1341" s="8" t="n">
        <f aca="false">B1341*(1+Inputs!$B$12)</f>
        <v>0.880901588350064</v>
      </c>
      <c r="S1341" s="11" t="n">
        <f aca="false">IF(Q1341,MIN(P1341*Inputs!$B$3/(R1341-AE1340),P1341*Inputs!$B$11/R1341),0)</f>
        <v>0</v>
      </c>
      <c r="T1341" s="11" t="n">
        <f aca="false">IF(Q1341,S1341,IF(M1341,0,Y1340))</f>
        <v>474.910781372347</v>
      </c>
      <c r="U1341" s="8" t="n">
        <f aca="false">IF(Q1341,AE1340,AF1340)</f>
        <v>0.854592691222844</v>
      </c>
      <c r="V1341" s="9" t="b">
        <f aca="false">AND(T1341&gt;0,D1341&lt;=U1341)</f>
        <v>0</v>
      </c>
      <c r="W1341" s="10" t="n">
        <f aca="false">IF(V1341,T1341*(AK1341-AB1341)-Inputs!$B$9-T1341*AD1341*Inputs!$B$13*(A1341-AC1341),0)</f>
        <v>0</v>
      </c>
      <c r="X1341" s="10" t="n">
        <f aca="false">P1341-IF(Q1341,Inputs!$B$9,0)+W1341</f>
        <v>924.345823172389</v>
      </c>
      <c r="Y1341" s="11" t="n">
        <f aca="false">IF(V1341,0,T1341)</f>
        <v>474.910781372347</v>
      </c>
      <c r="Z1341" s="9" t="b">
        <f aca="false">AND(Y1341&gt;0,K1341)</f>
        <v>0</v>
      </c>
      <c r="AA1341" s="9" t="b">
        <f aca="false">AND(Y1341=0,J1341,ISNUMBER(L1341))</f>
        <v>0</v>
      </c>
      <c r="AB1341" s="8" t="n">
        <f aca="false">IF(Q1341,R1341,AB1340)</f>
        <v>0.874077315692695</v>
      </c>
      <c r="AC1341" s="12" t="n">
        <f aca="false">IF(Q1341,A1341,AC1340)</f>
        <v>46112</v>
      </c>
      <c r="AD1341" s="8" t="n">
        <f aca="false">IF(Q1341,B1341,AD1340)</f>
        <v>0.873902535185658</v>
      </c>
      <c r="AE1341" s="8" t="str">
        <f aca="false">IF(AA1341,L1341,"")</f>
        <v/>
      </c>
      <c r="AF1341" s="8" t="n">
        <f aca="false">U1341</f>
        <v>0.854592691222844</v>
      </c>
      <c r="AG1341" s="2" t="n">
        <f aca="false">AG1340+IF(Q1341,1,0)</f>
        <v>15</v>
      </c>
      <c r="AH1341" s="2" t="n">
        <f aca="false">AG1340</f>
        <v>15</v>
      </c>
      <c r="AI1341" s="10" t="n">
        <f aca="false">X1341+Y1341*(E1341-AB1341)-Y1341*AD1341*Inputs!$B$13*(A1341-AC1341)</f>
        <v>923.26764820114</v>
      </c>
      <c r="AJ1341" s="10" t="n">
        <v>0</v>
      </c>
      <c r="AK1341" s="8" t="n">
        <f aca="false">IF(AND(B1341&lt;=U1341,NOT(Q1341)),B1341,U1341)*(1-Inputs!$B$12)</f>
        <v>0.854421772684599</v>
      </c>
    </row>
    <row r="1342" customFormat="false" ht="15" hidden="false" customHeight="false" outlineLevel="0" collapsed="false">
      <c r="A1342" s="6" t="n">
        <v>46126</v>
      </c>
      <c r="B1342" s="7" t="n">
        <v>0.873830191451702</v>
      </c>
      <c r="C1342" s="7" t="n">
        <v>0.880626769029725</v>
      </c>
      <c r="D1342" s="7" t="n">
        <v>0.871415176234212</v>
      </c>
      <c r="E1342" s="7" t="n">
        <v>0.878644487431088</v>
      </c>
      <c r="F1342" s="8" t="n">
        <f aca="true">IF(ROW()-2&gt;=Inputs!$B$4,AVERAGE(OFFSET(E1342,1-Inputs!$B$4,0,Inputs!$B$4,1)),"")</f>
        <v>0.883975323618659</v>
      </c>
      <c r="G1342" s="8" t="n">
        <f aca="true">IF(ROW()-2&gt;=Inputs!$B$5,AVERAGE(OFFSET(E1342,1-Inputs!$B$5,0,Inputs!$B$5,1)),"")</f>
        <v>0.878421955771143</v>
      </c>
      <c r="H1342" s="8" t="n">
        <f aca="false">MAX(C1342-D1342,ABS(C1342-E1341),ABS(D1342-E1341))</f>
        <v>0.00921159279551365</v>
      </c>
      <c r="I1342" s="8" t="n">
        <f aca="true">IF(ROW()-2&lt;14,"",IF(ROW()-2=14,AVERAGE(OFFSET(H1342,-13,0,14,1)),(I1341*13+H1342)/14))</f>
        <v>0.00891054969356967</v>
      </c>
      <c r="J1342" s="9" t="b">
        <f aca="false">IF(AND(ISNUMBER(F1342),ISNUMBER(G1342),ISNUMBER(F1341),ISNUMBER(G1341)),AND(F1342&gt;G1342,F1341&lt;=G1341),FALSE())</f>
        <v>0</v>
      </c>
      <c r="K1342" s="9" t="b">
        <f aca="false">IF(AND(ISNUMBER(F1342),ISNUMBER(G1342),ISNUMBER(F1341),ISNUMBER(G1341)),AND(F1342&lt;G1342,F1341&gt;=G1341),FALSE())</f>
        <v>0</v>
      </c>
      <c r="L1342" s="8" t="n">
        <f aca="false">IF(ISNUMBER(I1342),E1342-Inputs!$B$6*I1342,"")</f>
        <v>0.860823388043949</v>
      </c>
      <c r="M1342" s="9" t="b">
        <f aca="false">AND(Y1341&gt;0,Z1341)</f>
        <v>0</v>
      </c>
      <c r="N1342" s="8" t="n">
        <f aca="false">B1342*(1-Inputs!$B$12)</f>
        <v>0.873655425413412</v>
      </c>
      <c r="O1342" s="10" t="n">
        <f aca="false">IF(M1342,Y1341*(N1342-AB1341)-Inputs!$B$9-Y1341*AD1341*Inputs!$B$13*(A1342-AC1341),0)</f>
        <v>0</v>
      </c>
      <c r="P1342" s="10" t="n">
        <f aca="false">X1341+O1342</f>
        <v>924.345823172389</v>
      </c>
      <c r="Q1342" s="9" t="b">
        <f aca="false">AND(IF(M1342,0,Y1341)=0,AA1341,IF(ISNUMBER(AE1341),B1342&gt;AE1341,FALSE()))</f>
        <v>0</v>
      </c>
      <c r="R1342" s="8" t="n">
        <f aca="false">B1342*(1+Inputs!$B$12)</f>
        <v>0.874004957489992</v>
      </c>
      <c r="S1342" s="11" t="n">
        <f aca="false">IF(Q1342,MIN(P1342*Inputs!$B$3/(R1342-AE1341),P1342*Inputs!$B$11/R1342),0)</f>
        <v>0</v>
      </c>
      <c r="T1342" s="11" t="n">
        <f aca="false">IF(Q1342,S1342,IF(M1342,0,Y1341))</f>
        <v>474.910781372347</v>
      </c>
      <c r="U1342" s="8" t="n">
        <f aca="false">IF(Q1342,AE1341,AF1341)</f>
        <v>0.854592691222844</v>
      </c>
      <c r="V1342" s="9" t="b">
        <f aca="false">AND(T1342&gt;0,D1342&lt;=U1342)</f>
        <v>0</v>
      </c>
      <c r="W1342" s="10" t="n">
        <f aca="false">IF(V1342,T1342*(AK1342-AB1342)-Inputs!$B$9-T1342*AD1342*Inputs!$B$13*(A1342-AC1342),0)</f>
        <v>0</v>
      </c>
      <c r="X1342" s="10" t="n">
        <f aca="false">P1342-IF(Q1342,Inputs!$B$9,0)+W1342</f>
        <v>924.345823172389</v>
      </c>
      <c r="Y1342" s="11" t="n">
        <f aca="false">IF(V1342,0,T1342)</f>
        <v>474.910781372347</v>
      </c>
      <c r="Z1342" s="9" t="b">
        <f aca="false">AND(Y1342&gt;0,K1342)</f>
        <v>0</v>
      </c>
      <c r="AA1342" s="9" t="b">
        <f aca="false">AND(Y1342=0,J1342,ISNUMBER(L1342))</f>
        <v>0</v>
      </c>
      <c r="AB1342" s="8" t="n">
        <f aca="false">IF(Q1342,R1342,AB1341)</f>
        <v>0.874077315692695</v>
      </c>
      <c r="AC1342" s="12" t="n">
        <f aca="false">IF(Q1342,A1342,AC1341)</f>
        <v>46112</v>
      </c>
      <c r="AD1342" s="8" t="n">
        <f aca="false">IF(Q1342,B1342,AD1341)</f>
        <v>0.873902535185658</v>
      </c>
      <c r="AE1342" s="8" t="str">
        <f aca="false">IF(AA1342,L1342,"")</f>
        <v/>
      </c>
      <c r="AF1342" s="8" t="n">
        <f aca="false">U1342</f>
        <v>0.854592691222844</v>
      </c>
      <c r="AG1342" s="2" t="n">
        <f aca="false">AG1341+IF(Q1342,1,0)</f>
        <v>15</v>
      </c>
      <c r="AH1342" s="2" t="n">
        <f aca="false">AG1341</f>
        <v>15</v>
      </c>
      <c r="AI1342" s="10" t="n">
        <f aca="false">X1342+Y1342*(E1342-AB1342)-Y1342*AD1342*Inputs!$B$13*(A1342-AC1342)</f>
        <v>925.480100573787</v>
      </c>
      <c r="AJ1342" s="10" t="n">
        <v>0</v>
      </c>
      <c r="AK1342" s="8" t="n">
        <f aca="false">IF(AND(B1342&lt;=U1342,NOT(Q1342)),B1342,U1342)*(1-Inputs!$B$12)</f>
        <v>0.854421772684599</v>
      </c>
    </row>
    <row r="1343" customFormat="false" ht="15" hidden="false" customHeight="false" outlineLevel="0" collapsed="false">
      <c r="A1343" s="6" t="n">
        <v>46127</v>
      </c>
      <c r="B1343" s="7" t="n">
        <v>0.878644487431088</v>
      </c>
      <c r="C1343" s="7" t="n">
        <v>0.882070209614232</v>
      </c>
      <c r="D1343" s="7" t="n">
        <v>0.873847916296079</v>
      </c>
      <c r="E1343" s="7" t="n">
        <v>0.880678043282772</v>
      </c>
      <c r="F1343" s="8" t="n">
        <f aca="true">IF(ROW()-2&gt;=Inputs!$B$4,AVERAGE(OFFSET(E1343,1-Inputs!$B$4,0,Inputs!$B$4,1)),"")</f>
        <v>0.883931582552216</v>
      </c>
      <c r="G1343" s="8" t="n">
        <f aca="true">IF(ROW()-2&gt;=Inputs!$B$5,AVERAGE(OFFSET(E1343,1-Inputs!$B$5,0,Inputs!$B$5,1)),"")</f>
        <v>0.87866234204347</v>
      </c>
      <c r="H1343" s="8" t="n">
        <f aca="false">MAX(C1343-D1343,ABS(C1343-E1342),ABS(D1343-E1342))</f>
        <v>0.0082222933181525</v>
      </c>
      <c r="I1343" s="8" t="n">
        <f aca="true">IF(ROW()-2&lt;14,"",IF(ROW()-2=14,AVERAGE(OFFSET(H1343,-13,0,14,1)),(I1342*13+H1343)/14))</f>
        <v>0.00886138852389701</v>
      </c>
      <c r="J1343" s="9" t="b">
        <f aca="false">IF(AND(ISNUMBER(F1343),ISNUMBER(G1343),ISNUMBER(F1342),ISNUMBER(G1342)),AND(F1343&gt;G1343,F1342&lt;=G1342),FALSE())</f>
        <v>0</v>
      </c>
      <c r="K1343" s="9" t="b">
        <f aca="false">IF(AND(ISNUMBER(F1343),ISNUMBER(G1343),ISNUMBER(F1342),ISNUMBER(G1342)),AND(F1343&lt;G1343,F1342&gt;=G1342),FALSE())</f>
        <v>0</v>
      </c>
      <c r="L1343" s="8" t="n">
        <f aca="false">IF(ISNUMBER(I1343),E1343-Inputs!$B$6*I1343,"")</f>
        <v>0.862955266234978</v>
      </c>
      <c r="M1343" s="9" t="b">
        <f aca="false">AND(Y1342&gt;0,Z1342)</f>
        <v>0</v>
      </c>
      <c r="N1343" s="8" t="n">
        <f aca="false">B1343*(1-Inputs!$B$12)</f>
        <v>0.878468758533602</v>
      </c>
      <c r="O1343" s="10" t="n">
        <f aca="false">IF(M1343,Y1342*(N1343-AB1342)-Inputs!$B$9-Y1342*AD1342*Inputs!$B$13*(A1343-AC1342),0)</f>
        <v>0</v>
      </c>
      <c r="P1343" s="10" t="n">
        <f aca="false">X1342+O1343</f>
        <v>924.345823172389</v>
      </c>
      <c r="Q1343" s="9" t="b">
        <f aca="false">AND(IF(M1343,0,Y1342)=0,AA1342,IF(ISNUMBER(AE1342),B1343&gt;AE1342,FALSE()))</f>
        <v>0</v>
      </c>
      <c r="R1343" s="8" t="n">
        <f aca="false">B1343*(1+Inputs!$B$12)</f>
        <v>0.878820216328574</v>
      </c>
      <c r="S1343" s="11" t="n">
        <f aca="false">IF(Q1343,MIN(P1343*Inputs!$B$3/(R1343-AE1342),P1343*Inputs!$B$11/R1343),0)</f>
        <v>0</v>
      </c>
      <c r="T1343" s="11" t="n">
        <f aca="false">IF(Q1343,S1343,IF(M1343,0,Y1342))</f>
        <v>474.910781372347</v>
      </c>
      <c r="U1343" s="8" t="n">
        <f aca="false">IF(Q1343,AE1342,AF1342)</f>
        <v>0.854592691222844</v>
      </c>
      <c r="V1343" s="9" t="b">
        <f aca="false">AND(T1343&gt;0,D1343&lt;=U1343)</f>
        <v>0</v>
      </c>
      <c r="W1343" s="10" t="n">
        <f aca="false">IF(V1343,T1343*(AK1343-AB1343)-Inputs!$B$9-T1343*AD1343*Inputs!$B$13*(A1343-AC1343),0)</f>
        <v>0</v>
      </c>
      <c r="X1343" s="10" t="n">
        <f aca="false">P1343-IF(Q1343,Inputs!$B$9,0)+W1343</f>
        <v>924.345823172389</v>
      </c>
      <c r="Y1343" s="11" t="n">
        <f aca="false">IF(V1343,0,T1343)</f>
        <v>474.910781372347</v>
      </c>
      <c r="Z1343" s="9" t="b">
        <f aca="false">AND(Y1343&gt;0,K1343)</f>
        <v>0</v>
      </c>
      <c r="AA1343" s="9" t="b">
        <f aca="false">AND(Y1343=0,J1343,ISNUMBER(L1343))</f>
        <v>0</v>
      </c>
      <c r="AB1343" s="8" t="n">
        <f aca="false">IF(Q1343,R1343,AB1342)</f>
        <v>0.874077315692695</v>
      </c>
      <c r="AC1343" s="12" t="n">
        <f aca="false">IF(Q1343,A1343,AC1342)</f>
        <v>46112</v>
      </c>
      <c r="AD1343" s="8" t="n">
        <f aca="false">IF(Q1343,B1343,AD1342)</f>
        <v>0.873902535185658</v>
      </c>
      <c r="AE1343" s="8" t="str">
        <f aca="false">IF(AA1343,L1343,"")</f>
        <v/>
      </c>
      <c r="AF1343" s="8" t="n">
        <f aca="false">U1343</f>
        <v>0.854592691222844</v>
      </c>
      <c r="AG1343" s="2" t="n">
        <f aca="false">AG1342+IF(Q1343,1,0)</f>
        <v>15</v>
      </c>
      <c r="AH1343" s="2" t="n">
        <f aca="false">AG1342</f>
        <v>15</v>
      </c>
      <c r="AI1343" s="10" t="n">
        <f aca="false">X1343+Y1343*(E1343-AB1343)-Y1343*AD1343*Inputs!$B$13*(A1343-AC1343)</f>
        <v>926.371949479593</v>
      </c>
      <c r="AJ1343" s="10" t="n">
        <v>0</v>
      </c>
      <c r="AK1343" s="8" t="n">
        <f aca="false">IF(AND(B1343&lt;=U1343,NOT(Q1343)),B1343,U1343)*(1-Inputs!$B$12)</f>
        <v>0.854421772684599</v>
      </c>
    </row>
    <row r="1344" customFormat="false" ht="15" hidden="false" customHeight="false" outlineLevel="0" collapsed="false">
      <c r="A1344" s="6" t="n">
        <v>46128</v>
      </c>
      <c r="B1344" s="7" t="n">
        <v>0.880678043282772</v>
      </c>
      <c r="C1344" s="7" t="n">
        <v>0.881073278911034</v>
      </c>
      <c r="D1344" s="7" t="n">
        <v>0.870086844823468</v>
      </c>
      <c r="E1344" s="7" t="n">
        <v>0.873534118023334</v>
      </c>
      <c r="F1344" s="8" t="n">
        <f aca="true">IF(ROW()-2&gt;=Inputs!$B$4,AVERAGE(OFFSET(E1344,1-Inputs!$B$4,0,Inputs!$B$4,1)),"")</f>
        <v>0.883507324671966</v>
      </c>
      <c r="G1344" s="8" t="n">
        <f aca="true">IF(ROW()-2&gt;=Inputs!$B$5,AVERAGE(OFFSET(E1344,1-Inputs!$B$5,0,Inputs!$B$5,1)),"")</f>
        <v>0.878685908586348</v>
      </c>
      <c r="H1344" s="8" t="n">
        <f aca="false">MAX(C1344-D1344,ABS(C1344-E1343),ABS(D1344-E1343))</f>
        <v>0.0109864340875662</v>
      </c>
      <c r="I1344" s="8" t="n">
        <f aca="true">IF(ROW()-2&lt;14,"",IF(ROW()-2=14,AVERAGE(OFFSET(H1344,-13,0,14,1)),(I1343*13+H1344)/14))</f>
        <v>0.00901317749273052</v>
      </c>
      <c r="J1344" s="9" t="b">
        <f aca="false">IF(AND(ISNUMBER(F1344),ISNUMBER(G1344),ISNUMBER(F1343),ISNUMBER(G1343)),AND(F1344&gt;G1344,F1343&lt;=G1343),FALSE())</f>
        <v>0</v>
      </c>
      <c r="K1344" s="9" t="b">
        <f aca="false">IF(AND(ISNUMBER(F1344),ISNUMBER(G1344),ISNUMBER(F1343),ISNUMBER(G1343)),AND(F1344&lt;G1344,F1343&gt;=G1343),FALSE())</f>
        <v>0</v>
      </c>
      <c r="L1344" s="8" t="n">
        <f aca="false">IF(ISNUMBER(I1344),E1344-Inputs!$B$6*I1344,"")</f>
        <v>0.855507763037873</v>
      </c>
      <c r="M1344" s="9" t="b">
        <f aca="false">AND(Y1343&gt;0,Z1343)</f>
        <v>0</v>
      </c>
      <c r="N1344" s="8" t="n">
        <f aca="false">B1344*(1-Inputs!$B$12)</f>
        <v>0.880501907674116</v>
      </c>
      <c r="O1344" s="10" t="n">
        <f aca="false">IF(M1344,Y1343*(N1344-AB1343)-Inputs!$B$9-Y1343*AD1343*Inputs!$B$13*(A1344-AC1343),0)</f>
        <v>0</v>
      </c>
      <c r="P1344" s="10" t="n">
        <f aca="false">X1343+O1344</f>
        <v>924.345823172389</v>
      </c>
      <c r="Q1344" s="9" t="b">
        <f aca="false">AND(IF(M1344,0,Y1343)=0,AA1343,IF(ISNUMBER(AE1343),B1344&gt;AE1343,FALSE()))</f>
        <v>0</v>
      </c>
      <c r="R1344" s="8" t="n">
        <f aca="false">B1344*(1+Inputs!$B$12)</f>
        <v>0.880854178891429</v>
      </c>
      <c r="S1344" s="11" t="n">
        <f aca="false">IF(Q1344,MIN(P1344*Inputs!$B$3/(R1344-AE1343),P1344*Inputs!$B$11/R1344),0)</f>
        <v>0</v>
      </c>
      <c r="T1344" s="11" t="n">
        <f aca="false">IF(Q1344,S1344,IF(M1344,0,Y1343))</f>
        <v>474.910781372347</v>
      </c>
      <c r="U1344" s="8" t="n">
        <f aca="false">IF(Q1344,AE1343,AF1343)</f>
        <v>0.854592691222844</v>
      </c>
      <c r="V1344" s="9" t="b">
        <f aca="false">AND(T1344&gt;0,D1344&lt;=U1344)</f>
        <v>0</v>
      </c>
      <c r="W1344" s="10" t="n">
        <f aca="false">IF(V1344,T1344*(AK1344-AB1344)-Inputs!$B$9-T1344*AD1344*Inputs!$B$13*(A1344-AC1344),0)</f>
        <v>0</v>
      </c>
      <c r="X1344" s="10" t="n">
        <f aca="false">P1344-IF(Q1344,Inputs!$B$9,0)+W1344</f>
        <v>924.345823172389</v>
      </c>
      <c r="Y1344" s="11" t="n">
        <f aca="false">IF(V1344,0,T1344)</f>
        <v>474.910781372347</v>
      </c>
      <c r="Z1344" s="9" t="b">
        <f aca="false">AND(Y1344&gt;0,K1344)</f>
        <v>0</v>
      </c>
      <c r="AA1344" s="9" t="b">
        <f aca="false">AND(Y1344=0,J1344,ISNUMBER(L1344))</f>
        <v>0</v>
      </c>
      <c r="AB1344" s="8" t="n">
        <f aca="false">IF(Q1344,R1344,AB1343)</f>
        <v>0.874077315692695</v>
      </c>
      <c r="AC1344" s="12" t="n">
        <f aca="false">IF(Q1344,A1344,AC1343)</f>
        <v>46112</v>
      </c>
      <c r="AD1344" s="8" t="n">
        <f aca="false">IF(Q1344,B1344,AD1343)</f>
        <v>0.873902535185658</v>
      </c>
      <c r="AE1344" s="8" t="str">
        <f aca="false">IF(AA1344,L1344,"")</f>
        <v/>
      </c>
      <c r="AF1344" s="8" t="n">
        <f aca="false">U1344</f>
        <v>0.854592691222844</v>
      </c>
      <c r="AG1344" s="2" t="n">
        <f aca="false">AG1343+IF(Q1344,1,0)</f>
        <v>15</v>
      </c>
      <c r="AH1344" s="2" t="n">
        <f aca="false">AG1343</f>
        <v>15</v>
      </c>
      <c r="AI1344" s="10" t="n">
        <f aca="false">X1344+Y1344*(E1344-AB1344)-Y1344*AD1344*Inputs!$B$13*(A1344-AC1344)</f>
        <v>922.905313659886</v>
      </c>
      <c r="AJ1344" s="10" t="n">
        <v>0</v>
      </c>
      <c r="AK1344" s="8" t="n">
        <f aca="false">IF(AND(B1344&lt;=U1344,NOT(Q1344)),B1344,U1344)*(1-Inputs!$B$12)</f>
        <v>0.854421772684599</v>
      </c>
    </row>
    <row r="1345" customFormat="false" ht="15" hidden="false" customHeight="false" outlineLevel="0" collapsed="false">
      <c r="A1345" s="6" t="n">
        <v>46129</v>
      </c>
      <c r="B1345" s="7" t="n">
        <v>0.873534118023334</v>
      </c>
      <c r="C1345" s="7" t="n">
        <v>0.877323390475171</v>
      </c>
      <c r="D1345" s="7" t="n">
        <v>0.867808301014081</v>
      </c>
      <c r="E1345" s="7" t="n">
        <v>0.871240399651425</v>
      </c>
      <c r="F1345" s="8" t="n">
        <f aca="true">IF(ROW()-2&gt;=Inputs!$B$4,AVERAGE(OFFSET(E1345,1-Inputs!$B$4,0,Inputs!$B$4,1)),"")</f>
        <v>0.882586450997333</v>
      </c>
      <c r="G1345" s="8" t="n">
        <f aca="true">IF(ROW()-2&gt;=Inputs!$B$5,AVERAGE(OFFSET(E1345,1-Inputs!$B$5,0,Inputs!$B$5,1)),"")</f>
        <v>0.878693605018366</v>
      </c>
      <c r="H1345" s="8" t="n">
        <f aca="false">MAX(C1345-D1345,ABS(C1345-E1344),ABS(D1345-E1344))</f>
        <v>0.00951508946108981</v>
      </c>
      <c r="I1345" s="8" t="n">
        <f aca="true">IF(ROW()-2&lt;14,"",IF(ROW()-2=14,AVERAGE(OFFSET(H1345,-13,0,14,1)),(I1344*13+H1345)/14))</f>
        <v>0.00904902834761333</v>
      </c>
      <c r="J1345" s="9" t="b">
        <f aca="false">IF(AND(ISNUMBER(F1345),ISNUMBER(G1345),ISNUMBER(F1344),ISNUMBER(G1344)),AND(F1345&gt;G1345,F1344&lt;=G1344),FALSE())</f>
        <v>0</v>
      </c>
      <c r="K1345" s="9" t="b">
        <f aca="false">IF(AND(ISNUMBER(F1345),ISNUMBER(G1345),ISNUMBER(F1344),ISNUMBER(G1344)),AND(F1345&lt;G1345,F1344&gt;=G1344),FALSE())</f>
        <v>0</v>
      </c>
      <c r="L1345" s="8" t="n">
        <f aca="false">IF(ISNUMBER(I1345),E1345-Inputs!$B$6*I1345,"")</f>
        <v>0.853142342956199</v>
      </c>
      <c r="M1345" s="9" t="b">
        <f aca="false">AND(Y1344&gt;0,Z1344)</f>
        <v>0</v>
      </c>
      <c r="N1345" s="8" t="n">
        <f aca="false">B1345*(1-Inputs!$B$12)</f>
        <v>0.87335941119973</v>
      </c>
      <c r="O1345" s="10" t="n">
        <f aca="false">IF(M1345,Y1344*(N1345-AB1344)-Inputs!$B$9-Y1344*AD1344*Inputs!$B$13*(A1345-AC1344),0)</f>
        <v>0</v>
      </c>
      <c r="P1345" s="10" t="n">
        <f aca="false">X1344+O1345</f>
        <v>924.345823172389</v>
      </c>
      <c r="Q1345" s="9" t="b">
        <f aca="false">AND(IF(M1345,0,Y1344)=0,AA1344,IF(ISNUMBER(AE1344),B1345&gt;AE1344,FALSE()))</f>
        <v>0</v>
      </c>
      <c r="R1345" s="8" t="n">
        <f aca="false">B1345*(1+Inputs!$B$12)</f>
        <v>0.873708824846939</v>
      </c>
      <c r="S1345" s="11" t="n">
        <f aca="false">IF(Q1345,MIN(P1345*Inputs!$B$3/(R1345-AE1344),P1345*Inputs!$B$11/R1345),0)</f>
        <v>0</v>
      </c>
      <c r="T1345" s="11" t="n">
        <f aca="false">IF(Q1345,S1345,IF(M1345,0,Y1344))</f>
        <v>474.910781372347</v>
      </c>
      <c r="U1345" s="8" t="n">
        <f aca="false">IF(Q1345,AE1344,AF1344)</f>
        <v>0.854592691222844</v>
      </c>
      <c r="V1345" s="9" t="b">
        <f aca="false">AND(T1345&gt;0,D1345&lt;=U1345)</f>
        <v>0</v>
      </c>
      <c r="W1345" s="10" t="n">
        <f aca="false">IF(V1345,T1345*(AK1345-AB1345)-Inputs!$B$9-T1345*AD1345*Inputs!$B$13*(A1345-AC1345),0)</f>
        <v>0</v>
      </c>
      <c r="X1345" s="10" t="n">
        <f aca="false">P1345-IF(Q1345,Inputs!$B$9,0)+W1345</f>
        <v>924.345823172389</v>
      </c>
      <c r="Y1345" s="11" t="n">
        <f aca="false">IF(V1345,0,T1345)</f>
        <v>474.910781372347</v>
      </c>
      <c r="Z1345" s="9" t="b">
        <f aca="false">AND(Y1345&gt;0,K1345)</f>
        <v>0</v>
      </c>
      <c r="AA1345" s="9" t="b">
        <f aca="false">AND(Y1345=0,J1345,ISNUMBER(L1345))</f>
        <v>0</v>
      </c>
      <c r="AB1345" s="8" t="n">
        <f aca="false">IF(Q1345,R1345,AB1344)</f>
        <v>0.874077315692695</v>
      </c>
      <c r="AC1345" s="12" t="n">
        <f aca="false">IF(Q1345,A1345,AC1344)</f>
        <v>46112</v>
      </c>
      <c r="AD1345" s="8" t="n">
        <f aca="false">IF(Q1345,B1345,AD1344)</f>
        <v>0.873902535185658</v>
      </c>
      <c r="AE1345" s="8" t="str">
        <f aca="false">IF(AA1345,L1345,"")</f>
        <v/>
      </c>
      <c r="AF1345" s="8" t="n">
        <f aca="false">U1345</f>
        <v>0.854592691222844</v>
      </c>
      <c r="AG1345" s="2" t="n">
        <f aca="false">AG1344+IF(Q1345,1,0)</f>
        <v>15</v>
      </c>
      <c r="AH1345" s="2" t="n">
        <f aca="false">AG1344</f>
        <v>15</v>
      </c>
      <c r="AI1345" s="10" t="n">
        <f aca="false">X1345+Y1345*(E1345-AB1345)-Y1345*AD1345*Inputs!$B$13*(A1345-AC1345)</f>
        <v>921.742093382952</v>
      </c>
      <c r="AJ1345" s="10" t="n">
        <v>0</v>
      </c>
      <c r="AK1345" s="8" t="n">
        <f aca="false">IF(AND(B1345&lt;=U1345,NOT(Q1345)),B1345,U1345)*(1-Inputs!$B$12)</f>
        <v>0.854421772684599</v>
      </c>
    </row>
    <row r="1346" customFormat="false" ht="15" hidden="false" customHeight="false" outlineLevel="0" collapsed="false">
      <c r="A1346" s="6" t="n">
        <v>46130</v>
      </c>
      <c r="B1346" s="7" t="n">
        <v>0.871240399651425</v>
      </c>
      <c r="C1346" s="7" t="n">
        <v>0.876647211439588</v>
      </c>
      <c r="D1346" s="7" t="n">
        <v>0.865565553804014</v>
      </c>
      <c r="E1346" s="7" t="n">
        <v>0.86599345238857</v>
      </c>
      <c r="F1346" s="8" t="n">
        <f aca="true">IF(ROW()-2&gt;=Inputs!$B$4,AVERAGE(OFFSET(E1346,1-Inputs!$B$4,0,Inputs!$B$4,1)),"")</f>
        <v>0.881645281523343</v>
      </c>
      <c r="G1346" s="8" t="n">
        <f aca="true">IF(ROW()-2&gt;=Inputs!$B$5,AVERAGE(OFFSET(E1346,1-Inputs!$B$5,0,Inputs!$B$5,1)),"")</f>
        <v>0.878577831298537</v>
      </c>
      <c r="H1346" s="8" t="n">
        <f aca="false">MAX(C1346-D1346,ABS(C1346-E1345),ABS(D1346-E1345))</f>
        <v>0.0110816576355743</v>
      </c>
      <c r="I1346" s="8" t="n">
        <f aca="true">IF(ROW()-2&lt;14,"",IF(ROW()-2=14,AVERAGE(OFFSET(H1346,-13,0,14,1)),(I1345*13+H1346)/14))</f>
        <v>0.00919421615389626</v>
      </c>
      <c r="J1346" s="9" t="b">
        <f aca="false">IF(AND(ISNUMBER(F1346),ISNUMBER(G1346),ISNUMBER(F1345),ISNUMBER(G1345)),AND(F1346&gt;G1346,F1345&lt;=G1345),FALSE())</f>
        <v>0</v>
      </c>
      <c r="K1346" s="9" t="b">
        <f aca="false">IF(AND(ISNUMBER(F1346),ISNUMBER(G1346),ISNUMBER(F1345),ISNUMBER(G1345)),AND(F1346&lt;G1346,F1345&gt;=G1345),FALSE())</f>
        <v>0</v>
      </c>
      <c r="L1346" s="8" t="n">
        <f aca="false">IF(ISNUMBER(I1346),E1346-Inputs!$B$6*I1346,"")</f>
        <v>0.847605020080778</v>
      </c>
      <c r="M1346" s="9" t="b">
        <f aca="false">AND(Y1345&gt;0,Z1345)</f>
        <v>0</v>
      </c>
      <c r="N1346" s="8" t="n">
        <f aca="false">B1346*(1-Inputs!$B$12)</f>
        <v>0.871066151571495</v>
      </c>
      <c r="O1346" s="10" t="n">
        <f aca="false">IF(M1346,Y1345*(N1346-AB1345)-Inputs!$B$9-Y1345*AD1345*Inputs!$B$13*(A1346-AC1345),0)</f>
        <v>0</v>
      </c>
      <c r="P1346" s="10" t="n">
        <f aca="false">X1345+O1346</f>
        <v>924.345823172389</v>
      </c>
      <c r="Q1346" s="9" t="b">
        <f aca="false">AND(IF(M1346,0,Y1345)=0,AA1345,IF(ISNUMBER(AE1345),B1346&gt;AE1345,FALSE()))</f>
        <v>0</v>
      </c>
      <c r="R1346" s="8" t="n">
        <f aca="false">B1346*(1+Inputs!$B$12)</f>
        <v>0.871414647731356</v>
      </c>
      <c r="S1346" s="11" t="n">
        <f aca="false">IF(Q1346,MIN(P1346*Inputs!$B$3/(R1346-AE1345),P1346*Inputs!$B$11/R1346),0)</f>
        <v>0</v>
      </c>
      <c r="T1346" s="11" t="n">
        <f aca="false">IF(Q1346,S1346,IF(M1346,0,Y1345))</f>
        <v>474.910781372347</v>
      </c>
      <c r="U1346" s="8" t="n">
        <f aca="false">IF(Q1346,AE1345,AF1345)</f>
        <v>0.854592691222844</v>
      </c>
      <c r="V1346" s="9" t="b">
        <f aca="false">AND(T1346&gt;0,D1346&lt;=U1346)</f>
        <v>0</v>
      </c>
      <c r="W1346" s="10" t="n">
        <f aca="false">IF(V1346,T1346*(AK1346-AB1346)-Inputs!$B$9-T1346*AD1346*Inputs!$B$13*(A1346-AC1346),0)</f>
        <v>0</v>
      </c>
      <c r="X1346" s="10" t="n">
        <f aca="false">P1346-IF(Q1346,Inputs!$B$9,0)+W1346</f>
        <v>924.345823172389</v>
      </c>
      <c r="Y1346" s="11" t="n">
        <f aca="false">IF(V1346,0,T1346)</f>
        <v>474.910781372347</v>
      </c>
      <c r="Z1346" s="9" t="b">
        <f aca="false">AND(Y1346&gt;0,K1346)</f>
        <v>0</v>
      </c>
      <c r="AA1346" s="9" t="b">
        <f aca="false">AND(Y1346=0,J1346,ISNUMBER(L1346))</f>
        <v>0</v>
      </c>
      <c r="AB1346" s="8" t="n">
        <f aca="false">IF(Q1346,R1346,AB1345)</f>
        <v>0.874077315692695</v>
      </c>
      <c r="AC1346" s="12" t="n">
        <f aca="false">IF(Q1346,A1346,AC1345)</f>
        <v>46112</v>
      </c>
      <c r="AD1346" s="8" t="n">
        <f aca="false">IF(Q1346,B1346,AD1345)</f>
        <v>0.873902535185658</v>
      </c>
      <c r="AE1346" s="8" t="str">
        <f aca="false">IF(AA1346,L1346,"")</f>
        <v/>
      </c>
      <c r="AF1346" s="8" t="n">
        <f aca="false">U1346</f>
        <v>0.854592691222844</v>
      </c>
      <c r="AG1346" s="2" t="n">
        <f aca="false">AG1345+IF(Q1346,1,0)</f>
        <v>15</v>
      </c>
      <c r="AH1346" s="2" t="n">
        <f aca="false">AG1345</f>
        <v>15</v>
      </c>
      <c r="AI1346" s="10" t="n">
        <f aca="false">X1346+Y1346*(E1346-AB1346)-Y1346*AD1346*Inputs!$B$13*(A1346-AC1346)</f>
        <v>919.176352865849</v>
      </c>
      <c r="AJ1346" s="10" t="n">
        <v>0</v>
      </c>
      <c r="AK1346" s="8" t="n">
        <f aca="false">IF(AND(B1346&lt;=U1346,NOT(Q1346)),B1346,U1346)*(1-Inputs!$B$12)</f>
        <v>0.854421772684599</v>
      </c>
    </row>
    <row r="1347" customFormat="false" ht="15" hidden="false" customHeight="false" outlineLevel="0" collapsed="false">
      <c r="A1347" s="6" t="n">
        <v>46131</v>
      </c>
      <c r="B1347" s="7" t="n">
        <v>0.86599345238857</v>
      </c>
      <c r="C1347" s="7" t="n">
        <v>0.870373344891608</v>
      </c>
      <c r="D1347" s="7" t="n">
        <v>0.864550889357978</v>
      </c>
      <c r="E1347" s="7" t="n">
        <v>0.867361171859527</v>
      </c>
      <c r="F1347" s="8" t="n">
        <f aca="true">IF(ROW()-2&gt;=Inputs!$B$4,AVERAGE(OFFSET(E1347,1-Inputs!$B$4,0,Inputs!$B$4,1)),"")</f>
        <v>0.881318213357036</v>
      </c>
      <c r="G1347" s="8" t="n">
        <f aca="true">IF(ROW()-2&gt;=Inputs!$B$5,AVERAGE(OFFSET(E1347,1-Inputs!$B$5,0,Inputs!$B$5,1)),"")</f>
        <v>0.87856517251038</v>
      </c>
      <c r="H1347" s="8" t="n">
        <f aca="false">MAX(C1347-D1347,ABS(C1347-E1346),ABS(D1347-E1346))</f>
        <v>0.00582245553362959</v>
      </c>
      <c r="I1347" s="8" t="n">
        <f aca="true">IF(ROW()-2&lt;14,"",IF(ROW()-2=14,AVERAGE(OFFSET(H1347,-13,0,14,1)),(I1346*13+H1347)/14))</f>
        <v>0.0089533761095915</v>
      </c>
      <c r="J1347" s="9" t="b">
        <f aca="false">IF(AND(ISNUMBER(F1347),ISNUMBER(G1347),ISNUMBER(F1346),ISNUMBER(G1346)),AND(F1347&gt;G1347,F1346&lt;=G1346),FALSE())</f>
        <v>0</v>
      </c>
      <c r="K1347" s="9" t="b">
        <f aca="false">IF(AND(ISNUMBER(F1347),ISNUMBER(G1347),ISNUMBER(F1346),ISNUMBER(G1346)),AND(F1347&lt;G1347,F1346&gt;=G1346),FALSE())</f>
        <v>0</v>
      </c>
      <c r="L1347" s="8" t="n">
        <f aca="false">IF(ISNUMBER(I1347),E1347-Inputs!$B$6*I1347,"")</f>
        <v>0.849454419640344</v>
      </c>
      <c r="M1347" s="9" t="b">
        <f aca="false">AND(Y1346&gt;0,Z1346)</f>
        <v>0</v>
      </c>
      <c r="N1347" s="8" t="n">
        <f aca="false">B1347*(1-Inputs!$B$12)</f>
        <v>0.865820253698092</v>
      </c>
      <c r="O1347" s="10" t="n">
        <f aca="false">IF(M1347,Y1346*(N1347-AB1346)-Inputs!$B$9-Y1346*AD1346*Inputs!$B$13*(A1347-AC1346),0)</f>
        <v>0</v>
      </c>
      <c r="P1347" s="10" t="n">
        <f aca="false">X1346+O1347</f>
        <v>924.345823172389</v>
      </c>
      <c r="Q1347" s="9" t="b">
        <f aca="false">AND(IF(M1347,0,Y1346)=0,AA1346,IF(ISNUMBER(AE1346),B1347&gt;AE1346,FALSE()))</f>
        <v>0</v>
      </c>
      <c r="R1347" s="8" t="n">
        <f aca="false">B1347*(1+Inputs!$B$12)</f>
        <v>0.866166651079048</v>
      </c>
      <c r="S1347" s="11" t="n">
        <f aca="false">IF(Q1347,MIN(P1347*Inputs!$B$3/(R1347-AE1346),P1347*Inputs!$B$11/R1347),0)</f>
        <v>0</v>
      </c>
      <c r="T1347" s="11" t="n">
        <f aca="false">IF(Q1347,S1347,IF(M1347,0,Y1346))</f>
        <v>474.910781372347</v>
      </c>
      <c r="U1347" s="8" t="n">
        <f aca="false">IF(Q1347,AE1346,AF1346)</f>
        <v>0.854592691222844</v>
      </c>
      <c r="V1347" s="9" t="b">
        <f aca="false">AND(T1347&gt;0,D1347&lt;=U1347)</f>
        <v>0</v>
      </c>
      <c r="W1347" s="10" t="n">
        <f aca="false">IF(V1347,T1347*(AK1347-AB1347)-Inputs!$B$9-T1347*AD1347*Inputs!$B$13*(A1347-AC1347),0)</f>
        <v>0</v>
      </c>
      <c r="X1347" s="10" t="n">
        <f aca="false">P1347-IF(Q1347,Inputs!$B$9,0)+W1347</f>
        <v>924.345823172389</v>
      </c>
      <c r="Y1347" s="11" t="n">
        <f aca="false">IF(V1347,0,T1347)</f>
        <v>474.910781372347</v>
      </c>
      <c r="Z1347" s="9" t="b">
        <f aca="false">AND(Y1347&gt;0,K1347)</f>
        <v>0</v>
      </c>
      <c r="AA1347" s="9" t="b">
        <f aca="false">AND(Y1347=0,J1347,ISNUMBER(L1347))</f>
        <v>0</v>
      </c>
      <c r="AB1347" s="8" t="n">
        <f aca="false">IF(Q1347,R1347,AB1346)</f>
        <v>0.874077315692695</v>
      </c>
      <c r="AC1347" s="12" t="n">
        <f aca="false">IF(Q1347,A1347,AC1346)</f>
        <v>46112</v>
      </c>
      <c r="AD1347" s="8" t="n">
        <f aca="false">IF(Q1347,B1347,AD1346)</f>
        <v>0.873902535185658</v>
      </c>
      <c r="AE1347" s="8" t="str">
        <f aca="false">IF(AA1347,L1347,"")</f>
        <v/>
      </c>
      <c r="AF1347" s="8" t="n">
        <f aca="false">U1347</f>
        <v>0.854592691222844</v>
      </c>
      <c r="AG1347" s="2" t="n">
        <f aca="false">AG1346+IF(Q1347,1,0)</f>
        <v>15</v>
      </c>
      <c r="AH1347" s="2" t="n">
        <f aca="false">AG1346</f>
        <v>15</v>
      </c>
      <c r="AI1347" s="10" t="n">
        <f aca="false">X1347+Y1347*(E1347-AB1347)-Y1347*AD1347*Inputs!$B$13*(A1347-AC1347)</f>
        <v>919.751988895817</v>
      </c>
      <c r="AJ1347" s="10" t="n">
        <v>0</v>
      </c>
      <c r="AK1347" s="8" t="n">
        <f aca="false">IF(AND(B1347&lt;=U1347,NOT(Q1347)),B1347,U1347)*(1-Inputs!$B$12)</f>
        <v>0.854421772684599</v>
      </c>
    </row>
    <row r="1348" customFormat="false" ht="15" hidden="false" customHeight="false" outlineLevel="0" collapsed="false">
      <c r="A1348" s="6" t="n">
        <v>46132</v>
      </c>
      <c r="B1348" s="7" t="n">
        <v>0.867361171859527</v>
      </c>
      <c r="C1348" s="7" t="n">
        <v>0.869117497694519</v>
      </c>
      <c r="D1348" s="7" t="n">
        <v>0.864409896887191</v>
      </c>
      <c r="E1348" s="7" t="n">
        <v>0.864437683882696</v>
      </c>
      <c r="F1348" s="8" t="n">
        <f aca="true">IF(ROW()-2&gt;=Inputs!$B$4,AVERAGE(OFFSET(E1348,1-Inputs!$B$4,0,Inputs!$B$4,1)),"")</f>
        <v>0.880607996444945</v>
      </c>
      <c r="G1348" s="8" t="n">
        <f aca="true">IF(ROW()-2&gt;=Inputs!$B$5,AVERAGE(OFFSET(E1348,1-Inputs!$B$5,0,Inputs!$B$5,1)),"")</f>
        <v>0.878377442640224</v>
      </c>
      <c r="H1348" s="8" t="n">
        <f aca="false">MAX(C1348-D1348,ABS(C1348-E1347),ABS(D1348-E1347))</f>
        <v>0.00470760080732813</v>
      </c>
      <c r="I1348" s="8" t="n">
        <f aca="true">IF(ROW()-2&lt;14,"",IF(ROW()-2=14,AVERAGE(OFFSET(H1348,-13,0,14,1)),(I1347*13+H1348)/14))</f>
        <v>0.00865010644514411</v>
      </c>
      <c r="J1348" s="9" t="b">
        <f aca="false">IF(AND(ISNUMBER(F1348),ISNUMBER(G1348),ISNUMBER(F1347),ISNUMBER(G1347)),AND(F1348&gt;G1348,F1347&lt;=G1347),FALSE())</f>
        <v>0</v>
      </c>
      <c r="K1348" s="9" t="b">
        <f aca="false">IF(AND(ISNUMBER(F1348),ISNUMBER(G1348),ISNUMBER(F1347),ISNUMBER(G1347)),AND(F1348&lt;G1348,F1347&gt;=G1347),FALSE())</f>
        <v>0</v>
      </c>
      <c r="L1348" s="8" t="n">
        <f aca="false">IF(ISNUMBER(I1348),E1348-Inputs!$B$6*I1348,"")</f>
        <v>0.847137470992407</v>
      </c>
      <c r="M1348" s="9" t="b">
        <f aca="false">AND(Y1347&gt;0,Z1347)</f>
        <v>0</v>
      </c>
      <c r="N1348" s="8" t="n">
        <f aca="false">B1348*(1-Inputs!$B$12)</f>
        <v>0.867187699625155</v>
      </c>
      <c r="O1348" s="10" t="n">
        <f aca="false">IF(M1348,Y1347*(N1348-AB1347)-Inputs!$B$9-Y1347*AD1347*Inputs!$B$13*(A1348-AC1347),0)</f>
        <v>0</v>
      </c>
      <c r="P1348" s="10" t="n">
        <f aca="false">X1347+O1348</f>
        <v>924.345823172389</v>
      </c>
      <c r="Q1348" s="9" t="b">
        <f aca="false">AND(IF(M1348,0,Y1347)=0,AA1347,IF(ISNUMBER(AE1347),B1348&gt;AE1347,FALSE()))</f>
        <v>0</v>
      </c>
      <c r="R1348" s="8" t="n">
        <f aca="false">B1348*(1+Inputs!$B$12)</f>
        <v>0.867534644093899</v>
      </c>
      <c r="S1348" s="11" t="n">
        <f aca="false">IF(Q1348,MIN(P1348*Inputs!$B$3/(R1348-AE1347),P1348*Inputs!$B$11/R1348),0)</f>
        <v>0</v>
      </c>
      <c r="T1348" s="11" t="n">
        <f aca="false">IF(Q1348,S1348,IF(M1348,0,Y1347))</f>
        <v>474.910781372347</v>
      </c>
      <c r="U1348" s="8" t="n">
        <f aca="false">IF(Q1348,AE1347,AF1347)</f>
        <v>0.854592691222844</v>
      </c>
      <c r="V1348" s="9" t="b">
        <f aca="false">AND(T1348&gt;0,D1348&lt;=U1348)</f>
        <v>0</v>
      </c>
      <c r="W1348" s="10" t="n">
        <f aca="false">IF(V1348,T1348*(AK1348-AB1348)-Inputs!$B$9-T1348*AD1348*Inputs!$B$13*(A1348-AC1348),0)</f>
        <v>0</v>
      </c>
      <c r="X1348" s="10" t="n">
        <f aca="false">P1348-IF(Q1348,Inputs!$B$9,0)+W1348</f>
        <v>924.345823172389</v>
      </c>
      <c r="Y1348" s="11" t="n">
        <f aca="false">IF(V1348,0,T1348)</f>
        <v>474.910781372347</v>
      </c>
      <c r="Z1348" s="9" t="b">
        <f aca="false">AND(Y1348&gt;0,K1348)</f>
        <v>0</v>
      </c>
      <c r="AA1348" s="9" t="b">
        <f aca="false">AND(Y1348=0,J1348,ISNUMBER(L1348))</f>
        <v>0</v>
      </c>
      <c r="AB1348" s="8" t="n">
        <f aca="false">IF(Q1348,R1348,AB1347)</f>
        <v>0.874077315692695</v>
      </c>
      <c r="AC1348" s="12" t="n">
        <f aca="false">IF(Q1348,A1348,AC1347)</f>
        <v>46112</v>
      </c>
      <c r="AD1348" s="8" t="n">
        <f aca="false">IF(Q1348,B1348,AD1347)</f>
        <v>0.873902535185658</v>
      </c>
      <c r="AE1348" s="8" t="str">
        <f aca="false">IF(AA1348,L1348,"")</f>
        <v/>
      </c>
      <c r="AF1348" s="8" t="n">
        <f aca="false">U1348</f>
        <v>0.854592691222844</v>
      </c>
      <c r="AG1348" s="2" t="n">
        <f aca="false">AG1347+IF(Q1348,1,0)</f>
        <v>15</v>
      </c>
      <c r="AH1348" s="2" t="n">
        <f aca="false">AG1347</f>
        <v>15</v>
      </c>
      <c r="AI1348" s="10" t="n">
        <f aca="false">X1348+Y1348*(E1348-AB1348)-Y1348*AD1348*Inputs!$B$13*(A1348-AC1348)</f>
        <v>918.289684243726</v>
      </c>
      <c r="AJ1348" s="10" t="n">
        <v>0</v>
      </c>
      <c r="AK1348" s="8" t="n">
        <f aca="false">IF(AND(B1348&lt;=U1348,NOT(Q1348)),B1348,U1348)*(1-Inputs!$B$12)</f>
        <v>0.854421772684599</v>
      </c>
    </row>
    <row r="1349" customFormat="false" ht="15" hidden="false" customHeight="false" outlineLevel="0" collapsed="false">
      <c r="A1349" s="6" t="n">
        <v>46133</v>
      </c>
      <c r="B1349" s="7" t="n">
        <v>0.864437683882696</v>
      </c>
      <c r="C1349" s="7" t="n">
        <v>0.86762449917199</v>
      </c>
      <c r="D1349" s="7" t="n">
        <v>0.860008892919465</v>
      </c>
      <c r="E1349" s="7" t="n">
        <v>0.861845466952668</v>
      </c>
      <c r="F1349" s="8" t="n">
        <f aca="true">IF(ROW()-2&gt;=Inputs!$B$4,AVERAGE(OFFSET(E1349,1-Inputs!$B$4,0,Inputs!$B$4,1)),"")</f>
        <v>0.87939297045796</v>
      </c>
      <c r="G1349" s="8" t="n">
        <f aca="true">IF(ROW()-2&gt;=Inputs!$B$5,AVERAGE(OFFSET(E1349,1-Inputs!$B$5,0,Inputs!$B$5,1)),"")</f>
        <v>0.878107651975631</v>
      </c>
      <c r="H1349" s="8" t="n">
        <f aca="false">MAX(C1349-D1349,ABS(C1349-E1348),ABS(D1349-E1348))</f>
        <v>0.007615606252525</v>
      </c>
      <c r="I1349" s="8" t="n">
        <f aca="true">IF(ROW()-2&lt;14,"",IF(ROW()-2=14,AVERAGE(OFFSET(H1349,-13,0,14,1)),(I1348*13+H1349)/14))</f>
        <v>0.00857621357424275</v>
      </c>
      <c r="J1349" s="9" t="b">
        <f aca="false">IF(AND(ISNUMBER(F1349),ISNUMBER(G1349),ISNUMBER(F1348),ISNUMBER(G1348)),AND(F1349&gt;G1349,F1348&lt;=G1348),FALSE())</f>
        <v>0</v>
      </c>
      <c r="K1349" s="9" t="b">
        <f aca="false">IF(AND(ISNUMBER(F1349),ISNUMBER(G1349),ISNUMBER(F1348),ISNUMBER(G1348)),AND(F1349&lt;G1349,F1348&gt;=G1348),FALSE())</f>
        <v>0</v>
      </c>
      <c r="L1349" s="8" t="n">
        <f aca="false">IF(ISNUMBER(I1349),E1349-Inputs!$B$6*I1349,"")</f>
        <v>0.844693039804182</v>
      </c>
      <c r="M1349" s="9" t="b">
        <f aca="false">AND(Y1348&gt;0,Z1348)</f>
        <v>0</v>
      </c>
      <c r="N1349" s="8" t="n">
        <f aca="false">B1349*(1-Inputs!$B$12)</f>
        <v>0.864264796345919</v>
      </c>
      <c r="O1349" s="10" t="n">
        <f aca="false">IF(M1349,Y1348*(N1349-AB1348)-Inputs!$B$9-Y1348*AD1348*Inputs!$B$13*(A1349-AC1348),0)</f>
        <v>0</v>
      </c>
      <c r="P1349" s="10" t="n">
        <f aca="false">X1348+O1349</f>
        <v>924.345823172389</v>
      </c>
      <c r="Q1349" s="9" t="b">
        <f aca="false">AND(IF(M1349,0,Y1348)=0,AA1348,IF(ISNUMBER(AE1348),B1349&gt;AE1348,FALSE()))</f>
        <v>0</v>
      </c>
      <c r="R1349" s="8" t="n">
        <f aca="false">B1349*(1+Inputs!$B$12)</f>
        <v>0.864610571419472</v>
      </c>
      <c r="S1349" s="11" t="n">
        <f aca="false">IF(Q1349,MIN(P1349*Inputs!$B$3/(R1349-AE1348),P1349*Inputs!$B$11/R1349),0)</f>
        <v>0</v>
      </c>
      <c r="T1349" s="11" t="n">
        <f aca="false">IF(Q1349,S1349,IF(M1349,0,Y1348))</f>
        <v>474.910781372347</v>
      </c>
      <c r="U1349" s="8" t="n">
        <f aca="false">IF(Q1349,AE1348,AF1348)</f>
        <v>0.854592691222844</v>
      </c>
      <c r="V1349" s="9" t="b">
        <f aca="false">AND(T1349&gt;0,D1349&lt;=U1349)</f>
        <v>0</v>
      </c>
      <c r="W1349" s="10" t="n">
        <f aca="false">IF(V1349,T1349*(AK1349-AB1349)-Inputs!$B$9-T1349*AD1349*Inputs!$B$13*(A1349-AC1349),0)</f>
        <v>0</v>
      </c>
      <c r="X1349" s="10" t="n">
        <f aca="false">P1349-IF(Q1349,Inputs!$B$9,0)+W1349</f>
        <v>924.345823172389</v>
      </c>
      <c r="Y1349" s="11" t="n">
        <f aca="false">IF(V1349,0,T1349)</f>
        <v>474.910781372347</v>
      </c>
      <c r="Z1349" s="9" t="b">
        <f aca="false">AND(Y1349&gt;0,K1349)</f>
        <v>0</v>
      </c>
      <c r="AA1349" s="9" t="b">
        <f aca="false">AND(Y1349=0,J1349,ISNUMBER(L1349))</f>
        <v>0</v>
      </c>
      <c r="AB1349" s="8" t="n">
        <f aca="false">IF(Q1349,R1349,AB1348)</f>
        <v>0.874077315692695</v>
      </c>
      <c r="AC1349" s="12" t="n">
        <f aca="false">IF(Q1349,A1349,AC1348)</f>
        <v>46112</v>
      </c>
      <c r="AD1349" s="8" t="n">
        <f aca="false">IF(Q1349,B1349,AD1348)</f>
        <v>0.873902535185658</v>
      </c>
      <c r="AE1349" s="8" t="str">
        <f aca="false">IF(AA1349,L1349,"")</f>
        <v/>
      </c>
      <c r="AF1349" s="8" t="n">
        <f aca="false">U1349</f>
        <v>0.854592691222844</v>
      </c>
      <c r="AG1349" s="2" t="n">
        <f aca="false">AG1348+IF(Q1349,1,0)</f>
        <v>15</v>
      </c>
      <c r="AH1349" s="2" t="n">
        <f aca="false">AG1348</f>
        <v>15</v>
      </c>
      <c r="AI1349" s="10" t="n">
        <f aca="false">X1349+Y1349*(E1349-AB1349)-Y1349*AD1349*Inputs!$B$13*(A1349-AC1349)</f>
        <v>916.984703783318</v>
      </c>
      <c r="AJ1349" s="10" t="n">
        <v>0</v>
      </c>
      <c r="AK1349" s="8" t="n">
        <f aca="false">IF(AND(B1349&lt;=U1349,NOT(Q1349)),B1349,U1349)*(1-Inputs!$B$12)</f>
        <v>0.854421772684599</v>
      </c>
    </row>
    <row r="1350" customFormat="false" ht="15" hidden="false" customHeight="false" outlineLevel="0" collapsed="false">
      <c r="A1350" s="6" t="n">
        <v>46134</v>
      </c>
      <c r="B1350" s="7" t="n">
        <v>0.861845466952668</v>
      </c>
      <c r="C1350" s="7" t="n">
        <v>0.864849455341431</v>
      </c>
      <c r="D1350" s="7" t="n">
        <v>0.857857707949436</v>
      </c>
      <c r="E1350" s="7" t="n">
        <v>0.858857048050399</v>
      </c>
      <c r="F1350" s="8" t="n">
        <f aca="true">IF(ROW()-2&gt;=Inputs!$B$4,AVERAGE(OFFSET(E1350,1-Inputs!$B$4,0,Inputs!$B$4,1)),"")</f>
        <v>0.877881163023728</v>
      </c>
      <c r="G1350" s="8" t="n">
        <f aca="true">IF(ROW()-2&gt;=Inputs!$B$5,AVERAGE(OFFSET(E1350,1-Inputs!$B$5,0,Inputs!$B$5,1)),"")</f>
        <v>0.877699968445191</v>
      </c>
      <c r="H1350" s="8" t="n">
        <f aca="false">MAX(C1350-D1350,ABS(C1350-E1349),ABS(D1350-E1349))</f>
        <v>0.00699174739199548</v>
      </c>
      <c r="I1350" s="8" t="n">
        <f aca="true">IF(ROW()-2&lt;14,"",IF(ROW()-2=14,AVERAGE(OFFSET(H1350,-13,0,14,1)),(I1349*13+H1350)/14))</f>
        <v>0.00846303741836794</v>
      </c>
      <c r="J1350" s="9" t="b">
        <f aca="false">IF(AND(ISNUMBER(F1350),ISNUMBER(G1350),ISNUMBER(F1349),ISNUMBER(G1349)),AND(F1350&gt;G1350,F1349&lt;=G1349),FALSE())</f>
        <v>0</v>
      </c>
      <c r="K1350" s="9" t="b">
        <f aca="false">IF(AND(ISNUMBER(F1350),ISNUMBER(G1350),ISNUMBER(F1349),ISNUMBER(G1349)),AND(F1350&lt;G1350,F1349&gt;=G1349),FALSE())</f>
        <v>0</v>
      </c>
      <c r="L1350" s="8" t="n">
        <f aca="false">IF(ISNUMBER(I1350),E1350-Inputs!$B$6*I1350,"")</f>
        <v>0.841930973213663</v>
      </c>
      <c r="M1350" s="9" t="b">
        <f aca="false">AND(Y1349&gt;0,Z1349)</f>
        <v>0</v>
      </c>
      <c r="N1350" s="8" t="n">
        <f aca="false">B1350*(1-Inputs!$B$12)</f>
        <v>0.861673097859277</v>
      </c>
      <c r="O1350" s="10" t="n">
        <f aca="false">IF(M1350,Y1349*(N1350-AB1349)-Inputs!$B$9-Y1349*AD1349*Inputs!$B$13*(A1350-AC1349),0)</f>
        <v>0</v>
      </c>
      <c r="P1350" s="10" t="n">
        <f aca="false">X1349+O1350</f>
        <v>924.345823172389</v>
      </c>
      <c r="Q1350" s="9" t="b">
        <f aca="false">AND(IF(M1350,0,Y1349)=0,AA1349,IF(ISNUMBER(AE1349),B1350&gt;AE1349,FALSE()))</f>
        <v>0</v>
      </c>
      <c r="R1350" s="8" t="n">
        <f aca="false">B1350*(1+Inputs!$B$12)</f>
        <v>0.862017836046058</v>
      </c>
      <c r="S1350" s="11" t="n">
        <f aca="false">IF(Q1350,MIN(P1350*Inputs!$B$3/(R1350-AE1349),P1350*Inputs!$B$11/R1350),0)</f>
        <v>0</v>
      </c>
      <c r="T1350" s="11" t="n">
        <f aca="false">IF(Q1350,S1350,IF(M1350,0,Y1349))</f>
        <v>474.910781372347</v>
      </c>
      <c r="U1350" s="8" t="n">
        <f aca="false">IF(Q1350,AE1349,AF1349)</f>
        <v>0.854592691222844</v>
      </c>
      <c r="V1350" s="9" t="b">
        <f aca="false">AND(T1350&gt;0,D1350&lt;=U1350)</f>
        <v>0</v>
      </c>
      <c r="W1350" s="10" t="n">
        <f aca="false">IF(V1350,T1350*(AK1350-AB1350)-Inputs!$B$9-T1350*AD1350*Inputs!$B$13*(A1350-AC1350),0)</f>
        <v>0</v>
      </c>
      <c r="X1350" s="10" t="n">
        <f aca="false">P1350-IF(Q1350,Inputs!$B$9,0)+W1350</f>
        <v>924.345823172389</v>
      </c>
      <c r="Y1350" s="11" t="n">
        <f aca="false">IF(V1350,0,T1350)</f>
        <v>474.910781372347</v>
      </c>
      <c r="Z1350" s="9" t="b">
        <f aca="false">AND(Y1350&gt;0,K1350)</f>
        <v>0</v>
      </c>
      <c r="AA1350" s="9" t="b">
        <f aca="false">AND(Y1350=0,J1350,ISNUMBER(L1350))</f>
        <v>0</v>
      </c>
      <c r="AB1350" s="8" t="n">
        <f aca="false">IF(Q1350,R1350,AB1349)</f>
        <v>0.874077315692695</v>
      </c>
      <c r="AC1350" s="12" t="n">
        <f aca="false">IF(Q1350,A1350,AC1349)</f>
        <v>46112</v>
      </c>
      <c r="AD1350" s="8" t="n">
        <f aca="false">IF(Q1350,B1350,AD1349)</f>
        <v>0.873902535185658</v>
      </c>
      <c r="AE1350" s="8" t="str">
        <f aca="false">IF(AA1350,L1350,"")</f>
        <v/>
      </c>
      <c r="AF1350" s="8" t="n">
        <f aca="false">U1350</f>
        <v>0.854592691222844</v>
      </c>
      <c r="AG1350" s="2" t="n">
        <f aca="false">AG1349+IF(Q1350,1,0)</f>
        <v>15</v>
      </c>
      <c r="AH1350" s="2" t="n">
        <f aca="false">AG1349</f>
        <v>15</v>
      </c>
      <c r="AI1350" s="10" t="n">
        <f aca="false">X1350+Y1350*(E1350-AB1350)-Y1350*AD1350*Inputs!$B$13*(A1350-AC1350)</f>
        <v>915.491562734692</v>
      </c>
      <c r="AJ1350" s="10" t="n">
        <v>0</v>
      </c>
      <c r="AK1350" s="8" t="n">
        <f aca="false">IF(AND(B1350&lt;=U1350,NOT(Q1350)),B1350,U1350)*(1-Inputs!$B$12)</f>
        <v>0.854421772684599</v>
      </c>
    </row>
    <row r="1351" customFormat="false" ht="15" hidden="false" customHeight="false" outlineLevel="0" collapsed="false">
      <c r="A1351" s="6" t="n">
        <v>46135</v>
      </c>
      <c r="B1351" s="7" t="n">
        <v>0.858857048050399</v>
      </c>
      <c r="C1351" s="7" t="n">
        <v>0.863379330287524</v>
      </c>
      <c r="D1351" s="7" t="n">
        <v>0.849005515052842</v>
      </c>
      <c r="E1351" s="7" t="n">
        <v>0.852212515628717</v>
      </c>
      <c r="F1351" s="8" t="n">
        <f aca="true">IF(ROW()-2&gt;=Inputs!$B$4,AVERAGE(OFFSET(E1351,1-Inputs!$B$4,0,Inputs!$B$4,1)),"")</f>
        <v>0.875839144476155</v>
      </c>
      <c r="G1351" s="8" t="n">
        <f aca="true">IF(ROW()-2&gt;=Inputs!$B$5,AVERAGE(OFFSET(E1351,1-Inputs!$B$5,0,Inputs!$B$5,1)),"")</f>
        <v>0.877207152973195</v>
      </c>
      <c r="H1351" s="8" t="n">
        <f aca="false">MAX(C1351-D1351,ABS(C1351-E1350),ABS(D1351-E1350))</f>
        <v>0.0143738152346821</v>
      </c>
      <c r="I1351" s="8" t="n">
        <f aca="true">IF(ROW()-2&lt;14,"",IF(ROW()-2=14,AVERAGE(OFFSET(H1351,-13,0,14,1)),(I1350*13+H1351)/14))</f>
        <v>0.00888523583381895</v>
      </c>
      <c r="J1351" s="9" t="b">
        <f aca="false">IF(AND(ISNUMBER(F1351),ISNUMBER(G1351),ISNUMBER(F1350),ISNUMBER(G1350)),AND(F1351&gt;G1351,F1350&lt;=G1350),FALSE())</f>
        <v>0</v>
      </c>
      <c r="K1351" s="9" t="b">
        <f aca="false">IF(AND(ISNUMBER(F1351),ISNUMBER(G1351),ISNUMBER(F1350),ISNUMBER(G1350)),AND(F1351&lt;G1351,F1350&gt;=G1350),FALSE())</f>
        <v>1</v>
      </c>
      <c r="L1351" s="8" t="n">
        <f aca="false">IF(ISNUMBER(I1351),E1351-Inputs!$B$6*I1351,"")</f>
        <v>0.834442043961079</v>
      </c>
      <c r="M1351" s="9" t="b">
        <f aca="false">AND(Y1350&gt;0,Z1350)</f>
        <v>0</v>
      </c>
      <c r="N1351" s="8" t="n">
        <f aca="false">B1351*(1-Inputs!$B$12)</f>
        <v>0.858685276640789</v>
      </c>
      <c r="O1351" s="10" t="n">
        <f aca="false">IF(M1351,Y1350*(N1351-AB1350)-Inputs!$B$9-Y1350*AD1350*Inputs!$B$13*(A1351-AC1350),0)</f>
        <v>0</v>
      </c>
      <c r="P1351" s="10" t="n">
        <f aca="false">X1350+O1351</f>
        <v>924.345823172389</v>
      </c>
      <c r="Q1351" s="9" t="b">
        <f aca="false">AND(IF(M1351,0,Y1350)=0,AA1350,IF(ISNUMBER(AE1350),B1351&gt;AE1350,FALSE()))</f>
        <v>0</v>
      </c>
      <c r="R1351" s="8" t="n">
        <f aca="false">B1351*(1+Inputs!$B$12)</f>
        <v>0.859028819460009</v>
      </c>
      <c r="S1351" s="11" t="n">
        <f aca="false">IF(Q1351,MIN(P1351*Inputs!$B$3/(R1351-AE1350),P1351*Inputs!$B$11/R1351),0)</f>
        <v>0</v>
      </c>
      <c r="T1351" s="11" t="n">
        <f aca="false">IF(Q1351,S1351,IF(M1351,0,Y1350))</f>
        <v>474.910781372347</v>
      </c>
      <c r="U1351" s="8" t="n">
        <f aca="false">IF(Q1351,AE1350,AF1350)</f>
        <v>0.854592691222844</v>
      </c>
      <c r="V1351" s="9" t="b">
        <f aca="false">AND(T1351&gt;0,D1351&lt;=U1351)</f>
        <v>1</v>
      </c>
      <c r="W1351" s="10" t="n">
        <f aca="false">IF(V1351,T1351*(AK1351-AB1351)-Inputs!$B$9-T1351*AD1351*Inputs!$B$13*(A1351-AC1351),0)</f>
        <v>-12.0345292199529</v>
      </c>
      <c r="X1351" s="10" t="n">
        <f aca="false">P1351-IF(Q1351,Inputs!$B$9,0)+W1351</f>
        <v>912.311293952437</v>
      </c>
      <c r="Y1351" s="11" t="n">
        <f aca="false">IF(V1351,0,T1351)</f>
        <v>0</v>
      </c>
      <c r="Z1351" s="9" t="b">
        <f aca="false">AND(Y1351&gt;0,K1351)</f>
        <v>0</v>
      </c>
      <c r="AA1351" s="9" t="b">
        <f aca="false">AND(Y1351=0,J1351,ISNUMBER(L1351))</f>
        <v>0</v>
      </c>
      <c r="AB1351" s="8" t="n">
        <f aca="false">IF(Q1351,R1351,AB1350)</f>
        <v>0.874077315692695</v>
      </c>
      <c r="AC1351" s="12" t="n">
        <f aca="false">IF(Q1351,A1351,AC1350)</f>
        <v>46112</v>
      </c>
      <c r="AD1351" s="8" t="n">
        <f aca="false">IF(Q1351,B1351,AD1350)</f>
        <v>0.873902535185658</v>
      </c>
      <c r="AE1351" s="8" t="str">
        <f aca="false">IF(AA1351,L1351,"")</f>
        <v/>
      </c>
      <c r="AF1351" s="8" t="n">
        <f aca="false">U1351</f>
        <v>0.854592691222844</v>
      </c>
      <c r="AG1351" s="2" t="n">
        <f aca="false">AG1350+IF(Q1351,1,0)</f>
        <v>15</v>
      </c>
      <c r="AH1351" s="2" t="n">
        <f aca="false">AG1350</f>
        <v>15</v>
      </c>
      <c r="AI1351" s="10" t="n">
        <f aca="false">X1351+Y1351*(E1351-AB1351)-Y1351*AD1351*Inputs!$B$13*(A1351-AC1351)</f>
        <v>912.311293952437</v>
      </c>
      <c r="AJ1351" s="10" t="n">
        <v>0</v>
      </c>
      <c r="AK1351" s="8" t="n">
        <f aca="false">IF(AND(B1351&lt;=U1351,NOT(Q1351)),B1351,U1351)*(1-Inputs!$B$12)</f>
        <v>0.854421772684599</v>
      </c>
    </row>
    <row r="1352" customFormat="false" ht="15" hidden="false" customHeight="false" outlineLevel="0" collapsed="false">
      <c r="A1352" s="6" t="n">
        <v>46136</v>
      </c>
      <c r="B1352" s="7" t="n">
        <v>0.852212515628717</v>
      </c>
      <c r="C1352" s="7" t="n">
        <v>0.856157991490768</v>
      </c>
      <c r="D1352" s="7" t="n">
        <v>0.851176976703674</v>
      </c>
      <c r="E1352" s="7" t="n">
        <v>0.852780789312187</v>
      </c>
      <c r="F1352" s="8" t="n">
        <f aca="true">IF(ROW()-2&gt;=Inputs!$B$4,AVERAGE(OFFSET(E1352,1-Inputs!$B$4,0,Inputs!$B$4,1)),"")</f>
        <v>0.874260943934652</v>
      </c>
      <c r="G1352" s="8" t="n">
        <f aca="true">IF(ROW()-2&gt;=Inputs!$B$5,AVERAGE(OFFSET(E1352,1-Inputs!$B$5,0,Inputs!$B$5,1)),"")</f>
        <v>0.876878863936112</v>
      </c>
      <c r="H1352" s="8" t="n">
        <f aca="false">MAX(C1352-D1352,ABS(C1352-E1351),ABS(D1352-E1351))</f>
        <v>0.0049810147870939</v>
      </c>
      <c r="I1352" s="8" t="n">
        <f aca="true">IF(ROW()-2&lt;14,"",IF(ROW()-2=14,AVERAGE(OFFSET(H1352,-13,0,14,1)),(I1351*13+H1352)/14))</f>
        <v>0.00860636290191002</v>
      </c>
      <c r="J1352" s="9" t="b">
        <f aca="false">IF(AND(ISNUMBER(F1352),ISNUMBER(G1352),ISNUMBER(F1351),ISNUMBER(G1351)),AND(F1352&gt;G1352,F1351&lt;=G1351),FALSE())</f>
        <v>0</v>
      </c>
      <c r="K1352" s="9" t="b">
        <f aca="false">IF(AND(ISNUMBER(F1352),ISNUMBER(G1352),ISNUMBER(F1351),ISNUMBER(G1351)),AND(F1352&lt;G1352,F1351&gt;=G1351),FALSE())</f>
        <v>0</v>
      </c>
      <c r="L1352" s="8" t="n">
        <f aca="false">IF(ISNUMBER(I1352),E1352-Inputs!$B$6*I1352,"")</f>
        <v>0.835568063508367</v>
      </c>
      <c r="M1352" s="9" t="b">
        <f aca="false">AND(Y1351&gt;0,Z1351)</f>
        <v>0</v>
      </c>
      <c r="N1352" s="8" t="n">
        <f aca="false">B1352*(1-Inputs!$B$12)</f>
        <v>0.852042073125592</v>
      </c>
      <c r="O1352" s="10" t="n">
        <f aca="false">IF(M1352,Y1351*(N1352-AB1351)-Inputs!$B$9-Y1351*AD1351*Inputs!$B$13*(A1352-AC1351),0)</f>
        <v>0</v>
      </c>
      <c r="P1352" s="10" t="n">
        <f aca="false">X1351+O1352</f>
        <v>912.311293952437</v>
      </c>
      <c r="Q1352" s="9" t="b">
        <f aca="false">AND(IF(M1352,0,Y1351)=0,AA1351,IF(ISNUMBER(AE1351),B1352&gt;AE1351,FALSE()))</f>
        <v>0</v>
      </c>
      <c r="R1352" s="8" t="n">
        <f aca="false">B1352*(1+Inputs!$B$12)</f>
        <v>0.852382958131843</v>
      </c>
      <c r="S1352" s="11" t="n">
        <f aca="false">IF(Q1352,MIN(P1352*Inputs!$B$3/(R1352-AE1351),P1352*Inputs!$B$11/R1352),0)</f>
        <v>0</v>
      </c>
      <c r="T1352" s="11" t="n">
        <f aca="false">IF(Q1352,S1352,IF(M1352,0,Y1351))</f>
        <v>0</v>
      </c>
      <c r="U1352" s="8" t="n">
        <f aca="false">IF(Q1352,AE1351,AF1351)</f>
        <v>0.854592691222844</v>
      </c>
      <c r="V1352" s="9" t="b">
        <f aca="false">AND(T1352&gt;0,D1352&lt;=U1352)</f>
        <v>0</v>
      </c>
      <c r="W1352" s="10" t="n">
        <f aca="false">IF(V1352,T1352*(AK1352-AB1352)-Inputs!$B$9-T1352*AD1352*Inputs!$B$13*(A1352-AC1352),0)</f>
        <v>0</v>
      </c>
      <c r="X1352" s="10" t="n">
        <f aca="false">P1352-IF(Q1352,Inputs!$B$9,0)+W1352</f>
        <v>912.311293952437</v>
      </c>
      <c r="Y1352" s="11" t="n">
        <f aca="false">IF(V1352,0,T1352)</f>
        <v>0</v>
      </c>
      <c r="Z1352" s="9" t="b">
        <f aca="false">AND(Y1352&gt;0,K1352)</f>
        <v>0</v>
      </c>
      <c r="AA1352" s="9" t="b">
        <f aca="false">AND(Y1352=0,J1352,ISNUMBER(L1352))</f>
        <v>0</v>
      </c>
      <c r="AB1352" s="8" t="n">
        <f aca="false">IF(Q1352,R1352,AB1351)</f>
        <v>0.874077315692695</v>
      </c>
      <c r="AC1352" s="12" t="n">
        <f aca="false">IF(Q1352,A1352,AC1351)</f>
        <v>46112</v>
      </c>
      <c r="AD1352" s="8" t="n">
        <f aca="false">IF(Q1352,B1352,AD1351)</f>
        <v>0.873902535185658</v>
      </c>
      <c r="AE1352" s="8" t="str">
        <f aca="false">IF(AA1352,L1352,"")</f>
        <v/>
      </c>
      <c r="AF1352" s="8" t="n">
        <f aca="false">U1352</f>
        <v>0.854592691222844</v>
      </c>
      <c r="AG1352" s="2" t="n">
        <f aca="false">AG1351+IF(Q1352,1,0)</f>
        <v>15</v>
      </c>
      <c r="AH1352" s="2" t="n">
        <f aca="false">AG1351</f>
        <v>15</v>
      </c>
      <c r="AI1352" s="10" t="n">
        <f aca="false">X1352+Y1352*(E1352-AB1352)-Y1352*AD1352*Inputs!$B$13*(A1352-AC1352)</f>
        <v>912.311293952437</v>
      </c>
      <c r="AJ1352" s="10" t="n">
        <v>0</v>
      </c>
      <c r="AK1352" s="8" t="n">
        <f aca="false">IF(AND(B1352&lt;=U1352,NOT(Q1352)),B1352,U1352)*(1-Inputs!$B$12)</f>
        <v>0.852042073125592</v>
      </c>
    </row>
    <row r="1353" customFormat="false" ht="15" hidden="false" customHeight="false" outlineLevel="0" collapsed="false">
      <c r="A1353" s="6" t="n">
        <v>46137</v>
      </c>
      <c r="B1353" s="7" t="n">
        <v>0.852780789312187</v>
      </c>
      <c r="C1353" s="7" t="n">
        <v>0.855547003254806</v>
      </c>
      <c r="D1353" s="7" t="n">
        <v>0.85079028747605</v>
      </c>
      <c r="E1353" s="7" t="n">
        <v>0.852263170250094</v>
      </c>
      <c r="F1353" s="8" t="n">
        <f aca="true">IF(ROW()-2&gt;=Inputs!$B$4,AVERAGE(OFFSET(E1353,1-Inputs!$B$4,0,Inputs!$B$4,1)),"")</f>
        <v>0.872391224099304</v>
      </c>
      <c r="G1353" s="8" t="n">
        <f aca="true">IF(ROW()-2&gt;=Inputs!$B$5,AVERAGE(OFFSET(E1353,1-Inputs!$B$5,0,Inputs!$B$5,1)),"")</f>
        <v>0.876426553200959</v>
      </c>
      <c r="H1353" s="8" t="n">
        <f aca="false">MAX(C1353-D1353,ABS(C1353-E1352),ABS(D1353-E1352))</f>
        <v>0.00475671577875658</v>
      </c>
      <c r="I1353" s="8" t="n">
        <f aca="true">IF(ROW()-2&lt;14,"",IF(ROW()-2=14,AVERAGE(OFFSET(H1353,-13,0,14,1)),(I1352*13+H1353)/14))</f>
        <v>0.00833138810739906</v>
      </c>
      <c r="J1353" s="9" t="b">
        <f aca="false">IF(AND(ISNUMBER(F1353),ISNUMBER(G1353),ISNUMBER(F1352),ISNUMBER(G1352)),AND(F1353&gt;G1353,F1352&lt;=G1352),FALSE())</f>
        <v>0</v>
      </c>
      <c r="K1353" s="9" t="b">
        <f aca="false">IF(AND(ISNUMBER(F1353),ISNUMBER(G1353),ISNUMBER(F1352),ISNUMBER(G1352)),AND(F1353&lt;G1353,F1352&gt;=G1352),FALSE())</f>
        <v>0</v>
      </c>
      <c r="L1353" s="8" t="n">
        <f aca="false">IF(ISNUMBER(I1353),E1353-Inputs!$B$6*I1353,"")</f>
        <v>0.835600394035296</v>
      </c>
      <c r="M1353" s="9" t="b">
        <f aca="false">AND(Y1352&gt;0,Z1352)</f>
        <v>0</v>
      </c>
      <c r="N1353" s="8" t="n">
        <f aca="false">B1353*(1-Inputs!$B$12)</f>
        <v>0.852610233154325</v>
      </c>
      <c r="O1353" s="10" t="n">
        <f aca="false">IF(M1353,Y1352*(N1353-AB1352)-Inputs!$B$9-Y1352*AD1352*Inputs!$B$13*(A1353-AC1352),0)</f>
        <v>0</v>
      </c>
      <c r="P1353" s="10" t="n">
        <f aca="false">X1352+O1353</f>
        <v>912.311293952437</v>
      </c>
      <c r="Q1353" s="9" t="b">
        <f aca="false">AND(IF(M1353,0,Y1352)=0,AA1352,IF(ISNUMBER(AE1352),B1353&gt;AE1352,FALSE()))</f>
        <v>0</v>
      </c>
      <c r="R1353" s="8" t="n">
        <f aca="false">B1353*(1+Inputs!$B$12)</f>
        <v>0.85295134547005</v>
      </c>
      <c r="S1353" s="11" t="n">
        <f aca="false">IF(Q1353,MIN(P1353*Inputs!$B$3/(R1353-AE1352),P1353*Inputs!$B$11/R1353),0)</f>
        <v>0</v>
      </c>
      <c r="T1353" s="11" t="n">
        <f aca="false">IF(Q1353,S1353,IF(M1353,0,Y1352))</f>
        <v>0</v>
      </c>
      <c r="U1353" s="8" t="n">
        <f aca="false">IF(Q1353,AE1352,AF1352)</f>
        <v>0.854592691222844</v>
      </c>
      <c r="V1353" s="9" t="b">
        <f aca="false">AND(T1353&gt;0,D1353&lt;=U1353)</f>
        <v>0</v>
      </c>
      <c r="W1353" s="10" t="n">
        <f aca="false">IF(V1353,T1353*(AK1353-AB1353)-Inputs!$B$9-T1353*AD1353*Inputs!$B$13*(A1353-AC1353),0)</f>
        <v>0</v>
      </c>
      <c r="X1353" s="10" t="n">
        <f aca="false">P1353-IF(Q1353,Inputs!$B$9,0)+W1353</f>
        <v>912.311293952437</v>
      </c>
      <c r="Y1353" s="11" t="n">
        <f aca="false">IF(V1353,0,T1353)</f>
        <v>0</v>
      </c>
      <c r="Z1353" s="9" t="b">
        <f aca="false">AND(Y1353&gt;0,K1353)</f>
        <v>0</v>
      </c>
      <c r="AA1353" s="9" t="b">
        <f aca="false">AND(Y1353=0,J1353,ISNUMBER(L1353))</f>
        <v>0</v>
      </c>
      <c r="AB1353" s="8" t="n">
        <f aca="false">IF(Q1353,R1353,AB1352)</f>
        <v>0.874077315692695</v>
      </c>
      <c r="AC1353" s="12" t="n">
        <f aca="false">IF(Q1353,A1353,AC1352)</f>
        <v>46112</v>
      </c>
      <c r="AD1353" s="8" t="n">
        <f aca="false">IF(Q1353,B1353,AD1352)</f>
        <v>0.873902535185658</v>
      </c>
      <c r="AE1353" s="8" t="str">
        <f aca="false">IF(AA1353,L1353,"")</f>
        <v/>
      </c>
      <c r="AF1353" s="8" t="n">
        <f aca="false">U1353</f>
        <v>0.854592691222844</v>
      </c>
      <c r="AG1353" s="2" t="n">
        <f aca="false">AG1352+IF(Q1353,1,0)</f>
        <v>15</v>
      </c>
      <c r="AH1353" s="2" t="n">
        <f aca="false">AG1352</f>
        <v>15</v>
      </c>
      <c r="AI1353" s="10" t="n">
        <f aca="false">X1353+Y1353*(E1353-AB1353)-Y1353*AD1353*Inputs!$B$13*(A1353-AC1353)</f>
        <v>912.311293952437</v>
      </c>
      <c r="AJ1353" s="10" t="n">
        <v>0</v>
      </c>
      <c r="AK1353" s="8" t="n">
        <f aca="false">IF(AND(B1353&lt;=U1353,NOT(Q1353)),B1353,U1353)*(1-Inputs!$B$12)</f>
        <v>0.852610233154325</v>
      </c>
    </row>
    <row r="1354" customFormat="false" ht="15" hidden="false" customHeight="false" outlineLevel="0" collapsed="false">
      <c r="A1354" s="6" t="n">
        <v>46138</v>
      </c>
      <c r="B1354" s="7" t="n">
        <v>0.852263170250094</v>
      </c>
      <c r="C1354" s="7" t="n">
        <v>0.854911637313076</v>
      </c>
      <c r="D1354" s="7" t="n">
        <v>0.845231863194778</v>
      </c>
      <c r="E1354" s="7" t="n">
        <v>0.848731317084848</v>
      </c>
      <c r="F1354" s="8" t="n">
        <f aca="true">IF(ROW()-2&gt;=Inputs!$B$4,AVERAGE(OFFSET(E1354,1-Inputs!$B$4,0,Inputs!$B$4,1)),"")</f>
        <v>0.870443629036605</v>
      </c>
      <c r="G1354" s="8" t="n">
        <f aca="true">IF(ROW()-2&gt;=Inputs!$B$5,AVERAGE(OFFSET(E1354,1-Inputs!$B$5,0,Inputs!$B$5,1)),"")</f>
        <v>0.875843373109804</v>
      </c>
      <c r="H1354" s="8" t="n">
        <f aca="false">MAX(C1354-D1354,ABS(C1354-E1353),ABS(D1354-E1353))</f>
        <v>0.00967977411829801</v>
      </c>
      <c r="I1354" s="8" t="n">
        <f aca="true">IF(ROW()-2&lt;14,"",IF(ROW()-2=14,AVERAGE(OFFSET(H1354,-13,0,14,1)),(I1353*13+H1354)/14))</f>
        <v>0.00842770139389184</v>
      </c>
      <c r="J1354" s="9" t="b">
        <f aca="false">IF(AND(ISNUMBER(F1354),ISNUMBER(G1354),ISNUMBER(F1353),ISNUMBER(G1353)),AND(F1354&gt;G1354,F1353&lt;=G1353),FALSE())</f>
        <v>0</v>
      </c>
      <c r="K1354" s="9" t="b">
        <f aca="false">IF(AND(ISNUMBER(F1354),ISNUMBER(G1354),ISNUMBER(F1353),ISNUMBER(G1353)),AND(F1354&lt;G1354,F1353&gt;=G1353),FALSE())</f>
        <v>0</v>
      </c>
      <c r="L1354" s="8" t="n">
        <f aca="false">IF(ISNUMBER(I1354),E1354-Inputs!$B$6*I1354,"")</f>
        <v>0.831875914297065</v>
      </c>
      <c r="M1354" s="9" t="b">
        <f aca="false">AND(Y1353&gt;0,Z1353)</f>
        <v>0</v>
      </c>
      <c r="N1354" s="8" t="n">
        <f aca="false">B1354*(1-Inputs!$B$12)</f>
        <v>0.852092717616044</v>
      </c>
      <c r="O1354" s="10" t="n">
        <f aca="false">IF(M1354,Y1353*(N1354-AB1353)-Inputs!$B$9-Y1353*AD1353*Inputs!$B$13*(A1354-AC1353),0)</f>
        <v>0</v>
      </c>
      <c r="P1354" s="10" t="n">
        <f aca="false">X1353+O1354</f>
        <v>912.311293952437</v>
      </c>
      <c r="Q1354" s="9" t="b">
        <f aca="false">AND(IF(M1354,0,Y1353)=0,AA1353,IF(ISNUMBER(AE1353),B1354&gt;AE1353,FALSE()))</f>
        <v>0</v>
      </c>
      <c r="R1354" s="8" t="n">
        <f aca="false">B1354*(1+Inputs!$B$12)</f>
        <v>0.852433622884144</v>
      </c>
      <c r="S1354" s="11" t="n">
        <f aca="false">IF(Q1354,MIN(P1354*Inputs!$B$3/(R1354-AE1353),P1354*Inputs!$B$11/R1354),0)</f>
        <v>0</v>
      </c>
      <c r="T1354" s="11" t="n">
        <f aca="false">IF(Q1354,S1354,IF(M1354,0,Y1353))</f>
        <v>0</v>
      </c>
      <c r="U1354" s="8" t="n">
        <f aca="false">IF(Q1354,AE1353,AF1353)</f>
        <v>0.854592691222844</v>
      </c>
      <c r="V1354" s="9" t="b">
        <f aca="false">AND(T1354&gt;0,D1354&lt;=U1354)</f>
        <v>0</v>
      </c>
      <c r="W1354" s="10" t="n">
        <f aca="false">IF(V1354,T1354*(AK1354-AB1354)-Inputs!$B$9-T1354*AD1354*Inputs!$B$13*(A1354-AC1354),0)</f>
        <v>0</v>
      </c>
      <c r="X1354" s="10" t="n">
        <f aca="false">P1354-IF(Q1354,Inputs!$B$9,0)+W1354</f>
        <v>912.311293952437</v>
      </c>
      <c r="Y1354" s="11" t="n">
        <f aca="false">IF(V1354,0,T1354)</f>
        <v>0</v>
      </c>
      <c r="Z1354" s="9" t="b">
        <f aca="false">AND(Y1354&gt;0,K1354)</f>
        <v>0</v>
      </c>
      <c r="AA1354" s="9" t="b">
        <f aca="false">AND(Y1354=0,J1354,ISNUMBER(L1354))</f>
        <v>0</v>
      </c>
      <c r="AB1354" s="8" t="n">
        <f aca="false">IF(Q1354,R1354,AB1353)</f>
        <v>0.874077315692695</v>
      </c>
      <c r="AC1354" s="12" t="n">
        <f aca="false">IF(Q1354,A1354,AC1353)</f>
        <v>46112</v>
      </c>
      <c r="AD1354" s="8" t="n">
        <f aca="false">IF(Q1354,B1354,AD1353)</f>
        <v>0.873902535185658</v>
      </c>
      <c r="AE1354" s="8" t="str">
        <f aca="false">IF(AA1354,L1354,"")</f>
        <v/>
      </c>
      <c r="AF1354" s="8" t="n">
        <f aca="false">U1354</f>
        <v>0.854592691222844</v>
      </c>
      <c r="AG1354" s="2" t="n">
        <f aca="false">AG1353+IF(Q1354,1,0)</f>
        <v>15</v>
      </c>
      <c r="AH1354" s="2" t="n">
        <f aca="false">AG1353</f>
        <v>15</v>
      </c>
      <c r="AI1354" s="10" t="n">
        <f aca="false">X1354+Y1354*(E1354-AB1354)-Y1354*AD1354*Inputs!$B$13*(A1354-AC1354)</f>
        <v>912.311293952437</v>
      </c>
      <c r="AJ1354" s="10" t="n">
        <v>0</v>
      </c>
      <c r="AK1354" s="8" t="n">
        <f aca="false">IF(AND(B1354&lt;=U1354,NOT(Q1354)),B1354,U1354)*(1-Inputs!$B$12)</f>
        <v>0.852092717616044</v>
      </c>
    </row>
    <row r="1355" customFormat="false" ht="15" hidden="false" customHeight="false" outlineLevel="0" collapsed="false">
      <c r="A1355" s="6" t="n">
        <v>46139</v>
      </c>
      <c r="B1355" s="7" t="n">
        <v>0.848731317084848</v>
      </c>
      <c r="C1355" s="7" t="n">
        <v>0.859525080905984</v>
      </c>
      <c r="D1355" s="7" t="n">
        <v>0.848564053974809</v>
      </c>
      <c r="E1355" s="7" t="n">
        <v>0.854613565496049</v>
      </c>
      <c r="F1355" s="8" t="n">
        <f aca="true">IF(ROW()-2&gt;=Inputs!$B$4,AVERAGE(OFFSET(E1355,1-Inputs!$B$4,0,Inputs!$B$4,1)),"")</f>
        <v>0.868459619207428</v>
      </c>
      <c r="G1355" s="8" t="n">
        <f aca="true">IF(ROW()-2&gt;=Inputs!$B$5,AVERAGE(OFFSET(E1355,1-Inputs!$B$5,0,Inputs!$B$5,1)),"")</f>
        <v>0.875553398058412</v>
      </c>
      <c r="H1355" s="8" t="n">
        <f aca="false">MAX(C1355-D1355,ABS(C1355-E1354),ABS(D1355-E1354))</f>
        <v>0.0109610269311748</v>
      </c>
      <c r="I1355" s="8" t="n">
        <f aca="true">IF(ROW()-2&lt;14,"",IF(ROW()-2=14,AVERAGE(OFFSET(H1355,-13,0,14,1)),(I1354*13+H1355)/14))</f>
        <v>0.00860865321798349</v>
      </c>
      <c r="J1355" s="9" t="b">
        <f aca="false">IF(AND(ISNUMBER(F1355),ISNUMBER(G1355),ISNUMBER(F1354),ISNUMBER(G1354)),AND(F1355&gt;G1355,F1354&lt;=G1354),FALSE())</f>
        <v>0</v>
      </c>
      <c r="K1355" s="9" t="b">
        <f aca="false">IF(AND(ISNUMBER(F1355),ISNUMBER(G1355),ISNUMBER(F1354),ISNUMBER(G1354)),AND(F1355&lt;G1355,F1354&gt;=G1354),FALSE())</f>
        <v>0</v>
      </c>
      <c r="L1355" s="8" t="n">
        <f aca="false">IF(ISNUMBER(I1355),E1355-Inputs!$B$6*I1355,"")</f>
        <v>0.837396259060082</v>
      </c>
      <c r="M1355" s="9" t="b">
        <f aca="false">AND(Y1354&gt;0,Z1354)</f>
        <v>0</v>
      </c>
      <c r="N1355" s="8" t="n">
        <f aca="false">B1355*(1-Inputs!$B$12)</f>
        <v>0.848561570821432</v>
      </c>
      <c r="O1355" s="10" t="n">
        <f aca="false">IF(M1355,Y1354*(N1355-AB1354)-Inputs!$B$9-Y1354*AD1354*Inputs!$B$13*(A1355-AC1354),0)</f>
        <v>0</v>
      </c>
      <c r="P1355" s="10" t="n">
        <f aca="false">X1354+O1355</f>
        <v>912.311293952437</v>
      </c>
      <c r="Q1355" s="9" t="b">
        <f aca="false">AND(IF(M1355,0,Y1354)=0,AA1354,IF(ISNUMBER(AE1354),B1355&gt;AE1354,FALSE()))</f>
        <v>0</v>
      </c>
      <c r="R1355" s="8" t="n">
        <f aca="false">B1355*(1+Inputs!$B$12)</f>
        <v>0.848901063348265</v>
      </c>
      <c r="S1355" s="11" t="n">
        <f aca="false">IF(Q1355,MIN(P1355*Inputs!$B$3/(R1355-AE1354),P1355*Inputs!$B$11/R1355),0)</f>
        <v>0</v>
      </c>
      <c r="T1355" s="11" t="n">
        <f aca="false">IF(Q1355,S1355,IF(M1355,0,Y1354))</f>
        <v>0</v>
      </c>
      <c r="U1355" s="8" t="n">
        <f aca="false">IF(Q1355,AE1354,AF1354)</f>
        <v>0.854592691222844</v>
      </c>
      <c r="V1355" s="9" t="b">
        <f aca="false">AND(T1355&gt;0,D1355&lt;=U1355)</f>
        <v>0</v>
      </c>
      <c r="W1355" s="10" t="n">
        <f aca="false">IF(V1355,T1355*(AK1355-AB1355)-Inputs!$B$9-T1355*AD1355*Inputs!$B$13*(A1355-AC1355),0)</f>
        <v>0</v>
      </c>
      <c r="X1355" s="10" t="n">
        <f aca="false">P1355-IF(Q1355,Inputs!$B$9,0)+W1355</f>
        <v>912.311293952437</v>
      </c>
      <c r="Y1355" s="11" t="n">
        <f aca="false">IF(V1355,0,T1355)</f>
        <v>0</v>
      </c>
      <c r="Z1355" s="9" t="b">
        <f aca="false">AND(Y1355&gt;0,K1355)</f>
        <v>0</v>
      </c>
      <c r="AA1355" s="9" t="b">
        <f aca="false">AND(Y1355=0,J1355,ISNUMBER(L1355))</f>
        <v>0</v>
      </c>
      <c r="AB1355" s="8" t="n">
        <f aca="false">IF(Q1355,R1355,AB1354)</f>
        <v>0.874077315692695</v>
      </c>
      <c r="AC1355" s="12" t="n">
        <f aca="false">IF(Q1355,A1355,AC1354)</f>
        <v>46112</v>
      </c>
      <c r="AD1355" s="8" t="n">
        <f aca="false">IF(Q1355,B1355,AD1354)</f>
        <v>0.873902535185658</v>
      </c>
      <c r="AE1355" s="8" t="str">
        <f aca="false">IF(AA1355,L1355,"")</f>
        <v/>
      </c>
      <c r="AF1355" s="8" t="n">
        <f aca="false">U1355</f>
        <v>0.854592691222844</v>
      </c>
      <c r="AG1355" s="2" t="n">
        <f aca="false">AG1354+IF(Q1355,1,0)</f>
        <v>15</v>
      </c>
      <c r="AH1355" s="2" t="n">
        <f aca="false">AG1354</f>
        <v>15</v>
      </c>
      <c r="AI1355" s="10" t="n">
        <f aca="false">X1355+Y1355*(E1355-AB1355)-Y1355*AD1355*Inputs!$B$13*(A1355-AC1355)</f>
        <v>912.311293952437</v>
      </c>
      <c r="AJ1355" s="10" t="n">
        <v>0</v>
      </c>
      <c r="AK1355" s="8" t="n">
        <f aca="false">IF(AND(B1355&lt;=U1355,NOT(Q1355)),B1355,U1355)*(1-Inputs!$B$12)</f>
        <v>0.848561570821432</v>
      </c>
    </row>
    <row r="1356" customFormat="false" ht="15" hidden="false" customHeight="false" outlineLevel="0" collapsed="false">
      <c r="A1356" s="6" t="n">
        <v>46140</v>
      </c>
      <c r="B1356" s="7" t="n">
        <v>0.854613565496049</v>
      </c>
      <c r="C1356" s="7" t="n">
        <v>0.855390984443127</v>
      </c>
      <c r="D1356" s="7" t="n">
        <v>0.851975873659443</v>
      </c>
      <c r="E1356" s="7" t="n">
        <v>0.853846895868571</v>
      </c>
      <c r="F1356" s="8" t="n">
        <f aca="true">IF(ROW()-2&gt;=Inputs!$B$4,AVERAGE(OFFSET(E1356,1-Inputs!$B$4,0,Inputs!$B$4,1)),"")</f>
        <v>0.866804848080976</v>
      </c>
      <c r="G1356" s="8" t="n">
        <f aca="true">IF(ROW()-2&gt;=Inputs!$B$5,AVERAGE(OFFSET(E1356,1-Inputs!$B$5,0,Inputs!$B$5,1)),"")</f>
        <v>0.87530818145668</v>
      </c>
      <c r="H1356" s="8" t="n">
        <f aca="false">MAX(C1356-D1356,ABS(C1356-E1355),ABS(D1356-E1355))</f>
        <v>0.00341511078368328</v>
      </c>
      <c r="I1356" s="8" t="n">
        <f aca="true">IF(ROW()-2&lt;14,"",IF(ROW()-2=14,AVERAGE(OFFSET(H1356,-13,0,14,1)),(I1355*13+H1356)/14))</f>
        <v>0.00823768590124776</v>
      </c>
      <c r="J1356" s="9" t="b">
        <f aca="false">IF(AND(ISNUMBER(F1356),ISNUMBER(G1356),ISNUMBER(F1355),ISNUMBER(G1355)),AND(F1356&gt;G1356,F1355&lt;=G1355),FALSE())</f>
        <v>0</v>
      </c>
      <c r="K1356" s="9" t="b">
        <f aca="false">IF(AND(ISNUMBER(F1356),ISNUMBER(G1356),ISNUMBER(F1355),ISNUMBER(G1355)),AND(F1356&lt;G1356,F1355&gt;=G1355),FALSE())</f>
        <v>0</v>
      </c>
      <c r="L1356" s="8" t="n">
        <f aca="false">IF(ISNUMBER(I1356),E1356-Inputs!$B$6*I1356,"")</f>
        <v>0.837371524066076</v>
      </c>
      <c r="M1356" s="9" t="b">
        <f aca="false">AND(Y1355&gt;0,Z1355)</f>
        <v>0</v>
      </c>
      <c r="N1356" s="8" t="n">
        <f aca="false">B1356*(1-Inputs!$B$12)</f>
        <v>0.85444264278295</v>
      </c>
      <c r="O1356" s="10" t="n">
        <f aca="false">IF(M1356,Y1355*(N1356-AB1355)-Inputs!$B$9-Y1355*AD1355*Inputs!$B$13*(A1356-AC1355),0)</f>
        <v>0</v>
      </c>
      <c r="P1356" s="10" t="n">
        <f aca="false">X1355+O1356</f>
        <v>912.311293952437</v>
      </c>
      <c r="Q1356" s="9" t="b">
        <f aca="false">AND(IF(M1356,0,Y1355)=0,AA1355,IF(ISNUMBER(AE1355),B1356&gt;AE1355,FALSE()))</f>
        <v>0</v>
      </c>
      <c r="R1356" s="8" t="n">
        <f aca="false">B1356*(1+Inputs!$B$12)</f>
        <v>0.854784488209148</v>
      </c>
      <c r="S1356" s="11" t="n">
        <f aca="false">IF(Q1356,MIN(P1356*Inputs!$B$3/(R1356-AE1355),P1356*Inputs!$B$11/R1356),0)</f>
        <v>0</v>
      </c>
      <c r="T1356" s="11" t="n">
        <f aca="false">IF(Q1356,S1356,IF(M1356,0,Y1355))</f>
        <v>0</v>
      </c>
      <c r="U1356" s="8" t="n">
        <f aca="false">IF(Q1356,AE1355,AF1355)</f>
        <v>0.854592691222844</v>
      </c>
      <c r="V1356" s="9" t="b">
        <f aca="false">AND(T1356&gt;0,D1356&lt;=U1356)</f>
        <v>0</v>
      </c>
      <c r="W1356" s="10" t="n">
        <f aca="false">IF(V1356,T1356*(AK1356-AB1356)-Inputs!$B$9-T1356*AD1356*Inputs!$B$13*(A1356-AC1356),0)</f>
        <v>0</v>
      </c>
      <c r="X1356" s="10" t="n">
        <f aca="false">P1356-IF(Q1356,Inputs!$B$9,0)+W1356</f>
        <v>912.311293952437</v>
      </c>
      <c r="Y1356" s="11" t="n">
        <f aca="false">IF(V1356,0,T1356)</f>
        <v>0</v>
      </c>
      <c r="Z1356" s="9" t="b">
        <f aca="false">AND(Y1356&gt;0,K1356)</f>
        <v>0</v>
      </c>
      <c r="AA1356" s="9" t="b">
        <f aca="false">AND(Y1356=0,J1356,ISNUMBER(L1356))</f>
        <v>0</v>
      </c>
      <c r="AB1356" s="8" t="n">
        <f aca="false">IF(Q1356,R1356,AB1355)</f>
        <v>0.874077315692695</v>
      </c>
      <c r="AC1356" s="12" t="n">
        <f aca="false">IF(Q1356,A1356,AC1355)</f>
        <v>46112</v>
      </c>
      <c r="AD1356" s="8" t="n">
        <f aca="false">IF(Q1356,B1356,AD1355)</f>
        <v>0.873902535185658</v>
      </c>
      <c r="AE1356" s="8" t="str">
        <f aca="false">IF(AA1356,L1356,"")</f>
        <v/>
      </c>
      <c r="AF1356" s="8" t="n">
        <f aca="false">U1356</f>
        <v>0.854592691222844</v>
      </c>
      <c r="AG1356" s="2" t="n">
        <f aca="false">AG1355+IF(Q1356,1,0)</f>
        <v>15</v>
      </c>
      <c r="AH1356" s="2" t="n">
        <f aca="false">AG1355</f>
        <v>15</v>
      </c>
      <c r="AI1356" s="10" t="n">
        <f aca="false">X1356+Y1356*(E1356-AB1356)-Y1356*AD1356*Inputs!$B$13*(A1356-AC1356)</f>
        <v>912.311293952437</v>
      </c>
      <c r="AJ1356" s="10" t="n">
        <v>0</v>
      </c>
      <c r="AK1356" s="8" t="n">
        <f aca="false">IF(AND(B1356&lt;=U1356,NOT(Q1356)),B1356,U1356)*(1-Inputs!$B$12)</f>
        <v>0.854421772684599</v>
      </c>
    </row>
    <row r="1357" customFormat="false" ht="15" hidden="false" customHeight="false" outlineLevel="0" collapsed="false">
      <c r="A1357" s="6" t="n">
        <v>46141</v>
      </c>
      <c r="B1357" s="7" t="n">
        <v>0.853846895868571</v>
      </c>
      <c r="C1357" s="7" t="n">
        <v>0.854610605362146</v>
      </c>
      <c r="D1357" s="7" t="n">
        <v>0.846884939390322</v>
      </c>
      <c r="E1357" s="7" t="n">
        <v>0.852774611108729</v>
      </c>
      <c r="F1357" s="8" t="n">
        <f aca="true">IF(ROW()-2&gt;=Inputs!$B$4,AVERAGE(OFFSET(E1357,1-Inputs!$B$4,0,Inputs!$B$4,1)),"")</f>
        <v>0.865168998299688</v>
      </c>
      <c r="G1357" s="8" t="n">
        <f aca="true">IF(ROW()-2&gt;=Inputs!$B$5,AVERAGE(OFFSET(E1357,1-Inputs!$B$5,0,Inputs!$B$5,1)),"")</f>
        <v>0.875212568095076</v>
      </c>
      <c r="H1357" s="8" t="n">
        <f aca="false">MAX(C1357-D1357,ABS(C1357-E1356),ABS(D1357-E1356))</f>
        <v>0.00772566597182445</v>
      </c>
      <c r="I1357" s="8" t="n">
        <f aca="true">IF(ROW()-2&lt;14,"",IF(ROW()-2=14,AVERAGE(OFFSET(H1357,-13,0,14,1)),(I1356*13+H1357)/14))</f>
        <v>0.00820111304914609</v>
      </c>
      <c r="J1357" s="9" t="b">
        <f aca="false">IF(AND(ISNUMBER(F1357),ISNUMBER(G1357),ISNUMBER(F1356),ISNUMBER(G1356)),AND(F1357&gt;G1357,F1356&lt;=G1356),FALSE())</f>
        <v>0</v>
      </c>
      <c r="K1357" s="9" t="b">
        <f aca="false">IF(AND(ISNUMBER(F1357),ISNUMBER(G1357),ISNUMBER(F1356),ISNUMBER(G1356)),AND(F1357&lt;G1357,F1356&gt;=G1356),FALSE())</f>
        <v>0</v>
      </c>
      <c r="L1357" s="8" t="n">
        <f aca="false">IF(ISNUMBER(I1357),E1357-Inputs!$B$6*I1357,"")</f>
        <v>0.836372385010437</v>
      </c>
      <c r="M1357" s="9" t="b">
        <f aca="false">AND(Y1356&gt;0,Z1356)</f>
        <v>0</v>
      </c>
      <c r="N1357" s="8" t="n">
        <f aca="false">B1357*(1-Inputs!$B$12)</f>
        <v>0.853676126489398</v>
      </c>
      <c r="O1357" s="10" t="n">
        <f aca="false">IF(M1357,Y1356*(N1357-AB1356)-Inputs!$B$9-Y1356*AD1356*Inputs!$B$13*(A1357-AC1356),0)</f>
        <v>0</v>
      </c>
      <c r="P1357" s="10" t="n">
        <f aca="false">X1356+O1357</f>
        <v>912.311293952437</v>
      </c>
      <c r="Q1357" s="9" t="b">
        <f aca="false">AND(IF(M1357,0,Y1356)=0,AA1356,IF(ISNUMBER(AE1356),B1357&gt;AE1356,FALSE()))</f>
        <v>0</v>
      </c>
      <c r="R1357" s="8" t="n">
        <f aca="false">B1357*(1+Inputs!$B$12)</f>
        <v>0.854017665247745</v>
      </c>
      <c r="S1357" s="11" t="n">
        <f aca="false">IF(Q1357,MIN(P1357*Inputs!$B$3/(R1357-AE1356),P1357*Inputs!$B$11/R1357),0)</f>
        <v>0</v>
      </c>
      <c r="T1357" s="11" t="n">
        <f aca="false">IF(Q1357,S1357,IF(M1357,0,Y1356))</f>
        <v>0</v>
      </c>
      <c r="U1357" s="8" t="n">
        <f aca="false">IF(Q1357,AE1356,AF1356)</f>
        <v>0.854592691222844</v>
      </c>
      <c r="V1357" s="9" t="b">
        <f aca="false">AND(T1357&gt;0,D1357&lt;=U1357)</f>
        <v>0</v>
      </c>
      <c r="W1357" s="10" t="n">
        <f aca="false">IF(V1357,T1357*(AK1357-AB1357)-Inputs!$B$9-T1357*AD1357*Inputs!$B$13*(A1357-AC1357),0)</f>
        <v>0</v>
      </c>
      <c r="X1357" s="10" t="n">
        <f aca="false">P1357-IF(Q1357,Inputs!$B$9,0)+W1357</f>
        <v>912.311293952437</v>
      </c>
      <c r="Y1357" s="11" t="n">
        <f aca="false">IF(V1357,0,T1357)</f>
        <v>0</v>
      </c>
      <c r="Z1357" s="9" t="b">
        <f aca="false">AND(Y1357&gt;0,K1357)</f>
        <v>0</v>
      </c>
      <c r="AA1357" s="9" t="b">
        <f aca="false">AND(Y1357=0,J1357,ISNUMBER(L1357))</f>
        <v>0</v>
      </c>
      <c r="AB1357" s="8" t="n">
        <f aca="false">IF(Q1357,R1357,AB1356)</f>
        <v>0.874077315692695</v>
      </c>
      <c r="AC1357" s="12" t="n">
        <f aca="false">IF(Q1357,A1357,AC1356)</f>
        <v>46112</v>
      </c>
      <c r="AD1357" s="8" t="n">
        <f aca="false">IF(Q1357,B1357,AD1356)</f>
        <v>0.873902535185658</v>
      </c>
      <c r="AE1357" s="8" t="str">
        <f aca="false">IF(AA1357,L1357,"")</f>
        <v/>
      </c>
      <c r="AF1357" s="8" t="n">
        <f aca="false">U1357</f>
        <v>0.854592691222844</v>
      </c>
      <c r="AG1357" s="2" t="n">
        <f aca="false">AG1356+IF(Q1357,1,0)</f>
        <v>15</v>
      </c>
      <c r="AH1357" s="2" t="n">
        <f aca="false">AG1356</f>
        <v>15</v>
      </c>
      <c r="AI1357" s="10" t="n">
        <f aca="false">X1357+Y1357*(E1357-AB1357)-Y1357*AD1357*Inputs!$B$13*(A1357-AC1357)</f>
        <v>912.311293952437</v>
      </c>
      <c r="AJ1357" s="10" t="n">
        <v>0</v>
      </c>
      <c r="AK1357" s="8" t="n">
        <f aca="false">IF(AND(B1357&lt;=U1357,NOT(Q1357)),B1357,U1357)*(1-Inputs!$B$12)</f>
        <v>0.853676126489398</v>
      </c>
    </row>
    <row r="1358" customFormat="false" ht="15" hidden="false" customHeight="false" outlineLevel="0" collapsed="false">
      <c r="A1358" s="6" t="n">
        <v>46142</v>
      </c>
      <c r="B1358" s="7" t="n">
        <v>0.852774611108729</v>
      </c>
      <c r="C1358" s="7" t="n">
        <v>0.857826431851788</v>
      </c>
      <c r="D1358" s="7" t="n">
        <v>0.846842069948253</v>
      </c>
      <c r="E1358" s="7" t="n">
        <v>0.852469486349401</v>
      </c>
      <c r="F1358" s="8" t="n">
        <f aca="true">IF(ROW()-2&gt;=Inputs!$B$4,AVERAGE(OFFSET(E1358,1-Inputs!$B$4,0,Inputs!$B$4,1)),"")</f>
        <v>0.863784039786402</v>
      </c>
      <c r="G1358" s="8" t="n">
        <f aca="true">IF(ROW()-2&gt;=Inputs!$B$5,AVERAGE(OFFSET(E1358,1-Inputs!$B$5,0,Inputs!$B$5,1)),"")</f>
        <v>0.87497738370086</v>
      </c>
      <c r="H1358" s="8" t="n">
        <f aca="false">MAX(C1358-D1358,ABS(C1358-E1357),ABS(D1358-E1357))</f>
        <v>0.0109843619035351</v>
      </c>
      <c r="I1358" s="8" t="n">
        <f aca="true">IF(ROW()-2&lt;14,"",IF(ROW()-2=14,AVERAGE(OFFSET(H1358,-13,0,14,1)),(I1357*13+H1358)/14))</f>
        <v>0.00839991653874531</v>
      </c>
      <c r="J1358" s="9" t="b">
        <f aca="false">IF(AND(ISNUMBER(F1358),ISNUMBER(G1358),ISNUMBER(F1357),ISNUMBER(G1357)),AND(F1358&gt;G1358,F1357&lt;=G1357),FALSE())</f>
        <v>0</v>
      </c>
      <c r="K1358" s="9" t="b">
        <f aca="false">IF(AND(ISNUMBER(F1358),ISNUMBER(G1358),ISNUMBER(F1357),ISNUMBER(G1357)),AND(F1358&lt;G1358,F1357&gt;=G1357),FALSE())</f>
        <v>0</v>
      </c>
      <c r="L1358" s="8" t="n">
        <f aca="false">IF(ISNUMBER(I1358),E1358-Inputs!$B$6*I1358,"")</f>
        <v>0.83566965327191</v>
      </c>
      <c r="M1358" s="9" t="b">
        <f aca="false">AND(Y1357&gt;0,Z1357)</f>
        <v>0</v>
      </c>
      <c r="N1358" s="8" t="n">
        <f aca="false">B1358*(1-Inputs!$B$12)</f>
        <v>0.852604056186507</v>
      </c>
      <c r="O1358" s="10" t="n">
        <f aca="false">IF(M1358,Y1357*(N1358-AB1357)-Inputs!$B$9-Y1357*AD1357*Inputs!$B$13*(A1358-AC1357),0)</f>
        <v>0</v>
      </c>
      <c r="P1358" s="10" t="n">
        <f aca="false">X1357+O1358</f>
        <v>912.311293952437</v>
      </c>
      <c r="Q1358" s="9" t="b">
        <f aca="false">AND(IF(M1358,0,Y1357)=0,AA1357,IF(ISNUMBER(AE1357),B1358&gt;AE1357,FALSE()))</f>
        <v>0</v>
      </c>
      <c r="R1358" s="8" t="n">
        <f aca="false">B1358*(1+Inputs!$B$12)</f>
        <v>0.852945166030951</v>
      </c>
      <c r="S1358" s="11" t="n">
        <f aca="false">IF(Q1358,MIN(P1358*Inputs!$B$3/(R1358-AE1357),P1358*Inputs!$B$11/R1358),0)</f>
        <v>0</v>
      </c>
      <c r="T1358" s="11" t="n">
        <f aca="false">IF(Q1358,S1358,IF(M1358,0,Y1357))</f>
        <v>0</v>
      </c>
      <c r="U1358" s="8" t="n">
        <f aca="false">IF(Q1358,AE1357,AF1357)</f>
        <v>0.854592691222844</v>
      </c>
      <c r="V1358" s="9" t="b">
        <f aca="false">AND(T1358&gt;0,D1358&lt;=U1358)</f>
        <v>0</v>
      </c>
      <c r="W1358" s="10" t="n">
        <f aca="false">IF(V1358,T1358*(AK1358-AB1358)-Inputs!$B$9-T1358*AD1358*Inputs!$B$13*(A1358-AC1358),0)</f>
        <v>0</v>
      </c>
      <c r="X1358" s="10" t="n">
        <f aca="false">P1358-IF(Q1358,Inputs!$B$9,0)+W1358</f>
        <v>912.311293952437</v>
      </c>
      <c r="Y1358" s="11" t="n">
        <f aca="false">IF(V1358,0,T1358)</f>
        <v>0</v>
      </c>
      <c r="Z1358" s="9" t="b">
        <f aca="false">AND(Y1358&gt;0,K1358)</f>
        <v>0</v>
      </c>
      <c r="AA1358" s="9" t="b">
        <f aca="false">AND(Y1358=0,J1358,ISNUMBER(L1358))</f>
        <v>0</v>
      </c>
      <c r="AB1358" s="8" t="n">
        <f aca="false">IF(Q1358,R1358,AB1357)</f>
        <v>0.874077315692695</v>
      </c>
      <c r="AC1358" s="12" t="n">
        <f aca="false">IF(Q1358,A1358,AC1357)</f>
        <v>46112</v>
      </c>
      <c r="AD1358" s="8" t="n">
        <f aca="false">IF(Q1358,B1358,AD1357)</f>
        <v>0.873902535185658</v>
      </c>
      <c r="AE1358" s="8" t="str">
        <f aca="false">IF(AA1358,L1358,"")</f>
        <v/>
      </c>
      <c r="AF1358" s="8" t="n">
        <f aca="false">U1358</f>
        <v>0.854592691222844</v>
      </c>
      <c r="AG1358" s="2" t="n">
        <f aca="false">AG1357+IF(Q1358,1,0)</f>
        <v>15</v>
      </c>
      <c r="AH1358" s="2" t="n">
        <f aca="false">AG1357</f>
        <v>15</v>
      </c>
      <c r="AI1358" s="10" t="n">
        <f aca="false">X1358+Y1358*(E1358-AB1358)-Y1358*AD1358*Inputs!$B$13*(A1358-AC1358)</f>
        <v>912.311293952437</v>
      </c>
      <c r="AJ1358" s="10" t="n">
        <v>0</v>
      </c>
      <c r="AK1358" s="8" t="n">
        <f aca="false">IF(AND(B1358&lt;=U1358,NOT(Q1358)),B1358,U1358)*(1-Inputs!$B$12)</f>
        <v>0.852604056186507</v>
      </c>
    </row>
    <row r="1359" customFormat="false" ht="15" hidden="false" customHeight="false" outlineLevel="0" collapsed="false">
      <c r="A1359" s="6" t="n">
        <v>46143</v>
      </c>
      <c r="B1359" s="7" t="n">
        <v>0.852469486349401</v>
      </c>
      <c r="C1359" s="7" t="n">
        <v>0.858217537909482</v>
      </c>
      <c r="D1359" s="7" t="n">
        <v>0.848342497220326</v>
      </c>
      <c r="E1359" s="7" t="n">
        <v>0.849384915493254</v>
      </c>
      <c r="F1359" s="8" t="n">
        <f aca="true">IF(ROW()-2&gt;=Inputs!$B$4,AVERAGE(OFFSET(E1359,1-Inputs!$B$4,0,Inputs!$B$4,1)),"")</f>
        <v>0.862311238641372</v>
      </c>
      <c r="G1359" s="8" t="n">
        <f aca="true">IF(ROW()-2&gt;=Inputs!$B$5,AVERAGE(OFFSET(E1359,1-Inputs!$B$5,0,Inputs!$B$5,1)),"")</f>
        <v>0.874628711841972</v>
      </c>
      <c r="H1359" s="8" t="n">
        <f aca="false">MAX(C1359-D1359,ABS(C1359-E1358),ABS(D1359-E1358))</f>
        <v>0.00987504068915546</v>
      </c>
      <c r="I1359" s="8" t="n">
        <f aca="true">IF(ROW()-2&lt;14,"",IF(ROW()-2=14,AVERAGE(OFFSET(H1359,-13,0,14,1)),(I1358*13+H1359)/14))</f>
        <v>0.00850528254948889</v>
      </c>
      <c r="J1359" s="9" t="b">
        <f aca="false">IF(AND(ISNUMBER(F1359),ISNUMBER(G1359),ISNUMBER(F1358),ISNUMBER(G1358)),AND(F1359&gt;G1359,F1358&lt;=G1358),FALSE())</f>
        <v>0</v>
      </c>
      <c r="K1359" s="9" t="b">
        <f aca="false">IF(AND(ISNUMBER(F1359),ISNUMBER(G1359),ISNUMBER(F1358),ISNUMBER(G1358)),AND(F1359&lt;G1359,F1358&gt;=G1358),FALSE())</f>
        <v>0</v>
      </c>
      <c r="L1359" s="8" t="n">
        <f aca="false">IF(ISNUMBER(I1359),E1359-Inputs!$B$6*I1359,"")</f>
        <v>0.832374350394276</v>
      </c>
      <c r="M1359" s="9" t="b">
        <f aca="false">AND(Y1358&gt;0,Z1358)</f>
        <v>0</v>
      </c>
      <c r="N1359" s="8" t="n">
        <f aca="false">B1359*(1-Inputs!$B$12)</f>
        <v>0.852298992452131</v>
      </c>
      <c r="O1359" s="10" t="n">
        <f aca="false">IF(M1359,Y1358*(N1359-AB1358)-Inputs!$B$9-Y1358*AD1358*Inputs!$B$13*(A1359-AC1358),0)</f>
        <v>0</v>
      </c>
      <c r="P1359" s="10" t="n">
        <f aca="false">X1358+O1359</f>
        <v>912.311293952437</v>
      </c>
      <c r="Q1359" s="9" t="b">
        <f aca="false">AND(IF(M1359,0,Y1358)=0,AA1358,IF(ISNUMBER(AE1358),B1359&gt;AE1358,FALSE()))</f>
        <v>0</v>
      </c>
      <c r="R1359" s="8" t="n">
        <f aca="false">B1359*(1+Inputs!$B$12)</f>
        <v>0.852639980246671</v>
      </c>
      <c r="S1359" s="11" t="n">
        <f aca="false">IF(Q1359,MIN(P1359*Inputs!$B$3/(R1359-AE1358),P1359*Inputs!$B$11/R1359),0)</f>
        <v>0</v>
      </c>
      <c r="T1359" s="11" t="n">
        <f aca="false">IF(Q1359,S1359,IF(M1359,0,Y1358))</f>
        <v>0</v>
      </c>
      <c r="U1359" s="8" t="n">
        <f aca="false">IF(Q1359,AE1358,AF1358)</f>
        <v>0.854592691222844</v>
      </c>
      <c r="V1359" s="9" t="b">
        <f aca="false">AND(T1359&gt;0,D1359&lt;=U1359)</f>
        <v>0</v>
      </c>
      <c r="W1359" s="10" t="n">
        <f aca="false">IF(V1359,T1359*(AK1359-AB1359)-Inputs!$B$9-T1359*AD1359*Inputs!$B$13*(A1359-AC1359),0)</f>
        <v>0</v>
      </c>
      <c r="X1359" s="10" t="n">
        <f aca="false">P1359-IF(Q1359,Inputs!$B$9,0)+W1359</f>
        <v>912.311293952437</v>
      </c>
      <c r="Y1359" s="11" t="n">
        <f aca="false">IF(V1359,0,T1359)</f>
        <v>0</v>
      </c>
      <c r="Z1359" s="9" t="b">
        <f aca="false">AND(Y1359&gt;0,K1359)</f>
        <v>0</v>
      </c>
      <c r="AA1359" s="9" t="b">
        <f aca="false">AND(Y1359=0,J1359,ISNUMBER(L1359))</f>
        <v>0</v>
      </c>
      <c r="AB1359" s="8" t="n">
        <f aca="false">IF(Q1359,R1359,AB1358)</f>
        <v>0.874077315692695</v>
      </c>
      <c r="AC1359" s="12" t="n">
        <f aca="false">IF(Q1359,A1359,AC1358)</f>
        <v>46112</v>
      </c>
      <c r="AD1359" s="8" t="n">
        <f aca="false">IF(Q1359,B1359,AD1358)</f>
        <v>0.873902535185658</v>
      </c>
      <c r="AE1359" s="8" t="str">
        <f aca="false">IF(AA1359,L1359,"")</f>
        <v/>
      </c>
      <c r="AF1359" s="8" t="n">
        <f aca="false">U1359</f>
        <v>0.854592691222844</v>
      </c>
      <c r="AG1359" s="2" t="n">
        <f aca="false">AG1358+IF(Q1359,1,0)</f>
        <v>15</v>
      </c>
      <c r="AH1359" s="2" t="n">
        <f aca="false">AG1358</f>
        <v>15</v>
      </c>
      <c r="AI1359" s="10" t="n">
        <f aca="false">X1359+Y1359*(E1359-AB1359)-Y1359*AD1359*Inputs!$B$13*(A1359-AC1359)</f>
        <v>912.311293952437</v>
      </c>
      <c r="AJ1359" s="10" t="n">
        <v>0</v>
      </c>
      <c r="AK1359" s="8" t="n">
        <f aca="false">IF(AND(B1359&lt;=U1359,NOT(Q1359)),B1359,U1359)*(1-Inputs!$B$12)</f>
        <v>0.852298992452131</v>
      </c>
    </row>
    <row r="1360" customFormat="false" ht="15" hidden="false" customHeight="false" outlineLevel="0" collapsed="false">
      <c r="A1360" s="6" t="n">
        <v>46144</v>
      </c>
      <c r="B1360" s="7" t="n">
        <v>0.849384915493254</v>
      </c>
      <c r="C1360" s="7" t="n">
        <v>0.8499307809193</v>
      </c>
      <c r="D1360" s="7" t="n">
        <v>0.840531608349361</v>
      </c>
      <c r="E1360" s="7" t="n">
        <v>0.840797370326937</v>
      </c>
      <c r="F1360" s="8" t="n">
        <f aca="true">IF(ROW()-2&gt;=Inputs!$B$4,AVERAGE(OFFSET(E1360,1-Inputs!$B$4,0,Inputs!$B$4,1)),"")</f>
        <v>0.860314834994648</v>
      </c>
      <c r="G1360" s="8" t="n">
        <f aca="true">IF(ROW()-2&gt;=Inputs!$B$5,AVERAGE(OFFSET(E1360,1-Inputs!$B$5,0,Inputs!$B$5,1)),"")</f>
        <v>0.873951235109264</v>
      </c>
      <c r="H1360" s="8" t="n">
        <f aca="false">MAX(C1360-D1360,ABS(C1360-E1359),ABS(D1360-E1359))</f>
        <v>0.00939917256993827</v>
      </c>
      <c r="I1360" s="8" t="n">
        <f aca="true">IF(ROW()-2&lt;14,"",IF(ROW()-2=14,AVERAGE(OFFSET(H1360,-13,0,14,1)),(I1359*13+H1360)/14))</f>
        <v>0.00856913183666385</v>
      </c>
      <c r="J1360" s="9" t="b">
        <f aca="false">IF(AND(ISNUMBER(F1360),ISNUMBER(G1360),ISNUMBER(F1359),ISNUMBER(G1359)),AND(F1360&gt;G1360,F1359&lt;=G1359),FALSE())</f>
        <v>0</v>
      </c>
      <c r="K1360" s="9" t="b">
        <f aca="false">IF(AND(ISNUMBER(F1360),ISNUMBER(G1360),ISNUMBER(F1359),ISNUMBER(G1359)),AND(F1360&lt;G1360,F1359&gt;=G1359),FALSE())</f>
        <v>0</v>
      </c>
      <c r="L1360" s="8" t="n">
        <f aca="false">IF(ISNUMBER(I1360),E1360-Inputs!$B$6*I1360,"")</f>
        <v>0.823659106653609</v>
      </c>
      <c r="M1360" s="9" t="b">
        <f aca="false">AND(Y1359&gt;0,Z1359)</f>
        <v>0</v>
      </c>
      <c r="N1360" s="8" t="n">
        <f aca="false">B1360*(1-Inputs!$B$12)</f>
        <v>0.849215038510155</v>
      </c>
      <c r="O1360" s="10" t="n">
        <f aca="false">IF(M1360,Y1359*(N1360-AB1359)-Inputs!$B$9-Y1359*AD1359*Inputs!$B$13*(A1360-AC1359),0)</f>
        <v>0</v>
      </c>
      <c r="P1360" s="10" t="n">
        <f aca="false">X1359+O1360</f>
        <v>912.311293952437</v>
      </c>
      <c r="Q1360" s="9" t="b">
        <f aca="false">AND(IF(M1360,0,Y1359)=0,AA1359,IF(ISNUMBER(AE1359),B1360&gt;AE1359,FALSE()))</f>
        <v>0</v>
      </c>
      <c r="R1360" s="8" t="n">
        <f aca="false">B1360*(1+Inputs!$B$12)</f>
        <v>0.849554792476353</v>
      </c>
      <c r="S1360" s="11" t="n">
        <f aca="false">IF(Q1360,MIN(P1360*Inputs!$B$3/(R1360-AE1359),P1360*Inputs!$B$11/R1360),0)</f>
        <v>0</v>
      </c>
      <c r="T1360" s="11" t="n">
        <f aca="false">IF(Q1360,S1360,IF(M1360,0,Y1359))</f>
        <v>0</v>
      </c>
      <c r="U1360" s="8" t="n">
        <f aca="false">IF(Q1360,AE1359,AF1359)</f>
        <v>0.854592691222844</v>
      </c>
      <c r="V1360" s="9" t="b">
        <f aca="false">AND(T1360&gt;0,D1360&lt;=U1360)</f>
        <v>0</v>
      </c>
      <c r="W1360" s="10" t="n">
        <f aca="false">IF(V1360,T1360*(AK1360-AB1360)-Inputs!$B$9-T1360*AD1360*Inputs!$B$13*(A1360-AC1360),0)</f>
        <v>0</v>
      </c>
      <c r="X1360" s="10" t="n">
        <f aca="false">P1360-IF(Q1360,Inputs!$B$9,0)+W1360</f>
        <v>912.311293952437</v>
      </c>
      <c r="Y1360" s="11" t="n">
        <f aca="false">IF(V1360,0,T1360)</f>
        <v>0</v>
      </c>
      <c r="Z1360" s="9" t="b">
        <f aca="false">AND(Y1360&gt;0,K1360)</f>
        <v>0</v>
      </c>
      <c r="AA1360" s="9" t="b">
        <f aca="false">AND(Y1360=0,J1360,ISNUMBER(L1360))</f>
        <v>0</v>
      </c>
      <c r="AB1360" s="8" t="n">
        <f aca="false">IF(Q1360,R1360,AB1359)</f>
        <v>0.874077315692695</v>
      </c>
      <c r="AC1360" s="12" t="n">
        <f aca="false">IF(Q1360,A1360,AC1359)</f>
        <v>46112</v>
      </c>
      <c r="AD1360" s="8" t="n">
        <f aca="false">IF(Q1360,B1360,AD1359)</f>
        <v>0.873902535185658</v>
      </c>
      <c r="AE1360" s="8" t="str">
        <f aca="false">IF(AA1360,L1360,"")</f>
        <v/>
      </c>
      <c r="AF1360" s="8" t="n">
        <f aca="false">U1360</f>
        <v>0.854592691222844</v>
      </c>
      <c r="AG1360" s="2" t="n">
        <f aca="false">AG1359+IF(Q1360,1,0)</f>
        <v>15</v>
      </c>
      <c r="AH1360" s="2" t="n">
        <f aca="false">AG1359</f>
        <v>15</v>
      </c>
      <c r="AI1360" s="10" t="n">
        <f aca="false">X1360+Y1360*(E1360-AB1360)-Y1360*AD1360*Inputs!$B$13*(A1360-AC1360)</f>
        <v>912.311293952437</v>
      </c>
      <c r="AJ1360" s="10" t="n">
        <v>0</v>
      </c>
      <c r="AK1360" s="8" t="n">
        <f aca="false">IF(AND(B1360&lt;=U1360,NOT(Q1360)),B1360,U1360)*(1-Inputs!$B$12)</f>
        <v>0.849215038510155</v>
      </c>
    </row>
    <row r="1361" customFormat="false" ht="15" hidden="false" customHeight="false" outlineLevel="0" collapsed="false">
      <c r="A1361" s="6" t="n">
        <v>46145</v>
      </c>
      <c r="B1361" s="7" t="n">
        <v>0.840797370326937</v>
      </c>
      <c r="C1361" s="7" t="n">
        <v>0.840858302721705</v>
      </c>
      <c r="D1361" s="7" t="n">
        <v>0.834381711885798</v>
      </c>
      <c r="E1361" s="7" t="n">
        <v>0.839148183576329</v>
      </c>
      <c r="F1361" s="8" t="n">
        <f aca="true">IF(ROW()-2&gt;=Inputs!$B$4,AVERAGE(OFFSET(E1361,1-Inputs!$B$4,0,Inputs!$B$4,1)),"")</f>
        <v>0.85858073460088</v>
      </c>
      <c r="G1361" s="8" t="n">
        <f aca="true">IF(ROW()-2&gt;=Inputs!$B$5,AVERAGE(OFFSET(E1361,1-Inputs!$B$5,0,Inputs!$B$5,1)),"")</f>
        <v>0.873199485470255</v>
      </c>
      <c r="H1361" s="8" t="n">
        <f aca="false">MAX(C1361-D1361,ABS(C1361-E1360),ABS(D1361-E1360))</f>
        <v>0.00647659083590635</v>
      </c>
      <c r="I1361" s="8" t="n">
        <f aca="true">IF(ROW()-2&lt;14,"",IF(ROW()-2=14,AVERAGE(OFFSET(H1361,-13,0,14,1)),(I1360*13+H1361)/14))</f>
        <v>0.00841966462232402</v>
      </c>
      <c r="J1361" s="9" t="b">
        <f aca="false">IF(AND(ISNUMBER(F1361),ISNUMBER(G1361),ISNUMBER(F1360),ISNUMBER(G1360)),AND(F1361&gt;G1361,F1360&lt;=G1360),FALSE())</f>
        <v>0</v>
      </c>
      <c r="K1361" s="9" t="b">
        <f aca="false">IF(AND(ISNUMBER(F1361),ISNUMBER(G1361),ISNUMBER(F1360),ISNUMBER(G1360)),AND(F1361&lt;G1361,F1360&gt;=G1360),FALSE())</f>
        <v>0</v>
      </c>
      <c r="L1361" s="8" t="n">
        <f aca="false">IF(ISNUMBER(I1361),E1361-Inputs!$B$6*I1361,"")</f>
        <v>0.822308854331681</v>
      </c>
      <c r="M1361" s="9" t="b">
        <f aca="false">AND(Y1360&gt;0,Z1360)</f>
        <v>0</v>
      </c>
      <c r="N1361" s="8" t="n">
        <f aca="false">B1361*(1-Inputs!$B$12)</f>
        <v>0.840629210852871</v>
      </c>
      <c r="O1361" s="10" t="n">
        <f aca="false">IF(M1361,Y1360*(N1361-AB1360)-Inputs!$B$9-Y1360*AD1360*Inputs!$B$13*(A1361-AC1360),0)</f>
        <v>0</v>
      </c>
      <c r="P1361" s="10" t="n">
        <f aca="false">X1360+O1361</f>
        <v>912.311293952437</v>
      </c>
      <c r="Q1361" s="9" t="b">
        <f aca="false">AND(IF(M1361,0,Y1360)=0,AA1360,IF(ISNUMBER(AE1360),B1361&gt;AE1360,FALSE()))</f>
        <v>0</v>
      </c>
      <c r="R1361" s="8" t="n">
        <f aca="false">B1361*(1+Inputs!$B$12)</f>
        <v>0.840965529801002</v>
      </c>
      <c r="S1361" s="11" t="n">
        <f aca="false">IF(Q1361,MIN(P1361*Inputs!$B$3/(R1361-AE1360),P1361*Inputs!$B$11/R1361),0)</f>
        <v>0</v>
      </c>
      <c r="T1361" s="11" t="n">
        <f aca="false">IF(Q1361,S1361,IF(M1361,0,Y1360))</f>
        <v>0</v>
      </c>
      <c r="U1361" s="8" t="n">
        <f aca="false">IF(Q1361,AE1360,AF1360)</f>
        <v>0.854592691222844</v>
      </c>
      <c r="V1361" s="9" t="b">
        <f aca="false">AND(T1361&gt;0,D1361&lt;=U1361)</f>
        <v>0</v>
      </c>
      <c r="W1361" s="10" t="n">
        <f aca="false">IF(V1361,T1361*(AK1361-AB1361)-Inputs!$B$9-T1361*AD1361*Inputs!$B$13*(A1361-AC1361),0)</f>
        <v>0</v>
      </c>
      <c r="X1361" s="10" t="n">
        <f aca="false">P1361-IF(Q1361,Inputs!$B$9,0)+W1361</f>
        <v>912.311293952437</v>
      </c>
      <c r="Y1361" s="11" t="n">
        <f aca="false">IF(V1361,0,T1361)</f>
        <v>0</v>
      </c>
      <c r="Z1361" s="9" t="b">
        <f aca="false">AND(Y1361&gt;0,K1361)</f>
        <v>0</v>
      </c>
      <c r="AA1361" s="9" t="b">
        <f aca="false">AND(Y1361=0,J1361,ISNUMBER(L1361))</f>
        <v>0</v>
      </c>
      <c r="AB1361" s="8" t="n">
        <f aca="false">IF(Q1361,R1361,AB1360)</f>
        <v>0.874077315692695</v>
      </c>
      <c r="AC1361" s="12" t="n">
        <f aca="false">IF(Q1361,A1361,AC1360)</f>
        <v>46112</v>
      </c>
      <c r="AD1361" s="8" t="n">
        <f aca="false">IF(Q1361,B1361,AD1360)</f>
        <v>0.873902535185658</v>
      </c>
      <c r="AE1361" s="8" t="str">
        <f aca="false">IF(AA1361,L1361,"")</f>
        <v/>
      </c>
      <c r="AF1361" s="8" t="n">
        <f aca="false">U1361</f>
        <v>0.854592691222844</v>
      </c>
      <c r="AG1361" s="2" t="n">
        <f aca="false">AG1360+IF(Q1361,1,0)</f>
        <v>15</v>
      </c>
      <c r="AH1361" s="2" t="n">
        <f aca="false">AG1360</f>
        <v>15</v>
      </c>
      <c r="AI1361" s="10" t="n">
        <f aca="false">X1361+Y1361*(E1361-AB1361)-Y1361*AD1361*Inputs!$B$13*(A1361-AC1361)</f>
        <v>912.311293952437</v>
      </c>
      <c r="AJ1361" s="10" t="n">
        <v>0</v>
      </c>
      <c r="AK1361" s="8" t="n">
        <f aca="false">IF(AND(B1361&lt;=U1361,NOT(Q1361)),B1361,U1361)*(1-Inputs!$B$12)</f>
        <v>0.840629210852871</v>
      </c>
    </row>
    <row r="1362" customFormat="false" ht="15" hidden="false" customHeight="false" outlineLevel="0" collapsed="false">
      <c r="A1362" s="6" t="n">
        <v>46146</v>
      </c>
      <c r="B1362" s="7" t="n">
        <v>0.839148183576329</v>
      </c>
      <c r="C1362" s="7" t="n">
        <v>0.841113226563938</v>
      </c>
      <c r="D1362" s="7" t="n">
        <v>0.833427226490265</v>
      </c>
      <c r="E1362" s="7" t="n">
        <v>0.840363793527874</v>
      </c>
      <c r="F1362" s="8" t="n">
        <f aca="true">IF(ROW()-2&gt;=Inputs!$B$4,AVERAGE(OFFSET(E1362,1-Inputs!$B$4,0,Inputs!$B$4,1)),"")</f>
        <v>0.856666699905719</v>
      </c>
      <c r="G1362" s="8" t="n">
        <f aca="true">IF(ROW()-2&gt;=Inputs!$B$5,AVERAGE(OFFSET(E1362,1-Inputs!$B$5,0,Inputs!$B$5,1)),"")</f>
        <v>0.872442915473847</v>
      </c>
      <c r="H1362" s="8" t="n">
        <f aca="false">MAX(C1362-D1362,ABS(C1362-E1361),ABS(D1362-E1361))</f>
        <v>0.00768600007367282</v>
      </c>
      <c r="I1362" s="8" t="n">
        <f aca="true">IF(ROW()-2&lt;14,"",IF(ROW()-2=14,AVERAGE(OFFSET(H1362,-13,0,14,1)),(I1361*13+H1362)/14))</f>
        <v>0.00836726001170608</v>
      </c>
      <c r="J1362" s="9" t="b">
        <f aca="false">IF(AND(ISNUMBER(F1362),ISNUMBER(G1362),ISNUMBER(F1361),ISNUMBER(G1361)),AND(F1362&gt;G1362,F1361&lt;=G1361),FALSE())</f>
        <v>0</v>
      </c>
      <c r="K1362" s="9" t="b">
        <f aca="false">IF(AND(ISNUMBER(F1362),ISNUMBER(G1362),ISNUMBER(F1361),ISNUMBER(G1361)),AND(F1362&lt;G1362,F1361&gt;=G1361),FALSE())</f>
        <v>0</v>
      </c>
      <c r="L1362" s="8" t="n">
        <f aca="false">IF(ISNUMBER(I1362),E1362-Inputs!$B$6*I1362,"")</f>
        <v>0.823629273504462</v>
      </c>
      <c r="M1362" s="9" t="b">
        <f aca="false">AND(Y1361&gt;0,Z1361)</f>
        <v>0</v>
      </c>
      <c r="N1362" s="8" t="n">
        <f aca="false">B1362*(1-Inputs!$B$12)</f>
        <v>0.838980353939614</v>
      </c>
      <c r="O1362" s="10" t="n">
        <f aca="false">IF(M1362,Y1361*(N1362-AB1361)-Inputs!$B$9-Y1361*AD1361*Inputs!$B$13*(A1362-AC1361),0)</f>
        <v>0</v>
      </c>
      <c r="P1362" s="10" t="n">
        <f aca="false">X1361+O1362</f>
        <v>912.311293952437</v>
      </c>
      <c r="Q1362" s="9" t="b">
        <f aca="false">AND(IF(M1362,0,Y1361)=0,AA1361,IF(ISNUMBER(AE1361),B1362&gt;AE1361,FALSE()))</f>
        <v>0</v>
      </c>
      <c r="R1362" s="8" t="n">
        <f aca="false">B1362*(1+Inputs!$B$12)</f>
        <v>0.839316013213045</v>
      </c>
      <c r="S1362" s="11" t="n">
        <f aca="false">IF(Q1362,MIN(P1362*Inputs!$B$3/(R1362-AE1361),P1362*Inputs!$B$11/R1362),0)</f>
        <v>0</v>
      </c>
      <c r="T1362" s="11" t="n">
        <f aca="false">IF(Q1362,S1362,IF(M1362,0,Y1361))</f>
        <v>0</v>
      </c>
      <c r="U1362" s="8" t="n">
        <f aca="false">IF(Q1362,AE1361,AF1361)</f>
        <v>0.854592691222844</v>
      </c>
      <c r="V1362" s="9" t="b">
        <f aca="false">AND(T1362&gt;0,D1362&lt;=U1362)</f>
        <v>0</v>
      </c>
      <c r="W1362" s="10" t="n">
        <f aca="false">IF(V1362,T1362*(AK1362-AB1362)-Inputs!$B$9-T1362*AD1362*Inputs!$B$13*(A1362-AC1362),0)</f>
        <v>0</v>
      </c>
      <c r="X1362" s="10" t="n">
        <f aca="false">P1362-IF(Q1362,Inputs!$B$9,0)+W1362</f>
        <v>912.311293952437</v>
      </c>
      <c r="Y1362" s="11" t="n">
        <f aca="false">IF(V1362,0,T1362)</f>
        <v>0</v>
      </c>
      <c r="Z1362" s="9" t="b">
        <f aca="false">AND(Y1362&gt;0,K1362)</f>
        <v>0</v>
      </c>
      <c r="AA1362" s="9" t="b">
        <f aca="false">AND(Y1362=0,J1362,ISNUMBER(L1362))</f>
        <v>0</v>
      </c>
      <c r="AB1362" s="8" t="n">
        <f aca="false">IF(Q1362,R1362,AB1361)</f>
        <v>0.874077315692695</v>
      </c>
      <c r="AC1362" s="12" t="n">
        <f aca="false">IF(Q1362,A1362,AC1361)</f>
        <v>46112</v>
      </c>
      <c r="AD1362" s="8" t="n">
        <f aca="false">IF(Q1362,B1362,AD1361)</f>
        <v>0.873902535185658</v>
      </c>
      <c r="AE1362" s="8" t="str">
        <f aca="false">IF(AA1362,L1362,"")</f>
        <v/>
      </c>
      <c r="AF1362" s="8" t="n">
        <f aca="false">U1362</f>
        <v>0.854592691222844</v>
      </c>
      <c r="AG1362" s="2" t="n">
        <f aca="false">AG1361+IF(Q1362,1,0)</f>
        <v>15</v>
      </c>
      <c r="AH1362" s="2" t="n">
        <f aca="false">AG1361</f>
        <v>15</v>
      </c>
      <c r="AI1362" s="10" t="n">
        <f aca="false">X1362+Y1362*(E1362-AB1362)-Y1362*AD1362*Inputs!$B$13*(A1362-AC1362)</f>
        <v>912.311293952437</v>
      </c>
      <c r="AJ1362" s="10" t="n">
        <v>0</v>
      </c>
      <c r="AK1362" s="8" t="n">
        <f aca="false">IF(AND(B1362&lt;=U1362,NOT(Q1362)),B1362,U1362)*(1-Inputs!$B$12)</f>
        <v>0.838980353939614</v>
      </c>
    </row>
    <row r="1363" customFormat="false" ht="15" hidden="false" customHeight="false" outlineLevel="0" collapsed="false">
      <c r="A1363" s="6" t="n">
        <v>46147</v>
      </c>
      <c r="B1363" s="7" t="n">
        <v>0.840363793527874</v>
      </c>
      <c r="C1363" s="7" t="n">
        <v>0.842498740418654</v>
      </c>
      <c r="D1363" s="7" t="n">
        <v>0.838341992708296</v>
      </c>
      <c r="E1363" s="7" t="n">
        <v>0.841185928904794</v>
      </c>
      <c r="F1363" s="8" t="n">
        <f aca="true">IF(ROW()-2&gt;=Inputs!$B$4,AVERAGE(OFFSET(E1363,1-Inputs!$B$4,0,Inputs!$B$4,1)),"")</f>
        <v>0.85469209418682</v>
      </c>
      <c r="G1363" s="8" t="n">
        <f aca="true">IF(ROW()-2&gt;=Inputs!$B$5,AVERAGE(OFFSET(E1363,1-Inputs!$B$5,0,Inputs!$B$5,1)),"")</f>
        <v>0.871665365190841</v>
      </c>
      <c r="H1363" s="8" t="n">
        <f aca="false">MAX(C1363-D1363,ABS(C1363-E1362),ABS(D1363-E1362))</f>
        <v>0.00415674771035834</v>
      </c>
      <c r="I1363" s="8" t="n">
        <f aca="true">IF(ROW()-2&lt;14,"",IF(ROW()-2=14,AVERAGE(OFFSET(H1363,-13,0,14,1)),(I1362*13+H1363)/14))</f>
        <v>0.00806650913303838</v>
      </c>
      <c r="J1363" s="9" t="b">
        <f aca="false">IF(AND(ISNUMBER(F1363),ISNUMBER(G1363),ISNUMBER(F1362),ISNUMBER(G1362)),AND(F1363&gt;G1363,F1362&lt;=G1362),FALSE())</f>
        <v>0</v>
      </c>
      <c r="K1363" s="9" t="b">
        <f aca="false">IF(AND(ISNUMBER(F1363),ISNUMBER(G1363),ISNUMBER(F1362),ISNUMBER(G1362)),AND(F1363&lt;G1363,F1362&gt;=G1362),FALSE())</f>
        <v>0</v>
      </c>
      <c r="L1363" s="8" t="n">
        <f aca="false">IF(ISNUMBER(I1363),E1363-Inputs!$B$6*I1363,"")</f>
        <v>0.825052910638717</v>
      </c>
      <c r="M1363" s="9" t="b">
        <f aca="false">AND(Y1362&gt;0,Z1362)</f>
        <v>0</v>
      </c>
      <c r="N1363" s="8" t="n">
        <f aca="false">B1363*(1-Inputs!$B$12)</f>
        <v>0.840195720769169</v>
      </c>
      <c r="O1363" s="10" t="n">
        <f aca="false">IF(M1363,Y1362*(N1363-AB1362)-Inputs!$B$9-Y1362*AD1362*Inputs!$B$13*(A1363-AC1362),0)</f>
        <v>0</v>
      </c>
      <c r="P1363" s="10" t="n">
        <f aca="false">X1362+O1363</f>
        <v>912.311293952437</v>
      </c>
      <c r="Q1363" s="9" t="b">
        <f aca="false">AND(IF(M1363,0,Y1362)=0,AA1362,IF(ISNUMBER(AE1362),B1363&gt;AE1362,FALSE()))</f>
        <v>0</v>
      </c>
      <c r="R1363" s="8" t="n">
        <f aca="false">B1363*(1+Inputs!$B$12)</f>
        <v>0.84053186628658</v>
      </c>
      <c r="S1363" s="11" t="n">
        <f aca="false">IF(Q1363,MIN(P1363*Inputs!$B$3/(R1363-AE1362),P1363*Inputs!$B$11/R1363),0)</f>
        <v>0</v>
      </c>
      <c r="T1363" s="11" t="n">
        <f aca="false">IF(Q1363,S1363,IF(M1363,0,Y1362))</f>
        <v>0</v>
      </c>
      <c r="U1363" s="8" t="n">
        <f aca="false">IF(Q1363,AE1362,AF1362)</f>
        <v>0.854592691222844</v>
      </c>
      <c r="V1363" s="9" t="b">
        <f aca="false">AND(T1363&gt;0,D1363&lt;=U1363)</f>
        <v>0</v>
      </c>
      <c r="W1363" s="10" t="n">
        <f aca="false">IF(V1363,T1363*(AK1363-AB1363)-Inputs!$B$9-T1363*AD1363*Inputs!$B$13*(A1363-AC1363),0)</f>
        <v>0</v>
      </c>
      <c r="X1363" s="10" t="n">
        <f aca="false">P1363-IF(Q1363,Inputs!$B$9,0)+W1363</f>
        <v>912.311293952437</v>
      </c>
      <c r="Y1363" s="11" t="n">
        <f aca="false">IF(V1363,0,T1363)</f>
        <v>0</v>
      </c>
      <c r="Z1363" s="9" t="b">
        <f aca="false">AND(Y1363&gt;0,K1363)</f>
        <v>0</v>
      </c>
      <c r="AA1363" s="9" t="b">
        <f aca="false">AND(Y1363=0,J1363,ISNUMBER(L1363))</f>
        <v>0</v>
      </c>
      <c r="AB1363" s="8" t="n">
        <f aca="false">IF(Q1363,R1363,AB1362)</f>
        <v>0.874077315692695</v>
      </c>
      <c r="AC1363" s="12" t="n">
        <f aca="false">IF(Q1363,A1363,AC1362)</f>
        <v>46112</v>
      </c>
      <c r="AD1363" s="8" t="n">
        <f aca="false">IF(Q1363,B1363,AD1362)</f>
        <v>0.873902535185658</v>
      </c>
      <c r="AE1363" s="8" t="str">
        <f aca="false">IF(AA1363,L1363,"")</f>
        <v/>
      </c>
      <c r="AF1363" s="8" t="n">
        <f aca="false">U1363</f>
        <v>0.854592691222844</v>
      </c>
      <c r="AG1363" s="2" t="n">
        <f aca="false">AG1362+IF(Q1363,1,0)</f>
        <v>15</v>
      </c>
      <c r="AH1363" s="2" t="n">
        <f aca="false">AG1362</f>
        <v>15</v>
      </c>
      <c r="AI1363" s="10" t="n">
        <f aca="false">X1363+Y1363*(E1363-AB1363)-Y1363*AD1363*Inputs!$B$13*(A1363-AC1363)</f>
        <v>912.311293952437</v>
      </c>
      <c r="AJ1363" s="10" t="n">
        <v>0</v>
      </c>
      <c r="AK1363" s="8" t="n">
        <f aca="false">IF(AND(B1363&lt;=U1363,NOT(Q1363)),B1363,U1363)*(1-Inputs!$B$12)</f>
        <v>0.840195720769169</v>
      </c>
    </row>
    <row r="1364" customFormat="false" ht="15" hidden="false" customHeight="false" outlineLevel="0" collapsed="false">
      <c r="A1364" s="6" t="n">
        <v>46148</v>
      </c>
      <c r="B1364" s="7" t="n">
        <v>0.841185928904794</v>
      </c>
      <c r="C1364" s="7" t="n">
        <v>0.842612561748113</v>
      </c>
      <c r="D1364" s="7" t="n">
        <v>0.839559670318982</v>
      </c>
      <c r="E1364" s="7" t="n">
        <v>0.841614834142574</v>
      </c>
      <c r="F1364" s="8" t="n">
        <f aca="true">IF(ROW()-2&gt;=Inputs!$B$4,AVERAGE(OFFSET(E1364,1-Inputs!$B$4,0,Inputs!$B$4,1)),"")</f>
        <v>0.853096129992782</v>
      </c>
      <c r="G1364" s="8" t="n">
        <f aca="true">IF(ROW()-2&gt;=Inputs!$B$5,AVERAGE(OFFSET(E1364,1-Inputs!$B$5,0,Inputs!$B$5,1)),"")</f>
        <v>0.87092655608822</v>
      </c>
      <c r="H1364" s="8" t="n">
        <f aca="false">MAX(C1364-D1364,ABS(C1364-E1363),ABS(D1364-E1363))</f>
        <v>0.00305289142913023</v>
      </c>
      <c r="I1364" s="8" t="n">
        <f aca="true">IF(ROW()-2&lt;14,"",IF(ROW()-2=14,AVERAGE(OFFSET(H1364,-13,0,14,1)),(I1363*13+H1364)/14))</f>
        <v>0.00770839358275923</v>
      </c>
      <c r="J1364" s="9" t="b">
        <f aca="false">IF(AND(ISNUMBER(F1364),ISNUMBER(G1364),ISNUMBER(F1363),ISNUMBER(G1363)),AND(F1364&gt;G1364,F1363&lt;=G1363),FALSE())</f>
        <v>0</v>
      </c>
      <c r="K1364" s="9" t="b">
        <f aca="false">IF(AND(ISNUMBER(F1364),ISNUMBER(G1364),ISNUMBER(F1363),ISNUMBER(G1363)),AND(F1364&lt;G1364,F1363&gt;=G1363),FALSE())</f>
        <v>0</v>
      </c>
      <c r="L1364" s="8" t="n">
        <f aca="false">IF(ISNUMBER(I1364),E1364-Inputs!$B$6*I1364,"")</f>
        <v>0.826198046977055</v>
      </c>
      <c r="M1364" s="9" t="b">
        <f aca="false">AND(Y1363&gt;0,Z1363)</f>
        <v>0</v>
      </c>
      <c r="N1364" s="8" t="n">
        <f aca="false">B1364*(1-Inputs!$B$12)</f>
        <v>0.841017691719013</v>
      </c>
      <c r="O1364" s="10" t="n">
        <f aca="false">IF(M1364,Y1363*(N1364-AB1363)-Inputs!$B$9-Y1363*AD1363*Inputs!$B$13*(A1364-AC1363),0)</f>
        <v>0</v>
      </c>
      <c r="P1364" s="10" t="n">
        <f aca="false">X1363+O1364</f>
        <v>912.311293952437</v>
      </c>
      <c r="Q1364" s="9" t="b">
        <f aca="false">AND(IF(M1364,0,Y1363)=0,AA1363,IF(ISNUMBER(AE1363),B1364&gt;AE1363,FALSE()))</f>
        <v>0</v>
      </c>
      <c r="R1364" s="8" t="n">
        <f aca="false">B1364*(1+Inputs!$B$12)</f>
        <v>0.841354166090575</v>
      </c>
      <c r="S1364" s="11" t="n">
        <f aca="false">IF(Q1364,MIN(P1364*Inputs!$B$3/(R1364-AE1363),P1364*Inputs!$B$11/R1364),0)</f>
        <v>0</v>
      </c>
      <c r="T1364" s="11" t="n">
        <f aca="false">IF(Q1364,S1364,IF(M1364,0,Y1363))</f>
        <v>0</v>
      </c>
      <c r="U1364" s="8" t="n">
        <f aca="false">IF(Q1364,AE1363,AF1363)</f>
        <v>0.854592691222844</v>
      </c>
      <c r="V1364" s="9" t="b">
        <f aca="false">AND(T1364&gt;0,D1364&lt;=U1364)</f>
        <v>0</v>
      </c>
      <c r="W1364" s="10" t="n">
        <f aca="false">IF(V1364,T1364*(AK1364-AB1364)-Inputs!$B$9-T1364*AD1364*Inputs!$B$13*(A1364-AC1364),0)</f>
        <v>0</v>
      </c>
      <c r="X1364" s="10" t="n">
        <f aca="false">P1364-IF(Q1364,Inputs!$B$9,0)+W1364</f>
        <v>912.311293952437</v>
      </c>
      <c r="Y1364" s="11" t="n">
        <f aca="false">IF(V1364,0,T1364)</f>
        <v>0</v>
      </c>
      <c r="Z1364" s="9" t="b">
        <f aca="false">AND(Y1364&gt;0,K1364)</f>
        <v>0</v>
      </c>
      <c r="AA1364" s="9" t="b">
        <f aca="false">AND(Y1364=0,J1364,ISNUMBER(L1364))</f>
        <v>0</v>
      </c>
      <c r="AB1364" s="8" t="n">
        <f aca="false">IF(Q1364,R1364,AB1363)</f>
        <v>0.874077315692695</v>
      </c>
      <c r="AC1364" s="12" t="n">
        <f aca="false">IF(Q1364,A1364,AC1363)</f>
        <v>46112</v>
      </c>
      <c r="AD1364" s="8" t="n">
        <f aca="false">IF(Q1364,B1364,AD1363)</f>
        <v>0.873902535185658</v>
      </c>
      <c r="AE1364" s="8" t="str">
        <f aca="false">IF(AA1364,L1364,"")</f>
        <v/>
      </c>
      <c r="AF1364" s="8" t="n">
        <f aca="false">U1364</f>
        <v>0.854592691222844</v>
      </c>
      <c r="AG1364" s="2" t="n">
        <f aca="false">AG1363+IF(Q1364,1,0)</f>
        <v>15</v>
      </c>
      <c r="AH1364" s="2" t="n">
        <f aca="false">AG1363</f>
        <v>15</v>
      </c>
      <c r="AI1364" s="10" t="n">
        <f aca="false">X1364+Y1364*(E1364-AB1364)-Y1364*AD1364*Inputs!$B$13*(A1364-AC1364)</f>
        <v>912.311293952437</v>
      </c>
      <c r="AJ1364" s="10" t="n">
        <v>0</v>
      </c>
      <c r="AK1364" s="8" t="n">
        <f aca="false">IF(AND(B1364&lt;=U1364,NOT(Q1364)),B1364,U1364)*(1-Inputs!$B$12)</f>
        <v>0.841017691719013</v>
      </c>
    </row>
    <row r="1365" customFormat="false" ht="15" hidden="false" customHeight="false" outlineLevel="0" collapsed="false">
      <c r="A1365" s="6" t="n">
        <v>46149</v>
      </c>
      <c r="B1365" s="7" t="n">
        <v>0.841614834142574</v>
      </c>
      <c r="C1365" s="7" t="n">
        <v>0.841656807938603</v>
      </c>
      <c r="D1365" s="7" t="n">
        <v>0.835775082490528</v>
      </c>
      <c r="E1365" s="7" t="n">
        <v>0.836125754774771</v>
      </c>
      <c r="F1365" s="8" t="n">
        <f aca="true">IF(ROW()-2&gt;=Inputs!$B$4,AVERAGE(OFFSET(E1365,1-Inputs!$B$4,0,Inputs!$B$4,1)),"")</f>
        <v>0.851340397748949</v>
      </c>
      <c r="G1365" s="8" t="n">
        <f aca="true">IF(ROW()-2&gt;=Inputs!$B$5,AVERAGE(OFFSET(E1365,1-Inputs!$B$5,0,Inputs!$B$5,1)),"")</f>
        <v>0.869962290865984</v>
      </c>
      <c r="H1365" s="8" t="n">
        <f aca="false">MAX(C1365-D1365,ABS(C1365-E1364),ABS(D1365-E1364))</f>
        <v>0.00588172544807453</v>
      </c>
      <c r="I1365" s="8" t="n">
        <f aca="true">IF(ROW()-2&lt;14,"",IF(ROW()-2=14,AVERAGE(OFFSET(H1365,-13,0,14,1)),(I1364*13+H1365)/14))</f>
        <v>0.00757791728742461</v>
      </c>
      <c r="J1365" s="9" t="b">
        <f aca="false">IF(AND(ISNUMBER(F1365),ISNUMBER(G1365),ISNUMBER(F1364),ISNUMBER(G1364)),AND(F1365&gt;G1365,F1364&lt;=G1364),FALSE())</f>
        <v>0</v>
      </c>
      <c r="K1365" s="9" t="b">
        <f aca="false">IF(AND(ISNUMBER(F1365),ISNUMBER(G1365),ISNUMBER(F1364),ISNUMBER(G1364)),AND(F1365&lt;G1365,F1364&gt;=G1364),FALSE())</f>
        <v>0</v>
      </c>
      <c r="L1365" s="8" t="n">
        <f aca="false">IF(ISNUMBER(I1365),E1365-Inputs!$B$6*I1365,"")</f>
        <v>0.820969920199921</v>
      </c>
      <c r="M1365" s="9" t="b">
        <f aca="false">AND(Y1364&gt;0,Z1364)</f>
        <v>0</v>
      </c>
      <c r="N1365" s="8" t="n">
        <f aca="false">B1365*(1-Inputs!$B$12)</f>
        <v>0.841446511175745</v>
      </c>
      <c r="O1365" s="10" t="n">
        <f aca="false">IF(M1365,Y1364*(N1365-AB1364)-Inputs!$B$9-Y1364*AD1364*Inputs!$B$13*(A1365-AC1364),0)</f>
        <v>0</v>
      </c>
      <c r="P1365" s="10" t="n">
        <f aca="false">X1364+O1365</f>
        <v>912.311293952437</v>
      </c>
      <c r="Q1365" s="9" t="b">
        <f aca="false">AND(IF(M1365,0,Y1364)=0,AA1364,IF(ISNUMBER(AE1364),B1365&gt;AE1364,FALSE()))</f>
        <v>0</v>
      </c>
      <c r="R1365" s="8" t="n">
        <f aca="false">B1365*(1+Inputs!$B$12)</f>
        <v>0.841783157109402</v>
      </c>
      <c r="S1365" s="11" t="n">
        <f aca="false">IF(Q1365,MIN(P1365*Inputs!$B$3/(R1365-AE1364),P1365*Inputs!$B$11/R1365),0)</f>
        <v>0</v>
      </c>
      <c r="T1365" s="11" t="n">
        <f aca="false">IF(Q1365,S1365,IF(M1365,0,Y1364))</f>
        <v>0</v>
      </c>
      <c r="U1365" s="8" t="n">
        <f aca="false">IF(Q1365,AE1364,AF1364)</f>
        <v>0.854592691222844</v>
      </c>
      <c r="V1365" s="9" t="b">
        <f aca="false">AND(T1365&gt;0,D1365&lt;=U1365)</f>
        <v>0</v>
      </c>
      <c r="W1365" s="10" t="n">
        <f aca="false">IF(V1365,T1365*(AK1365-AB1365)-Inputs!$B$9-T1365*AD1365*Inputs!$B$13*(A1365-AC1365),0)</f>
        <v>0</v>
      </c>
      <c r="X1365" s="10" t="n">
        <f aca="false">P1365-IF(Q1365,Inputs!$B$9,0)+W1365</f>
        <v>912.311293952437</v>
      </c>
      <c r="Y1365" s="11" t="n">
        <f aca="false">IF(V1365,0,T1365)</f>
        <v>0</v>
      </c>
      <c r="Z1365" s="9" t="b">
        <f aca="false">AND(Y1365&gt;0,K1365)</f>
        <v>0</v>
      </c>
      <c r="AA1365" s="9" t="b">
        <f aca="false">AND(Y1365=0,J1365,ISNUMBER(L1365))</f>
        <v>0</v>
      </c>
      <c r="AB1365" s="8" t="n">
        <f aca="false">IF(Q1365,R1365,AB1364)</f>
        <v>0.874077315692695</v>
      </c>
      <c r="AC1365" s="12" t="n">
        <f aca="false">IF(Q1365,A1365,AC1364)</f>
        <v>46112</v>
      </c>
      <c r="AD1365" s="8" t="n">
        <f aca="false">IF(Q1365,B1365,AD1364)</f>
        <v>0.873902535185658</v>
      </c>
      <c r="AE1365" s="8" t="str">
        <f aca="false">IF(AA1365,L1365,"")</f>
        <v/>
      </c>
      <c r="AF1365" s="8" t="n">
        <f aca="false">U1365</f>
        <v>0.854592691222844</v>
      </c>
      <c r="AG1365" s="2" t="n">
        <f aca="false">AG1364+IF(Q1365,1,0)</f>
        <v>15</v>
      </c>
      <c r="AH1365" s="2" t="n">
        <f aca="false">AG1364</f>
        <v>15</v>
      </c>
      <c r="AI1365" s="10" t="n">
        <f aca="false">X1365+Y1365*(E1365-AB1365)-Y1365*AD1365*Inputs!$B$13*(A1365-AC1365)</f>
        <v>912.311293952437</v>
      </c>
      <c r="AJ1365" s="10" t="n">
        <v>0</v>
      </c>
      <c r="AK1365" s="8" t="n">
        <f aca="false">IF(AND(B1365&lt;=U1365,NOT(Q1365)),B1365,U1365)*(1-Inputs!$B$12)</f>
        <v>0.841446511175745</v>
      </c>
    </row>
    <row r="1366" customFormat="false" ht="15" hidden="false" customHeight="false" outlineLevel="0" collapsed="false">
      <c r="A1366" s="6" t="n">
        <v>46150</v>
      </c>
      <c r="B1366" s="7" t="n">
        <v>0.836125754774771</v>
      </c>
      <c r="C1366" s="7" t="n">
        <v>0.841303340971167</v>
      </c>
      <c r="D1366" s="7" t="n">
        <v>0.834678209299878</v>
      </c>
      <c r="E1366" s="7" t="n">
        <v>0.839459482208312</v>
      </c>
      <c r="F1366" s="8" t="n">
        <f aca="true">IF(ROW()-2&gt;=Inputs!$B$4,AVERAGE(OFFSET(E1366,1-Inputs!$B$4,0,Inputs!$B$4,1)),"")</f>
        <v>0.850013699239937</v>
      </c>
      <c r="G1366" s="8" t="n">
        <f aca="true">IF(ROW()-2&gt;=Inputs!$B$5,AVERAGE(OFFSET(E1366,1-Inputs!$B$5,0,Inputs!$B$5,1)),"")</f>
        <v>0.868943880526924</v>
      </c>
      <c r="H1366" s="8" t="n">
        <f aca="false">MAX(C1366-D1366,ABS(C1366-E1365),ABS(D1366-E1365))</f>
        <v>0.00662513167128864</v>
      </c>
      <c r="I1366" s="8" t="n">
        <f aca="true">IF(ROW()-2&lt;14,"",IF(ROW()-2=14,AVERAGE(OFFSET(H1366,-13,0,14,1)),(I1365*13+H1366)/14))</f>
        <v>0.00750986117198633</v>
      </c>
      <c r="J1366" s="9" t="b">
        <f aca="false">IF(AND(ISNUMBER(F1366),ISNUMBER(G1366),ISNUMBER(F1365),ISNUMBER(G1365)),AND(F1366&gt;G1366,F1365&lt;=G1365),FALSE())</f>
        <v>0</v>
      </c>
      <c r="K1366" s="9" t="b">
        <f aca="false">IF(AND(ISNUMBER(F1366),ISNUMBER(G1366),ISNUMBER(F1365),ISNUMBER(G1365)),AND(F1366&lt;G1366,F1365&gt;=G1365),FALSE())</f>
        <v>0</v>
      </c>
      <c r="L1366" s="8" t="n">
        <f aca="false">IF(ISNUMBER(I1366),E1366-Inputs!$B$6*I1366,"")</f>
        <v>0.82443975986434</v>
      </c>
      <c r="M1366" s="9" t="b">
        <f aca="false">AND(Y1365&gt;0,Z1365)</f>
        <v>0</v>
      </c>
      <c r="N1366" s="8" t="n">
        <f aca="false">B1366*(1-Inputs!$B$12)</f>
        <v>0.835958529623816</v>
      </c>
      <c r="O1366" s="10" t="n">
        <f aca="false">IF(M1366,Y1365*(N1366-AB1365)-Inputs!$B$9-Y1365*AD1365*Inputs!$B$13*(A1366-AC1365),0)</f>
        <v>0</v>
      </c>
      <c r="P1366" s="10" t="n">
        <f aca="false">X1365+O1366</f>
        <v>912.311293952437</v>
      </c>
      <c r="Q1366" s="9" t="b">
        <f aca="false">AND(IF(M1366,0,Y1365)=0,AA1365,IF(ISNUMBER(AE1365),B1366&gt;AE1365,FALSE()))</f>
        <v>0</v>
      </c>
      <c r="R1366" s="8" t="n">
        <f aca="false">B1366*(1+Inputs!$B$12)</f>
        <v>0.836292979925726</v>
      </c>
      <c r="S1366" s="11" t="n">
        <f aca="false">IF(Q1366,MIN(P1366*Inputs!$B$3/(R1366-AE1365),P1366*Inputs!$B$11/R1366),0)</f>
        <v>0</v>
      </c>
      <c r="T1366" s="11" t="n">
        <f aca="false">IF(Q1366,S1366,IF(M1366,0,Y1365))</f>
        <v>0</v>
      </c>
      <c r="U1366" s="8" t="n">
        <f aca="false">IF(Q1366,AE1365,AF1365)</f>
        <v>0.854592691222844</v>
      </c>
      <c r="V1366" s="9" t="b">
        <f aca="false">AND(T1366&gt;0,D1366&lt;=U1366)</f>
        <v>0</v>
      </c>
      <c r="W1366" s="10" t="n">
        <f aca="false">IF(V1366,T1366*(AK1366-AB1366)-Inputs!$B$9-T1366*AD1366*Inputs!$B$13*(A1366-AC1366),0)</f>
        <v>0</v>
      </c>
      <c r="X1366" s="10" t="n">
        <f aca="false">P1366-IF(Q1366,Inputs!$B$9,0)+W1366</f>
        <v>912.311293952437</v>
      </c>
      <c r="Y1366" s="11" t="n">
        <f aca="false">IF(V1366,0,T1366)</f>
        <v>0</v>
      </c>
      <c r="Z1366" s="9" t="b">
        <f aca="false">AND(Y1366&gt;0,K1366)</f>
        <v>0</v>
      </c>
      <c r="AA1366" s="9" t="b">
        <f aca="false">AND(Y1366=0,J1366,ISNUMBER(L1366))</f>
        <v>0</v>
      </c>
      <c r="AB1366" s="8" t="n">
        <f aca="false">IF(Q1366,R1366,AB1365)</f>
        <v>0.874077315692695</v>
      </c>
      <c r="AC1366" s="12" t="n">
        <f aca="false">IF(Q1366,A1366,AC1365)</f>
        <v>46112</v>
      </c>
      <c r="AD1366" s="8" t="n">
        <f aca="false">IF(Q1366,B1366,AD1365)</f>
        <v>0.873902535185658</v>
      </c>
      <c r="AE1366" s="8" t="str">
        <f aca="false">IF(AA1366,L1366,"")</f>
        <v/>
      </c>
      <c r="AF1366" s="8" t="n">
        <f aca="false">U1366</f>
        <v>0.854592691222844</v>
      </c>
      <c r="AG1366" s="2" t="n">
        <f aca="false">AG1365+IF(Q1366,1,0)</f>
        <v>15</v>
      </c>
      <c r="AH1366" s="2" t="n">
        <f aca="false">AG1365</f>
        <v>15</v>
      </c>
      <c r="AI1366" s="10" t="n">
        <f aca="false">X1366+Y1366*(E1366-AB1366)-Y1366*AD1366*Inputs!$B$13*(A1366-AC1366)</f>
        <v>912.311293952437</v>
      </c>
      <c r="AJ1366" s="10" t="n">
        <v>0</v>
      </c>
      <c r="AK1366" s="8" t="n">
        <f aca="false">IF(AND(B1366&lt;=U1366,NOT(Q1366)),B1366,U1366)*(1-Inputs!$B$12)</f>
        <v>0.835958529623816</v>
      </c>
    </row>
    <row r="1367" customFormat="false" ht="15" hidden="false" customHeight="false" outlineLevel="0" collapsed="false">
      <c r="A1367" s="6" t="n">
        <v>46151</v>
      </c>
      <c r="B1367" s="7" t="n">
        <v>0.839459482208312</v>
      </c>
      <c r="C1367" s="7" t="n">
        <v>0.840360402650995</v>
      </c>
      <c r="D1367" s="7" t="n">
        <v>0.826457691134978</v>
      </c>
      <c r="E1367" s="7" t="n">
        <v>0.830702148450045</v>
      </c>
      <c r="F1367" s="8" t="n">
        <f aca="true">IF(ROW()-2&gt;=Inputs!$B$4,AVERAGE(OFFSET(E1367,1-Inputs!$B$4,0,Inputs!$B$4,1)),"")</f>
        <v>0.848180748069462</v>
      </c>
      <c r="G1367" s="8" t="n">
        <f aca="true">IF(ROW()-2&gt;=Inputs!$B$5,AVERAGE(OFFSET(E1367,1-Inputs!$B$5,0,Inputs!$B$5,1)),"")</f>
        <v>0.867817645199823</v>
      </c>
      <c r="H1367" s="8" t="n">
        <f aca="false">MAX(C1367-D1367,ABS(C1367-E1366),ABS(D1367-E1366))</f>
        <v>0.0139027115160174</v>
      </c>
      <c r="I1367" s="8" t="n">
        <f aca="true">IF(ROW()-2&lt;14,"",IF(ROW()-2=14,AVERAGE(OFFSET(H1367,-13,0,14,1)),(I1366*13+H1367)/14))</f>
        <v>0.00796649333941712</v>
      </c>
      <c r="J1367" s="9" t="b">
        <f aca="false">IF(AND(ISNUMBER(F1367),ISNUMBER(G1367),ISNUMBER(F1366),ISNUMBER(G1366)),AND(F1367&gt;G1367,F1366&lt;=G1366),FALSE())</f>
        <v>0</v>
      </c>
      <c r="K1367" s="9" t="b">
        <f aca="false">IF(AND(ISNUMBER(F1367),ISNUMBER(G1367),ISNUMBER(F1366),ISNUMBER(G1366)),AND(F1367&lt;G1367,F1366&gt;=G1366),FALSE())</f>
        <v>0</v>
      </c>
      <c r="L1367" s="8" t="n">
        <f aca="false">IF(ISNUMBER(I1367),E1367-Inputs!$B$6*I1367,"")</f>
        <v>0.814769161771211</v>
      </c>
      <c r="M1367" s="9" t="b">
        <f aca="false">AND(Y1366&gt;0,Z1366)</f>
        <v>0</v>
      </c>
      <c r="N1367" s="8" t="n">
        <f aca="false">B1367*(1-Inputs!$B$12)</f>
        <v>0.839291590311871</v>
      </c>
      <c r="O1367" s="10" t="n">
        <f aca="false">IF(M1367,Y1366*(N1367-AB1366)-Inputs!$B$9-Y1366*AD1366*Inputs!$B$13*(A1367-AC1366),0)</f>
        <v>0</v>
      </c>
      <c r="P1367" s="10" t="n">
        <f aca="false">X1366+O1367</f>
        <v>912.311293952437</v>
      </c>
      <c r="Q1367" s="9" t="b">
        <f aca="false">AND(IF(M1367,0,Y1366)=0,AA1366,IF(ISNUMBER(AE1366),B1367&gt;AE1366,FALSE()))</f>
        <v>0</v>
      </c>
      <c r="R1367" s="8" t="n">
        <f aca="false">B1367*(1+Inputs!$B$12)</f>
        <v>0.839627374104754</v>
      </c>
      <c r="S1367" s="11" t="n">
        <f aca="false">IF(Q1367,MIN(P1367*Inputs!$B$3/(R1367-AE1366),P1367*Inputs!$B$11/R1367),0)</f>
        <v>0</v>
      </c>
      <c r="T1367" s="11" t="n">
        <f aca="false">IF(Q1367,S1367,IF(M1367,0,Y1366))</f>
        <v>0</v>
      </c>
      <c r="U1367" s="8" t="n">
        <f aca="false">IF(Q1367,AE1366,AF1366)</f>
        <v>0.854592691222844</v>
      </c>
      <c r="V1367" s="9" t="b">
        <f aca="false">AND(T1367&gt;0,D1367&lt;=U1367)</f>
        <v>0</v>
      </c>
      <c r="W1367" s="10" t="n">
        <f aca="false">IF(V1367,T1367*(AK1367-AB1367)-Inputs!$B$9-T1367*AD1367*Inputs!$B$13*(A1367-AC1367),0)</f>
        <v>0</v>
      </c>
      <c r="X1367" s="10" t="n">
        <f aca="false">P1367-IF(Q1367,Inputs!$B$9,0)+W1367</f>
        <v>912.311293952437</v>
      </c>
      <c r="Y1367" s="11" t="n">
        <f aca="false">IF(V1367,0,T1367)</f>
        <v>0</v>
      </c>
      <c r="Z1367" s="9" t="b">
        <f aca="false">AND(Y1367&gt;0,K1367)</f>
        <v>0</v>
      </c>
      <c r="AA1367" s="9" t="b">
        <f aca="false">AND(Y1367=0,J1367,ISNUMBER(L1367))</f>
        <v>0</v>
      </c>
      <c r="AB1367" s="8" t="n">
        <f aca="false">IF(Q1367,R1367,AB1366)</f>
        <v>0.874077315692695</v>
      </c>
      <c r="AC1367" s="12" t="n">
        <f aca="false">IF(Q1367,A1367,AC1366)</f>
        <v>46112</v>
      </c>
      <c r="AD1367" s="8" t="n">
        <f aca="false">IF(Q1367,B1367,AD1366)</f>
        <v>0.873902535185658</v>
      </c>
      <c r="AE1367" s="8" t="str">
        <f aca="false">IF(AA1367,L1367,"")</f>
        <v/>
      </c>
      <c r="AF1367" s="8" t="n">
        <f aca="false">U1367</f>
        <v>0.854592691222844</v>
      </c>
      <c r="AG1367" s="2" t="n">
        <f aca="false">AG1366+IF(Q1367,1,0)</f>
        <v>15</v>
      </c>
      <c r="AH1367" s="2" t="n">
        <f aca="false">AG1366</f>
        <v>15</v>
      </c>
      <c r="AI1367" s="10" t="n">
        <f aca="false">X1367+Y1367*(E1367-AB1367)-Y1367*AD1367*Inputs!$B$13*(A1367-AC1367)</f>
        <v>912.311293952437</v>
      </c>
      <c r="AJ1367" s="10" t="n">
        <v>0</v>
      </c>
      <c r="AK1367" s="8" t="n">
        <f aca="false">IF(AND(B1367&lt;=U1367,NOT(Q1367)),B1367,U1367)*(1-Inputs!$B$12)</f>
        <v>0.839291590311871</v>
      </c>
    </row>
    <row r="1368" customFormat="false" ht="15" hidden="false" customHeight="false" outlineLevel="0" collapsed="false">
      <c r="A1368" s="6" t="n">
        <v>46152</v>
      </c>
      <c r="B1368" s="7" t="n">
        <v>0.830702148450045</v>
      </c>
      <c r="C1368" s="7" t="n">
        <v>0.833240460840284</v>
      </c>
      <c r="D1368" s="7" t="n">
        <v>0.83051274670545</v>
      </c>
      <c r="E1368" s="7" t="n">
        <v>0.83168205145905</v>
      </c>
      <c r="F1368" s="8" t="n">
        <f aca="true">IF(ROW()-2&gt;=Inputs!$B$4,AVERAGE(OFFSET(E1368,1-Inputs!$B$4,0,Inputs!$B$4,1)),"")</f>
        <v>0.84654296644828</v>
      </c>
      <c r="G1368" s="8" t="n">
        <f aca="true">IF(ROW()-2&gt;=Inputs!$B$5,AVERAGE(OFFSET(E1368,1-Inputs!$B$5,0,Inputs!$B$5,1)),"")</f>
        <v>0.866848222553889</v>
      </c>
      <c r="H1368" s="8" t="n">
        <f aca="false">MAX(C1368-D1368,ABS(C1368-E1367),ABS(D1368-E1367))</f>
        <v>0.00272771413483464</v>
      </c>
      <c r="I1368" s="8" t="n">
        <f aca="true">IF(ROW()-2&lt;14,"",IF(ROW()-2=14,AVERAGE(OFFSET(H1368,-13,0,14,1)),(I1367*13+H1368)/14))</f>
        <v>0.00759229482480408</v>
      </c>
      <c r="J1368" s="9" t="b">
        <f aca="false">IF(AND(ISNUMBER(F1368),ISNUMBER(G1368),ISNUMBER(F1367),ISNUMBER(G1367)),AND(F1368&gt;G1368,F1367&lt;=G1367),FALSE())</f>
        <v>0</v>
      </c>
      <c r="K1368" s="9" t="b">
        <f aca="false">IF(AND(ISNUMBER(F1368),ISNUMBER(G1368),ISNUMBER(F1367),ISNUMBER(G1367)),AND(F1368&lt;G1368,F1367&gt;=G1367),FALSE())</f>
        <v>0</v>
      </c>
      <c r="L1368" s="8" t="n">
        <f aca="false">IF(ISNUMBER(I1368),E1368-Inputs!$B$6*I1368,"")</f>
        <v>0.816497461809442</v>
      </c>
      <c r="M1368" s="9" t="b">
        <f aca="false">AND(Y1367&gt;0,Z1367)</f>
        <v>0</v>
      </c>
      <c r="N1368" s="8" t="n">
        <f aca="false">B1368*(1-Inputs!$B$12)</f>
        <v>0.830536008020355</v>
      </c>
      <c r="O1368" s="10" t="n">
        <f aca="false">IF(M1368,Y1367*(N1368-AB1367)-Inputs!$B$9-Y1367*AD1367*Inputs!$B$13*(A1368-AC1367),0)</f>
        <v>0</v>
      </c>
      <c r="P1368" s="10" t="n">
        <f aca="false">X1367+O1368</f>
        <v>912.311293952437</v>
      </c>
      <c r="Q1368" s="9" t="b">
        <f aca="false">AND(IF(M1368,0,Y1367)=0,AA1367,IF(ISNUMBER(AE1367),B1368&gt;AE1367,FALSE()))</f>
        <v>0</v>
      </c>
      <c r="R1368" s="8" t="n">
        <f aca="false">B1368*(1+Inputs!$B$12)</f>
        <v>0.830868288879735</v>
      </c>
      <c r="S1368" s="11" t="n">
        <f aca="false">IF(Q1368,MIN(P1368*Inputs!$B$3/(R1368-AE1367),P1368*Inputs!$B$11/R1368),0)</f>
        <v>0</v>
      </c>
      <c r="T1368" s="11" t="n">
        <f aca="false">IF(Q1368,S1368,IF(M1368,0,Y1367))</f>
        <v>0</v>
      </c>
      <c r="U1368" s="8" t="n">
        <f aca="false">IF(Q1368,AE1367,AF1367)</f>
        <v>0.854592691222844</v>
      </c>
      <c r="V1368" s="9" t="b">
        <f aca="false">AND(T1368&gt;0,D1368&lt;=U1368)</f>
        <v>0</v>
      </c>
      <c r="W1368" s="10" t="n">
        <f aca="false">IF(V1368,T1368*(AK1368-AB1368)-Inputs!$B$9-T1368*AD1368*Inputs!$B$13*(A1368-AC1368),0)</f>
        <v>0</v>
      </c>
      <c r="X1368" s="10" t="n">
        <f aca="false">P1368-IF(Q1368,Inputs!$B$9,0)+W1368</f>
        <v>912.311293952437</v>
      </c>
      <c r="Y1368" s="11" t="n">
        <f aca="false">IF(V1368,0,T1368)</f>
        <v>0</v>
      </c>
      <c r="Z1368" s="9" t="b">
        <f aca="false">AND(Y1368&gt;0,K1368)</f>
        <v>0</v>
      </c>
      <c r="AA1368" s="9" t="b">
        <f aca="false">AND(Y1368=0,J1368,ISNUMBER(L1368))</f>
        <v>0</v>
      </c>
      <c r="AB1368" s="8" t="n">
        <f aca="false">IF(Q1368,R1368,AB1367)</f>
        <v>0.874077315692695</v>
      </c>
      <c r="AC1368" s="12" t="n">
        <f aca="false">IF(Q1368,A1368,AC1367)</f>
        <v>46112</v>
      </c>
      <c r="AD1368" s="8" t="n">
        <f aca="false">IF(Q1368,B1368,AD1367)</f>
        <v>0.873902535185658</v>
      </c>
      <c r="AE1368" s="8" t="str">
        <f aca="false">IF(AA1368,L1368,"")</f>
        <v/>
      </c>
      <c r="AF1368" s="8" t="n">
        <f aca="false">U1368</f>
        <v>0.854592691222844</v>
      </c>
      <c r="AG1368" s="2" t="n">
        <f aca="false">AG1367+IF(Q1368,1,0)</f>
        <v>15</v>
      </c>
      <c r="AH1368" s="2" t="n">
        <f aca="false">AG1367</f>
        <v>15</v>
      </c>
      <c r="AI1368" s="10" t="n">
        <f aca="false">X1368+Y1368*(E1368-AB1368)-Y1368*AD1368*Inputs!$B$13*(A1368-AC1368)</f>
        <v>912.311293952437</v>
      </c>
      <c r="AJ1368" s="10" t="n">
        <v>0</v>
      </c>
      <c r="AK1368" s="8" t="n">
        <f aca="false">IF(AND(B1368&lt;=U1368,NOT(Q1368)),B1368,U1368)*(1-Inputs!$B$12)</f>
        <v>0.830536008020355</v>
      </c>
    </row>
    <row r="1369" customFormat="false" ht="15" hidden="false" customHeight="false" outlineLevel="0" collapsed="false">
      <c r="A1369" s="6" t="n">
        <v>46153</v>
      </c>
      <c r="B1369" s="7" t="n">
        <v>0.83168205145905</v>
      </c>
      <c r="C1369" s="7" t="n">
        <v>0.834129491744899</v>
      </c>
      <c r="D1369" s="7" t="n">
        <v>0.829193520137621</v>
      </c>
      <c r="E1369" s="7" t="n">
        <v>0.833221750035222</v>
      </c>
      <c r="F1369" s="8" t="n">
        <f aca="true">IF(ROW()-2&gt;=Inputs!$B$4,AVERAGE(OFFSET(E1369,1-Inputs!$B$4,0,Inputs!$B$4,1)),"")</f>
        <v>0.845111780602408</v>
      </c>
      <c r="G1369" s="8" t="n">
        <f aca="true">IF(ROW()-2&gt;=Inputs!$B$5,AVERAGE(OFFSET(E1369,1-Inputs!$B$5,0,Inputs!$B$5,1)),"")</f>
        <v>0.865895499023724</v>
      </c>
      <c r="H1369" s="8" t="n">
        <f aca="false">MAX(C1369-D1369,ABS(C1369-E1368),ABS(D1369-E1368))</f>
        <v>0.0049359716072781</v>
      </c>
      <c r="I1369" s="8" t="n">
        <f aca="true">IF(ROW()-2&lt;14,"",IF(ROW()-2=14,AVERAGE(OFFSET(H1369,-13,0,14,1)),(I1368*13+H1369)/14))</f>
        <v>0.00740255745212365</v>
      </c>
      <c r="J1369" s="9" t="b">
        <f aca="false">IF(AND(ISNUMBER(F1369),ISNUMBER(G1369),ISNUMBER(F1368),ISNUMBER(G1368)),AND(F1369&gt;G1369,F1368&lt;=G1368),FALSE())</f>
        <v>0</v>
      </c>
      <c r="K1369" s="9" t="b">
        <f aca="false">IF(AND(ISNUMBER(F1369),ISNUMBER(G1369),ISNUMBER(F1368),ISNUMBER(G1368)),AND(F1369&lt;G1369,F1368&gt;=G1368),FALSE())</f>
        <v>0</v>
      </c>
      <c r="L1369" s="8" t="n">
        <f aca="false">IF(ISNUMBER(I1369),E1369-Inputs!$B$6*I1369,"")</f>
        <v>0.818416635130975</v>
      </c>
      <c r="M1369" s="9" t="b">
        <f aca="false">AND(Y1368&gt;0,Z1368)</f>
        <v>0</v>
      </c>
      <c r="N1369" s="8" t="n">
        <f aca="false">B1369*(1-Inputs!$B$12)</f>
        <v>0.831515715048758</v>
      </c>
      <c r="O1369" s="10" t="n">
        <f aca="false">IF(M1369,Y1368*(N1369-AB1368)-Inputs!$B$9-Y1368*AD1368*Inputs!$B$13*(A1369-AC1368),0)</f>
        <v>0</v>
      </c>
      <c r="P1369" s="10" t="n">
        <f aca="false">X1368+O1369</f>
        <v>912.311293952437</v>
      </c>
      <c r="Q1369" s="9" t="b">
        <f aca="false">AND(IF(M1369,0,Y1368)=0,AA1368,IF(ISNUMBER(AE1368),B1369&gt;AE1368,FALSE()))</f>
        <v>0</v>
      </c>
      <c r="R1369" s="8" t="n">
        <f aca="false">B1369*(1+Inputs!$B$12)</f>
        <v>0.831848387869342</v>
      </c>
      <c r="S1369" s="11" t="n">
        <f aca="false">IF(Q1369,MIN(P1369*Inputs!$B$3/(R1369-AE1368),P1369*Inputs!$B$11/R1369),0)</f>
        <v>0</v>
      </c>
      <c r="T1369" s="11" t="n">
        <f aca="false">IF(Q1369,S1369,IF(M1369,0,Y1368))</f>
        <v>0</v>
      </c>
      <c r="U1369" s="8" t="n">
        <f aca="false">IF(Q1369,AE1368,AF1368)</f>
        <v>0.854592691222844</v>
      </c>
      <c r="V1369" s="9" t="b">
        <f aca="false">AND(T1369&gt;0,D1369&lt;=U1369)</f>
        <v>0</v>
      </c>
      <c r="W1369" s="10" t="n">
        <f aca="false">IF(V1369,T1369*(AK1369-AB1369)-Inputs!$B$9-T1369*AD1369*Inputs!$B$13*(A1369-AC1369),0)</f>
        <v>0</v>
      </c>
      <c r="X1369" s="10" t="n">
        <f aca="false">P1369-IF(Q1369,Inputs!$B$9,0)+W1369</f>
        <v>912.311293952437</v>
      </c>
      <c r="Y1369" s="11" t="n">
        <f aca="false">IF(V1369,0,T1369)</f>
        <v>0</v>
      </c>
      <c r="Z1369" s="9" t="b">
        <f aca="false">AND(Y1369&gt;0,K1369)</f>
        <v>0</v>
      </c>
      <c r="AA1369" s="9" t="b">
        <f aca="false">AND(Y1369=0,J1369,ISNUMBER(L1369))</f>
        <v>0</v>
      </c>
      <c r="AB1369" s="8" t="n">
        <f aca="false">IF(Q1369,R1369,AB1368)</f>
        <v>0.874077315692695</v>
      </c>
      <c r="AC1369" s="12" t="n">
        <f aca="false">IF(Q1369,A1369,AC1368)</f>
        <v>46112</v>
      </c>
      <c r="AD1369" s="8" t="n">
        <f aca="false">IF(Q1369,B1369,AD1368)</f>
        <v>0.873902535185658</v>
      </c>
      <c r="AE1369" s="8" t="str">
        <f aca="false">IF(AA1369,L1369,"")</f>
        <v/>
      </c>
      <c r="AF1369" s="8" t="n">
        <f aca="false">U1369</f>
        <v>0.854592691222844</v>
      </c>
      <c r="AG1369" s="2" t="n">
        <f aca="false">AG1368+IF(Q1369,1,0)</f>
        <v>15</v>
      </c>
      <c r="AH1369" s="2" t="n">
        <f aca="false">AG1368</f>
        <v>15</v>
      </c>
      <c r="AI1369" s="10" t="n">
        <f aca="false">X1369+Y1369*(E1369-AB1369)-Y1369*AD1369*Inputs!$B$13*(A1369-AC1369)</f>
        <v>912.311293952437</v>
      </c>
      <c r="AJ1369" s="10" t="n">
        <v>0</v>
      </c>
      <c r="AK1369" s="8" t="n">
        <f aca="false">IF(AND(B1369&lt;=U1369,NOT(Q1369)),B1369,U1369)*(1-Inputs!$B$12)</f>
        <v>0.831515715048758</v>
      </c>
    </row>
    <row r="1370" customFormat="false" ht="15" hidden="false" customHeight="false" outlineLevel="0" collapsed="false">
      <c r="A1370" s="6" t="n">
        <v>46154</v>
      </c>
      <c r="B1370" s="7" t="n">
        <v>0.833221750035222</v>
      </c>
      <c r="C1370" s="7" t="n">
        <v>0.835751328157208</v>
      </c>
      <c r="D1370" s="7" t="n">
        <v>0.822051118968065</v>
      </c>
      <c r="E1370" s="7" t="n">
        <v>0.824164387651657</v>
      </c>
      <c r="F1370" s="8" t="n">
        <f aca="true">IF(ROW()-2&gt;=Inputs!$B$4,AVERAGE(OFFSET(E1370,1-Inputs!$B$4,0,Inputs!$B$4,1)),"")</f>
        <v>0.843377147582471</v>
      </c>
      <c r="G1370" s="8" t="n">
        <f aca="true">IF(ROW()-2&gt;=Inputs!$B$5,AVERAGE(OFFSET(E1370,1-Inputs!$B$5,0,Inputs!$B$5,1)),"")</f>
        <v>0.864803890620983</v>
      </c>
      <c r="H1370" s="8" t="n">
        <f aca="false">MAX(C1370-D1370,ABS(C1370-E1369),ABS(D1370-E1369))</f>
        <v>0.0137002091891424</v>
      </c>
      <c r="I1370" s="8" t="n">
        <f aca="true">IF(ROW()-2&lt;14,"",IF(ROW()-2=14,AVERAGE(OFFSET(H1370,-13,0,14,1)),(I1369*13+H1370)/14))</f>
        <v>0.00785238971905357</v>
      </c>
      <c r="J1370" s="9" t="b">
        <f aca="false">IF(AND(ISNUMBER(F1370),ISNUMBER(G1370),ISNUMBER(F1369),ISNUMBER(G1369)),AND(F1370&gt;G1370,F1369&lt;=G1369),FALSE())</f>
        <v>0</v>
      </c>
      <c r="K1370" s="9" t="b">
        <f aca="false">IF(AND(ISNUMBER(F1370),ISNUMBER(G1370),ISNUMBER(F1369),ISNUMBER(G1369)),AND(F1370&lt;G1370,F1369&gt;=G1369),FALSE())</f>
        <v>0</v>
      </c>
      <c r="L1370" s="8" t="n">
        <f aca="false">IF(ISNUMBER(I1370),E1370-Inputs!$B$6*I1370,"")</f>
        <v>0.80845960821355</v>
      </c>
      <c r="M1370" s="9" t="b">
        <f aca="false">AND(Y1369&gt;0,Z1369)</f>
        <v>0</v>
      </c>
      <c r="N1370" s="8" t="n">
        <f aca="false">B1370*(1-Inputs!$B$12)</f>
        <v>0.833055105685215</v>
      </c>
      <c r="O1370" s="10" t="n">
        <f aca="false">IF(M1370,Y1369*(N1370-AB1369)-Inputs!$B$9-Y1369*AD1369*Inputs!$B$13*(A1370-AC1369),0)</f>
        <v>0</v>
      </c>
      <c r="P1370" s="10" t="n">
        <f aca="false">X1369+O1370</f>
        <v>912.311293952437</v>
      </c>
      <c r="Q1370" s="9" t="b">
        <f aca="false">AND(IF(M1370,0,Y1369)=0,AA1369,IF(ISNUMBER(AE1369),B1370&gt;AE1369,FALSE()))</f>
        <v>0</v>
      </c>
      <c r="R1370" s="8" t="n">
        <f aca="false">B1370*(1+Inputs!$B$12)</f>
        <v>0.833388394385229</v>
      </c>
      <c r="S1370" s="11" t="n">
        <f aca="false">IF(Q1370,MIN(P1370*Inputs!$B$3/(R1370-AE1369),P1370*Inputs!$B$11/R1370),0)</f>
        <v>0</v>
      </c>
      <c r="T1370" s="11" t="n">
        <f aca="false">IF(Q1370,S1370,IF(M1370,0,Y1369))</f>
        <v>0</v>
      </c>
      <c r="U1370" s="8" t="n">
        <f aca="false">IF(Q1370,AE1369,AF1369)</f>
        <v>0.854592691222844</v>
      </c>
      <c r="V1370" s="9" t="b">
        <f aca="false">AND(T1370&gt;0,D1370&lt;=U1370)</f>
        <v>0</v>
      </c>
      <c r="W1370" s="10" t="n">
        <f aca="false">IF(V1370,T1370*(AK1370-AB1370)-Inputs!$B$9-T1370*AD1370*Inputs!$B$13*(A1370-AC1370),0)</f>
        <v>0</v>
      </c>
      <c r="X1370" s="10" t="n">
        <f aca="false">P1370-IF(Q1370,Inputs!$B$9,0)+W1370</f>
        <v>912.311293952437</v>
      </c>
      <c r="Y1370" s="11" t="n">
        <f aca="false">IF(V1370,0,T1370)</f>
        <v>0</v>
      </c>
      <c r="Z1370" s="9" t="b">
        <f aca="false">AND(Y1370&gt;0,K1370)</f>
        <v>0</v>
      </c>
      <c r="AA1370" s="9" t="b">
        <f aca="false">AND(Y1370=0,J1370,ISNUMBER(L1370))</f>
        <v>0</v>
      </c>
      <c r="AB1370" s="8" t="n">
        <f aca="false">IF(Q1370,R1370,AB1369)</f>
        <v>0.874077315692695</v>
      </c>
      <c r="AC1370" s="12" t="n">
        <f aca="false">IF(Q1370,A1370,AC1369)</f>
        <v>46112</v>
      </c>
      <c r="AD1370" s="8" t="n">
        <f aca="false">IF(Q1370,B1370,AD1369)</f>
        <v>0.873902535185658</v>
      </c>
      <c r="AE1370" s="8" t="str">
        <f aca="false">IF(AA1370,L1370,"")</f>
        <v/>
      </c>
      <c r="AF1370" s="8" t="n">
        <f aca="false">U1370</f>
        <v>0.854592691222844</v>
      </c>
      <c r="AG1370" s="2" t="n">
        <f aca="false">AG1369+IF(Q1370,1,0)</f>
        <v>15</v>
      </c>
      <c r="AH1370" s="2" t="n">
        <f aca="false">AG1369</f>
        <v>15</v>
      </c>
      <c r="AI1370" s="10" t="n">
        <f aca="false">X1370+Y1370*(E1370-AB1370)-Y1370*AD1370*Inputs!$B$13*(A1370-AC1370)</f>
        <v>912.311293952437</v>
      </c>
      <c r="AJ1370" s="10" t="n">
        <v>0</v>
      </c>
      <c r="AK1370" s="8" t="n">
        <f aca="false">IF(AND(B1370&lt;=U1370,NOT(Q1370)),B1370,U1370)*(1-Inputs!$B$12)</f>
        <v>0.833055105685215</v>
      </c>
    </row>
    <row r="1371" customFormat="false" ht="15" hidden="false" customHeight="false" outlineLevel="0" collapsed="false">
      <c r="A1371" s="6" t="n">
        <v>46155</v>
      </c>
      <c r="B1371" s="7" t="n">
        <v>0.824164387651657</v>
      </c>
      <c r="C1371" s="7" t="n">
        <v>0.825360653694829</v>
      </c>
      <c r="D1371" s="7" t="n">
        <v>0.819831925524213</v>
      </c>
      <c r="E1371" s="7" t="n">
        <v>0.824748324392856</v>
      </c>
      <c r="F1371" s="8" t="n">
        <f aca="true">IF(ROW()-2&gt;=Inputs!$B$4,AVERAGE(OFFSET(E1371,1-Inputs!$B$4,0,Inputs!$B$4,1)),"")</f>
        <v>0.842003938020678</v>
      </c>
      <c r="G1371" s="8" t="n">
        <f aca="true">IF(ROW()-2&gt;=Inputs!$B$5,AVERAGE(OFFSET(E1371,1-Inputs!$B$5,0,Inputs!$B$5,1)),"")</f>
        <v>0.863941795559906</v>
      </c>
      <c r="H1371" s="8" t="n">
        <f aca="false">MAX(C1371-D1371,ABS(C1371-E1370),ABS(D1371-E1370))</f>
        <v>0.00552872817061589</v>
      </c>
      <c r="I1371" s="8" t="n">
        <f aca="true">IF(ROW()-2&lt;14,"",IF(ROW()-2=14,AVERAGE(OFFSET(H1371,-13,0,14,1)),(I1370*13+H1371)/14))</f>
        <v>0.00768641389416516</v>
      </c>
      <c r="J1371" s="9" t="b">
        <f aca="false">IF(AND(ISNUMBER(F1371),ISNUMBER(G1371),ISNUMBER(F1370),ISNUMBER(G1370)),AND(F1371&gt;G1371,F1370&lt;=G1370),FALSE())</f>
        <v>0</v>
      </c>
      <c r="K1371" s="9" t="b">
        <f aca="false">IF(AND(ISNUMBER(F1371),ISNUMBER(G1371),ISNUMBER(F1370),ISNUMBER(G1370)),AND(F1371&lt;G1371,F1370&gt;=G1370),FALSE())</f>
        <v>0</v>
      </c>
      <c r="L1371" s="8" t="n">
        <f aca="false">IF(ISNUMBER(I1371),E1371-Inputs!$B$6*I1371,"")</f>
        <v>0.809375496604526</v>
      </c>
      <c r="M1371" s="9" t="b">
        <f aca="false">AND(Y1370&gt;0,Z1370)</f>
        <v>0</v>
      </c>
      <c r="N1371" s="8" t="n">
        <f aca="false">B1371*(1-Inputs!$B$12)</f>
        <v>0.823999554774127</v>
      </c>
      <c r="O1371" s="10" t="n">
        <f aca="false">IF(M1371,Y1370*(N1371-AB1370)-Inputs!$B$9-Y1370*AD1370*Inputs!$B$13*(A1371-AC1370),0)</f>
        <v>0</v>
      </c>
      <c r="P1371" s="10" t="n">
        <f aca="false">X1370+O1371</f>
        <v>912.311293952437</v>
      </c>
      <c r="Q1371" s="9" t="b">
        <f aca="false">AND(IF(M1371,0,Y1370)=0,AA1370,IF(ISNUMBER(AE1370),B1371&gt;AE1370,FALSE()))</f>
        <v>0</v>
      </c>
      <c r="R1371" s="8" t="n">
        <f aca="false">B1371*(1+Inputs!$B$12)</f>
        <v>0.824329220529187</v>
      </c>
      <c r="S1371" s="11" t="n">
        <f aca="false">IF(Q1371,MIN(P1371*Inputs!$B$3/(R1371-AE1370),P1371*Inputs!$B$11/R1371),0)</f>
        <v>0</v>
      </c>
      <c r="T1371" s="11" t="n">
        <f aca="false">IF(Q1371,S1371,IF(M1371,0,Y1370))</f>
        <v>0</v>
      </c>
      <c r="U1371" s="8" t="n">
        <f aca="false">IF(Q1371,AE1370,AF1370)</f>
        <v>0.854592691222844</v>
      </c>
      <c r="V1371" s="9" t="b">
        <f aca="false">AND(T1371&gt;0,D1371&lt;=U1371)</f>
        <v>0</v>
      </c>
      <c r="W1371" s="10" t="n">
        <f aca="false">IF(V1371,T1371*(AK1371-AB1371)-Inputs!$B$9-T1371*AD1371*Inputs!$B$13*(A1371-AC1371),0)</f>
        <v>0</v>
      </c>
      <c r="X1371" s="10" t="n">
        <f aca="false">P1371-IF(Q1371,Inputs!$B$9,0)+W1371</f>
        <v>912.311293952437</v>
      </c>
      <c r="Y1371" s="11" t="n">
        <f aca="false">IF(V1371,0,T1371)</f>
        <v>0</v>
      </c>
      <c r="Z1371" s="9" t="b">
        <f aca="false">AND(Y1371&gt;0,K1371)</f>
        <v>0</v>
      </c>
      <c r="AA1371" s="9" t="b">
        <f aca="false">AND(Y1371=0,J1371,ISNUMBER(L1371))</f>
        <v>0</v>
      </c>
      <c r="AB1371" s="8" t="n">
        <f aca="false">IF(Q1371,R1371,AB1370)</f>
        <v>0.874077315692695</v>
      </c>
      <c r="AC1371" s="12" t="n">
        <f aca="false">IF(Q1371,A1371,AC1370)</f>
        <v>46112</v>
      </c>
      <c r="AD1371" s="8" t="n">
        <f aca="false">IF(Q1371,B1371,AD1370)</f>
        <v>0.873902535185658</v>
      </c>
      <c r="AE1371" s="8" t="str">
        <f aca="false">IF(AA1371,L1371,"")</f>
        <v/>
      </c>
      <c r="AF1371" s="8" t="n">
        <f aca="false">U1371</f>
        <v>0.854592691222844</v>
      </c>
      <c r="AG1371" s="2" t="n">
        <f aca="false">AG1370+IF(Q1371,1,0)</f>
        <v>15</v>
      </c>
      <c r="AH1371" s="2" t="n">
        <f aca="false">AG1370</f>
        <v>15</v>
      </c>
      <c r="AI1371" s="10" t="n">
        <f aca="false">X1371+Y1371*(E1371-AB1371)-Y1371*AD1371*Inputs!$B$13*(A1371-AC1371)</f>
        <v>912.311293952437</v>
      </c>
      <c r="AJ1371" s="10" t="n">
        <v>0</v>
      </c>
      <c r="AK1371" s="8" t="n">
        <f aca="false">IF(AND(B1371&lt;=U1371,NOT(Q1371)),B1371,U1371)*(1-Inputs!$B$12)</f>
        <v>0.823999554774127</v>
      </c>
    </row>
    <row r="1372" customFormat="false" ht="15" hidden="false" customHeight="false" outlineLevel="0" collapsed="false">
      <c r="A1372" s="6" t="n">
        <v>46156</v>
      </c>
      <c r="B1372" s="7" t="n">
        <v>0.824748324392856</v>
      </c>
      <c r="C1372" s="7" t="n">
        <v>0.8264297325809</v>
      </c>
      <c r="D1372" s="7" t="n">
        <v>0.817892676776003</v>
      </c>
      <c r="E1372" s="7" t="n">
        <v>0.82148659659734</v>
      </c>
      <c r="F1372" s="8" t="n">
        <f aca="true">IF(ROW()-2&gt;=Inputs!$B$4,AVERAGE(OFFSET(E1372,1-Inputs!$B$4,0,Inputs!$B$4,1)),"")</f>
        <v>0.840439228384936</v>
      </c>
      <c r="G1372" s="8" t="n">
        <f aca="true">IF(ROW()-2&gt;=Inputs!$B$5,AVERAGE(OFFSET(E1372,1-Inputs!$B$5,0,Inputs!$B$5,1)),"")</f>
        <v>0.862744634582084</v>
      </c>
      <c r="H1372" s="8" t="n">
        <f aca="false">MAX(C1372-D1372,ABS(C1372-E1371),ABS(D1372-E1371))</f>
        <v>0.00853705580489617</v>
      </c>
      <c r="I1372" s="8" t="n">
        <f aca="true">IF(ROW()-2&lt;14,"",IF(ROW()-2=14,AVERAGE(OFFSET(H1372,-13,0,14,1)),(I1371*13+H1372)/14))</f>
        <v>0.00774717403064595</v>
      </c>
      <c r="J1372" s="9" t="b">
        <f aca="false">IF(AND(ISNUMBER(F1372),ISNUMBER(G1372),ISNUMBER(F1371),ISNUMBER(G1371)),AND(F1372&gt;G1372,F1371&lt;=G1371),FALSE())</f>
        <v>0</v>
      </c>
      <c r="K1372" s="9" t="b">
        <f aca="false">IF(AND(ISNUMBER(F1372),ISNUMBER(G1372),ISNUMBER(F1371),ISNUMBER(G1371)),AND(F1372&lt;G1372,F1371&gt;=G1371),FALSE())</f>
        <v>0</v>
      </c>
      <c r="L1372" s="8" t="n">
        <f aca="false">IF(ISNUMBER(I1372),E1372-Inputs!$B$6*I1372,"")</f>
        <v>0.805992248536048</v>
      </c>
      <c r="M1372" s="9" t="b">
        <f aca="false">AND(Y1371&gt;0,Z1371)</f>
        <v>0</v>
      </c>
      <c r="N1372" s="8" t="n">
        <f aca="false">B1372*(1-Inputs!$B$12)</f>
        <v>0.824583374727978</v>
      </c>
      <c r="O1372" s="10" t="n">
        <f aca="false">IF(M1372,Y1371*(N1372-AB1371)-Inputs!$B$9-Y1371*AD1371*Inputs!$B$13*(A1372-AC1371),0)</f>
        <v>0</v>
      </c>
      <c r="P1372" s="10" t="n">
        <f aca="false">X1371+O1372</f>
        <v>912.311293952437</v>
      </c>
      <c r="Q1372" s="9" t="b">
        <f aca="false">AND(IF(M1372,0,Y1371)=0,AA1371,IF(ISNUMBER(AE1371),B1372&gt;AE1371,FALSE()))</f>
        <v>0</v>
      </c>
      <c r="R1372" s="8" t="n">
        <f aca="false">B1372*(1+Inputs!$B$12)</f>
        <v>0.824913274057735</v>
      </c>
      <c r="S1372" s="11" t="n">
        <f aca="false">IF(Q1372,MIN(P1372*Inputs!$B$3/(R1372-AE1371),P1372*Inputs!$B$11/R1372),0)</f>
        <v>0</v>
      </c>
      <c r="T1372" s="11" t="n">
        <f aca="false">IF(Q1372,S1372,IF(M1372,0,Y1371))</f>
        <v>0</v>
      </c>
      <c r="U1372" s="8" t="n">
        <f aca="false">IF(Q1372,AE1371,AF1371)</f>
        <v>0.854592691222844</v>
      </c>
      <c r="V1372" s="9" t="b">
        <f aca="false">AND(T1372&gt;0,D1372&lt;=U1372)</f>
        <v>0</v>
      </c>
      <c r="W1372" s="10" t="n">
        <f aca="false">IF(V1372,T1372*(AK1372-AB1372)-Inputs!$B$9-T1372*AD1372*Inputs!$B$13*(A1372-AC1372),0)</f>
        <v>0</v>
      </c>
      <c r="X1372" s="10" t="n">
        <f aca="false">P1372-IF(Q1372,Inputs!$B$9,0)+W1372</f>
        <v>912.311293952437</v>
      </c>
      <c r="Y1372" s="11" t="n">
        <f aca="false">IF(V1372,0,T1372)</f>
        <v>0</v>
      </c>
      <c r="Z1372" s="9" t="b">
        <f aca="false">AND(Y1372&gt;0,K1372)</f>
        <v>0</v>
      </c>
      <c r="AA1372" s="9" t="b">
        <f aca="false">AND(Y1372=0,J1372,ISNUMBER(L1372))</f>
        <v>0</v>
      </c>
      <c r="AB1372" s="8" t="n">
        <f aca="false">IF(Q1372,R1372,AB1371)</f>
        <v>0.874077315692695</v>
      </c>
      <c r="AC1372" s="12" t="n">
        <f aca="false">IF(Q1372,A1372,AC1371)</f>
        <v>46112</v>
      </c>
      <c r="AD1372" s="8" t="n">
        <f aca="false">IF(Q1372,B1372,AD1371)</f>
        <v>0.873902535185658</v>
      </c>
      <c r="AE1372" s="8" t="str">
        <f aca="false">IF(AA1372,L1372,"")</f>
        <v/>
      </c>
      <c r="AF1372" s="8" t="n">
        <f aca="false">U1372</f>
        <v>0.854592691222844</v>
      </c>
      <c r="AG1372" s="2" t="n">
        <f aca="false">AG1371+IF(Q1372,1,0)</f>
        <v>15</v>
      </c>
      <c r="AH1372" s="2" t="n">
        <f aca="false">AG1371</f>
        <v>15</v>
      </c>
      <c r="AI1372" s="10" t="n">
        <f aca="false">X1372+Y1372*(E1372-AB1372)-Y1372*AD1372*Inputs!$B$13*(A1372-AC1372)</f>
        <v>912.311293952437</v>
      </c>
      <c r="AJ1372" s="10" t="n">
        <v>0</v>
      </c>
      <c r="AK1372" s="8" t="n">
        <f aca="false">IF(AND(B1372&lt;=U1372,NOT(Q1372)),B1372,U1372)*(1-Inputs!$B$12)</f>
        <v>0.824583374727978</v>
      </c>
    </row>
    <row r="1373" customFormat="false" ht="15" hidden="false" customHeight="false" outlineLevel="0" collapsed="false">
      <c r="A1373" s="6" t="n">
        <v>46157</v>
      </c>
      <c r="B1373" s="7" t="n">
        <v>0.82148659659734</v>
      </c>
      <c r="C1373" s="7" t="n">
        <v>0.832825821298453</v>
      </c>
      <c r="D1373" s="7" t="n">
        <v>0.819104104414323</v>
      </c>
      <c r="E1373" s="7" t="n">
        <v>0.827656232915887</v>
      </c>
      <c r="F1373" s="8" t="n">
        <f aca="true">IF(ROW()-2&gt;=Inputs!$B$4,AVERAGE(OFFSET(E1373,1-Inputs!$B$4,0,Inputs!$B$4,1)),"")</f>
        <v>0.839208881518225</v>
      </c>
      <c r="G1373" s="8" t="n">
        <f aca="true">IF(ROW()-2&gt;=Inputs!$B$5,AVERAGE(OFFSET(E1373,1-Inputs!$B$5,0,Inputs!$B$5,1)),"")</f>
        <v>0.861666701948169</v>
      </c>
      <c r="H1373" s="8" t="n">
        <f aca="false">MAX(C1373-D1373,ABS(C1373-E1372),ABS(D1373-E1372))</f>
        <v>0.0137217168841297</v>
      </c>
      <c r="I1373" s="8" t="n">
        <f aca="true">IF(ROW()-2&lt;14,"",IF(ROW()-2=14,AVERAGE(OFFSET(H1373,-13,0,14,1)),(I1372*13+H1373)/14))</f>
        <v>0.00817392709160907</v>
      </c>
      <c r="J1373" s="9" t="b">
        <f aca="false">IF(AND(ISNUMBER(F1373),ISNUMBER(G1373),ISNUMBER(F1372),ISNUMBER(G1372)),AND(F1373&gt;G1373,F1372&lt;=G1372),FALSE())</f>
        <v>0</v>
      </c>
      <c r="K1373" s="9" t="b">
        <f aca="false">IF(AND(ISNUMBER(F1373),ISNUMBER(G1373),ISNUMBER(F1372),ISNUMBER(G1372)),AND(F1373&lt;G1373,F1372&gt;=G1372),FALSE())</f>
        <v>0</v>
      </c>
      <c r="L1373" s="8" t="n">
        <f aca="false">IF(ISNUMBER(I1373),E1373-Inputs!$B$6*I1373,"")</f>
        <v>0.811308378732669</v>
      </c>
      <c r="M1373" s="9" t="b">
        <f aca="false">AND(Y1372&gt;0,Z1372)</f>
        <v>0</v>
      </c>
      <c r="N1373" s="8" t="n">
        <f aca="false">B1373*(1-Inputs!$B$12)</f>
        <v>0.821322299278021</v>
      </c>
      <c r="O1373" s="10" t="n">
        <f aca="false">IF(M1373,Y1372*(N1373-AB1372)-Inputs!$B$9-Y1372*AD1372*Inputs!$B$13*(A1373-AC1372),0)</f>
        <v>0</v>
      </c>
      <c r="P1373" s="10" t="n">
        <f aca="false">X1372+O1373</f>
        <v>912.311293952437</v>
      </c>
      <c r="Q1373" s="9" t="b">
        <f aca="false">AND(IF(M1373,0,Y1372)=0,AA1372,IF(ISNUMBER(AE1372),B1373&gt;AE1372,FALSE()))</f>
        <v>0</v>
      </c>
      <c r="R1373" s="8" t="n">
        <f aca="false">B1373*(1+Inputs!$B$12)</f>
        <v>0.82165089391666</v>
      </c>
      <c r="S1373" s="11" t="n">
        <f aca="false">IF(Q1373,MIN(P1373*Inputs!$B$3/(R1373-AE1372),P1373*Inputs!$B$11/R1373),0)</f>
        <v>0</v>
      </c>
      <c r="T1373" s="11" t="n">
        <f aca="false">IF(Q1373,S1373,IF(M1373,0,Y1372))</f>
        <v>0</v>
      </c>
      <c r="U1373" s="8" t="n">
        <f aca="false">IF(Q1373,AE1372,AF1372)</f>
        <v>0.854592691222844</v>
      </c>
      <c r="V1373" s="9" t="b">
        <f aca="false">AND(T1373&gt;0,D1373&lt;=U1373)</f>
        <v>0</v>
      </c>
      <c r="W1373" s="10" t="n">
        <f aca="false">IF(V1373,T1373*(AK1373-AB1373)-Inputs!$B$9-T1373*AD1373*Inputs!$B$13*(A1373-AC1373),0)</f>
        <v>0</v>
      </c>
      <c r="X1373" s="10" t="n">
        <f aca="false">P1373-IF(Q1373,Inputs!$B$9,0)+W1373</f>
        <v>912.311293952437</v>
      </c>
      <c r="Y1373" s="11" t="n">
        <f aca="false">IF(V1373,0,T1373)</f>
        <v>0</v>
      </c>
      <c r="Z1373" s="9" t="b">
        <f aca="false">AND(Y1373&gt;0,K1373)</f>
        <v>0</v>
      </c>
      <c r="AA1373" s="9" t="b">
        <f aca="false">AND(Y1373=0,J1373,ISNUMBER(L1373))</f>
        <v>0</v>
      </c>
      <c r="AB1373" s="8" t="n">
        <f aca="false">IF(Q1373,R1373,AB1372)</f>
        <v>0.874077315692695</v>
      </c>
      <c r="AC1373" s="12" t="n">
        <f aca="false">IF(Q1373,A1373,AC1372)</f>
        <v>46112</v>
      </c>
      <c r="AD1373" s="8" t="n">
        <f aca="false">IF(Q1373,B1373,AD1372)</f>
        <v>0.873902535185658</v>
      </c>
      <c r="AE1373" s="8" t="str">
        <f aca="false">IF(AA1373,L1373,"")</f>
        <v/>
      </c>
      <c r="AF1373" s="8" t="n">
        <f aca="false">U1373</f>
        <v>0.854592691222844</v>
      </c>
      <c r="AG1373" s="2" t="n">
        <f aca="false">AG1372+IF(Q1373,1,0)</f>
        <v>15</v>
      </c>
      <c r="AH1373" s="2" t="n">
        <f aca="false">AG1372</f>
        <v>15</v>
      </c>
      <c r="AI1373" s="10" t="n">
        <f aca="false">X1373+Y1373*(E1373-AB1373)-Y1373*AD1373*Inputs!$B$13*(A1373-AC1373)</f>
        <v>912.311293952437</v>
      </c>
      <c r="AJ1373" s="10" t="n">
        <v>0</v>
      </c>
      <c r="AK1373" s="8" t="n">
        <f aca="false">IF(AND(B1373&lt;=U1373,NOT(Q1373)),B1373,U1373)*(1-Inputs!$B$12)</f>
        <v>0.821322299278021</v>
      </c>
    </row>
    <row r="1374" customFormat="false" ht="15" hidden="false" customHeight="false" outlineLevel="0" collapsed="false">
      <c r="A1374" s="6" t="n">
        <v>46158</v>
      </c>
      <c r="B1374" s="7" t="n">
        <v>0.827656232915887</v>
      </c>
      <c r="C1374" s="7" t="n">
        <v>0.827922709646634</v>
      </c>
      <c r="D1374" s="7" t="n">
        <v>0.824306258967622</v>
      </c>
      <c r="E1374" s="7" t="n">
        <v>0.826991877641355</v>
      </c>
      <c r="F1374" s="8" t="n">
        <f aca="true">IF(ROW()-2&gt;=Inputs!$B$4,AVERAGE(OFFSET(E1374,1-Inputs!$B$4,0,Inputs!$B$4,1)),"")</f>
        <v>0.83812190954605</v>
      </c>
      <c r="G1374" s="8" t="n">
        <f aca="true">IF(ROW()-2&gt;=Inputs!$B$5,AVERAGE(OFFSET(E1374,1-Inputs!$B$5,0,Inputs!$B$5,1)),"")</f>
        <v>0.860566153988429</v>
      </c>
      <c r="H1374" s="8" t="n">
        <f aca="false">MAX(C1374-D1374,ABS(C1374-E1373),ABS(D1374-E1373))</f>
        <v>0.00361645067901151</v>
      </c>
      <c r="I1374" s="8" t="n">
        <f aca="true">IF(ROW()-2&lt;14,"",IF(ROW()-2=14,AVERAGE(OFFSET(H1374,-13,0,14,1)),(I1373*13+H1374)/14))</f>
        <v>0.00784839306213782</v>
      </c>
      <c r="J1374" s="9" t="b">
        <f aca="false">IF(AND(ISNUMBER(F1374),ISNUMBER(G1374),ISNUMBER(F1373),ISNUMBER(G1373)),AND(F1374&gt;G1374,F1373&lt;=G1373),FALSE())</f>
        <v>0</v>
      </c>
      <c r="K1374" s="9" t="b">
        <f aca="false">IF(AND(ISNUMBER(F1374),ISNUMBER(G1374),ISNUMBER(F1373),ISNUMBER(G1373)),AND(F1374&lt;G1374,F1373&gt;=G1373),FALSE())</f>
        <v>0</v>
      </c>
      <c r="L1374" s="8" t="n">
        <f aca="false">IF(ISNUMBER(I1374),E1374-Inputs!$B$6*I1374,"")</f>
        <v>0.81129509151708</v>
      </c>
      <c r="M1374" s="9" t="b">
        <f aca="false">AND(Y1373&gt;0,Z1373)</f>
        <v>0</v>
      </c>
      <c r="N1374" s="8" t="n">
        <f aca="false">B1374*(1-Inputs!$B$12)</f>
        <v>0.827490701669304</v>
      </c>
      <c r="O1374" s="10" t="n">
        <f aca="false">IF(M1374,Y1373*(N1374-AB1373)-Inputs!$B$9-Y1373*AD1373*Inputs!$B$13*(A1374-AC1373),0)</f>
        <v>0</v>
      </c>
      <c r="P1374" s="10" t="n">
        <f aca="false">X1373+O1374</f>
        <v>912.311293952437</v>
      </c>
      <c r="Q1374" s="9" t="b">
        <f aca="false">AND(IF(M1374,0,Y1373)=0,AA1373,IF(ISNUMBER(AE1373),B1374&gt;AE1373,FALSE()))</f>
        <v>0</v>
      </c>
      <c r="R1374" s="8" t="n">
        <f aca="false">B1374*(1+Inputs!$B$12)</f>
        <v>0.827821764162471</v>
      </c>
      <c r="S1374" s="11" t="n">
        <f aca="false">IF(Q1374,MIN(P1374*Inputs!$B$3/(R1374-AE1373),P1374*Inputs!$B$11/R1374),0)</f>
        <v>0</v>
      </c>
      <c r="T1374" s="11" t="n">
        <f aca="false">IF(Q1374,S1374,IF(M1374,0,Y1373))</f>
        <v>0</v>
      </c>
      <c r="U1374" s="8" t="n">
        <f aca="false">IF(Q1374,AE1373,AF1373)</f>
        <v>0.854592691222844</v>
      </c>
      <c r="V1374" s="9" t="b">
        <f aca="false">AND(T1374&gt;0,D1374&lt;=U1374)</f>
        <v>0</v>
      </c>
      <c r="W1374" s="10" t="n">
        <f aca="false">IF(V1374,T1374*(AK1374-AB1374)-Inputs!$B$9-T1374*AD1374*Inputs!$B$13*(A1374-AC1374),0)</f>
        <v>0</v>
      </c>
      <c r="X1374" s="10" t="n">
        <f aca="false">P1374-IF(Q1374,Inputs!$B$9,0)+W1374</f>
        <v>912.311293952437</v>
      </c>
      <c r="Y1374" s="11" t="n">
        <f aca="false">IF(V1374,0,T1374)</f>
        <v>0</v>
      </c>
      <c r="Z1374" s="9" t="b">
        <f aca="false">AND(Y1374&gt;0,K1374)</f>
        <v>0</v>
      </c>
      <c r="AA1374" s="9" t="b">
        <f aca="false">AND(Y1374=0,J1374,ISNUMBER(L1374))</f>
        <v>0</v>
      </c>
      <c r="AB1374" s="8" t="n">
        <f aca="false">IF(Q1374,R1374,AB1373)</f>
        <v>0.874077315692695</v>
      </c>
      <c r="AC1374" s="12" t="n">
        <f aca="false">IF(Q1374,A1374,AC1373)</f>
        <v>46112</v>
      </c>
      <c r="AD1374" s="8" t="n">
        <f aca="false">IF(Q1374,B1374,AD1373)</f>
        <v>0.873902535185658</v>
      </c>
      <c r="AE1374" s="8" t="str">
        <f aca="false">IF(AA1374,L1374,"")</f>
        <v/>
      </c>
      <c r="AF1374" s="8" t="n">
        <f aca="false">U1374</f>
        <v>0.854592691222844</v>
      </c>
      <c r="AG1374" s="2" t="n">
        <f aca="false">AG1373+IF(Q1374,1,0)</f>
        <v>15</v>
      </c>
      <c r="AH1374" s="2" t="n">
        <f aca="false">AG1373</f>
        <v>15</v>
      </c>
      <c r="AI1374" s="10" t="n">
        <f aca="false">X1374+Y1374*(E1374-AB1374)-Y1374*AD1374*Inputs!$B$13*(A1374-AC1374)</f>
        <v>912.311293952437</v>
      </c>
      <c r="AJ1374" s="10" t="n">
        <v>0</v>
      </c>
      <c r="AK1374" s="8" t="n">
        <f aca="false">IF(AND(B1374&lt;=U1374,NOT(Q1374)),B1374,U1374)*(1-Inputs!$B$12)</f>
        <v>0.827490701669304</v>
      </c>
    </row>
    <row r="1375" customFormat="false" ht="15" hidden="false" customHeight="false" outlineLevel="0" collapsed="false">
      <c r="A1375" s="6" t="n">
        <v>46159</v>
      </c>
      <c r="B1375" s="7" t="n">
        <v>0.826991877641355</v>
      </c>
      <c r="C1375" s="7" t="n">
        <v>0.835494361790057</v>
      </c>
      <c r="D1375" s="7" t="n">
        <v>0.824724321405166</v>
      </c>
      <c r="E1375" s="7" t="n">
        <v>0.831007895278164</v>
      </c>
      <c r="F1375" s="8" t="n">
        <f aca="true">IF(ROW()-2&gt;=Inputs!$B$4,AVERAGE(OFFSET(E1375,1-Inputs!$B$4,0,Inputs!$B$4,1)),"")</f>
        <v>0.836941626035156</v>
      </c>
      <c r="G1375" s="8" t="n">
        <f aca="true">IF(ROW()-2&gt;=Inputs!$B$5,AVERAGE(OFFSET(E1375,1-Inputs!$B$5,0,Inputs!$B$5,1)),"")</f>
        <v>0.859393154431111</v>
      </c>
      <c r="H1375" s="8" t="n">
        <f aca="false">MAX(C1375-D1375,ABS(C1375-E1374),ABS(D1375-E1374))</f>
        <v>0.010770040384891</v>
      </c>
      <c r="I1375" s="8" t="n">
        <f aca="true">IF(ROW()-2&lt;14,"",IF(ROW()-2=14,AVERAGE(OFFSET(H1375,-13,0,14,1)),(I1374*13+H1375)/14))</f>
        <v>0.00805708215662019</v>
      </c>
      <c r="J1375" s="9" t="b">
        <f aca="false">IF(AND(ISNUMBER(F1375),ISNUMBER(G1375),ISNUMBER(F1374),ISNUMBER(G1374)),AND(F1375&gt;G1375,F1374&lt;=G1374),FALSE())</f>
        <v>0</v>
      </c>
      <c r="K1375" s="9" t="b">
        <f aca="false">IF(AND(ISNUMBER(F1375),ISNUMBER(G1375),ISNUMBER(F1374),ISNUMBER(G1374)),AND(F1375&lt;G1375,F1374&gt;=G1374),FALSE())</f>
        <v>0</v>
      </c>
      <c r="L1375" s="8" t="n">
        <f aca="false">IF(ISNUMBER(I1375),E1375-Inputs!$B$6*I1375,"")</f>
        <v>0.814893730964924</v>
      </c>
      <c r="M1375" s="9" t="b">
        <f aca="false">AND(Y1374&gt;0,Z1374)</f>
        <v>0</v>
      </c>
      <c r="N1375" s="8" t="n">
        <f aca="false">B1375*(1-Inputs!$B$12)</f>
        <v>0.826826479265827</v>
      </c>
      <c r="O1375" s="10" t="n">
        <f aca="false">IF(M1375,Y1374*(N1375-AB1374)-Inputs!$B$9-Y1374*AD1374*Inputs!$B$13*(A1375-AC1374),0)</f>
        <v>0</v>
      </c>
      <c r="P1375" s="10" t="n">
        <f aca="false">X1374+O1375</f>
        <v>912.311293952437</v>
      </c>
      <c r="Q1375" s="9" t="b">
        <f aca="false">AND(IF(M1375,0,Y1374)=0,AA1374,IF(ISNUMBER(AE1374),B1375&gt;AE1374,FALSE()))</f>
        <v>0</v>
      </c>
      <c r="R1375" s="8" t="n">
        <f aca="false">B1375*(1+Inputs!$B$12)</f>
        <v>0.827157276016883</v>
      </c>
      <c r="S1375" s="11" t="n">
        <f aca="false">IF(Q1375,MIN(P1375*Inputs!$B$3/(R1375-AE1374),P1375*Inputs!$B$11/R1375),0)</f>
        <v>0</v>
      </c>
      <c r="T1375" s="11" t="n">
        <f aca="false">IF(Q1375,S1375,IF(M1375,0,Y1374))</f>
        <v>0</v>
      </c>
      <c r="U1375" s="8" t="n">
        <f aca="false">IF(Q1375,AE1374,AF1374)</f>
        <v>0.854592691222844</v>
      </c>
      <c r="V1375" s="9" t="b">
        <f aca="false">AND(T1375&gt;0,D1375&lt;=U1375)</f>
        <v>0</v>
      </c>
      <c r="W1375" s="10" t="n">
        <f aca="false">IF(V1375,T1375*(AK1375-AB1375)-Inputs!$B$9-T1375*AD1375*Inputs!$B$13*(A1375-AC1375),0)</f>
        <v>0</v>
      </c>
      <c r="X1375" s="10" t="n">
        <f aca="false">P1375-IF(Q1375,Inputs!$B$9,0)+W1375</f>
        <v>912.311293952437</v>
      </c>
      <c r="Y1375" s="11" t="n">
        <f aca="false">IF(V1375,0,T1375)</f>
        <v>0</v>
      </c>
      <c r="Z1375" s="9" t="b">
        <f aca="false">AND(Y1375&gt;0,K1375)</f>
        <v>0</v>
      </c>
      <c r="AA1375" s="9" t="b">
        <f aca="false">AND(Y1375=0,J1375,ISNUMBER(L1375))</f>
        <v>0</v>
      </c>
      <c r="AB1375" s="8" t="n">
        <f aca="false">IF(Q1375,R1375,AB1374)</f>
        <v>0.874077315692695</v>
      </c>
      <c r="AC1375" s="12" t="n">
        <f aca="false">IF(Q1375,A1375,AC1374)</f>
        <v>46112</v>
      </c>
      <c r="AD1375" s="8" t="n">
        <f aca="false">IF(Q1375,B1375,AD1374)</f>
        <v>0.873902535185658</v>
      </c>
      <c r="AE1375" s="8" t="str">
        <f aca="false">IF(AA1375,L1375,"")</f>
        <v/>
      </c>
      <c r="AF1375" s="8" t="n">
        <f aca="false">U1375</f>
        <v>0.854592691222844</v>
      </c>
      <c r="AG1375" s="2" t="n">
        <f aca="false">AG1374+IF(Q1375,1,0)</f>
        <v>15</v>
      </c>
      <c r="AH1375" s="2" t="n">
        <f aca="false">AG1374</f>
        <v>15</v>
      </c>
      <c r="AI1375" s="10" t="n">
        <f aca="false">X1375+Y1375*(E1375-AB1375)-Y1375*AD1375*Inputs!$B$13*(A1375-AC1375)</f>
        <v>912.311293952437</v>
      </c>
      <c r="AJ1375" s="10" t="n">
        <v>0</v>
      </c>
      <c r="AK1375" s="8" t="n">
        <f aca="false">IF(AND(B1375&lt;=U1375,NOT(Q1375)),B1375,U1375)*(1-Inputs!$B$12)</f>
        <v>0.826826479265827</v>
      </c>
    </row>
    <row r="1376" customFormat="false" ht="15" hidden="false" customHeight="false" outlineLevel="0" collapsed="false">
      <c r="A1376" s="6" t="n">
        <v>46160</v>
      </c>
      <c r="B1376" s="7" t="n">
        <v>0.831007895278164</v>
      </c>
      <c r="C1376" s="7" t="n">
        <v>0.836925319543336</v>
      </c>
      <c r="D1376" s="7" t="n">
        <v>0.829727515762366</v>
      </c>
      <c r="E1376" s="7" t="n">
        <v>0.836328045937844</v>
      </c>
      <c r="F1376" s="8" t="n">
        <f aca="true">IF(ROW()-2&gt;=Inputs!$B$4,AVERAGE(OFFSET(E1376,1-Inputs!$B$4,0,Inputs!$B$4,1)),"")</f>
        <v>0.83606568353862</v>
      </c>
      <c r="G1376" s="8" t="n">
        <f aca="true">IF(ROW()-2&gt;=Inputs!$B$5,AVERAGE(OFFSET(E1376,1-Inputs!$B$5,0,Inputs!$B$5,1)),"")</f>
        <v>0.8584233785125</v>
      </c>
      <c r="H1376" s="8" t="n">
        <f aca="false">MAX(C1376-D1376,ABS(C1376-E1375),ABS(D1376-E1375))</f>
        <v>0.0071978037809699</v>
      </c>
      <c r="I1376" s="8" t="n">
        <f aca="true">IF(ROW()-2&lt;14,"",IF(ROW()-2=14,AVERAGE(OFFSET(H1376,-13,0,14,1)),(I1375*13+H1376)/14))</f>
        <v>0.00799570512978803</v>
      </c>
      <c r="J1376" s="9" t="b">
        <f aca="false">IF(AND(ISNUMBER(F1376),ISNUMBER(G1376),ISNUMBER(F1375),ISNUMBER(G1375)),AND(F1376&gt;G1376,F1375&lt;=G1375),FALSE())</f>
        <v>0</v>
      </c>
      <c r="K1376" s="9" t="b">
        <f aca="false">IF(AND(ISNUMBER(F1376),ISNUMBER(G1376),ISNUMBER(F1375),ISNUMBER(G1375)),AND(F1376&lt;G1376,F1375&gt;=G1375),FALSE())</f>
        <v>0</v>
      </c>
      <c r="L1376" s="8" t="n">
        <f aca="false">IF(ISNUMBER(I1376),E1376-Inputs!$B$6*I1376,"")</f>
        <v>0.820336635678268</v>
      </c>
      <c r="M1376" s="9" t="b">
        <f aca="false">AND(Y1375&gt;0,Z1375)</f>
        <v>0</v>
      </c>
      <c r="N1376" s="8" t="n">
        <f aca="false">B1376*(1-Inputs!$B$12)</f>
        <v>0.830841693699108</v>
      </c>
      <c r="O1376" s="10" t="n">
        <f aca="false">IF(M1376,Y1375*(N1376-AB1375)-Inputs!$B$9-Y1375*AD1375*Inputs!$B$13*(A1376-AC1375),0)</f>
        <v>0</v>
      </c>
      <c r="P1376" s="10" t="n">
        <f aca="false">X1375+O1376</f>
        <v>912.311293952437</v>
      </c>
      <c r="Q1376" s="9" t="b">
        <f aca="false">AND(IF(M1376,0,Y1375)=0,AA1375,IF(ISNUMBER(AE1375),B1376&gt;AE1375,FALSE()))</f>
        <v>0</v>
      </c>
      <c r="R1376" s="8" t="n">
        <f aca="false">B1376*(1+Inputs!$B$12)</f>
        <v>0.83117409685722</v>
      </c>
      <c r="S1376" s="11" t="n">
        <f aca="false">IF(Q1376,MIN(P1376*Inputs!$B$3/(R1376-AE1375),P1376*Inputs!$B$11/R1376),0)</f>
        <v>0</v>
      </c>
      <c r="T1376" s="11" t="n">
        <f aca="false">IF(Q1376,S1376,IF(M1376,0,Y1375))</f>
        <v>0</v>
      </c>
      <c r="U1376" s="8" t="n">
        <f aca="false">IF(Q1376,AE1375,AF1375)</f>
        <v>0.854592691222844</v>
      </c>
      <c r="V1376" s="9" t="b">
        <f aca="false">AND(T1376&gt;0,D1376&lt;=U1376)</f>
        <v>0</v>
      </c>
      <c r="W1376" s="10" t="n">
        <f aca="false">IF(V1376,T1376*(AK1376-AB1376)-Inputs!$B$9-T1376*AD1376*Inputs!$B$13*(A1376-AC1376),0)</f>
        <v>0</v>
      </c>
      <c r="X1376" s="10" t="n">
        <f aca="false">P1376-IF(Q1376,Inputs!$B$9,0)+W1376</f>
        <v>912.311293952437</v>
      </c>
      <c r="Y1376" s="11" t="n">
        <f aca="false">IF(V1376,0,T1376)</f>
        <v>0</v>
      </c>
      <c r="Z1376" s="9" t="b">
        <f aca="false">AND(Y1376&gt;0,K1376)</f>
        <v>0</v>
      </c>
      <c r="AA1376" s="9" t="b">
        <f aca="false">AND(Y1376=0,J1376,ISNUMBER(L1376))</f>
        <v>0</v>
      </c>
      <c r="AB1376" s="8" t="n">
        <f aca="false">IF(Q1376,R1376,AB1375)</f>
        <v>0.874077315692695</v>
      </c>
      <c r="AC1376" s="12" t="n">
        <f aca="false">IF(Q1376,A1376,AC1375)</f>
        <v>46112</v>
      </c>
      <c r="AD1376" s="8" t="n">
        <f aca="false">IF(Q1376,B1376,AD1375)</f>
        <v>0.873902535185658</v>
      </c>
      <c r="AE1376" s="8" t="str">
        <f aca="false">IF(AA1376,L1376,"")</f>
        <v/>
      </c>
      <c r="AF1376" s="8" t="n">
        <f aca="false">U1376</f>
        <v>0.854592691222844</v>
      </c>
      <c r="AG1376" s="2" t="n">
        <f aca="false">AG1375+IF(Q1376,1,0)</f>
        <v>15</v>
      </c>
      <c r="AH1376" s="2" t="n">
        <f aca="false">AG1375</f>
        <v>15</v>
      </c>
      <c r="AI1376" s="10" t="n">
        <f aca="false">X1376+Y1376*(E1376-AB1376)-Y1376*AD1376*Inputs!$B$13*(A1376-AC1376)</f>
        <v>912.311293952437</v>
      </c>
      <c r="AJ1376" s="10" t="n">
        <v>0</v>
      </c>
      <c r="AK1376" s="8" t="n">
        <f aca="false">IF(AND(B1376&lt;=U1376,NOT(Q1376)),B1376,U1376)*(1-Inputs!$B$12)</f>
        <v>0.830841693699108</v>
      </c>
    </row>
    <row r="1377" customFormat="false" ht="15" hidden="false" customHeight="false" outlineLevel="0" collapsed="false">
      <c r="A1377" s="6" t="n">
        <v>46161</v>
      </c>
      <c r="B1377" s="7" t="n">
        <v>0.836328045937844</v>
      </c>
      <c r="C1377" s="7" t="n">
        <v>0.844173937481895</v>
      </c>
      <c r="D1377" s="7" t="n">
        <v>0.835586008512776</v>
      </c>
      <c r="E1377" s="7" t="n">
        <v>0.840900706436247</v>
      </c>
      <c r="F1377" s="8" t="n">
        <f aca="true">IF(ROW()-2&gt;=Inputs!$B$4,AVERAGE(OFFSET(E1377,1-Inputs!$B$4,0,Inputs!$B$4,1)),"")</f>
        <v>0.835471988304996</v>
      </c>
      <c r="G1377" s="8" t="n">
        <f aca="true">IF(ROW()-2&gt;=Inputs!$B$5,AVERAGE(OFFSET(E1377,1-Inputs!$B$5,0,Inputs!$B$5,1)),"")</f>
        <v>0.857763341937512</v>
      </c>
      <c r="H1377" s="8" t="n">
        <f aca="false">MAX(C1377-D1377,ABS(C1377-E1376),ABS(D1377-E1376))</f>
        <v>0.00858792896911975</v>
      </c>
      <c r="I1377" s="8" t="n">
        <f aca="true">IF(ROW()-2&lt;14,"",IF(ROW()-2=14,AVERAGE(OFFSET(H1377,-13,0,14,1)),(I1376*13+H1377)/14))</f>
        <v>0.00803800683259744</v>
      </c>
      <c r="J1377" s="9" t="b">
        <f aca="false">IF(AND(ISNUMBER(F1377),ISNUMBER(G1377),ISNUMBER(F1376),ISNUMBER(G1376)),AND(F1377&gt;G1377,F1376&lt;=G1376),FALSE())</f>
        <v>0</v>
      </c>
      <c r="K1377" s="9" t="b">
        <f aca="false">IF(AND(ISNUMBER(F1377),ISNUMBER(G1377),ISNUMBER(F1376),ISNUMBER(G1376)),AND(F1377&lt;G1377,F1376&gt;=G1376),FALSE())</f>
        <v>0</v>
      </c>
      <c r="L1377" s="8" t="n">
        <f aca="false">IF(ISNUMBER(I1377),E1377-Inputs!$B$6*I1377,"")</f>
        <v>0.824824692771052</v>
      </c>
      <c r="M1377" s="9" t="b">
        <f aca="false">AND(Y1376&gt;0,Z1376)</f>
        <v>0</v>
      </c>
      <c r="N1377" s="8" t="n">
        <f aca="false">B1377*(1-Inputs!$B$12)</f>
        <v>0.836160780328657</v>
      </c>
      <c r="O1377" s="10" t="n">
        <f aca="false">IF(M1377,Y1376*(N1377-AB1376)-Inputs!$B$9-Y1376*AD1376*Inputs!$B$13*(A1377-AC1376),0)</f>
        <v>0</v>
      </c>
      <c r="P1377" s="10" t="n">
        <f aca="false">X1376+O1377</f>
        <v>912.311293952437</v>
      </c>
      <c r="Q1377" s="9" t="b">
        <f aca="false">AND(IF(M1377,0,Y1376)=0,AA1376,IF(ISNUMBER(AE1376),B1377&gt;AE1376,FALSE()))</f>
        <v>0</v>
      </c>
      <c r="R1377" s="8" t="n">
        <f aca="false">B1377*(1+Inputs!$B$12)</f>
        <v>0.836495311547032</v>
      </c>
      <c r="S1377" s="11" t="n">
        <f aca="false">IF(Q1377,MIN(P1377*Inputs!$B$3/(R1377-AE1376),P1377*Inputs!$B$11/R1377),0)</f>
        <v>0</v>
      </c>
      <c r="T1377" s="11" t="n">
        <f aca="false">IF(Q1377,S1377,IF(M1377,0,Y1376))</f>
        <v>0</v>
      </c>
      <c r="U1377" s="8" t="n">
        <f aca="false">IF(Q1377,AE1376,AF1376)</f>
        <v>0.854592691222844</v>
      </c>
      <c r="V1377" s="9" t="b">
        <f aca="false">AND(T1377&gt;0,D1377&lt;=U1377)</f>
        <v>0</v>
      </c>
      <c r="W1377" s="10" t="n">
        <f aca="false">IF(V1377,T1377*(AK1377-AB1377)-Inputs!$B$9-T1377*AD1377*Inputs!$B$13*(A1377-AC1377),0)</f>
        <v>0</v>
      </c>
      <c r="X1377" s="10" t="n">
        <f aca="false">P1377-IF(Q1377,Inputs!$B$9,0)+W1377</f>
        <v>912.311293952437</v>
      </c>
      <c r="Y1377" s="11" t="n">
        <f aca="false">IF(V1377,0,T1377)</f>
        <v>0</v>
      </c>
      <c r="Z1377" s="9" t="b">
        <f aca="false">AND(Y1377&gt;0,K1377)</f>
        <v>0</v>
      </c>
      <c r="AA1377" s="9" t="b">
        <f aca="false">AND(Y1377=0,J1377,ISNUMBER(L1377))</f>
        <v>0</v>
      </c>
      <c r="AB1377" s="8" t="n">
        <f aca="false">IF(Q1377,R1377,AB1376)</f>
        <v>0.874077315692695</v>
      </c>
      <c r="AC1377" s="12" t="n">
        <f aca="false">IF(Q1377,A1377,AC1376)</f>
        <v>46112</v>
      </c>
      <c r="AD1377" s="8" t="n">
        <f aca="false">IF(Q1377,B1377,AD1376)</f>
        <v>0.873902535185658</v>
      </c>
      <c r="AE1377" s="8" t="str">
        <f aca="false">IF(AA1377,L1377,"")</f>
        <v/>
      </c>
      <c r="AF1377" s="8" t="n">
        <f aca="false">U1377</f>
        <v>0.854592691222844</v>
      </c>
      <c r="AG1377" s="2" t="n">
        <f aca="false">AG1376+IF(Q1377,1,0)</f>
        <v>15</v>
      </c>
      <c r="AH1377" s="2" t="n">
        <f aca="false">AG1376</f>
        <v>15</v>
      </c>
      <c r="AI1377" s="10" t="n">
        <f aca="false">X1377+Y1377*(E1377-AB1377)-Y1377*AD1377*Inputs!$B$13*(A1377-AC1377)</f>
        <v>912.311293952437</v>
      </c>
      <c r="AJ1377" s="10" t="n">
        <v>0</v>
      </c>
      <c r="AK1377" s="8" t="n">
        <f aca="false">IF(AND(B1377&lt;=U1377,NOT(Q1377)),B1377,U1377)*(1-Inputs!$B$12)</f>
        <v>0.836160780328657</v>
      </c>
    </row>
    <row r="1378" customFormat="false" ht="15" hidden="false" customHeight="false" outlineLevel="0" collapsed="false">
      <c r="A1378" s="6" t="n">
        <v>46162</v>
      </c>
      <c r="B1378" s="7" t="n">
        <v>0.840900706436247</v>
      </c>
      <c r="C1378" s="7" t="n">
        <v>0.842515229312724</v>
      </c>
      <c r="D1378" s="7" t="n">
        <v>0.833836554201822</v>
      </c>
      <c r="E1378" s="7" t="n">
        <v>0.83726989894647</v>
      </c>
      <c r="F1378" s="8" t="n">
        <f aca="true">IF(ROW()-2&gt;=Inputs!$B$4,AVERAGE(OFFSET(E1378,1-Inputs!$B$4,0,Inputs!$B$4,1)),"")</f>
        <v>0.834712008934849</v>
      </c>
      <c r="G1378" s="8" t="n">
        <f aca="true">IF(ROW()-2&gt;=Inputs!$B$5,AVERAGE(OFFSET(E1378,1-Inputs!$B$5,0,Inputs!$B$5,1)),"")</f>
        <v>0.856935899473951</v>
      </c>
      <c r="H1378" s="8" t="n">
        <f aca="false">MAX(C1378-D1378,ABS(C1378-E1377),ABS(D1378-E1377))</f>
        <v>0.0086786751109017</v>
      </c>
      <c r="I1378" s="8" t="n">
        <f aca="true">IF(ROW()-2&lt;14,"",IF(ROW()-2=14,AVERAGE(OFFSET(H1378,-13,0,14,1)),(I1377*13+H1378)/14))</f>
        <v>0.00808376885247631</v>
      </c>
      <c r="J1378" s="9" t="b">
        <f aca="false">IF(AND(ISNUMBER(F1378),ISNUMBER(G1378),ISNUMBER(F1377),ISNUMBER(G1377)),AND(F1378&gt;G1378,F1377&lt;=G1377),FALSE())</f>
        <v>0</v>
      </c>
      <c r="K1378" s="9" t="b">
        <f aca="false">IF(AND(ISNUMBER(F1378),ISNUMBER(G1378),ISNUMBER(F1377),ISNUMBER(G1377)),AND(F1378&lt;G1378,F1377&gt;=G1377),FALSE())</f>
        <v>0</v>
      </c>
      <c r="L1378" s="8" t="n">
        <f aca="false">IF(ISNUMBER(I1378),E1378-Inputs!$B$6*I1378,"")</f>
        <v>0.821102361241517</v>
      </c>
      <c r="M1378" s="9" t="b">
        <f aca="false">AND(Y1377&gt;0,Z1377)</f>
        <v>0</v>
      </c>
      <c r="N1378" s="8" t="n">
        <f aca="false">B1378*(1-Inputs!$B$12)</f>
        <v>0.84073252629496</v>
      </c>
      <c r="O1378" s="10" t="n">
        <f aca="false">IF(M1378,Y1377*(N1378-AB1377)-Inputs!$B$9-Y1377*AD1377*Inputs!$B$13*(A1378-AC1377),0)</f>
        <v>0</v>
      </c>
      <c r="P1378" s="10" t="n">
        <f aca="false">X1377+O1378</f>
        <v>912.311293952437</v>
      </c>
      <c r="Q1378" s="9" t="b">
        <f aca="false">AND(IF(M1378,0,Y1377)=0,AA1377,IF(ISNUMBER(AE1377),B1378&gt;AE1377,FALSE()))</f>
        <v>0</v>
      </c>
      <c r="R1378" s="8" t="n">
        <f aca="false">B1378*(1+Inputs!$B$12)</f>
        <v>0.841068886577534</v>
      </c>
      <c r="S1378" s="11" t="n">
        <f aca="false">IF(Q1378,MIN(P1378*Inputs!$B$3/(R1378-AE1377),P1378*Inputs!$B$11/R1378),0)</f>
        <v>0</v>
      </c>
      <c r="T1378" s="11" t="n">
        <f aca="false">IF(Q1378,S1378,IF(M1378,0,Y1377))</f>
        <v>0</v>
      </c>
      <c r="U1378" s="8" t="n">
        <f aca="false">IF(Q1378,AE1377,AF1377)</f>
        <v>0.854592691222844</v>
      </c>
      <c r="V1378" s="9" t="b">
        <f aca="false">AND(T1378&gt;0,D1378&lt;=U1378)</f>
        <v>0</v>
      </c>
      <c r="W1378" s="10" t="n">
        <f aca="false">IF(V1378,T1378*(AK1378-AB1378)-Inputs!$B$9-T1378*AD1378*Inputs!$B$13*(A1378-AC1378),0)</f>
        <v>0</v>
      </c>
      <c r="X1378" s="10" t="n">
        <f aca="false">P1378-IF(Q1378,Inputs!$B$9,0)+W1378</f>
        <v>912.311293952437</v>
      </c>
      <c r="Y1378" s="11" t="n">
        <f aca="false">IF(V1378,0,T1378)</f>
        <v>0</v>
      </c>
      <c r="Z1378" s="9" t="b">
        <f aca="false">AND(Y1378&gt;0,K1378)</f>
        <v>0</v>
      </c>
      <c r="AA1378" s="9" t="b">
        <f aca="false">AND(Y1378=0,J1378,ISNUMBER(L1378))</f>
        <v>0</v>
      </c>
      <c r="AB1378" s="8" t="n">
        <f aca="false">IF(Q1378,R1378,AB1377)</f>
        <v>0.874077315692695</v>
      </c>
      <c r="AC1378" s="12" t="n">
        <f aca="false">IF(Q1378,A1378,AC1377)</f>
        <v>46112</v>
      </c>
      <c r="AD1378" s="8" t="n">
        <f aca="false">IF(Q1378,B1378,AD1377)</f>
        <v>0.873902535185658</v>
      </c>
      <c r="AE1378" s="8" t="str">
        <f aca="false">IF(AA1378,L1378,"")</f>
        <v/>
      </c>
      <c r="AF1378" s="8" t="n">
        <f aca="false">U1378</f>
        <v>0.854592691222844</v>
      </c>
      <c r="AG1378" s="2" t="n">
        <f aca="false">AG1377+IF(Q1378,1,0)</f>
        <v>15</v>
      </c>
      <c r="AH1378" s="2" t="n">
        <f aca="false">AG1377</f>
        <v>15</v>
      </c>
      <c r="AI1378" s="10" t="n">
        <f aca="false">X1378+Y1378*(E1378-AB1378)-Y1378*AD1378*Inputs!$B$13*(A1378-AC1378)</f>
        <v>912.311293952437</v>
      </c>
      <c r="AJ1378" s="10" t="n">
        <v>0</v>
      </c>
      <c r="AK1378" s="8" t="n">
        <f aca="false">IF(AND(B1378&lt;=U1378,NOT(Q1378)),B1378,U1378)*(1-Inputs!$B$12)</f>
        <v>0.84073252629496</v>
      </c>
    </row>
    <row r="1379" customFormat="false" ht="15" hidden="false" customHeight="false" outlineLevel="0" collapsed="false">
      <c r="A1379" s="6" t="n">
        <v>46163</v>
      </c>
      <c r="B1379" s="7" t="n">
        <v>0.83726989894647</v>
      </c>
      <c r="C1379" s="7" t="n">
        <v>0.837764842159472</v>
      </c>
      <c r="D1379" s="7" t="n">
        <v>0.833463730135254</v>
      </c>
      <c r="E1379" s="7" t="n">
        <v>0.834687931539303</v>
      </c>
      <c r="F1379" s="8" t="n">
        <f aca="true">IF(ROW()-2&gt;=Inputs!$B$4,AVERAGE(OFFSET(E1379,1-Inputs!$B$4,0,Inputs!$B$4,1)),"")</f>
        <v>0.833977159737152</v>
      </c>
      <c r="G1379" s="8" t="n">
        <f aca="true">IF(ROW()-2&gt;=Inputs!$B$5,AVERAGE(OFFSET(E1379,1-Inputs!$B$5,0,Inputs!$B$5,1)),"")</f>
        <v>0.85590673837089</v>
      </c>
      <c r="H1379" s="8" t="n">
        <f aca="false">MAX(C1379-D1379,ABS(C1379-E1378),ABS(D1379-E1378))</f>
        <v>0.00430111202421846</v>
      </c>
      <c r="I1379" s="8" t="n">
        <f aca="true">IF(ROW()-2&lt;14,"",IF(ROW()-2=14,AVERAGE(OFFSET(H1379,-13,0,14,1)),(I1378*13+H1379)/14))</f>
        <v>0.00781357907902932</v>
      </c>
      <c r="J1379" s="9" t="b">
        <f aca="false">IF(AND(ISNUMBER(F1379),ISNUMBER(G1379),ISNUMBER(F1378),ISNUMBER(G1378)),AND(F1379&gt;G1379,F1378&lt;=G1378),FALSE())</f>
        <v>0</v>
      </c>
      <c r="K1379" s="9" t="b">
        <f aca="false">IF(AND(ISNUMBER(F1379),ISNUMBER(G1379),ISNUMBER(F1378),ISNUMBER(G1378)),AND(F1379&lt;G1379,F1378&gt;=G1378),FALSE())</f>
        <v>0</v>
      </c>
      <c r="L1379" s="8" t="n">
        <f aca="false">IF(ISNUMBER(I1379),E1379-Inputs!$B$6*I1379,"")</f>
        <v>0.819060773381244</v>
      </c>
      <c r="M1379" s="9" t="b">
        <f aca="false">AND(Y1378&gt;0,Z1378)</f>
        <v>0</v>
      </c>
      <c r="N1379" s="8" t="n">
        <f aca="false">B1379*(1-Inputs!$B$12)</f>
        <v>0.837102444966681</v>
      </c>
      <c r="O1379" s="10" t="n">
        <f aca="false">IF(M1379,Y1378*(N1379-AB1378)-Inputs!$B$9-Y1378*AD1378*Inputs!$B$13*(A1379-AC1378),0)</f>
        <v>0</v>
      </c>
      <c r="P1379" s="10" t="n">
        <f aca="false">X1378+O1379</f>
        <v>912.311293952437</v>
      </c>
      <c r="Q1379" s="9" t="b">
        <f aca="false">AND(IF(M1379,0,Y1378)=0,AA1378,IF(ISNUMBER(AE1378),B1379&gt;AE1378,FALSE()))</f>
        <v>0</v>
      </c>
      <c r="R1379" s="8" t="n">
        <f aca="false">B1379*(1+Inputs!$B$12)</f>
        <v>0.837437352926259</v>
      </c>
      <c r="S1379" s="11" t="n">
        <f aca="false">IF(Q1379,MIN(P1379*Inputs!$B$3/(R1379-AE1378),P1379*Inputs!$B$11/R1379),0)</f>
        <v>0</v>
      </c>
      <c r="T1379" s="11" t="n">
        <f aca="false">IF(Q1379,S1379,IF(M1379,0,Y1378))</f>
        <v>0</v>
      </c>
      <c r="U1379" s="8" t="n">
        <f aca="false">IF(Q1379,AE1378,AF1378)</f>
        <v>0.854592691222844</v>
      </c>
      <c r="V1379" s="9" t="b">
        <f aca="false">AND(T1379&gt;0,D1379&lt;=U1379)</f>
        <v>0</v>
      </c>
      <c r="W1379" s="10" t="n">
        <f aca="false">IF(V1379,T1379*(AK1379-AB1379)-Inputs!$B$9-T1379*AD1379*Inputs!$B$13*(A1379-AC1379),0)</f>
        <v>0</v>
      </c>
      <c r="X1379" s="10" t="n">
        <f aca="false">P1379-IF(Q1379,Inputs!$B$9,0)+W1379</f>
        <v>912.311293952437</v>
      </c>
      <c r="Y1379" s="11" t="n">
        <f aca="false">IF(V1379,0,T1379)</f>
        <v>0</v>
      </c>
      <c r="Z1379" s="9" t="b">
        <f aca="false">AND(Y1379&gt;0,K1379)</f>
        <v>0</v>
      </c>
      <c r="AA1379" s="9" t="b">
        <f aca="false">AND(Y1379=0,J1379,ISNUMBER(L1379))</f>
        <v>0</v>
      </c>
      <c r="AB1379" s="8" t="n">
        <f aca="false">IF(Q1379,R1379,AB1378)</f>
        <v>0.874077315692695</v>
      </c>
      <c r="AC1379" s="12" t="n">
        <f aca="false">IF(Q1379,A1379,AC1378)</f>
        <v>46112</v>
      </c>
      <c r="AD1379" s="8" t="n">
        <f aca="false">IF(Q1379,B1379,AD1378)</f>
        <v>0.873902535185658</v>
      </c>
      <c r="AE1379" s="8" t="str">
        <f aca="false">IF(AA1379,L1379,"")</f>
        <v/>
      </c>
      <c r="AF1379" s="8" t="n">
        <f aca="false">U1379</f>
        <v>0.854592691222844</v>
      </c>
      <c r="AG1379" s="2" t="n">
        <f aca="false">AG1378+IF(Q1379,1,0)</f>
        <v>15</v>
      </c>
      <c r="AH1379" s="2" t="n">
        <f aca="false">AG1378</f>
        <v>15</v>
      </c>
      <c r="AI1379" s="10" t="n">
        <f aca="false">X1379+Y1379*(E1379-AB1379)-Y1379*AD1379*Inputs!$B$13*(A1379-AC1379)</f>
        <v>912.311293952437</v>
      </c>
      <c r="AJ1379" s="10" t="n">
        <v>0</v>
      </c>
      <c r="AK1379" s="8" t="n">
        <f aca="false">IF(AND(B1379&lt;=U1379,NOT(Q1379)),B1379,U1379)*(1-Inputs!$B$12)</f>
        <v>0.837102444966681</v>
      </c>
    </row>
    <row r="1380" customFormat="false" ht="15" hidden="false" customHeight="false" outlineLevel="0" collapsed="false">
      <c r="A1380" s="6" t="n">
        <v>46164</v>
      </c>
      <c r="B1380" s="7" t="n">
        <v>0.834687931539303</v>
      </c>
      <c r="C1380" s="7" t="n">
        <v>0.845139184395616</v>
      </c>
      <c r="D1380" s="7" t="n">
        <v>0.834680297662902</v>
      </c>
      <c r="E1380" s="7" t="n">
        <v>0.84481849549836</v>
      </c>
      <c r="F1380" s="8" t="n">
        <f aca="true">IF(ROW()-2&gt;=Inputs!$B$4,AVERAGE(OFFSET(E1380,1-Inputs!$B$4,0,Inputs!$B$4,1)),"")</f>
        <v>0.834178215995723</v>
      </c>
      <c r="G1380" s="8" t="n">
        <f aca="true">IF(ROW()-2&gt;=Inputs!$B$5,AVERAGE(OFFSET(E1380,1-Inputs!$B$5,0,Inputs!$B$5,1)),"")</f>
        <v>0.855021244346156</v>
      </c>
      <c r="H1380" s="8" t="n">
        <f aca="false">MAX(C1380-D1380,ABS(C1380-E1379),ABS(D1380-E1379))</f>
        <v>0.0104588867327141</v>
      </c>
      <c r="I1380" s="8" t="n">
        <f aca="true">IF(ROW()-2&lt;14,"",IF(ROW()-2=14,AVERAGE(OFFSET(H1380,-13,0,14,1)),(I1379*13+H1380)/14))</f>
        <v>0.00800252962572109</v>
      </c>
      <c r="J1380" s="9" t="b">
        <f aca="false">IF(AND(ISNUMBER(F1380),ISNUMBER(G1380),ISNUMBER(F1379),ISNUMBER(G1379)),AND(F1380&gt;G1380,F1379&lt;=G1379),FALSE())</f>
        <v>0</v>
      </c>
      <c r="K1380" s="9" t="b">
        <f aca="false">IF(AND(ISNUMBER(F1380),ISNUMBER(G1380),ISNUMBER(F1379),ISNUMBER(G1379)),AND(F1380&lt;G1380,F1379&gt;=G1379),FALSE())</f>
        <v>0</v>
      </c>
      <c r="L1380" s="8" t="n">
        <f aca="false">IF(ISNUMBER(I1380),E1380-Inputs!$B$6*I1380,"")</f>
        <v>0.828813436246918</v>
      </c>
      <c r="M1380" s="9" t="b">
        <f aca="false">AND(Y1379&gt;0,Z1379)</f>
        <v>0</v>
      </c>
      <c r="N1380" s="8" t="n">
        <f aca="false">B1380*(1-Inputs!$B$12)</f>
        <v>0.834520993952995</v>
      </c>
      <c r="O1380" s="10" t="n">
        <f aca="false">IF(M1380,Y1379*(N1380-AB1379)-Inputs!$B$9-Y1379*AD1379*Inputs!$B$13*(A1380-AC1379),0)</f>
        <v>0</v>
      </c>
      <c r="P1380" s="10" t="n">
        <f aca="false">X1379+O1380</f>
        <v>912.311293952437</v>
      </c>
      <c r="Q1380" s="9" t="b">
        <f aca="false">AND(IF(M1380,0,Y1379)=0,AA1379,IF(ISNUMBER(AE1379),B1380&gt;AE1379,FALSE()))</f>
        <v>0</v>
      </c>
      <c r="R1380" s="8" t="n">
        <f aca="false">B1380*(1+Inputs!$B$12)</f>
        <v>0.834854869125611</v>
      </c>
      <c r="S1380" s="11" t="n">
        <f aca="false">IF(Q1380,MIN(P1380*Inputs!$B$3/(R1380-AE1379),P1380*Inputs!$B$11/R1380),0)</f>
        <v>0</v>
      </c>
      <c r="T1380" s="11" t="n">
        <f aca="false">IF(Q1380,S1380,IF(M1380,0,Y1379))</f>
        <v>0</v>
      </c>
      <c r="U1380" s="8" t="n">
        <f aca="false">IF(Q1380,AE1379,AF1379)</f>
        <v>0.854592691222844</v>
      </c>
      <c r="V1380" s="9" t="b">
        <f aca="false">AND(T1380&gt;0,D1380&lt;=U1380)</f>
        <v>0</v>
      </c>
      <c r="W1380" s="10" t="n">
        <f aca="false">IF(V1380,T1380*(AK1380-AB1380)-Inputs!$B$9-T1380*AD1380*Inputs!$B$13*(A1380-AC1380),0)</f>
        <v>0</v>
      </c>
      <c r="X1380" s="10" t="n">
        <f aca="false">P1380-IF(Q1380,Inputs!$B$9,0)+W1380</f>
        <v>912.311293952437</v>
      </c>
      <c r="Y1380" s="11" t="n">
        <f aca="false">IF(V1380,0,T1380)</f>
        <v>0</v>
      </c>
      <c r="Z1380" s="9" t="b">
        <f aca="false">AND(Y1380&gt;0,K1380)</f>
        <v>0</v>
      </c>
      <c r="AA1380" s="9" t="b">
        <f aca="false">AND(Y1380=0,J1380,ISNUMBER(L1380))</f>
        <v>0</v>
      </c>
      <c r="AB1380" s="8" t="n">
        <f aca="false">IF(Q1380,R1380,AB1379)</f>
        <v>0.874077315692695</v>
      </c>
      <c r="AC1380" s="12" t="n">
        <f aca="false">IF(Q1380,A1380,AC1379)</f>
        <v>46112</v>
      </c>
      <c r="AD1380" s="8" t="n">
        <f aca="false">IF(Q1380,B1380,AD1379)</f>
        <v>0.873902535185658</v>
      </c>
      <c r="AE1380" s="8" t="str">
        <f aca="false">IF(AA1380,L1380,"")</f>
        <v/>
      </c>
      <c r="AF1380" s="8" t="n">
        <f aca="false">U1380</f>
        <v>0.854592691222844</v>
      </c>
      <c r="AG1380" s="2" t="n">
        <f aca="false">AG1379+IF(Q1380,1,0)</f>
        <v>15</v>
      </c>
      <c r="AH1380" s="2" t="n">
        <f aca="false">AG1379</f>
        <v>15</v>
      </c>
      <c r="AI1380" s="10" t="n">
        <f aca="false">X1380+Y1380*(E1380-AB1380)-Y1380*AD1380*Inputs!$B$13*(A1380-AC1380)</f>
        <v>912.311293952437</v>
      </c>
      <c r="AJ1380" s="10" t="n">
        <v>0</v>
      </c>
      <c r="AK1380" s="8" t="n">
        <f aca="false">IF(AND(B1380&lt;=U1380,NOT(Q1380)),B1380,U1380)*(1-Inputs!$B$12)</f>
        <v>0.834520993952995</v>
      </c>
    </row>
    <row r="1381" customFormat="false" ht="15" hidden="false" customHeight="false" outlineLevel="0" collapsed="false">
      <c r="A1381" s="6" t="n">
        <v>46165</v>
      </c>
      <c r="B1381" s="7" t="n">
        <v>0.84481849549836</v>
      </c>
      <c r="C1381" s="7" t="n">
        <v>0.850539384467279</v>
      </c>
      <c r="D1381" s="7" t="n">
        <v>0.84041300594223</v>
      </c>
      <c r="E1381" s="7" t="n">
        <v>0.849837820206852</v>
      </c>
      <c r="F1381" s="8" t="n">
        <f aca="true">IF(ROW()-2&gt;=Inputs!$B$4,AVERAGE(OFFSET(E1381,1-Inputs!$B$4,0,Inputs!$B$4,1)),"")</f>
        <v>0.834712697827249</v>
      </c>
      <c r="G1381" s="8" t="n">
        <f aca="true">IF(ROW()-2&gt;=Inputs!$B$5,AVERAGE(OFFSET(E1381,1-Inputs!$B$5,0,Inputs!$B$5,1)),"")</f>
        <v>0.854156943018689</v>
      </c>
      <c r="H1381" s="8" t="n">
        <f aca="false">MAX(C1381-D1381,ABS(C1381-E1380),ABS(D1381-E1380))</f>
        <v>0.0101263785250493</v>
      </c>
      <c r="I1381" s="8" t="n">
        <f aca="true">IF(ROW()-2&lt;14,"",IF(ROW()-2=14,AVERAGE(OFFSET(H1381,-13,0,14,1)),(I1380*13+H1381)/14))</f>
        <v>0.00815423311853025</v>
      </c>
      <c r="J1381" s="9" t="b">
        <f aca="false">IF(AND(ISNUMBER(F1381),ISNUMBER(G1381),ISNUMBER(F1380),ISNUMBER(G1380)),AND(F1381&gt;G1381,F1380&lt;=G1380),FALSE())</f>
        <v>0</v>
      </c>
      <c r="K1381" s="9" t="b">
        <f aca="false">IF(AND(ISNUMBER(F1381),ISNUMBER(G1381),ISNUMBER(F1380),ISNUMBER(G1380)),AND(F1381&lt;G1381,F1380&gt;=G1380),FALSE())</f>
        <v>0</v>
      </c>
      <c r="L1381" s="8" t="n">
        <f aca="false">IF(ISNUMBER(I1381),E1381-Inputs!$B$6*I1381,"")</f>
        <v>0.833529353969791</v>
      </c>
      <c r="M1381" s="9" t="b">
        <f aca="false">AND(Y1380&gt;0,Z1380)</f>
        <v>0</v>
      </c>
      <c r="N1381" s="8" t="n">
        <f aca="false">B1381*(1-Inputs!$B$12)</f>
        <v>0.84464953179926</v>
      </c>
      <c r="O1381" s="10" t="n">
        <f aca="false">IF(M1381,Y1380*(N1381-AB1380)-Inputs!$B$9-Y1380*AD1380*Inputs!$B$13*(A1381-AC1380),0)</f>
        <v>0</v>
      </c>
      <c r="P1381" s="10" t="n">
        <f aca="false">X1380+O1381</f>
        <v>912.311293952437</v>
      </c>
      <c r="Q1381" s="9" t="b">
        <f aca="false">AND(IF(M1381,0,Y1380)=0,AA1380,IF(ISNUMBER(AE1380),B1381&gt;AE1380,FALSE()))</f>
        <v>0</v>
      </c>
      <c r="R1381" s="8" t="n">
        <f aca="false">B1381*(1+Inputs!$B$12)</f>
        <v>0.84498745919746</v>
      </c>
      <c r="S1381" s="11" t="n">
        <f aca="false">IF(Q1381,MIN(P1381*Inputs!$B$3/(R1381-AE1380),P1381*Inputs!$B$11/R1381),0)</f>
        <v>0</v>
      </c>
      <c r="T1381" s="11" t="n">
        <f aca="false">IF(Q1381,S1381,IF(M1381,0,Y1380))</f>
        <v>0</v>
      </c>
      <c r="U1381" s="8" t="n">
        <f aca="false">IF(Q1381,AE1380,AF1380)</f>
        <v>0.854592691222844</v>
      </c>
      <c r="V1381" s="9" t="b">
        <f aca="false">AND(T1381&gt;0,D1381&lt;=U1381)</f>
        <v>0</v>
      </c>
      <c r="W1381" s="10" t="n">
        <f aca="false">IF(V1381,T1381*(AK1381-AB1381)-Inputs!$B$9-T1381*AD1381*Inputs!$B$13*(A1381-AC1381),0)</f>
        <v>0</v>
      </c>
      <c r="X1381" s="10" t="n">
        <f aca="false">P1381-IF(Q1381,Inputs!$B$9,0)+W1381</f>
        <v>912.311293952437</v>
      </c>
      <c r="Y1381" s="11" t="n">
        <f aca="false">IF(V1381,0,T1381)</f>
        <v>0</v>
      </c>
      <c r="Z1381" s="9" t="b">
        <f aca="false">AND(Y1381&gt;0,K1381)</f>
        <v>0</v>
      </c>
      <c r="AA1381" s="9" t="b">
        <f aca="false">AND(Y1381=0,J1381,ISNUMBER(L1381))</f>
        <v>0</v>
      </c>
      <c r="AB1381" s="8" t="n">
        <f aca="false">IF(Q1381,R1381,AB1380)</f>
        <v>0.874077315692695</v>
      </c>
      <c r="AC1381" s="12" t="n">
        <f aca="false">IF(Q1381,A1381,AC1380)</f>
        <v>46112</v>
      </c>
      <c r="AD1381" s="8" t="n">
        <f aca="false">IF(Q1381,B1381,AD1380)</f>
        <v>0.873902535185658</v>
      </c>
      <c r="AE1381" s="8" t="str">
        <f aca="false">IF(AA1381,L1381,"")</f>
        <v/>
      </c>
      <c r="AF1381" s="8" t="n">
        <f aca="false">U1381</f>
        <v>0.854592691222844</v>
      </c>
      <c r="AG1381" s="2" t="n">
        <f aca="false">AG1380+IF(Q1381,1,0)</f>
        <v>15</v>
      </c>
      <c r="AH1381" s="2" t="n">
        <f aca="false">AG1380</f>
        <v>15</v>
      </c>
      <c r="AI1381" s="10" t="n">
        <f aca="false">X1381+Y1381*(E1381-AB1381)-Y1381*AD1381*Inputs!$B$13*(A1381-AC1381)</f>
        <v>912.311293952437</v>
      </c>
      <c r="AJ1381" s="10" t="n">
        <v>0</v>
      </c>
      <c r="AK1381" s="8" t="n">
        <f aca="false">IF(AND(B1381&lt;=U1381,NOT(Q1381)),B1381,U1381)*(1-Inputs!$B$12)</f>
        <v>0.84464953179926</v>
      </c>
    </row>
    <row r="1382" customFormat="false" ht="15" hidden="false" customHeight="false" outlineLevel="0" collapsed="false">
      <c r="A1382" s="6" t="n">
        <v>46166</v>
      </c>
      <c r="B1382" s="7" t="n">
        <v>0.849837820206852</v>
      </c>
      <c r="C1382" s="7" t="n">
        <v>0.851589112721071</v>
      </c>
      <c r="D1382" s="7" t="n">
        <v>0.844283761702917</v>
      </c>
      <c r="E1382" s="7" t="n">
        <v>0.847017684939635</v>
      </c>
      <c r="F1382" s="8" t="n">
        <f aca="true">IF(ROW()-2&gt;=Inputs!$B$4,AVERAGE(OFFSET(E1382,1-Inputs!$B$4,0,Inputs!$B$4,1)),"")</f>
        <v>0.835045392397837</v>
      </c>
      <c r="G1382" s="8" t="n">
        <f aca="true">IF(ROW()-2&gt;=Inputs!$B$5,AVERAGE(OFFSET(E1382,1-Inputs!$B$5,0,Inputs!$B$5,1)),"")</f>
        <v>0.853410400714637</v>
      </c>
      <c r="H1382" s="8" t="n">
        <f aca="false">MAX(C1382-D1382,ABS(C1382-E1381),ABS(D1382-E1381))</f>
        <v>0.00730535101815388</v>
      </c>
      <c r="I1382" s="8" t="n">
        <f aca="true">IF(ROW()-2&lt;14,"",IF(ROW()-2=14,AVERAGE(OFFSET(H1382,-13,0,14,1)),(I1381*13+H1382)/14))</f>
        <v>0.00809359868278908</v>
      </c>
      <c r="J1382" s="9" t="b">
        <f aca="false">IF(AND(ISNUMBER(F1382),ISNUMBER(G1382),ISNUMBER(F1381),ISNUMBER(G1381)),AND(F1382&gt;G1382,F1381&lt;=G1381),FALSE())</f>
        <v>0</v>
      </c>
      <c r="K1382" s="9" t="b">
        <f aca="false">IF(AND(ISNUMBER(F1382),ISNUMBER(G1382),ISNUMBER(F1381),ISNUMBER(G1381)),AND(F1382&lt;G1382,F1381&gt;=G1381),FALSE())</f>
        <v>0</v>
      </c>
      <c r="L1382" s="8" t="n">
        <f aca="false">IF(ISNUMBER(I1382),E1382-Inputs!$B$6*I1382,"")</f>
        <v>0.830830487574056</v>
      </c>
      <c r="M1382" s="9" t="b">
        <f aca="false">AND(Y1381&gt;0,Z1381)</f>
        <v>0</v>
      </c>
      <c r="N1382" s="8" t="n">
        <f aca="false">B1382*(1-Inputs!$B$12)</f>
        <v>0.849667852642811</v>
      </c>
      <c r="O1382" s="10" t="n">
        <f aca="false">IF(M1382,Y1381*(N1382-AB1381)-Inputs!$B$9-Y1381*AD1381*Inputs!$B$13*(A1382-AC1381),0)</f>
        <v>0</v>
      </c>
      <c r="P1382" s="10" t="n">
        <f aca="false">X1381+O1382</f>
        <v>912.311293952437</v>
      </c>
      <c r="Q1382" s="9" t="b">
        <f aca="false">AND(IF(M1382,0,Y1381)=0,AA1381,IF(ISNUMBER(AE1381),B1382&gt;AE1381,FALSE()))</f>
        <v>0</v>
      </c>
      <c r="R1382" s="8" t="n">
        <f aca="false">B1382*(1+Inputs!$B$12)</f>
        <v>0.850007787770893</v>
      </c>
      <c r="S1382" s="11" t="n">
        <f aca="false">IF(Q1382,MIN(P1382*Inputs!$B$3/(R1382-AE1381),P1382*Inputs!$B$11/R1382),0)</f>
        <v>0</v>
      </c>
      <c r="T1382" s="11" t="n">
        <f aca="false">IF(Q1382,S1382,IF(M1382,0,Y1381))</f>
        <v>0</v>
      </c>
      <c r="U1382" s="8" t="n">
        <f aca="false">IF(Q1382,AE1381,AF1381)</f>
        <v>0.854592691222844</v>
      </c>
      <c r="V1382" s="9" t="b">
        <f aca="false">AND(T1382&gt;0,D1382&lt;=U1382)</f>
        <v>0</v>
      </c>
      <c r="W1382" s="10" t="n">
        <f aca="false">IF(V1382,T1382*(AK1382-AB1382)-Inputs!$B$9-T1382*AD1382*Inputs!$B$13*(A1382-AC1382),0)</f>
        <v>0</v>
      </c>
      <c r="X1382" s="10" t="n">
        <f aca="false">P1382-IF(Q1382,Inputs!$B$9,0)+W1382</f>
        <v>912.311293952437</v>
      </c>
      <c r="Y1382" s="11" t="n">
        <f aca="false">IF(V1382,0,T1382)</f>
        <v>0</v>
      </c>
      <c r="Z1382" s="9" t="b">
        <f aca="false">AND(Y1382&gt;0,K1382)</f>
        <v>0</v>
      </c>
      <c r="AA1382" s="9" t="b">
        <f aca="false">AND(Y1382=0,J1382,ISNUMBER(L1382))</f>
        <v>0</v>
      </c>
      <c r="AB1382" s="8" t="n">
        <f aca="false">IF(Q1382,R1382,AB1381)</f>
        <v>0.874077315692695</v>
      </c>
      <c r="AC1382" s="12" t="n">
        <f aca="false">IF(Q1382,A1382,AC1381)</f>
        <v>46112</v>
      </c>
      <c r="AD1382" s="8" t="n">
        <f aca="false">IF(Q1382,B1382,AD1381)</f>
        <v>0.873902535185658</v>
      </c>
      <c r="AE1382" s="8" t="str">
        <f aca="false">IF(AA1382,L1382,"")</f>
        <v/>
      </c>
      <c r="AF1382" s="8" t="n">
        <f aca="false">U1382</f>
        <v>0.854592691222844</v>
      </c>
      <c r="AG1382" s="2" t="n">
        <f aca="false">AG1381+IF(Q1382,1,0)</f>
        <v>15</v>
      </c>
      <c r="AH1382" s="2" t="n">
        <f aca="false">AG1381</f>
        <v>15</v>
      </c>
      <c r="AI1382" s="10" t="n">
        <f aca="false">X1382+Y1382*(E1382-AB1382)-Y1382*AD1382*Inputs!$B$13*(A1382-AC1382)</f>
        <v>912.311293952437</v>
      </c>
      <c r="AJ1382" s="10" t="n">
        <v>0</v>
      </c>
      <c r="AK1382" s="8" t="n">
        <f aca="false">IF(AND(B1382&lt;=U1382,NOT(Q1382)),B1382,U1382)*(1-Inputs!$B$12)</f>
        <v>0.849667852642811</v>
      </c>
    </row>
    <row r="1383" customFormat="false" ht="15" hidden="false" customHeight="false" outlineLevel="0" collapsed="false">
      <c r="A1383" s="6" t="n">
        <v>46167</v>
      </c>
      <c r="B1383" s="7" t="n">
        <v>0.847017684939635</v>
      </c>
      <c r="C1383" s="7" t="n">
        <v>0.851156435586744</v>
      </c>
      <c r="D1383" s="7" t="n">
        <v>0.841411395135947</v>
      </c>
      <c r="E1383" s="7" t="n">
        <v>0.844548973710169</v>
      </c>
      <c r="F1383" s="8" t="n">
        <f aca="true">IF(ROW()-2&gt;=Inputs!$B$4,AVERAGE(OFFSET(E1383,1-Inputs!$B$4,0,Inputs!$B$4,1)),"")</f>
        <v>0.835213544638106</v>
      </c>
      <c r="G1383" s="8" t="n">
        <f aca="true">IF(ROW()-2&gt;=Inputs!$B$5,AVERAGE(OFFSET(E1383,1-Inputs!$B$5,0,Inputs!$B$5,1)),"")</f>
        <v>0.8525082288497</v>
      </c>
      <c r="H1383" s="8" t="n">
        <f aca="false">MAX(C1383-D1383,ABS(C1383-E1382),ABS(D1383-E1382))</f>
        <v>0.00974504045079727</v>
      </c>
      <c r="I1383" s="8" t="n">
        <f aca="true">IF(ROW()-2&lt;14,"",IF(ROW()-2=14,AVERAGE(OFFSET(H1383,-13,0,14,1)),(I1382*13+H1383)/14))</f>
        <v>0.00821155880907538</v>
      </c>
      <c r="J1383" s="9" t="b">
        <f aca="false">IF(AND(ISNUMBER(F1383),ISNUMBER(G1383),ISNUMBER(F1382),ISNUMBER(G1382)),AND(F1383&gt;G1383,F1382&lt;=G1382),FALSE())</f>
        <v>0</v>
      </c>
      <c r="K1383" s="9" t="b">
        <f aca="false">IF(AND(ISNUMBER(F1383),ISNUMBER(G1383),ISNUMBER(F1382),ISNUMBER(G1382)),AND(F1383&lt;G1383,F1382&gt;=G1382),FALSE())</f>
        <v>0</v>
      </c>
      <c r="L1383" s="8" t="n">
        <f aca="false">IF(ISNUMBER(I1383),E1383-Inputs!$B$6*I1383,"")</f>
        <v>0.828125856092018</v>
      </c>
      <c r="M1383" s="9" t="b">
        <f aca="false">AND(Y1382&gt;0,Z1382)</f>
        <v>0</v>
      </c>
      <c r="N1383" s="8" t="n">
        <f aca="false">B1383*(1-Inputs!$B$12)</f>
        <v>0.846848281402647</v>
      </c>
      <c r="O1383" s="10" t="n">
        <f aca="false">IF(M1383,Y1382*(N1383-AB1382)-Inputs!$B$9-Y1382*AD1382*Inputs!$B$13*(A1383-AC1382),0)</f>
        <v>0</v>
      </c>
      <c r="P1383" s="10" t="n">
        <f aca="false">X1382+O1383</f>
        <v>912.311293952437</v>
      </c>
      <c r="Q1383" s="9" t="b">
        <f aca="false">AND(IF(M1383,0,Y1382)=0,AA1382,IF(ISNUMBER(AE1382),B1383&gt;AE1382,FALSE()))</f>
        <v>0</v>
      </c>
      <c r="R1383" s="8" t="n">
        <f aca="false">B1383*(1+Inputs!$B$12)</f>
        <v>0.847187088476622</v>
      </c>
      <c r="S1383" s="11" t="n">
        <f aca="false">IF(Q1383,MIN(P1383*Inputs!$B$3/(R1383-AE1382),P1383*Inputs!$B$11/R1383),0)</f>
        <v>0</v>
      </c>
      <c r="T1383" s="11" t="n">
        <f aca="false">IF(Q1383,S1383,IF(M1383,0,Y1382))</f>
        <v>0</v>
      </c>
      <c r="U1383" s="8" t="n">
        <f aca="false">IF(Q1383,AE1382,AF1382)</f>
        <v>0.854592691222844</v>
      </c>
      <c r="V1383" s="9" t="b">
        <f aca="false">AND(T1383&gt;0,D1383&lt;=U1383)</f>
        <v>0</v>
      </c>
      <c r="W1383" s="10" t="n">
        <f aca="false">IF(V1383,T1383*(AK1383-AB1383)-Inputs!$B$9-T1383*AD1383*Inputs!$B$13*(A1383-AC1383),0)</f>
        <v>0</v>
      </c>
      <c r="X1383" s="10" t="n">
        <f aca="false">P1383-IF(Q1383,Inputs!$B$9,0)+W1383</f>
        <v>912.311293952437</v>
      </c>
      <c r="Y1383" s="11" t="n">
        <f aca="false">IF(V1383,0,T1383)</f>
        <v>0</v>
      </c>
      <c r="Z1383" s="9" t="b">
        <f aca="false">AND(Y1383&gt;0,K1383)</f>
        <v>0</v>
      </c>
      <c r="AA1383" s="9" t="b">
        <f aca="false">AND(Y1383=0,J1383,ISNUMBER(L1383))</f>
        <v>0</v>
      </c>
      <c r="AB1383" s="8" t="n">
        <f aca="false">IF(Q1383,R1383,AB1382)</f>
        <v>0.874077315692695</v>
      </c>
      <c r="AC1383" s="12" t="n">
        <f aca="false">IF(Q1383,A1383,AC1382)</f>
        <v>46112</v>
      </c>
      <c r="AD1383" s="8" t="n">
        <f aca="false">IF(Q1383,B1383,AD1382)</f>
        <v>0.873902535185658</v>
      </c>
      <c r="AE1383" s="8" t="str">
        <f aca="false">IF(AA1383,L1383,"")</f>
        <v/>
      </c>
      <c r="AF1383" s="8" t="n">
        <f aca="false">U1383</f>
        <v>0.854592691222844</v>
      </c>
      <c r="AG1383" s="2" t="n">
        <f aca="false">AG1382+IF(Q1383,1,0)</f>
        <v>15</v>
      </c>
      <c r="AH1383" s="2" t="n">
        <f aca="false">AG1382</f>
        <v>15</v>
      </c>
      <c r="AI1383" s="10" t="n">
        <f aca="false">X1383+Y1383*(E1383-AB1383)-Y1383*AD1383*Inputs!$B$13*(A1383-AC1383)</f>
        <v>912.311293952437</v>
      </c>
      <c r="AJ1383" s="10" t="n">
        <v>0</v>
      </c>
      <c r="AK1383" s="8" t="n">
        <f aca="false">IF(AND(B1383&lt;=U1383,NOT(Q1383)),B1383,U1383)*(1-Inputs!$B$12)</f>
        <v>0.846848281402647</v>
      </c>
    </row>
    <row r="1384" customFormat="false" ht="15" hidden="false" customHeight="false" outlineLevel="0" collapsed="false">
      <c r="A1384" s="6" t="n">
        <v>46168</v>
      </c>
      <c r="B1384" s="7" t="n">
        <v>0.844548973710169</v>
      </c>
      <c r="C1384" s="7" t="n">
        <v>0.847290897464792</v>
      </c>
      <c r="D1384" s="7" t="n">
        <v>0.834123382417767</v>
      </c>
      <c r="E1384" s="7" t="n">
        <v>0.838191732714477</v>
      </c>
      <c r="F1384" s="8" t="n">
        <f aca="true">IF(ROW()-2&gt;=Inputs!$B$4,AVERAGE(OFFSET(E1384,1-Inputs!$B$4,0,Inputs!$B$4,1)),"")</f>
        <v>0.835042389566701</v>
      </c>
      <c r="G1384" s="8" t="n">
        <f aca="true">IF(ROW()-2&gt;=Inputs!$B$5,AVERAGE(OFFSET(E1384,1-Inputs!$B$5,0,Inputs!$B$5,1)),"")</f>
        <v>0.851518399137213</v>
      </c>
      <c r="H1384" s="8" t="n">
        <f aca="false">MAX(C1384-D1384,ABS(C1384-E1383),ABS(D1384-E1383))</f>
        <v>0.0131675150470251</v>
      </c>
      <c r="I1384" s="8" t="n">
        <f aca="true">IF(ROW()-2&lt;14,"",IF(ROW()-2=14,AVERAGE(OFFSET(H1384,-13,0,14,1)),(I1383*13+H1384)/14))</f>
        <v>0.00856555568321464</v>
      </c>
      <c r="J1384" s="9" t="b">
        <f aca="false">IF(AND(ISNUMBER(F1384),ISNUMBER(G1384),ISNUMBER(F1383),ISNUMBER(G1383)),AND(F1384&gt;G1384,F1383&lt;=G1383),FALSE())</f>
        <v>0</v>
      </c>
      <c r="K1384" s="9" t="b">
        <f aca="false">IF(AND(ISNUMBER(F1384),ISNUMBER(G1384),ISNUMBER(F1383),ISNUMBER(G1383)),AND(F1384&lt;G1384,F1383&gt;=G1383),FALSE())</f>
        <v>0</v>
      </c>
      <c r="L1384" s="8" t="n">
        <f aca="false">IF(ISNUMBER(I1384),E1384-Inputs!$B$6*I1384,"")</f>
        <v>0.821060621348047</v>
      </c>
      <c r="M1384" s="9" t="b">
        <f aca="false">AND(Y1383&gt;0,Z1383)</f>
        <v>0</v>
      </c>
      <c r="N1384" s="8" t="n">
        <f aca="false">B1384*(1-Inputs!$B$12)</f>
        <v>0.844380063915427</v>
      </c>
      <c r="O1384" s="10" t="n">
        <f aca="false">IF(M1384,Y1383*(N1384-AB1383)-Inputs!$B$9-Y1383*AD1383*Inputs!$B$13*(A1384-AC1383),0)</f>
        <v>0</v>
      </c>
      <c r="P1384" s="10" t="n">
        <f aca="false">X1383+O1384</f>
        <v>912.311293952437</v>
      </c>
      <c r="Q1384" s="9" t="b">
        <f aca="false">AND(IF(M1384,0,Y1383)=0,AA1383,IF(ISNUMBER(AE1383),B1384&gt;AE1383,FALSE()))</f>
        <v>0</v>
      </c>
      <c r="R1384" s="8" t="n">
        <f aca="false">B1384*(1+Inputs!$B$12)</f>
        <v>0.844717883504911</v>
      </c>
      <c r="S1384" s="11" t="n">
        <f aca="false">IF(Q1384,MIN(P1384*Inputs!$B$3/(R1384-AE1383),P1384*Inputs!$B$11/R1384),0)</f>
        <v>0</v>
      </c>
      <c r="T1384" s="11" t="n">
        <f aca="false">IF(Q1384,S1384,IF(M1384,0,Y1383))</f>
        <v>0</v>
      </c>
      <c r="U1384" s="8" t="n">
        <f aca="false">IF(Q1384,AE1383,AF1383)</f>
        <v>0.854592691222844</v>
      </c>
      <c r="V1384" s="9" t="b">
        <f aca="false">AND(T1384&gt;0,D1384&lt;=U1384)</f>
        <v>0</v>
      </c>
      <c r="W1384" s="10" t="n">
        <f aca="false">IF(V1384,T1384*(AK1384-AB1384)-Inputs!$B$9-T1384*AD1384*Inputs!$B$13*(A1384-AC1384),0)</f>
        <v>0</v>
      </c>
      <c r="X1384" s="10" t="n">
        <f aca="false">P1384-IF(Q1384,Inputs!$B$9,0)+W1384</f>
        <v>912.311293952437</v>
      </c>
      <c r="Y1384" s="11" t="n">
        <f aca="false">IF(V1384,0,T1384)</f>
        <v>0</v>
      </c>
      <c r="Z1384" s="9" t="b">
        <f aca="false">AND(Y1384&gt;0,K1384)</f>
        <v>0</v>
      </c>
      <c r="AA1384" s="9" t="b">
        <f aca="false">AND(Y1384=0,J1384,ISNUMBER(L1384))</f>
        <v>0</v>
      </c>
      <c r="AB1384" s="8" t="n">
        <f aca="false">IF(Q1384,R1384,AB1383)</f>
        <v>0.874077315692695</v>
      </c>
      <c r="AC1384" s="12" t="n">
        <f aca="false">IF(Q1384,A1384,AC1383)</f>
        <v>46112</v>
      </c>
      <c r="AD1384" s="8" t="n">
        <f aca="false">IF(Q1384,B1384,AD1383)</f>
        <v>0.873902535185658</v>
      </c>
      <c r="AE1384" s="8" t="str">
        <f aca="false">IF(AA1384,L1384,"")</f>
        <v/>
      </c>
      <c r="AF1384" s="8" t="n">
        <f aca="false">U1384</f>
        <v>0.854592691222844</v>
      </c>
      <c r="AG1384" s="2" t="n">
        <f aca="false">AG1383+IF(Q1384,1,0)</f>
        <v>15</v>
      </c>
      <c r="AH1384" s="2" t="n">
        <f aca="false">AG1383</f>
        <v>15</v>
      </c>
      <c r="AI1384" s="10" t="n">
        <f aca="false">X1384+Y1384*(E1384-AB1384)-Y1384*AD1384*Inputs!$B$13*(A1384-AC1384)</f>
        <v>912.311293952437</v>
      </c>
      <c r="AJ1384" s="10" t="n">
        <v>0</v>
      </c>
      <c r="AK1384" s="8" t="n">
        <f aca="false">IF(AND(B1384&lt;=U1384,NOT(Q1384)),B1384,U1384)*(1-Inputs!$B$12)</f>
        <v>0.844380063915427</v>
      </c>
    </row>
    <row r="1385" customFormat="false" ht="15" hidden="false" customHeight="false" outlineLevel="0" collapsed="false">
      <c r="A1385" s="6" t="n">
        <v>46169</v>
      </c>
      <c r="B1385" s="7" t="n">
        <v>0.838191732714477</v>
      </c>
      <c r="C1385" s="7" t="n">
        <v>0.845878240956166</v>
      </c>
      <c r="D1385" s="7" t="n">
        <v>0.833064725758476</v>
      </c>
      <c r="E1385" s="7" t="n">
        <v>0.839774814883245</v>
      </c>
      <c r="F1385" s="8" t="n">
        <f aca="true">IF(ROW()-2&gt;=Inputs!$B$4,AVERAGE(OFFSET(E1385,1-Inputs!$B$4,0,Inputs!$B$4,1)),"")</f>
        <v>0.835224842572125</v>
      </c>
      <c r="G1385" s="8" t="n">
        <f aca="true">IF(ROW()-2&gt;=Inputs!$B$5,AVERAGE(OFFSET(E1385,1-Inputs!$B$5,0,Inputs!$B$5,1)),"")</f>
        <v>0.850428020193286</v>
      </c>
      <c r="H1385" s="8" t="n">
        <f aca="false">MAX(C1385-D1385,ABS(C1385-E1384),ABS(D1385-E1384))</f>
        <v>0.0128135151976905</v>
      </c>
      <c r="I1385" s="8" t="n">
        <f aca="true">IF(ROW()-2&lt;14,"",IF(ROW()-2=14,AVERAGE(OFFSET(H1385,-13,0,14,1)),(I1384*13+H1385)/14))</f>
        <v>0.00886898136282006</v>
      </c>
      <c r="J1385" s="9" t="b">
        <f aca="false">IF(AND(ISNUMBER(F1385),ISNUMBER(G1385),ISNUMBER(F1384),ISNUMBER(G1384)),AND(F1385&gt;G1385,F1384&lt;=G1384),FALSE())</f>
        <v>0</v>
      </c>
      <c r="K1385" s="9" t="b">
        <f aca="false">IF(AND(ISNUMBER(F1385),ISNUMBER(G1385),ISNUMBER(F1384),ISNUMBER(G1384)),AND(F1385&lt;G1385,F1384&gt;=G1384),FALSE())</f>
        <v>0</v>
      </c>
      <c r="L1385" s="8" t="n">
        <f aca="false">IF(ISNUMBER(I1385),E1385-Inputs!$B$6*I1385,"")</f>
        <v>0.822036852157605</v>
      </c>
      <c r="M1385" s="9" t="b">
        <f aca="false">AND(Y1384&gt;0,Z1384)</f>
        <v>0</v>
      </c>
      <c r="N1385" s="8" t="n">
        <f aca="false">B1385*(1-Inputs!$B$12)</f>
        <v>0.838024094367934</v>
      </c>
      <c r="O1385" s="10" t="n">
        <f aca="false">IF(M1385,Y1384*(N1385-AB1384)-Inputs!$B$9-Y1384*AD1384*Inputs!$B$13*(A1385-AC1384),0)</f>
        <v>0</v>
      </c>
      <c r="P1385" s="10" t="n">
        <f aca="false">X1384+O1385</f>
        <v>912.311293952437</v>
      </c>
      <c r="Q1385" s="9" t="b">
        <f aca="false">AND(IF(M1385,0,Y1384)=0,AA1384,IF(ISNUMBER(AE1384),B1385&gt;AE1384,FALSE()))</f>
        <v>0</v>
      </c>
      <c r="R1385" s="8" t="n">
        <f aca="false">B1385*(1+Inputs!$B$12)</f>
        <v>0.838359371061019</v>
      </c>
      <c r="S1385" s="11" t="n">
        <f aca="false">IF(Q1385,MIN(P1385*Inputs!$B$3/(R1385-AE1384),P1385*Inputs!$B$11/R1385),0)</f>
        <v>0</v>
      </c>
      <c r="T1385" s="11" t="n">
        <f aca="false">IF(Q1385,S1385,IF(M1385,0,Y1384))</f>
        <v>0</v>
      </c>
      <c r="U1385" s="8" t="n">
        <f aca="false">IF(Q1385,AE1384,AF1384)</f>
        <v>0.854592691222844</v>
      </c>
      <c r="V1385" s="9" t="b">
        <f aca="false">AND(T1385&gt;0,D1385&lt;=U1385)</f>
        <v>0</v>
      </c>
      <c r="W1385" s="10" t="n">
        <f aca="false">IF(V1385,T1385*(AK1385-AB1385)-Inputs!$B$9-T1385*AD1385*Inputs!$B$13*(A1385-AC1385),0)</f>
        <v>0</v>
      </c>
      <c r="X1385" s="10" t="n">
        <f aca="false">P1385-IF(Q1385,Inputs!$B$9,0)+W1385</f>
        <v>912.311293952437</v>
      </c>
      <c r="Y1385" s="11" t="n">
        <f aca="false">IF(V1385,0,T1385)</f>
        <v>0</v>
      </c>
      <c r="Z1385" s="9" t="b">
        <f aca="false">AND(Y1385&gt;0,K1385)</f>
        <v>0</v>
      </c>
      <c r="AA1385" s="9" t="b">
        <f aca="false">AND(Y1385=0,J1385,ISNUMBER(L1385))</f>
        <v>0</v>
      </c>
      <c r="AB1385" s="8" t="n">
        <f aca="false">IF(Q1385,R1385,AB1384)</f>
        <v>0.874077315692695</v>
      </c>
      <c r="AC1385" s="12" t="n">
        <f aca="false">IF(Q1385,A1385,AC1384)</f>
        <v>46112</v>
      </c>
      <c r="AD1385" s="8" t="n">
        <f aca="false">IF(Q1385,B1385,AD1384)</f>
        <v>0.873902535185658</v>
      </c>
      <c r="AE1385" s="8" t="str">
        <f aca="false">IF(AA1385,L1385,"")</f>
        <v/>
      </c>
      <c r="AF1385" s="8" t="n">
        <f aca="false">U1385</f>
        <v>0.854592691222844</v>
      </c>
      <c r="AG1385" s="2" t="n">
        <f aca="false">AG1384+IF(Q1385,1,0)</f>
        <v>15</v>
      </c>
      <c r="AH1385" s="2" t="n">
        <f aca="false">AG1384</f>
        <v>15</v>
      </c>
      <c r="AI1385" s="10" t="n">
        <f aca="false">X1385+Y1385*(E1385-AB1385)-Y1385*AD1385*Inputs!$B$13*(A1385-AC1385)</f>
        <v>912.311293952437</v>
      </c>
      <c r="AJ1385" s="10" t="n">
        <v>0</v>
      </c>
      <c r="AK1385" s="8" t="n">
        <f aca="false">IF(AND(B1385&lt;=U1385,NOT(Q1385)),B1385,U1385)*(1-Inputs!$B$12)</f>
        <v>0.838024094367934</v>
      </c>
    </row>
    <row r="1386" customFormat="false" ht="15" hidden="false" customHeight="false" outlineLevel="0" collapsed="false">
      <c r="A1386" s="6" t="n">
        <v>46170</v>
      </c>
      <c r="B1386" s="7" t="n">
        <v>0.839774814883245</v>
      </c>
      <c r="C1386" s="7" t="n">
        <v>0.841946013178063</v>
      </c>
      <c r="D1386" s="7" t="n">
        <v>0.837609664248043</v>
      </c>
      <c r="E1386" s="7" t="n">
        <v>0.841207041295616</v>
      </c>
      <c r="F1386" s="8" t="n">
        <f aca="true">IF(ROW()-2&gt;=Inputs!$B$4,AVERAGE(OFFSET(E1386,1-Inputs!$B$4,0,Inputs!$B$4,1)),"")</f>
        <v>0.83531222052649</v>
      </c>
      <c r="G1386" s="8" t="n">
        <f aca="true">IF(ROW()-2&gt;=Inputs!$B$5,AVERAGE(OFFSET(E1386,1-Inputs!$B$5,0,Inputs!$B$5,1)),"")</f>
        <v>0.849513314651246</v>
      </c>
      <c r="H1386" s="8" t="n">
        <f aca="false">MAX(C1386-D1386,ABS(C1386-E1385),ABS(D1386-E1385))</f>
        <v>0.00433634893001955</v>
      </c>
      <c r="I1386" s="8" t="n">
        <f aca="true">IF(ROW()-2&lt;14,"",IF(ROW()-2=14,AVERAGE(OFFSET(H1386,-13,0,14,1)),(I1385*13+H1386)/14))</f>
        <v>0.00854522190333431</v>
      </c>
      <c r="J1386" s="9" t="b">
        <f aca="false">IF(AND(ISNUMBER(F1386),ISNUMBER(G1386),ISNUMBER(F1385),ISNUMBER(G1385)),AND(F1386&gt;G1386,F1385&lt;=G1385),FALSE())</f>
        <v>0</v>
      </c>
      <c r="K1386" s="9" t="b">
        <f aca="false">IF(AND(ISNUMBER(F1386),ISNUMBER(G1386),ISNUMBER(F1385),ISNUMBER(G1385)),AND(F1386&lt;G1386,F1385&gt;=G1385),FALSE())</f>
        <v>0</v>
      </c>
      <c r="L1386" s="8" t="n">
        <f aca="false">IF(ISNUMBER(I1386),E1386-Inputs!$B$6*I1386,"")</f>
        <v>0.824116597488948</v>
      </c>
      <c r="M1386" s="9" t="b">
        <f aca="false">AND(Y1385&gt;0,Z1385)</f>
        <v>0</v>
      </c>
      <c r="N1386" s="8" t="n">
        <f aca="false">B1386*(1-Inputs!$B$12)</f>
        <v>0.839606859920269</v>
      </c>
      <c r="O1386" s="10" t="n">
        <f aca="false">IF(M1386,Y1385*(N1386-AB1385)-Inputs!$B$9-Y1385*AD1385*Inputs!$B$13*(A1386-AC1385),0)</f>
        <v>0</v>
      </c>
      <c r="P1386" s="10" t="n">
        <f aca="false">X1385+O1386</f>
        <v>912.311293952437</v>
      </c>
      <c r="Q1386" s="9" t="b">
        <f aca="false">AND(IF(M1386,0,Y1385)=0,AA1385,IF(ISNUMBER(AE1385),B1386&gt;AE1385,FALSE()))</f>
        <v>0</v>
      </c>
      <c r="R1386" s="8" t="n">
        <f aca="false">B1386*(1+Inputs!$B$12)</f>
        <v>0.839942769846222</v>
      </c>
      <c r="S1386" s="11" t="n">
        <f aca="false">IF(Q1386,MIN(P1386*Inputs!$B$3/(R1386-AE1385),P1386*Inputs!$B$11/R1386),0)</f>
        <v>0</v>
      </c>
      <c r="T1386" s="11" t="n">
        <f aca="false">IF(Q1386,S1386,IF(M1386,0,Y1385))</f>
        <v>0</v>
      </c>
      <c r="U1386" s="8" t="n">
        <f aca="false">IF(Q1386,AE1385,AF1385)</f>
        <v>0.854592691222844</v>
      </c>
      <c r="V1386" s="9" t="b">
        <f aca="false">AND(T1386&gt;0,D1386&lt;=U1386)</f>
        <v>0</v>
      </c>
      <c r="W1386" s="10" t="n">
        <f aca="false">IF(V1386,T1386*(AK1386-AB1386)-Inputs!$B$9-T1386*AD1386*Inputs!$B$13*(A1386-AC1386),0)</f>
        <v>0</v>
      </c>
      <c r="X1386" s="10" t="n">
        <f aca="false">P1386-IF(Q1386,Inputs!$B$9,0)+W1386</f>
        <v>912.311293952437</v>
      </c>
      <c r="Y1386" s="11" t="n">
        <f aca="false">IF(V1386,0,T1386)</f>
        <v>0</v>
      </c>
      <c r="Z1386" s="9" t="b">
        <f aca="false">AND(Y1386&gt;0,K1386)</f>
        <v>0</v>
      </c>
      <c r="AA1386" s="9" t="b">
        <f aca="false">AND(Y1386=0,J1386,ISNUMBER(L1386))</f>
        <v>0</v>
      </c>
      <c r="AB1386" s="8" t="n">
        <f aca="false">IF(Q1386,R1386,AB1385)</f>
        <v>0.874077315692695</v>
      </c>
      <c r="AC1386" s="12" t="n">
        <f aca="false">IF(Q1386,A1386,AC1385)</f>
        <v>46112</v>
      </c>
      <c r="AD1386" s="8" t="n">
        <f aca="false">IF(Q1386,B1386,AD1385)</f>
        <v>0.873902535185658</v>
      </c>
      <c r="AE1386" s="8" t="str">
        <f aca="false">IF(AA1386,L1386,"")</f>
        <v/>
      </c>
      <c r="AF1386" s="8" t="n">
        <f aca="false">U1386</f>
        <v>0.854592691222844</v>
      </c>
      <c r="AG1386" s="2" t="n">
        <f aca="false">AG1385+IF(Q1386,1,0)</f>
        <v>15</v>
      </c>
      <c r="AH1386" s="2" t="n">
        <f aca="false">AG1385</f>
        <v>15</v>
      </c>
      <c r="AI1386" s="10" t="n">
        <f aca="false">X1386+Y1386*(E1386-AB1386)-Y1386*AD1386*Inputs!$B$13*(A1386-AC1386)</f>
        <v>912.311293952437</v>
      </c>
      <c r="AJ1386" s="10" t="n">
        <v>0</v>
      </c>
      <c r="AK1386" s="8" t="n">
        <f aca="false">IF(AND(B1386&lt;=U1386,NOT(Q1386)),B1386,U1386)*(1-Inputs!$B$12)</f>
        <v>0.839606859920269</v>
      </c>
    </row>
    <row r="1387" customFormat="false" ht="15" hidden="false" customHeight="false" outlineLevel="0" collapsed="false">
      <c r="A1387" s="6" t="n">
        <v>46171</v>
      </c>
      <c r="B1387" s="7" t="n">
        <v>0.841207041295616</v>
      </c>
      <c r="C1387" s="7" t="n">
        <v>0.843031924847297</v>
      </c>
      <c r="D1387" s="7" t="n">
        <v>0.827060538743793</v>
      </c>
      <c r="E1387" s="7" t="n">
        <v>0.832472976624289</v>
      </c>
      <c r="F1387" s="8" t="n">
        <f aca="true">IF(ROW()-2&gt;=Inputs!$B$4,AVERAGE(OFFSET(E1387,1-Inputs!$B$4,0,Inputs!$B$4,1)),"")</f>
        <v>0.835400761935202</v>
      </c>
      <c r="G1387" s="8" t="n">
        <f aca="true">IF(ROW()-2&gt;=Inputs!$B$5,AVERAGE(OFFSET(E1387,1-Inputs!$B$5,0,Inputs!$B$5,1)),"")</f>
        <v>0.848452942049042</v>
      </c>
      <c r="H1387" s="8" t="n">
        <f aca="false">MAX(C1387-D1387,ABS(C1387-E1386),ABS(D1387-E1386))</f>
        <v>0.0159713861035039</v>
      </c>
      <c r="I1387" s="8" t="n">
        <f aca="true">IF(ROW()-2&lt;14,"",IF(ROW()-2=14,AVERAGE(OFFSET(H1387,-13,0,14,1)),(I1386*13+H1387)/14))</f>
        <v>0.00907566220334642</v>
      </c>
      <c r="J1387" s="9" t="b">
        <f aca="false">IF(AND(ISNUMBER(F1387),ISNUMBER(G1387),ISNUMBER(F1386),ISNUMBER(G1386)),AND(F1387&gt;G1387,F1386&lt;=G1386),FALSE())</f>
        <v>0</v>
      </c>
      <c r="K1387" s="9" t="b">
        <f aca="false">IF(AND(ISNUMBER(F1387),ISNUMBER(G1387),ISNUMBER(F1386),ISNUMBER(G1386)),AND(F1387&lt;G1387,F1386&gt;=G1386),FALSE())</f>
        <v>0</v>
      </c>
      <c r="L1387" s="8" t="n">
        <f aca="false">IF(ISNUMBER(I1387),E1387-Inputs!$B$6*I1387,"")</f>
        <v>0.814321652217596</v>
      </c>
      <c r="M1387" s="9" t="b">
        <f aca="false">AND(Y1386&gt;0,Z1386)</f>
        <v>0</v>
      </c>
      <c r="N1387" s="8" t="n">
        <f aca="false">B1387*(1-Inputs!$B$12)</f>
        <v>0.841038799887357</v>
      </c>
      <c r="O1387" s="10" t="n">
        <f aca="false">IF(M1387,Y1386*(N1387-AB1386)-Inputs!$B$9-Y1386*AD1386*Inputs!$B$13*(A1387-AC1386),0)</f>
        <v>0</v>
      </c>
      <c r="P1387" s="10" t="n">
        <f aca="false">X1386+O1387</f>
        <v>912.311293952437</v>
      </c>
      <c r="Q1387" s="9" t="b">
        <f aca="false">AND(IF(M1387,0,Y1386)=0,AA1386,IF(ISNUMBER(AE1386),B1387&gt;AE1386,FALSE()))</f>
        <v>0</v>
      </c>
      <c r="R1387" s="8" t="n">
        <f aca="false">B1387*(1+Inputs!$B$12)</f>
        <v>0.841375282703876</v>
      </c>
      <c r="S1387" s="11" t="n">
        <f aca="false">IF(Q1387,MIN(P1387*Inputs!$B$3/(R1387-AE1386),P1387*Inputs!$B$11/R1387),0)</f>
        <v>0</v>
      </c>
      <c r="T1387" s="11" t="n">
        <f aca="false">IF(Q1387,S1387,IF(M1387,0,Y1386))</f>
        <v>0</v>
      </c>
      <c r="U1387" s="8" t="n">
        <f aca="false">IF(Q1387,AE1386,AF1386)</f>
        <v>0.854592691222844</v>
      </c>
      <c r="V1387" s="9" t="b">
        <f aca="false">AND(T1387&gt;0,D1387&lt;=U1387)</f>
        <v>0</v>
      </c>
      <c r="W1387" s="10" t="n">
        <f aca="false">IF(V1387,T1387*(AK1387-AB1387)-Inputs!$B$9-T1387*AD1387*Inputs!$B$13*(A1387-AC1387),0)</f>
        <v>0</v>
      </c>
      <c r="X1387" s="10" t="n">
        <f aca="false">P1387-IF(Q1387,Inputs!$B$9,0)+W1387</f>
        <v>912.311293952437</v>
      </c>
      <c r="Y1387" s="11" t="n">
        <f aca="false">IF(V1387,0,T1387)</f>
        <v>0</v>
      </c>
      <c r="Z1387" s="9" t="b">
        <f aca="false">AND(Y1387&gt;0,K1387)</f>
        <v>0</v>
      </c>
      <c r="AA1387" s="9" t="b">
        <f aca="false">AND(Y1387=0,J1387,ISNUMBER(L1387))</f>
        <v>0</v>
      </c>
      <c r="AB1387" s="8" t="n">
        <f aca="false">IF(Q1387,R1387,AB1386)</f>
        <v>0.874077315692695</v>
      </c>
      <c r="AC1387" s="12" t="n">
        <f aca="false">IF(Q1387,A1387,AC1386)</f>
        <v>46112</v>
      </c>
      <c r="AD1387" s="8" t="n">
        <f aca="false">IF(Q1387,B1387,AD1386)</f>
        <v>0.873902535185658</v>
      </c>
      <c r="AE1387" s="8" t="str">
        <f aca="false">IF(AA1387,L1387,"")</f>
        <v/>
      </c>
      <c r="AF1387" s="8" t="n">
        <f aca="false">U1387</f>
        <v>0.854592691222844</v>
      </c>
      <c r="AG1387" s="2" t="n">
        <f aca="false">AG1386+IF(Q1387,1,0)</f>
        <v>15</v>
      </c>
      <c r="AH1387" s="2" t="n">
        <f aca="false">AG1386</f>
        <v>15</v>
      </c>
      <c r="AI1387" s="10" t="n">
        <f aca="false">X1387+Y1387*(E1387-AB1387)-Y1387*AD1387*Inputs!$B$13*(A1387-AC1387)</f>
        <v>912.311293952437</v>
      </c>
      <c r="AJ1387" s="10" t="n">
        <v>0</v>
      </c>
      <c r="AK1387" s="8" t="n">
        <f aca="false">IF(AND(B1387&lt;=U1387,NOT(Q1387)),B1387,U1387)*(1-Inputs!$B$12)</f>
        <v>0.841038799887357</v>
      </c>
    </row>
    <row r="1388" customFormat="false" ht="15" hidden="false" customHeight="false" outlineLevel="0" collapsed="false">
      <c r="A1388" s="6" t="n">
        <v>46172</v>
      </c>
      <c r="B1388" s="7" t="n">
        <v>0.832472976624289</v>
      </c>
      <c r="C1388" s="7" t="n">
        <v>0.84220011763062</v>
      </c>
      <c r="D1388" s="7" t="n">
        <v>0.829894887776596</v>
      </c>
      <c r="E1388" s="7" t="n">
        <v>0.837457139024583</v>
      </c>
      <c r="F1388" s="8" t="n">
        <f aca="true">IF(ROW()-2&gt;=Inputs!$B$4,AVERAGE(OFFSET(E1388,1-Inputs!$B$4,0,Inputs!$B$4,1)),"")</f>
        <v>0.835689516313479</v>
      </c>
      <c r="G1388" s="8" t="n">
        <f aca="true">IF(ROW()-2&gt;=Inputs!$B$5,AVERAGE(OFFSET(E1388,1-Inputs!$B$5,0,Inputs!$B$5,1)),"")</f>
        <v>0.847598711697231</v>
      </c>
      <c r="H1388" s="8" t="n">
        <f aca="false">MAX(C1388-D1388,ABS(C1388-E1387),ABS(D1388-E1387))</f>
        <v>0.0123052298540239</v>
      </c>
      <c r="I1388" s="8" t="n">
        <f aca="true">IF(ROW()-2&lt;14,"",IF(ROW()-2=14,AVERAGE(OFFSET(H1388,-13,0,14,1)),(I1387*13+H1388)/14))</f>
        <v>0.00930634560696625</v>
      </c>
      <c r="J1388" s="9" t="b">
        <f aca="false">IF(AND(ISNUMBER(F1388),ISNUMBER(G1388),ISNUMBER(F1387),ISNUMBER(G1387)),AND(F1388&gt;G1388,F1387&lt;=G1387),FALSE())</f>
        <v>0</v>
      </c>
      <c r="K1388" s="9" t="b">
        <f aca="false">IF(AND(ISNUMBER(F1388),ISNUMBER(G1388),ISNUMBER(F1387),ISNUMBER(G1387)),AND(F1388&lt;G1388,F1387&gt;=G1387),FALSE())</f>
        <v>0</v>
      </c>
      <c r="L1388" s="8" t="n">
        <f aca="false">IF(ISNUMBER(I1388),E1388-Inputs!$B$6*I1388,"")</f>
        <v>0.818844447810651</v>
      </c>
      <c r="M1388" s="9" t="b">
        <f aca="false">AND(Y1387&gt;0,Z1387)</f>
        <v>0</v>
      </c>
      <c r="N1388" s="8" t="n">
        <f aca="false">B1388*(1-Inputs!$B$12)</f>
        <v>0.832306482028964</v>
      </c>
      <c r="O1388" s="10" t="n">
        <f aca="false">IF(M1388,Y1387*(N1388-AB1387)-Inputs!$B$9-Y1387*AD1387*Inputs!$B$13*(A1388-AC1387),0)</f>
        <v>0</v>
      </c>
      <c r="P1388" s="10" t="n">
        <f aca="false">X1387+O1388</f>
        <v>912.311293952437</v>
      </c>
      <c r="Q1388" s="9" t="b">
        <f aca="false">AND(IF(M1388,0,Y1387)=0,AA1387,IF(ISNUMBER(AE1387),B1388&gt;AE1387,FALSE()))</f>
        <v>0</v>
      </c>
      <c r="R1388" s="8" t="n">
        <f aca="false">B1388*(1+Inputs!$B$12)</f>
        <v>0.832639471219613</v>
      </c>
      <c r="S1388" s="11" t="n">
        <f aca="false">IF(Q1388,MIN(P1388*Inputs!$B$3/(R1388-AE1387),P1388*Inputs!$B$11/R1388),0)</f>
        <v>0</v>
      </c>
      <c r="T1388" s="11" t="n">
        <f aca="false">IF(Q1388,S1388,IF(M1388,0,Y1387))</f>
        <v>0</v>
      </c>
      <c r="U1388" s="8" t="n">
        <f aca="false">IF(Q1388,AE1387,AF1387)</f>
        <v>0.854592691222844</v>
      </c>
      <c r="V1388" s="9" t="b">
        <f aca="false">AND(T1388&gt;0,D1388&lt;=U1388)</f>
        <v>0</v>
      </c>
      <c r="W1388" s="10" t="n">
        <f aca="false">IF(V1388,T1388*(AK1388-AB1388)-Inputs!$B$9-T1388*AD1388*Inputs!$B$13*(A1388-AC1388),0)</f>
        <v>0</v>
      </c>
      <c r="X1388" s="10" t="n">
        <f aca="false">P1388-IF(Q1388,Inputs!$B$9,0)+W1388</f>
        <v>912.311293952437</v>
      </c>
      <c r="Y1388" s="11" t="n">
        <f aca="false">IF(V1388,0,T1388)</f>
        <v>0</v>
      </c>
      <c r="Z1388" s="9" t="b">
        <f aca="false">AND(Y1388&gt;0,K1388)</f>
        <v>0</v>
      </c>
      <c r="AA1388" s="9" t="b">
        <f aca="false">AND(Y1388=0,J1388,ISNUMBER(L1388))</f>
        <v>0</v>
      </c>
      <c r="AB1388" s="8" t="n">
        <f aca="false">IF(Q1388,R1388,AB1387)</f>
        <v>0.874077315692695</v>
      </c>
      <c r="AC1388" s="12" t="n">
        <f aca="false">IF(Q1388,A1388,AC1387)</f>
        <v>46112</v>
      </c>
      <c r="AD1388" s="8" t="n">
        <f aca="false">IF(Q1388,B1388,AD1387)</f>
        <v>0.873902535185658</v>
      </c>
      <c r="AE1388" s="8" t="str">
        <f aca="false">IF(AA1388,L1388,"")</f>
        <v/>
      </c>
      <c r="AF1388" s="8" t="n">
        <f aca="false">U1388</f>
        <v>0.854592691222844</v>
      </c>
      <c r="AG1388" s="2" t="n">
        <f aca="false">AG1387+IF(Q1388,1,0)</f>
        <v>15</v>
      </c>
      <c r="AH1388" s="2" t="n">
        <f aca="false">AG1387</f>
        <v>15</v>
      </c>
      <c r="AI1388" s="10" t="n">
        <f aca="false">X1388+Y1388*(E1388-AB1388)-Y1388*AD1388*Inputs!$B$13*(A1388-AC1388)</f>
        <v>912.311293952437</v>
      </c>
      <c r="AJ1388" s="10" t="n">
        <v>0</v>
      </c>
      <c r="AK1388" s="8" t="n">
        <f aca="false">IF(AND(B1388&lt;=U1388,NOT(Q1388)),B1388,U1388)*(1-Inputs!$B$12)</f>
        <v>0.832306482028964</v>
      </c>
    </row>
    <row r="1389" customFormat="false" ht="15" hidden="false" customHeight="false" outlineLevel="0" collapsed="false">
      <c r="A1389" s="6" t="n">
        <v>46173</v>
      </c>
      <c r="B1389" s="7" t="n">
        <v>0.837457139024583</v>
      </c>
      <c r="C1389" s="7" t="n">
        <v>0.838127463403881</v>
      </c>
      <c r="D1389" s="7" t="n">
        <v>0.833539849357662</v>
      </c>
      <c r="E1389" s="7" t="n">
        <v>0.834396856992097</v>
      </c>
      <c r="F1389" s="8" t="n">
        <f aca="true">IF(ROW()-2&gt;=Inputs!$B$4,AVERAGE(OFFSET(E1389,1-Inputs!$B$4,0,Inputs!$B$4,1)),"")</f>
        <v>0.835748271661322</v>
      </c>
      <c r="G1389" s="8" t="n">
        <f aca="true">IF(ROW()-2&gt;=Inputs!$B$5,AVERAGE(OFFSET(E1389,1-Inputs!$B$5,0,Inputs!$B$5,1)),"")</f>
        <v>0.846709830069196</v>
      </c>
      <c r="H1389" s="8" t="n">
        <f aca="false">MAX(C1389-D1389,ABS(C1389-E1388),ABS(D1389-E1388))</f>
        <v>0.00458761404621899</v>
      </c>
      <c r="I1389" s="8" t="n">
        <f aca="true">IF(ROW()-2&lt;14,"",IF(ROW()-2=14,AVERAGE(OFFSET(H1389,-13,0,14,1)),(I1388*13+H1389)/14))</f>
        <v>0.00896929335262716</v>
      </c>
      <c r="J1389" s="9" t="b">
        <f aca="false">IF(AND(ISNUMBER(F1389),ISNUMBER(G1389),ISNUMBER(F1388),ISNUMBER(G1388)),AND(F1389&gt;G1389,F1388&lt;=G1388),FALSE())</f>
        <v>0</v>
      </c>
      <c r="K1389" s="9" t="b">
        <f aca="false">IF(AND(ISNUMBER(F1389),ISNUMBER(G1389),ISNUMBER(F1388),ISNUMBER(G1388)),AND(F1389&lt;G1389,F1388&gt;=G1388),FALSE())</f>
        <v>0</v>
      </c>
      <c r="L1389" s="8" t="n">
        <f aca="false">IF(ISNUMBER(I1389),E1389-Inputs!$B$6*I1389,"")</f>
        <v>0.816458270286843</v>
      </c>
      <c r="M1389" s="9" t="b">
        <f aca="false">AND(Y1388&gt;0,Z1388)</f>
        <v>0</v>
      </c>
      <c r="N1389" s="8" t="n">
        <f aca="false">B1389*(1-Inputs!$B$12)</f>
        <v>0.837289647596778</v>
      </c>
      <c r="O1389" s="10" t="n">
        <f aca="false">IF(M1389,Y1388*(N1389-AB1388)-Inputs!$B$9-Y1388*AD1388*Inputs!$B$13*(A1389-AC1388),0)</f>
        <v>0</v>
      </c>
      <c r="P1389" s="10" t="n">
        <f aca="false">X1388+O1389</f>
        <v>912.311293952437</v>
      </c>
      <c r="Q1389" s="9" t="b">
        <f aca="false">AND(IF(M1389,0,Y1388)=0,AA1388,IF(ISNUMBER(AE1388),B1389&gt;AE1388,FALSE()))</f>
        <v>0</v>
      </c>
      <c r="R1389" s="8" t="n">
        <f aca="false">B1389*(1+Inputs!$B$12)</f>
        <v>0.837624630452388</v>
      </c>
      <c r="S1389" s="11" t="n">
        <f aca="false">IF(Q1389,MIN(P1389*Inputs!$B$3/(R1389-AE1388),P1389*Inputs!$B$11/R1389),0)</f>
        <v>0</v>
      </c>
      <c r="T1389" s="11" t="n">
        <f aca="false">IF(Q1389,S1389,IF(M1389,0,Y1388))</f>
        <v>0</v>
      </c>
      <c r="U1389" s="8" t="n">
        <f aca="false">IF(Q1389,AE1388,AF1388)</f>
        <v>0.854592691222844</v>
      </c>
      <c r="V1389" s="9" t="b">
        <f aca="false">AND(T1389&gt;0,D1389&lt;=U1389)</f>
        <v>0</v>
      </c>
      <c r="W1389" s="10" t="n">
        <f aca="false">IF(V1389,T1389*(AK1389-AB1389)-Inputs!$B$9-T1389*AD1389*Inputs!$B$13*(A1389-AC1389),0)</f>
        <v>0</v>
      </c>
      <c r="X1389" s="10" t="n">
        <f aca="false">P1389-IF(Q1389,Inputs!$B$9,0)+W1389</f>
        <v>912.311293952437</v>
      </c>
      <c r="Y1389" s="11" t="n">
        <f aca="false">IF(V1389,0,T1389)</f>
        <v>0</v>
      </c>
      <c r="Z1389" s="9" t="b">
        <f aca="false">AND(Y1389&gt;0,K1389)</f>
        <v>0</v>
      </c>
      <c r="AA1389" s="9" t="b">
        <f aca="false">AND(Y1389=0,J1389,ISNUMBER(L1389))</f>
        <v>0</v>
      </c>
      <c r="AB1389" s="8" t="n">
        <f aca="false">IF(Q1389,R1389,AB1388)</f>
        <v>0.874077315692695</v>
      </c>
      <c r="AC1389" s="12" t="n">
        <f aca="false">IF(Q1389,A1389,AC1388)</f>
        <v>46112</v>
      </c>
      <c r="AD1389" s="8" t="n">
        <f aca="false">IF(Q1389,B1389,AD1388)</f>
        <v>0.873902535185658</v>
      </c>
      <c r="AE1389" s="8" t="str">
        <f aca="false">IF(AA1389,L1389,"")</f>
        <v/>
      </c>
      <c r="AF1389" s="8" t="n">
        <f aca="false">U1389</f>
        <v>0.854592691222844</v>
      </c>
      <c r="AG1389" s="2" t="n">
        <f aca="false">AG1388+IF(Q1389,1,0)</f>
        <v>15</v>
      </c>
      <c r="AH1389" s="2" t="n">
        <f aca="false">AG1388</f>
        <v>15</v>
      </c>
      <c r="AI1389" s="10" t="n">
        <f aca="false">X1389+Y1389*(E1389-AB1389)-Y1389*AD1389*Inputs!$B$13*(A1389-AC1389)</f>
        <v>912.311293952437</v>
      </c>
      <c r="AJ1389" s="10" t="n">
        <v>0</v>
      </c>
      <c r="AK1389" s="8" t="n">
        <f aca="false">IF(AND(B1389&lt;=U1389,NOT(Q1389)),B1389,U1389)*(1-Inputs!$B$12)</f>
        <v>0.837289647596778</v>
      </c>
    </row>
    <row r="1390" customFormat="false" ht="15" hidden="false" customHeight="false" outlineLevel="0" collapsed="false">
      <c r="A1390" s="6" t="n">
        <v>46174</v>
      </c>
      <c r="B1390" s="7" t="n">
        <v>0.834396856992097</v>
      </c>
      <c r="C1390" s="7" t="n">
        <v>0.835792796714091</v>
      </c>
      <c r="D1390" s="7" t="n">
        <v>0.828816256672213</v>
      </c>
      <c r="E1390" s="7" t="n">
        <v>0.829134799342524</v>
      </c>
      <c r="F1390" s="8" t="n">
        <f aca="true">IF(ROW()-2&gt;=Inputs!$B$4,AVERAGE(OFFSET(E1390,1-Inputs!$B$4,0,Inputs!$B$4,1)),"")</f>
        <v>0.835996792245866</v>
      </c>
      <c r="G1390" s="8" t="n">
        <f aca="true">IF(ROW()-2&gt;=Inputs!$B$5,AVERAGE(OFFSET(E1390,1-Inputs!$B$5,0,Inputs!$B$5,1)),"")</f>
        <v>0.845678017190818</v>
      </c>
      <c r="H1390" s="8" t="n">
        <f aca="false">MAX(C1390-D1390,ABS(C1390-E1389),ABS(D1390-E1389))</f>
        <v>0.00697654004187798</v>
      </c>
      <c r="I1390" s="8" t="n">
        <f aca="true">IF(ROW()-2&lt;14,"",IF(ROW()-2=14,AVERAGE(OFFSET(H1390,-13,0,14,1)),(I1389*13+H1390)/14))</f>
        <v>0.00882695383043079</v>
      </c>
      <c r="J1390" s="9" t="b">
        <f aca="false">IF(AND(ISNUMBER(F1390),ISNUMBER(G1390),ISNUMBER(F1389),ISNUMBER(G1389)),AND(F1390&gt;G1390,F1389&lt;=G1389),FALSE())</f>
        <v>0</v>
      </c>
      <c r="K1390" s="9" t="b">
        <f aca="false">IF(AND(ISNUMBER(F1390),ISNUMBER(G1390),ISNUMBER(F1389),ISNUMBER(G1389)),AND(F1390&lt;G1390,F1389&gt;=G1389),FALSE())</f>
        <v>0</v>
      </c>
      <c r="L1390" s="8" t="n">
        <f aca="false">IF(ISNUMBER(I1390),E1390-Inputs!$B$6*I1390,"")</f>
        <v>0.811480891681662</v>
      </c>
      <c r="M1390" s="9" t="b">
        <f aca="false">AND(Y1389&gt;0,Z1389)</f>
        <v>0</v>
      </c>
      <c r="N1390" s="8" t="n">
        <f aca="false">B1390*(1-Inputs!$B$12)</f>
        <v>0.834229977620699</v>
      </c>
      <c r="O1390" s="10" t="n">
        <f aca="false">IF(M1390,Y1389*(N1390-AB1389)-Inputs!$B$9-Y1389*AD1389*Inputs!$B$13*(A1390-AC1389),0)</f>
        <v>0</v>
      </c>
      <c r="P1390" s="10" t="n">
        <f aca="false">X1389+O1390</f>
        <v>912.311293952437</v>
      </c>
      <c r="Q1390" s="9" t="b">
        <f aca="false">AND(IF(M1390,0,Y1389)=0,AA1389,IF(ISNUMBER(AE1389),B1390&gt;AE1389,FALSE()))</f>
        <v>0</v>
      </c>
      <c r="R1390" s="8" t="n">
        <f aca="false">B1390*(1+Inputs!$B$12)</f>
        <v>0.834563736363496</v>
      </c>
      <c r="S1390" s="11" t="n">
        <f aca="false">IF(Q1390,MIN(P1390*Inputs!$B$3/(R1390-AE1389),P1390*Inputs!$B$11/R1390),0)</f>
        <v>0</v>
      </c>
      <c r="T1390" s="11" t="n">
        <f aca="false">IF(Q1390,S1390,IF(M1390,0,Y1389))</f>
        <v>0</v>
      </c>
      <c r="U1390" s="8" t="n">
        <f aca="false">IF(Q1390,AE1389,AF1389)</f>
        <v>0.854592691222844</v>
      </c>
      <c r="V1390" s="9" t="b">
        <f aca="false">AND(T1390&gt;0,D1390&lt;=U1390)</f>
        <v>0</v>
      </c>
      <c r="W1390" s="10" t="n">
        <f aca="false">IF(V1390,T1390*(AK1390-AB1390)-Inputs!$B$9-T1390*AD1390*Inputs!$B$13*(A1390-AC1390),0)</f>
        <v>0</v>
      </c>
      <c r="X1390" s="10" t="n">
        <f aca="false">P1390-IF(Q1390,Inputs!$B$9,0)+W1390</f>
        <v>912.311293952437</v>
      </c>
      <c r="Y1390" s="11" t="n">
        <f aca="false">IF(V1390,0,T1390)</f>
        <v>0</v>
      </c>
      <c r="Z1390" s="9" t="b">
        <f aca="false">AND(Y1390&gt;0,K1390)</f>
        <v>0</v>
      </c>
      <c r="AA1390" s="9" t="b">
        <f aca="false">AND(Y1390=0,J1390,ISNUMBER(L1390))</f>
        <v>0</v>
      </c>
      <c r="AB1390" s="8" t="n">
        <f aca="false">IF(Q1390,R1390,AB1389)</f>
        <v>0.874077315692695</v>
      </c>
      <c r="AC1390" s="12" t="n">
        <f aca="false">IF(Q1390,A1390,AC1389)</f>
        <v>46112</v>
      </c>
      <c r="AD1390" s="8" t="n">
        <f aca="false">IF(Q1390,B1390,AD1389)</f>
        <v>0.873902535185658</v>
      </c>
      <c r="AE1390" s="8" t="str">
        <f aca="false">IF(AA1390,L1390,"")</f>
        <v/>
      </c>
      <c r="AF1390" s="8" t="n">
        <f aca="false">U1390</f>
        <v>0.854592691222844</v>
      </c>
      <c r="AG1390" s="2" t="n">
        <f aca="false">AG1389+IF(Q1390,1,0)</f>
        <v>15</v>
      </c>
      <c r="AH1390" s="2" t="n">
        <f aca="false">AG1389</f>
        <v>15</v>
      </c>
      <c r="AI1390" s="10" t="n">
        <f aca="false">X1390+Y1390*(E1390-AB1390)-Y1390*AD1390*Inputs!$B$13*(A1390-AC1390)</f>
        <v>912.311293952437</v>
      </c>
      <c r="AJ1390" s="10" t="n">
        <v>0</v>
      </c>
      <c r="AK1390" s="8" t="n">
        <f aca="false">IF(AND(B1390&lt;=U1390,NOT(Q1390)),B1390,U1390)*(1-Inputs!$B$12)</f>
        <v>0.834229977620699</v>
      </c>
    </row>
    <row r="1391" customFormat="false" ht="15" hidden="false" customHeight="false" outlineLevel="0" collapsed="false">
      <c r="A1391" s="6" t="n">
        <v>46175</v>
      </c>
      <c r="B1391" s="7" t="n">
        <v>0.829134799342524</v>
      </c>
      <c r="C1391" s="7" t="n">
        <v>0.840129764713369</v>
      </c>
      <c r="D1391" s="7" t="n">
        <v>0.825208267977715</v>
      </c>
      <c r="E1391" s="7" t="n">
        <v>0.837354290308833</v>
      </c>
      <c r="F1391" s="8" t="n">
        <f aca="true">IF(ROW()-2&gt;=Inputs!$B$4,AVERAGE(OFFSET(E1391,1-Inputs!$B$4,0,Inputs!$B$4,1)),"")</f>
        <v>0.836627090541665</v>
      </c>
      <c r="G1391" s="8" t="n">
        <f aca="true">IF(ROW()-2&gt;=Inputs!$B$5,AVERAGE(OFFSET(E1391,1-Inputs!$B$5,0,Inputs!$B$5,1)),"")</f>
        <v>0.844948499167961</v>
      </c>
      <c r="H1391" s="8" t="n">
        <f aca="false">MAX(C1391-D1391,ABS(C1391-E1390),ABS(D1391-E1390))</f>
        <v>0.0149214967356536</v>
      </c>
      <c r="I1391" s="8" t="n">
        <f aca="true">IF(ROW()-2&lt;14,"",IF(ROW()-2=14,AVERAGE(OFFSET(H1391,-13,0,14,1)),(I1390*13+H1391)/14))</f>
        <v>0.00926227832366098</v>
      </c>
      <c r="J1391" s="9" t="b">
        <f aca="false">IF(AND(ISNUMBER(F1391),ISNUMBER(G1391),ISNUMBER(F1390),ISNUMBER(G1390)),AND(F1391&gt;G1391,F1390&lt;=G1390),FALSE())</f>
        <v>0</v>
      </c>
      <c r="K1391" s="9" t="b">
        <f aca="false">IF(AND(ISNUMBER(F1391),ISNUMBER(G1391),ISNUMBER(F1390),ISNUMBER(G1390)),AND(F1391&lt;G1391,F1390&gt;=G1390),FALSE())</f>
        <v>0</v>
      </c>
      <c r="L1391" s="8" t="n">
        <f aca="false">IF(ISNUMBER(I1391),E1391-Inputs!$B$6*I1391,"")</f>
        <v>0.818829733661511</v>
      </c>
      <c r="M1391" s="9" t="b">
        <f aca="false">AND(Y1390&gt;0,Z1390)</f>
        <v>0</v>
      </c>
      <c r="N1391" s="8" t="n">
        <f aca="false">B1391*(1-Inputs!$B$12)</f>
        <v>0.828968972382655</v>
      </c>
      <c r="O1391" s="10" t="n">
        <f aca="false">IF(M1391,Y1390*(N1391-AB1390)-Inputs!$B$9-Y1390*AD1390*Inputs!$B$13*(A1391-AC1390),0)</f>
        <v>0</v>
      </c>
      <c r="P1391" s="10" t="n">
        <f aca="false">X1390+O1391</f>
        <v>912.311293952437</v>
      </c>
      <c r="Q1391" s="9" t="b">
        <f aca="false">AND(IF(M1391,0,Y1390)=0,AA1390,IF(ISNUMBER(AE1390),B1391&gt;AE1390,FALSE()))</f>
        <v>0</v>
      </c>
      <c r="R1391" s="8" t="n">
        <f aca="false">B1391*(1+Inputs!$B$12)</f>
        <v>0.829300626302392</v>
      </c>
      <c r="S1391" s="11" t="n">
        <f aca="false">IF(Q1391,MIN(P1391*Inputs!$B$3/(R1391-AE1390),P1391*Inputs!$B$11/R1391),0)</f>
        <v>0</v>
      </c>
      <c r="T1391" s="11" t="n">
        <f aca="false">IF(Q1391,S1391,IF(M1391,0,Y1390))</f>
        <v>0</v>
      </c>
      <c r="U1391" s="8" t="n">
        <f aca="false">IF(Q1391,AE1390,AF1390)</f>
        <v>0.854592691222844</v>
      </c>
      <c r="V1391" s="9" t="b">
        <f aca="false">AND(T1391&gt;0,D1391&lt;=U1391)</f>
        <v>0</v>
      </c>
      <c r="W1391" s="10" t="n">
        <f aca="false">IF(V1391,T1391*(AK1391-AB1391)-Inputs!$B$9-T1391*AD1391*Inputs!$B$13*(A1391-AC1391),0)</f>
        <v>0</v>
      </c>
      <c r="X1391" s="10" t="n">
        <f aca="false">P1391-IF(Q1391,Inputs!$B$9,0)+W1391</f>
        <v>912.311293952437</v>
      </c>
      <c r="Y1391" s="11" t="n">
        <f aca="false">IF(V1391,0,T1391)</f>
        <v>0</v>
      </c>
      <c r="Z1391" s="9" t="b">
        <f aca="false">AND(Y1391&gt;0,K1391)</f>
        <v>0</v>
      </c>
      <c r="AA1391" s="9" t="b">
        <f aca="false">AND(Y1391=0,J1391,ISNUMBER(L1391))</f>
        <v>0</v>
      </c>
      <c r="AB1391" s="8" t="n">
        <f aca="false">IF(Q1391,R1391,AB1390)</f>
        <v>0.874077315692695</v>
      </c>
      <c r="AC1391" s="12" t="n">
        <f aca="false">IF(Q1391,A1391,AC1390)</f>
        <v>46112</v>
      </c>
      <c r="AD1391" s="8" t="n">
        <f aca="false">IF(Q1391,B1391,AD1390)</f>
        <v>0.873902535185658</v>
      </c>
      <c r="AE1391" s="8" t="str">
        <f aca="false">IF(AA1391,L1391,"")</f>
        <v/>
      </c>
      <c r="AF1391" s="8" t="n">
        <f aca="false">U1391</f>
        <v>0.854592691222844</v>
      </c>
      <c r="AG1391" s="2" t="n">
        <f aca="false">AG1390+IF(Q1391,1,0)</f>
        <v>15</v>
      </c>
      <c r="AH1391" s="2" t="n">
        <f aca="false">AG1390</f>
        <v>15</v>
      </c>
      <c r="AI1391" s="10" t="n">
        <f aca="false">X1391+Y1391*(E1391-AB1391)-Y1391*AD1391*Inputs!$B$13*(A1391-AC1391)</f>
        <v>912.311293952437</v>
      </c>
      <c r="AJ1391" s="10" t="n">
        <v>0</v>
      </c>
      <c r="AK1391" s="8" t="n">
        <f aca="false">IF(AND(B1391&lt;=U1391,NOT(Q1391)),B1391,U1391)*(1-Inputs!$B$12)</f>
        <v>0.828968972382655</v>
      </c>
    </row>
    <row r="1392" customFormat="false" ht="15" hidden="false" customHeight="false" outlineLevel="0" collapsed="false">
      <c r="A1392" s="6" t="n">
        <v>46176</v>
      </c>
      <c r="B1392" s="7" t="n">
        <v>0.837354290308833</v>
      </c>
      <c r="C1392" s="7" t="n">
        <v>0.847288654403469</v>
      </c>
      <c r="D1392" s="7" t="n">
        <v>0.832587020497082</v>
      </c>
      <c r="E1392" s="7" t="n">
        <v>0.847028254845345</v>
      </c>
      <c r="F1392" s="8" t="n">
        <f aca="true">IF(ROW()-2&gt;=Inputs!$B$4,AVERAGE(OFFSET(E1392,1-Inputs!$B$4,0,Inputs!$B$4,1)),"")</f>
        <v>0.837904173454065</v>
      </c>
      <c r="G1392" s="8" t="n">
        <f aca="true">IF(ROW()-2&gt;=Inputs!$B$5,AVERAGE(OFFSET(E1392,1-Inputs!$B$5,0,Inputs!$B$5,1)),"")</f>
        <v>0.844316174516246</v>
      </c>
      <c r="H1392" s="8" t="n">
        <f aca="false">MAX(C1392-D1392,ABS(C1392-E1391),ABS(D1392-E1391))</f>
        <v>0.014701633906387</v>
      </c>
      <c r="I1392" s="8" t="n">
        <f aca="true">IF(ROW()-2&lt;14,"",IF(ROW()-2=14,AVERAGE(OFFSET(H1392,-13,0,14,1)),(I1391*13+H1392)/14))</f>
        <v>0.00965080372242713</v>
      </c>
      <c r="J1392" s="9" t="b">
        <f aca="false">IF(AND(ISNUMBER(F1392),ISNUMBER(G1392),ISNUMBER(F1391),ISNUMBER(G1391)),AND(F1392&gt;G1392,F1391&lt;=G1391),FALSE())</f>
        <v>0</v>
      </c>
      <c r="K1392" s="9" t="b">
        <f aca="false">IF(AND(ISNUMBER(F1392),ISNUMBER(G1392),ISNUMBER(F1391),ISNUMBER(G1391)),AND(F1392&lt;G1392,F1391&gt;=G1391),FALSE())</f>
        <v>0</v>
      </c>
      <c r="L1392" s="8" t="n">
        <f aca="false">IF(ISNUMBER(I1392),E1392-Inputs!$B$6*I1392,"")</f>
        <v>0.827726647400491</v>
      </c>
      <c r="M1392" s="9" t="b">
        <f aca="false">AND(Y1391&gt;0,Z1391)</f>
        <v>0</v>
      </c>
      <c r="N1392" s="8" t="n">
        <f aca="false">B1392*(1-Inputs!$B$12)</f>
        <v>0.837186819450772</v>
      </c>
      <c r="O1392" s="10" t="n">
        <f aca="false">IF(M1392,Y1391*(N1392-AB1391)-Inputs!$B$9-Y1391*AD1391*Inputs!$B$13*(A1392-AC1391),0)</f>
        <v>0</v>
      </c>
      <c r="P1392" s="10" t="n">
        <f aca="false">X1391+O1392</f>
        <v>912.311293952437</v>
      </c>
      <c r="Q1392" s="9" t="b">
        <f aca="false">AND(IF(M1392,0,Y1391)=0,AA1391,IF(ISNUMBER(AE1391),B1392&gt;AE1391,FALSE()))</f>
        <v>0</v>
      </c>
      <c r="R1392" s="8" t="n">
        <f aca="false">B1392*(1+Inputs!$B$12)</f>
        <v>0.837521761166895</v>
      </c>
      <c r="S1392" s="11" t="n">
        <f aca="false">IF(Q1392,MIN(P1392*Inputs!$B$3/(R1392-AE1391),P1392*Inputs!$B$11/R1392),0)</f>
        <v>0</v>
      </c>
      <c r="T1392" s="11" t="n">
        <f aca="false">IF(Q1392,S1392,IF(M1392,0,Y1391))</f>
        <v>0</v>
      </c>
      <c r="U1392" s="8" t="n">
        <f aca="false">IF(Q1392,AE1391,AF1391)</f>
        <v>0.854592691222844</v>
      </c>
      <c r="V1392" s="9" t="b">
        <f aca="false">AND(T1392&gt;0,D1392&lt;=U1392)</f>
        <v>0</v>
      </c>
      <c r="W1392" s="10" t="n">
        <f aca="false">IF(V1392,T1392*(AK1392-AB1392)-Inputs!$B$9-T1392*AD1392*Inputs!$B$13*(A1392-AC1392),0)</f>
        <v>0</v>
      </c>
      <c r="X1392" s="10" t="n">
        <f aca="false">P1392-IF(Q1392,Inputs!$B$9,0)+W1392</f>
        <v>912.311293952437</v>
      </c>
      <c r="Y1392" s="11" t="n">
        <f aca="false">IF(V1392,0,T1392)</f>
        <v>0</v>
      </c>
      <c r="Z1392" s="9" t="b">
        <f aca="false">AND(Y1392&gt;0,K1392)</f>
        <v>0</v>
      </c>
      <c r="AA1392" s="9" t="b">
        <f aca="false">AND(Y1392=0,J1392,ISNUMBER(L1392))</f>
        <v>0</v>
      </c>
      <c r="AB1392" s="8" t="n">
        <f aca="false">IF(Q1392,R1392,AB1391)</f>
        <v>0.874077315692695</v>
      </c>
      <c r="AC1392" s="12" t="n">
        <f aca="false">IF(Q1392,A1392,AC1391)</f>
        <v>46112</v>
      </c>
      <c r="AD1392" s="8" t="n">
        <f aca="false">IF(Q1392,B1392,AD1391)</f>
        <v>0.873902535185658</v>
      </c>
      <c r="AE1392" s="8" t="str">
        <f aca="false">IF(AA1392,L1392,"")</f>
        <v/>
      </c>
      <c r="AF1392" s="8" t="n">
        <f aca="false">U1392</f>
        <v>0.854592691222844</v>
      </c>
      <c r="AG1392" s="2" t="n">
        <f aca="false">AG1391+IF(Q1392,1,0)</f>
        <v>15</v>
      </c>
      <c r="AH1392" s="2" t="n">
        <f aca="false">AG1391</f>
        <v>15</v>
      </c>
      <c r="AI1392" s="10" t="n">
        <f aca="false">X1392+Y1392*(E1392-AB1392)-Y1392*AD1392*Inputs!$B$13*(A1392-AC1392)</f>
        <v>912.311293952437</v>
      </c>
      <c r="AJ1392" s="10" t="n">
        <v>0</v>
      </c>
      <c r="AK1392" s="8" t="n">
        <f aca="false">IF(AND(B1392&lt;=U1392,NOT(Q1392)),B1392,U1392)*(1-Inputs!$B$12)</f>
        <v>0.837186819450772</v>
      </c>
    </row>
    <row r="1393" customFormat="false" ht="15" hidden="false" customHeight="false" outlineLevel="0" collapsed="false">
      <c r="A1393" s="6" t="n">
        <v>46177</v>
      </c>
      <c r="B1393" s="7" t="n">
        <v>0.847028254845345</v>
      </c>
      <c r="C1393" s="7" t="n">
        <v>0.848060378195713</v>
      </c>
      <c r="D1393" s="7" t="n">
        <v>0.84018014068087</v>
      </c>
      <c r="E1393" s="7" t="n">
        <v>0.840669619676574</v>
      </c>
      <c r="F1393" s="8" t="n">
        <f aca="true">IF(ROW()-2&gt;=Inputs!$B$4,AVERAGE(OFFSET(E1393,1-Inputs!$B$4,0,Inputs!$B$4,1)),"")</f>
        <v>0.838554842792099</v>
      </c>
      <c r="G1393" s="8" t="n">
        <f aca="true">IF(ROW()-2&gt;=Inputs!$B$5,AVERAGE(OFFSET(E1393,1-Inputs!$B$5,0,Inputs!$B$5,1)),"")</f>
        <v>0.843516006044122</v>
      </c>
      <c r="H1393" s="8" t="n">
        <f aca="false">MAX(C1393-D1393,ABS(C1393-E1392),ABS(D1393-E1392))</f>
        <v>0.00788023751484324</v>
      </c>
      <c r="I1393" s="8" t="n">
        <f aca="true">IF(ROW()-2&lt;14,"",IF(ROW()-2=14,AVERAGE(OFFSET(H1393,-13,0,14,1)),(I1392*13+H1393)/14))</f>
        <v>0.00952433470759971</v>
      </c>
      <c r="J1393" s="9" t="b">
        <f aca="false">IF(AND(ISNUMBER(F1393),ISNUMBER(G1393),ISNUMBER(F1392),ISNUMBER(G1392)),AND(F1393&gt;G1393,F1392&lt;=G1392),FALSE())</f>
        <v>0</v>
      </c>
      <c r="K1393" s="9" t="b">
        <f aca="false">IF(AND(ISNUMBER(F1393),ISNUMBER(G1393),ISNUMBER(F1392),ISNUMBER(G1392)),AND(F1393&lt;G1393,F1392&gt;=G1392),FALSE())</f>
        <v>0</v>
      </c>
      <c r="L1393" s="8" t="n">
        <f aca="false">IF(ISNUMBER(I1393),E1393-Inputs!$B$6*I1393,"")</f>
        <v>0.821620950261374</v>
      </c>
      <c r="M1393" s="9" t="b">
        <f aca="false">AND(Y1392&gt;0,Z1392)</f>
        <v>0</v>
      </c>
      <c r="N1393" s="8" t="n">
        <f aca="false">B1393*(1-Inputs!$B$12)</f>
        <v>0.846858849194376</v>
      </c>
      <c r="O1393" s="10" t="n">
        <f aca="false">IF(M1393,Y1392*(N1393-AB1392)-Inputs!$B$9-Y1392*AD1392*Inputs!$B$13*(A1393-AC1392),0)</f>
        <v>0</v>
      </c>
      <c r="P1393" s="10" t="n">
        <f aca="false">X1392+O1393</f>
        <v>912.311293952437</v>
      </c>
      <c r="Q1393" s="9" t="b">
        <f aca="false">AND(IF(M1393,0,Y1392)=0,AA1392,IF(ISNUMBER(AE1392),B1393&gt;AE1392,FALSE()))</f>
        <v>0</v>
      </c>
      <c r="R1393" s="8" t="n">
        <f aca="false">B1393*(1+Inputs!$B$12)</f>
        <v>0.847197660496314</v>
      </c>
      <c r="S1393" s="11" t="n">
        <f aca="false">IF(Q1393,MIN(P1393*Inputs!$B$3/(R1393-AE1392),P1393*Inputs!$B$11/R1393),0)</f>
        <v>0</v>
      </c>
      <c r="T1393" s="11" t="n">
        <f aca="false">IF(Q1393,S1393,IF(M1393,0,Y1392))</f>
        <v>0</v>
      </c>
      <c r="U1393" s="8" t="n">
        <f aca="false">IF(Q1393,AE1392,AF1392)</f>
        <v>0.854592691222844</v>
      </c>
      <c r="V1393" s="9" t="b">
        <f aca="false">AND(T1393&gt;0,D1393&lt;=U1393)</f>
        <v>0</v>
      </c>
      <c r="W1393" s="10" t="n">
        <f aca="false">IF(V1393,T1393*(AK1393-AB1393)-Inputs!$B$9-T1393*AD1393*Inputs!$B$13*(A1393-AC1393),0)</f>
        <v>0</v>
      </c>
      <c r="X1393" s="10" t="n">
        <f aca="false">P1393-IF(Q1393,Inputs!$B$9,0)+W1393</f>
        <v>912.311293952437</v>
      </c>
      <c r="Y1393" s="11" t="n">
        <f aca="false">IF(V1393,0,T1393)</f>
        <v>0</v>
      </c>
      <c r="Z1393" s="9" t="b">
        <f aca="false">AND(Y1393&gt;0,K1393)</f>
        <v>0</v>
      </c>
      <c r="AA1393" s="9" t="b">
        <f aca="false">AND(Y1393=0,J1393,ISNUMBER(L1393))</f>
        <v>0</v>
      </c>
      <c r="AB1393" s="8" t="n">
        <f aca="false">IF(Q1393,R1393,AB1392)</f>
        <v>0.874077315692695</v>
      </c>
      <c r="AC1393" s="12" t="n">
        <f aca="false">IF(Q1393,A1393,AC1392)</f>
        <v>46112</v>
      </c>
      <c r="AD1393" s="8" t="n">
        <f aca="false">IF(Q1393,B1393,AD1392)</f>
        <v>0.873902535185658</v>
      </c>
      <c r="AE1393" s="8" t="str">
        <f aca="false">IF(AA1393,L1393,"")</f>
        <v/>
      </c>
      <c r="AF1393" s="8" t="n">
        <f aca="false">U1393</f>
        <v>0.854592691222844</v>
      </c>
      <c r="AG1393" s="2" t="n">
        <f aca="false">AG1392+IF(Q1393,1,0)</f>
        <v>15</v>
      </c>
      <c r="AH1393" s="2" t="n">
        <f aca="false">AG1392</f>
        <v>15</v>
      </c>
      <c r="AI1393" s="10" t="n">
        <f aca="false">X1393+Y1393*(E1393-AB1393)-Y1393*AD1393*Inputs!$B$13*(A1393-AC1393)</f>
        <v>912.311293952437</v>
      </c>
      <c r="AJ1393" s="10" t="n">
        <v>0</v>
      </c>
      <c r="AK1393" s="8" t="n">
        <f aca="false">IF(AND(B1393&lt;=U1393,NOT(Q1393)),B1393,U1393)*(1-Inputs!$B$12)</f>
        <v>0.846858849194376</v>
      </c>
    </row>
    <row r="1394" customFormat="false" ht="15" hidden="false" customHeight="false" outlineLevel="0" collapsed="false">
      <c r="A1394" s="6" t="n">
        <v>46178</v>
      </c>
      <c r="B1394" s="7" t="n">
        <v>0.840669619676574</v>
      </c>
      <c r="C1394" s="7" t="n">
        <v>0.840925183026341</v>
      </c>
      <c r="D1394" s="7" t="n">
        <v>0.829700427271042</v>
      </c>
      <c r="E1394" s="7" t="n">
        <v>0.834135988551339</v>
      </c>
      <c r="F1394" s="8" t="n">
        <f aca="true">IF(ROW()-2&gt;=Inputs!$B$4,AVERAGE(OFFSET(E1394,1-Inputs!$B$4,0,Inputs!$B$4,1)),"")</f>
        <v>0.838912048337598</v>
      </c>
      <c r="G1394" s="8" t="n">
        <f aca="true">IF(ROW()-2&gt;=Inputs!$B$5,AVERAGE(OFFSET(E1394,1-Inputs!$B$5,0,Inputs!$B$5,1)),"")</f>
        <v>0.842728043454682</v>
      </c>
      <c r="H1394" s="8" t="n">
        <f aca="false">MAX(C1394-D1394,ABS(C1394-E1393),ABS(D1394-E1393))</f>
        <v>0.0112247557552985</v>
      </c>
      <c r="I1394" s="8" t="n">
        <f aca="true">IF(ROW()-2&lt;14,"",IF(ROW()-2=14,AVERAGE(OFFSET(H1394,-13,0,14,1)),(I1393*13+H1394)/14))</f>
        <v>0.00964579335386391</v>
      </c>
      <c r="J1394" s="9" t="b">
        <f aca="false">IF(AND(ISNUMBER(F1394),ISNUMBER(G1394),ISNUMBER(F1393),ISNUMBER(G1393)),AND(F1394&gt;G1394,F1393&lt;=G1393),FALSE())</f>
        <v>0</v>
      </c>
      <c r="K1394" s="9" t="b">
        <f aca="false">IF(AND(ISNUMBER(F1394),ISNUMBER(G1394),ISNUMBER(F1393),ISNUMBER(G1393)),AND(F1394&lt;G1394,F1393&gt;=G1393),FALSE())</f>
        <v>0</v>
      </c>
      <c r="L1394" s="8" t="n">
        <f aca="false">IF(ISNUMBER(I1394),E1394-Inputs!$B$6*I1394,"")</f>
        <v>0.814844401843612</v>
      </c>
      <c r="M1394" s="9" t="b">
        <f aca="false">AND(Y1393&gt;0,Z1393)</f>
        <v>0</v>
      </c>
      <c r="N1394" s="8" t="n">
        <f aca="false">B1394*(1-Inputs!$B$12)</f>
        <v>0.840501485752638</v>
      </c>
      <c r="O1394" s="10" t="n">
        <f aca="false">IF(M1394,Y1393*(N1394-AB1393)-Inputs!$B$9-Y1393*AD1393*Inputs!$B$13*(A1394-AC1393),0)</f>
        <v>0</v>
      </c>
      <c r="P1394" s="10" t="n">
        <f aca="false">X1393+O1394</f>
        <v>912.311293952437</v>
      </c>
      <c r="Q1394" s="9" t="b">
        <f aca="false">AND(IF(M1394,0,Y1393)=0,AA1393,IF(ISNUMBER(AE1393),B1394&gt;AE1393,FALSE()))</f>
        <v>0</v>
      </c>
      <c r="R1394" s="8" t="n">
        <f aca="false">B1394*(1+Inputs!$B$12)</f>
        <v>0.840837753600509</v>
      </c>
      <c r="S1394" s="11" t="n">
        <f aca="false">IF(Q1394,MIN(P1394*Inputs!$B$3/(R1394-AE1393),P1394*Inputs!$B$11/R1394),0)</f>
        <v>0</v>
      </c>
      <c r="T1394" s="11" t="n">
        <f aca="false">IF(Q1394,S1394,IF(M1394,0,Y1393))</f>
        <v>0</v>
      </c>
      <c r="U1394" s="8" t="n">
        <f aca="false">IF(Q1394,AE1393,AF1393)</f>
        <v>0.854592691222844</v>
      </c>
      <c r="V1394" s="9" t="b">
        <f aca="false">AND(T1394&gt;0,D1394&lt;=U1394)</f>
        <v>0</v>
      </c>
      <c r="W1394" s="10" t="n">
        <f aca="false">IF(V1394,T1394*(AK1394-AB1394)-Inputs!$B$9-T1394*AD1394*Inputs!$B$13*(A1394-AC1394),0)</f>
        <v>0</v>
      </c>
      <c r="X1394" s="10" t="n">
        <f aca="false">P1394-IF(Q1394,Inputs!$B$9,0)+W1394</f>
        <v>912.311293952437</v>
      </c>
      <c r="Y1394" s="11" t="n">
        <f aca="false">IF(V1394,0,T1394)</f>
        <v>0</v>
      </c>
      <c r="Z1394" s="9" t="b">
        <f aca="false">AND(Y1394&gt;0,K1394)</f>
        <v>0</v>
      </c>
      <c r="AA1394" s="9" t="b">
        <f aca="false">AND(Y1394=0,J1394,ISNUMBER(L1394))</f>
        <v>0</v>
      </c>
      <c r="AB1394" s="8" t="n">
        <f aca="false">IF(Q1394,R1394,AB1393)</f>
        <v>0.874077315692695</v>
      </c>
      <c r="AC1394" s="12" t="n">
        <f aca="false">IF(Q1394,A1394,AC1393)</f>
        <v>46112</v>
      </c>
      <c r="AD1394" s="8" t="n">
        <f aca="false">IF(Q1394,B1394,AD1393)</f>
        <v>0.873902535185658</v>
      </c>
      <c r="AE1394" s="8" t="str">
        <f aca="false">IF(AA1394,L1394,"")</f>
        <v/>
      </c>
      <c r="AF1394" s="8" t="n">
        <f aca="false">U1394</f>
        <v>0.854592691222844</v>
      </c>
      <c r="AG1394" s="2" t="n">
        <f aca="false">AG1393+IF(Q1394,1,0)</f>
        <v>15</v>
      </c>
      <c r="AH1394" s="2" t="n">
        <f aca="false">AG1393</f>
        <v>15</v>
      </c>
      <c r="AI1394" s="10" t="n">
        <f aca="false">X1394+Y1394*(E1394-AB1394)-Y1394*AD1394*Inputs!$B$13*(A1394-AC1394)</f>
        <v>912.311293952437</v>
      </c>
      <c r="AJ1394" s="10" t="n">
        <v>0</v>
      </c>
      <c r="AK1394" s="8" t="n">
        <f aca="false">IF(AND(B1394&lt;=U1394,NOT(Q1394)),B1394,U1394)*(1-Inputs!$B$12)</f>
        <v>0.840501485752638</v>
      </c>
    </row>
    <row r="1395" customFormat="false" ht="15" hidden="false" customHeight="false" outlineLevel="0" collapsed="false">
      <c r="A1395" s="6" t="n">
        <v>46179</v>
      </c>
      <c r="B1395" s="7" t="n">
        <v>0.834135988551339</v>
      </c>
      <c r="C1395" s="7" t="n">
        <v>0.837181437474105</v>
      </c>
      <c r="D1395" s="7" t="n">
        <v>0.833118595308788</v>
      </c>
      <c r="E1395" s="7" t="n">
        <v>0.835893169023246</v>
      </c>
      <c r="F1395" s="8" t="n">
        <f aca="true">IF(ROW()-2&gt;=Inputs!$B$4,AVERAGE(OFFSET(E1395,1-Inputs!$B$4,0,Inputs!$B$4,1)),"")</f>
        <v>0.839156312024852</v>
      </c>
      <c r="G1395" s="8" t="n">
        <f aca="true">IF(ROW()-2&gt;=Inputs!$B$5,AVERAGE(OFFSET(E1395,1-Inputs!$B$5,0,Inputs!$B$5,1)),"")</f>
        <v>0.842021098842119</v>
      </c>
      <c r="H1395" s="8" t="n">
        <f aca="false">MAX(C1395-D1395,ABS(C1395-E1394),ABS(D1395-E1394))</f>
        <v>0.00406284216531705</v>
      </c>
      <c r="I1395" s="8" t="n">
        <f aca="true">IF(ROW()-2&lt;14,"",IF(ROW()-2=14,AVERAGE(OFFSET(H1395,-13,0,14,1)),(I1394*13+H1395)/14))</f>
        <v>0.00924701112611056</v>
      </c>
      <c r="J1395" s="9" t="b">
        <f aca="false">IF(AND(ISNUMBER(F1395),ISNUMBER(G1395),ISNUMBER(F1394),ISNUMBER(G1394)),AND(F1395&gt;G1395,F1394&lt;=G1394),FALSE())</f>
        <v>0</v>
      </c>
      <c r="K1395" s="9" t="b">
        <f aca="false">IF(AND(ISNUMBER(F1395),ISNUMBER(G1395),ISNUMBER(F1394),ISNUMBER(G1394)),AND(F1395&lt;G1395,F1394&gt;=G1394),FALSE())</f>
        <v>0</v>
      </c>
      <c r="L1395" s="8" t="n">
        <f aca="false">IF(ISNUMBER(I1395),E1395-Inputs!$B$6*I1395,"")</f>
        <v>0.817399146771024</v>
      </c>
      <c r="M1395" s="9" t="b">
        <f aca="false">AND(Y1394&gt;0,Z1394)</f>
        <v>0</v>
      </c>
      <c r="N1395" s="8" t="n">
        <f aca="false">B1395*(1-Inputs!$B$12)</f>
        <v>0.833969161353629</v>
      </c>
      <c r="O1395" s="10" t="n">
        <f aca="false">IF(M1395,Y1394*(N1395-AB1394)-Inputs!$B$9-Y1394*AD1394*Inputs!$B$13*(A1395-AC1394),0)</f>
        <v>0</v>
      </c>
      <c r="P1395" s="10" t="n">
        <f aca="false">X1394+O1395</f>
        <v>912.311293952437</v>
      </c>
      <c r="Q1395" s="9" t="b">
        <f aca="false">AND(IF(M1395,0,Y1394)=0,AA1394,IF(ISNUMBER(AE1394),B1395&gt;AE1394,FALSE()))</f>
        <v>0</v>
      </c>
      <c r="R1395" s="8" t="n">
        <f aca="false">B1395*(1+Inputs!$B$12)</f>
        <v>0.83430281574905</v>
      </c>
      <c r="S1395" s="11" t="n">
        <f aca="false">IF(Q1395,MIN(P1395*Inputs!$B$3/(R1395-AE1394),P1395*Inputs!$B$11/R1395),0)</f>
        <v>0</v>
      </c>
      <c r="T1395" s="11" t="n">
        <f aca="false">IF(Q1395,S1395,IF(M1395,0,Y1394))</f>
        <v>0</v>
      </c>
      <c r="U1395" s="8" t="n">
        <f aca="false">IF(Q1395,AE1394,AF1394)</f>
        <v>0.854592691222844</v>
      </c>
      <c r="V1395" s="9" t="b">
        <f aca="false">AND(T1395&gt;0,D1395&lt;=U1395)</f>
        <v>0</v>
      </c>
      <c r="W1395" s="10" t="n">
        <f aca="false">IF(V1395,T1395*(AK1395-AB1395)-Inputs!$B$9-T1395*AD1395*Inputs!$B$13*(A1395-AC1395),0)</f>
        <v>0</v>
      </c>
      <c r="X1395" s="10" t="n">
        <f aca="false">P1395-IF(Q1395,Inputs!$B$9,0)+W1395</f>
        <v>912.311293952437</v>
      </c>
      <c r="Y1395" s="11" t="n">
        <f aca="false">IF(V1395,0,T1395)</f>
        <v>0</v>
      </c>
      <c r="Z1395" s="9" t="b">
        <f aca="false">AND(Y1395&gt;0,K1395)</f>
        <v>0</v>
      </c>
      <c r="AA1395" s="9" t="b">
        <f aca="false">AND(Y1395=0,J1395,ISNUMBER(L1395))</f>
        <v>0</v>
      </c>
      <c r="AB1395" s="8" t="n">
        <f aca="false">IF(Q1395,R1395,AB1394)</f>
        <v>0.874077315692695</v>
      </c>
      <c r="AC1395" s="12" t="n">
        <f aca="false">IF(Q1395,A1395,AC1394)</f>
        <v>46112</v>
      </c>
      <c r="AD1395" s="8" t="n">
        <f aca="false">IF(Q1395,B1395,AD1394)</f>
        <v>0.873902535185658</v>
      </c>
      <c r="AE1395" s="8" t="str">
        <f aca="false">IF(AA1395,L1395,"")</f>
        <v/>
      </c>
      <c r="AF1395" s="8" t="n">
        <f aca="false">U1395</f>
        <v>0.854592691222844</v>
      </c>
      <c r="AG1395" s="2" t="n">
        <f aca="false">AG1394+IF(Q1395,1,0)</f>
        <v>15</v>
      </c>
      <c r="AH1395" s="2" t="n">
        <f aca="false">AG1394</f>
        <v>15</v>
      </c>
      <c r="AI1395" s="10" t="n">
        <f aca="false">X1395+Y1395*(E1395-AB1395)-Y1395*AD1395*Inputs!$B$13*(A1395-AC1395)</f>
        <v>912.311293952437</v>
      </c>
      <c r="AJ1395" s="10" t="n">
        <v>0</v>
      </c>
      <c r="AK1395" s="8" t="n">
        <f aca="false">IF(AND(B1395&lt;=U1395,NOT(Q1395)),B1395,U1395)*(1-Inputs!$B$12)</f>
        <v>0.833969161353629</v>
      </c>
    </row>
    <row r="1396" customFormat="false" ht="15" hidden="false" customHeight="false" outlineLevel="0" collapsed="false">
      <c r="A1396" s="6" t="n">
        <v>46180</v>
      </c>
      <c r="B1396" s="7" t="n">
        <v>0.835893169023246</v>
      </c>
      <c r="C1396" s="7" t="n">
        <v>0.839634996820123</v>
      </c>
      <c r="D1396" s="7" t="n">
        <v>0.832398227997936</v>
      </c>
      <c r="E1396" s="7" t="n">
        <v>0.836348471330078</v>
      </c>
      <c r="F1396" s="8" t="n">
        <f aca="true">IF(ROW()-2&gt;=Inputs!$B$4,AVERAGE(OFFSET(E1396,1-Inputs!$B$4,0,Inputs!$B$4,1)),"")</f>
        <v>0.839157333294464</v>
      </c>
      <c r="G1396" s="8" t="n">
        <f aca="true">IF(ROW()-2&gt;=Inputs!$B$5,AVERAGE(OFFSET(E1396,1-Inputs!$B$5,0,Inputs!$B$5,1)),"")</f>
        <v>0.841428199220949</v>
      </c>
      <c r="H1396" s="8" t="n">
        <f aca="false">MAX(C1396-D1396,ABS(C1396-E1395),ABS(D1396-E1395))</f>
        <v>0.00723676882218671</v>
      </c>
      <c r="I1396" s="8" t="n">
        <f aca="true">IF(ROW()-2&lt;14,"",IF(ROW()-2=14,AVERAGE(OFFSET(H1396,-13,0,14,1)),(I1395*13+H1396)/14))</f>
        <v>0.009103422390116</v>
      </c>
      <c r="J1396" s="9" t="b">
        <f aca="false">IF(AND(ISNUMBER(F1396),ISNUMBER(G1396),ISNUMBER(F1395),ISNUMBER(G1395)),AND(F1396&gt;G1396,F1395&lt;=G1395),FALSE())</f>
        <v>0</v>
      </c>
      <c r="K1396" s="9" t="b">
        <f aca="false">IF(AND(ISNUMBER(F1396),ISNUMBER(G1396),ISNUMBER(F1395),ISNUMBER(G1395)),AND(F1396&lt;G1396,F1395&gt;=G1395),FALSE())</f>
        <v>0</v>
      </c>
      <c r="L1396" s="8" t="n">
        <f aca="false">IF(ISNUMBER(I1396),E1396-Inputs!$B$6*I1396,"")</f>
        <v>0.818141626549846</v>
      </c>
      <c r="M1396" s="9" t="b">
        <f aca="false">AND(Y1395&gt;0,Z1395)</f>
        <v>0</v>
      </c>
      <c r="N1396" s="8" t="n">
        <f aca="false">B1396*(1-Inputs!$B$12)</f>
        <v>0.835725990389441</v>
      </c>
      <c r="O1396" s="10" t="n">
        <f aca="false">IF(M1396,Y1395*(N1396-AB1395)-Inputs!$B$9-Y1395*AD1395*Inputs!$B$13*(A1396-AC1395),0)</f>
        <v>0</v>
      </c>
      <c r="P1396" s="10" t="n">
        <f aca="false">X1395+O1396</f>
        <v>912.311293952437</v>
      </c>
      <c r="Q1396" s="9" t="b">
        <f aca="false">AND(IF(M1396,0,Y1395)=0,AA1395,IF(ISNUMBER(AE1395),B1396&gt;AE1395,FALSE()))</f>
        <v>0</v>
      </c>
      <c r="R1396" s="8" t="n">
        <f aca="false">B1396*(1+Inputs!$B$12)</f>
        <v>0.83606034765705</v>
      </c>
      <c r="S1396" s="11" t="n">
        <f aca="false">IF(Q1396,MIN(P1396*Inputs!$B$3/(R1396-AE1395),P1396*Inputs!$B$11/R1396),0)</f>
        <v>0</v>
      </c>
      <c r="T1396" s="11" t="n">
        <f aca="false">IF(Q1396,S1396,IF(M1396,0,Y1395))</f>
        <v>0</v>
      </c>
      <c r="U1396" s="8" t="n">
        <f aca="false">IF(Q1396,AE1395,AF1395)</f>
        <v>0.854592691222844</v>
      </c>
      <c r="V1396" s="9" t="b">
        <f aca="false">AND(T1396&gt;0,D1396&lt;=U1396)</f>
        <v>0</v>
      </c>
      <c r="W1396" s="10" t="n">
        <f aca="false">IF(V1396,T1396*(AK1396-AB1396)-Inputs!$B$9-T1396*AD1396*Inputs!$B$13*(A1396-AC1396),0)</f>
        <v>0</v>
      </c>
      <c r="X1396" s="10" t="n">
        <f aca="false">P1396-IF(Q1396,Inputs!$B$9,0)+W1396</f>
        <v>912.311293952437</v>
      </c>
      <c r="Y1396" s="11" t="n">
        <f aca="false">IF(V1396,0,T1396)</f>
        <v>0</v>
      </c>
      <c r="Z1396" s="9" t="b">
        <f aca="false">AND(Y1396&gt;0,K1396)</f>
        <v>0</v>
      </c>
      <c r="AA1396" s="9" t="b">
        <f aca="false">AND(Y1396=0,J1396,ISNUMBER(L1396))</f>
        <v>0</v>
      </c>
      <c r="AB1396" s="8" t="n">
        <f aca="false">IF(Q1396,R1396,AB1395)</f>
        <v>0.874077315692695</v>
      </c>
      <c r="AC1396" s="12" t="n">
        <f aca="false">IF(Q1396,A1396,AC1395)</f>
        <v>46112</v>
      </c>
      <c r="AD1396" s="8" t="n">
        <f aca="false">IF(Q1396,B1396,AD1395)</f>
        <v>0.873902535185658</v>
      </c>
      <c r="AE1396" s="8" t="str">
        <f aca="false">IF(AA1396,L1396,"")</f>
        <v/>
      </c>
      <c r="AF1396" s="8" t="n">
        <f aca="false">U1396</f>
        <v>0.854592691222844</v>
      </c>
      <c r="AG1396" s="2" t="n">
        <f aca="false">AG1395+IF(Q1396,1,0)</f>
        <v>15</v>
      </c>
      <c r="AH1396" s="2" t="n">
        <f aca="false">AG1395</f>
        <v>15</v>
      </c>
      <c r="AI1396" s="10" t="n">
        <f aca="false">X1396+Y1396*(E1396-AB1396)-Y1396*AD1396*Inputs!$B$13*(A1396-AC1396)</f>
        <v>912.311293952437</v>
      </c>
      <c r="AJ1396" s="10" t="n">
        <v>0</v>
      </c>
      <c r="AK1396" s="8" t="n">
        <f aca="false">IF(AND(B1396&lt;=U1396,NOT(Q1396)),B1396,U1396)*(1-Inputs!$B$12)</f>
        <v>0.835725990389441</v>
      </c>
    </row>
    <row r="1397" customFormat="false" ht="15" hidden="false" customHeight="false" outlineLevel="0" collapsed="false">
      <c r="A1397" s="6" t="n">
        <v>46181</v>
      </c>
      <c r="B1397" s="7" t="n">
        <v>0.836348471330078</v>
      </c>
      <c r="C1397" s="7" t="n">
        <v>0.839670712450577</v>
      </c>
      <c r="D1397" s="7" t="n">
        <v>0.832514649522509</v>
      </c>
      <c r="E1397" s="7" t="n">
        <v>0.833419328295724</v>
      </c>
      <c r="F1397" s="8" t="n">
        <f aca="true">IF(ROW()-2&gt;=Inputs!$B$4,AVERAGE(OFFSET(E1397,1-Inputs!$B$4,0,Inputs!$B$4,1)),"")</f>
        <v>0.838783264387438</v>
      </c>
      <c r="G1397" s="8" t="n">
        <f aca="true">IF(ROW()-2&gt;=Inputs!$B$5,AVERAGE(OFFSET(E1397,1-Inputs!$B$5,0,Inputs!$B$5,1)),"")</f>
        <v>0.840749362349673</v>
      </c>
      <c r="H1397" s="8" t="n">
        <f aca="false">MAX(C1397-D1397,ABS(C1397-E1396),ABS(D1397-E1396))</f>
        <v>0.00715606292806859</v>
      </c>
      <c r="I1397" s="8" t="n">
        <f aca="true">IF(ROW()-2&lt;14,"",IF(ROW()-2=14,AVERAGE(OFFSET(H1397,-13,0,14,1)),(I1396*13+H1397)/14))</f>
        <v>0.00896432528568404</v>
      </c>
      <c r="J1397" s="9" t="b">
        <f aca="false">IF(AND(ISNUMBER(F1397),ISNUMBER(G1397),ISNUMBER(F1396),ISNUMBER(G1396)),AND(F1397&gt;G1397,F1396&lt;=G1396),FALSE())</f>
        <v>0</v>
      </c>
      <c r="K1397" s="9" t="b">
        <f aca="false">IF(AND(ISNUMBER(F1397),ISNUMBER(G1397),ISNUMBER(F1396),ISNUMBER(G1396)),AND(F1397&lt;G1397,F1396&gt;=G1396),FALSE())</f>
        <v>0</v>
      </c>
      <c r="L1397" s="8" t="n">
        <f aca="false">IF(ISNUMBER(I1397),E1397-Inputs!$B$6*I1397,"")</f>
        <v>0.815490677724356</v>
      </c>
      <c r="M1397" s="9" t="b">
        <f aca="false">AND(Y1396&gt;0,Z1396)</f>
        <v>0</v>
      </c>
      <c r="N1397" s="8" t="n">
        <f aca="false">B1397*(1-Inputs!$B$12)</f>
        <v>0.836181201635812</v>
      </c>
      <c r="O1397" s="10" t="n">
        <f aca="false">IF(M1397,Y1396*(N1397-AB1396)-Inputs!$B$9-Y1396*AD1396*Inputs!$B$13*(A1397-AC1396),0)</f>
        <v>0</v>
      </c>
      <c r="P1397" s="10" t="n">
        <f aca="false">X1396+O1397</f>
        <v>912.311293952437</v>
      </c>
      <c r="Q1397" s="9" t="b">
        <f aca="false">AND(IF(M1397,0,Y1396)=0,AA1396,IF(ISNUMBER(AE1396),B1397&gt;AE1396,FALSE()))</f>
        <v>0</v>
      </c>
      <c r="R1397" s="8" t="n">
        <f aca="false">B1397*(1+Inputs!$B$12)</f>
        <v>0.836515741024344</v>
      </c>
      <c r="S1397" s="11" t="n">
        <f aca="false">IF(Q1397,MIN(P1397*Inputs!$B$3/(R1397-AE1396),P1397*Inputs!$B$11/R1397),0)</f>
        <v>0</v>
      </c>
      <c r="T1397" s="11" t="n">
        <f aca="false">IF(Q1397,S1397,IF(M1397,0,Y1396))</f>
        <v>0</v>
      </c>
      <c r="U1397" s="8" t="n">
        <f aca="false">IF(Q1397,AE1396,AF1396)</f>
        <v>0.854592691222844</v>
      </c>
      <c r="V1397" s="9" t="b">
        <f aca="false">AND(T1397&gt;0,D1397&lt;=U1397)</f>
        <v>0</v>
      </c>
      <c r="W1397" s="10" t="n">
        <f aca="false">IF(V1397,T1397*(AK1397-AB1397)-Inputs!$B$9-T1397*AD1397*Inputs!$B$13*(A1397-AC1397),0)</f>
        <v>0</v>
      </c>
      <c r="X1397" s="10" t="n">
        <f aca="false">P1397-IF(Q1397,Inputs!$B$9,0)+W1397</f>
        <v>912.311293952437</v>
      </c>
      <c r="Y1397" s="11" t="n">
        <f aca="false">IF(V1397,0,T1397)</f>
        <v>0</v>
      </c>
      <c r="Z1397" s="9" t="b">
        <f aca="false">AND(Y1397&gt;0,K1397)</f>
        <v>0</v>
      </c>
      <c r="AA1397" s="9" t="b">
        <f aca="false">AND(Y1397=0,J1397,ISNUMBER(L1397))</f>
        <v>0</v>
      </c>
      <c r="AB1397" s="8" t="n">
        <f aca="false">IF(Q1397,R1397,AB1396)</f>
        <v>0.874077315692695</v>
      </c>
      <c r="AC1397" s="12" t="n">
        <f aca="false">IF(Q1397,A1397,AC1396)</f>
        <v>46112</v>
      </c>
      <c r="AD1397" s="8" t="n">
        <f aca="false">IF(Q1397,B1397,AD1396)</f>
        <v>0.873902535185658</v>
      </c>
      <c r="AE1397" s="8" t="str">
        <f aca="false">IF(AA1397,L1397,"")</f>
        <v/>
      </c>
      <c r="AF1397" s="8" t="n">
        <f aca="false">U1397</f>
        <v>0.854592691222844</v>
      </c>
      <c r="AG1397" s="2" t="n">
        <f aca="false">AG1396+IF(Q1397,1,0)</f>
        <v>15</v>
      </c>
      <c r="AH1397" s="2" t="n">
        <f aca="false">AG1396</f>
        <v>15</v>
      </c>
      <c r="AI1397" s="10" t="n">
        <f aca="false">X1397+Y1397*(E1397-AB1397)-Y1397*AD1397*Inputs!$B$13*(A1397-AC1397)</f>
        <v>912.311293952437</v>
      </c>
      <c r="AJ1397" s="10" t="n">
        <v>0</v>
      </c>
      <c r="AK1397" s="8" t="n">
        <f aca="false">IF(AND(B1397&lt;=U1397,NOT(Q1397)),B1397,U1397)*(1-Inputs!$B$12)</f>
        <v>0.836181201635812</v>
      </c>
    </row>
    <row r="1398" customFormat="false" ht="15" hidden="false" customHeight="false" outlineLevel="0" collapsed="false">
      <c r="A1398" s="6" t="n">
        <v>46182</v>
      </c>
      <c r="B1398" s="7" t="n">
        <v>0.833419328295724</v>
      </c>
      <c r="C1398" s="7" t="n">
        <v>0.841087460871027</v>
      </c>
      <c r="D1398" s="7" t="n">
        <v>0.827941657062071</v>
      </c>
      <c r="E1398" s="7" t="n">
        <v>0.838736333038048</v>
      </c>
      <c r="F1398" s="8" t="n">
        <f aca="true">IF(ROW()-2&gt;=Inputs!$B$4,AVERAGE(OFFSET(E1398,1-Inputs!$B$4,0,Inputs!$B$4,1)),"")</f>
        <v>0.838856586092017</v>
      </c>
      <c r="G1398" s="8" t="n">
        <f aca="true">IF(ROW()-2&gt;=Inputs!$B$5,AVERAGE(OFFSET(E1398,1-Inputs!$B$5,0,Inputs!$B$5,1)),"")</f>
        <v>0.84023533533278</v>
      </c>
      <c r="H1398" s="8" t="n">
        <f aca="false">MAX(C1398-D1398,ABS(C1398-E1397),ABS(D1398-E1397))</f>
        <v>0.0131458038089559</v>
      </c>
      <c r="I1398" s="8" t="n">
        <f aca="true">IF(ROW()-2&lt;14,"",IF(ROW()-2=14,AVERAGE(OFFSET(H1398,-13,0,14,1)),(I1397*13+H1398)/14))</f>
        <v>0.0092630023230606</v>
      </c>
      <c r="J1398" s="9" t="b">
        <f aca="false">IF(AND(ISNUMBER(F1398),ISNUMBER(G1398),ISNUMBER(F1397),ISNUMBER(G1397)),AND(F1398&gt;G1398,F1397&lt;=G1397),FALSE())</f>
        <v>0</v>
      </c>
      <c r="K1398" s="9" t="b">
        <f aca="false">IF(AND(ISNUMBER(F1398),ISNUMBER(G1398),ISNUMBER(F1397),ISNUMBER(G1397)),AND(F1398&lt;G1398,F1397&gt;=G1397),FALSE())</f>
        <v>0</v>
      </c>
      <c r="L1398" s="8" t="n">
        <f aca="false">IF(ISNUMBER(I1398),E1398-Inputs!$B$6*I1398,"")</f>
        <v>0.820210328391927</v>
      </c>
      <c r="M1398" s="9" t="b">
        <f aca="false">AND(Y1397&gt;0,Z1397)</f>
        <v>0</v>
      </c>
      <c r="N1398" s="8" t="n">
        <f aca="false">B1398*(1-Inputs!$B$12)</f>
        <v>0.833252644430065</v>
      </c>
      <c r="O1398" s="10" t="n">
        <f aca="false">IF(M1398,Y1397*(N1398-AB1397)-Inputs!$B$9-Y1397*AD1397*Inputs!$B$13*(A1398-AC1397),0)</f>
        <v>0</v>
      </c>
      <c r="P1398" s="10" t="n">
        <f aca="false">X1397+O1398</f>
        <v>912.311293952437</v>
      </c>
      <c r="Q1398" s="9" t="b">
        <f aca="false">AND(IF(M1398,0,Y1397)=0,AA1397,IF(ISNUMBER(AE1397),B1398&gt;AE1397,FALSE()))</f>
        <v>0</v>
      </c>
      <c r="R1398" s="8" t="n">
        <f aca="false">B1398*(1+Inputs!$B$12)</f>
        <v>0.833586012161384</v>
      </c>
      <c r="S1398" s="11" t="n">
        <f aca="false">IF(Q1398,MIN(P1398*Inputs!$B$3/(R1398-AE1397),P1398*Inputs!$B$11/R1398),0)</f>
        <v>0</v>
      </c>
      <c r="T1398" s="11" t="n">
        <f aca="false">IF(Q1398,S1398,IF(M1398,0,Y1397))</f>
        <v>0</v>
      </c>
      <c r="U1398" s="8" t="n">
        <f aca="false">IF(Q1398,AE1397,AF1397)</f>
        <v>0.854592691222844</v>
      </c>
      <c r="V1398" s="9" t="b">
        <f aca="false">AND(T1398&gt;0,D1398&lt;=U1398)</f>
        <v>0</v>
      </c>
      <c r="W1398" s="10" t="n">
        <f aca="false">IF(V1398,T1398*(AK1398-AB1398)-Inputs!$B$9-T1398*AD1398*Inputs!$B$13*(A1398-AC1398),0)</f>
        <v>0</v>
      </c>
      <c r="X1398" s="10" t="n">
        <f aca="false">P1398-IF(Q1398,Inputs!$B$9,0)+W1398</f>
        <v>912.311293952437</v>
      </c>
      <c r="Y1398" s="11" t="n">
        <f aca="false">IF(V1398,0,T1398)</f>
        <v>0</v>
      </c>
      <c r="Z1398" s="9" t="b">
        <f aca="false">AND(Y1398&gt;0,K1398)</f>
        <v>0</v>
      </c>
      <c r="AA1398" s="9" t="b">
        <f aca="false">AND(Y1398=0,J1398,ISNUMBER(L1398))</f>
        <v>0</v>
      </c>
      <c r="AB1398" s="8" t="n">
        <f aca="false">IF(Q1398,R1398,AB1397)</f>
        <v>0.874077315692695</v>
      </c>
      <c r="AC1398" s="12" t="n">
        <f aca="false">IF(Q1398,A1398,AC1397)</f>
        <v>46112</v>
      </c>
      <c r="AD1398" s="8" t="n">
        <f aca="false">IF(Q1398,B1398,AD1397)</f>
        <v>0.873902535185658</v>
      </c>
      <c r="AE1398" s="8" t="str">
        <f aca="false">IF(AA1398,L1398,"")</f>
        <v/>
      </c>
      <c r="AF1398" s="8" t="n">
        <f aca="false">U1398</f>
        <v>0.854592691222844</v>
      </c>
      <c r="AG1398" s="2" t="n">
        <f aca="false">AG1397+IF(Q1398,1,0)</f>
        <v>15</v>
      </c>
      <c r="AH1398" s="2" t="n">
        <f aca="false">AG1397</f>
        <v>15</v>
      </c>
      <c r="AI1398" s="10" t="n">
        <f aca="false">X1398+Y1398*(E1398-AB1398)-Y1398*AD1398*Inputs!$B$13*(A1398-AC1398)</f>
        <v>912.311293952437</v>
      </c>
      <c r="AJ1398" s="10" t="n">
        <v>0</v>
      </c>
      <c r="AK1398" s="8" t="n">
        <f aca="false">IF(AND(B1398&lt;=U1398,NOT(Q1398)),B1398,U1398)*(1-Inputs!$B$12)</f>
        <v>0.833252644430065</v>
      </c>
    </row>
    <row r="1399" customFormat="false" ht="15" hidden="false" customHeight="false" outlineLevel="0" collapsed="false">
      <c r="A1399" s="6" t="n">
        <v>46183</v>
      </c>
      <c r="B1399" s="7" t="n">
        <v>0.838736333038048</v>
      </c>
      <c r="C1399" s="7" t="n">
        <v>0.844639503228304</v>
      </c>
      <c r="D1399" s="7" t="n">
        <v>0.832733704595995</v>
      </c>
      <c r="E1399" s="7" t="n">
        <v>0.84163246742912</v>
      </c>
      <c r="F1399" s="8" t="n">
        <f aca="true">IF(ROW()-2&gt;=Inputs!$B$4,AVERAGE(OFFSET(E1399,1-Inputs!$B$4,0,Inputs!$B$4,1)),"")</f>
        <v>0.839203812886508</v>
      </c>
      <c r="G1399" s="8" t="n">
        <f aca="true">IF(ROW()-2&gt;=Inputs!$B$5,AVERAGE(OFFSET(E1399,1-Inputs!$B$5,0,Inputs!$B$5,1)),"")</f>
        <v>0.839831075342309</v>
      </c>
      <c r="H1399" s="8" t="n">
        <f aca="false">MAX(C1399-D1399,ABS(C1399-E1398),ABS(D1399-E1398))</f>
        <v>0.0119057986323096</v>
      </c>
      <c r="I1399" s="8" t="n">
        <f aca="true">IF(ROW()-2&lt;14,"",IF(ROW()-2=14,AVERAGE(OFFSET(H1399,-13,0,14,1)),(I1398*13+H1399)/14))</f>
        <v>0.00945177348800696</v>
      </c>
      <c r="J1399" s="9" t="b">
        <f aca="false">IF(AND(ISNUMBER(F1399),ISNUMBER(G1399),ISNUMBER(F1398),ISNUMBER(G1398)),AND(F1399&gt;G1399,F1398&lt;=G1398),FALSE())</f>
        <v>0</v>
      </c>
      <c r="K1399" s="9" t="b">
        <f aca="false">IF(AND(ISNUMBER(F1399),ISNUMBER(G1399),ISNUMBER(F1398),ISNUMBER(G1398)),AND(F1399&lt;G1399,F1398&gt;=G1398),FALSE())</f>
        <v>0</v>
      </c>
      <c r="L1399" s="8" t="n">
        <f aca="false">IF(ISNUMBER(I1399),E1399-Inputs!$B$6*I1399,"")</f>
        <v>0.822728920453106</v>
      </c>
      <c r="M1399" s="9" t="b">
        <f aca="false">AND(Y1398&gt;0,Z1398)</f>
        <v>0</v>
      </c>
      <c r="N1399" s="8" t="n">
        <f aca="false">B1399*(1-Inputs!$B$12)</f>
        <v>0.83856858577144</v>
      </c>
      <c r="O1399" s="10" t="n">
        <f aca="false">IF(M1399,Y1398*(N1399-AB1398)-Inputs!$B$9-Y1398*AD1398*Inputs!$B$13*(A1399-AC1398),0)</f>
        <v>0</v>
      </c>
      <c r="P1399" s="10" t="n">
        <f aca="false">X1398+O1399</f>
        <v>912.311293952437</v>
      </c>
      <c r="Q1399" s="9" t="b">
        <f aca="false">AND(IF(M1399,0,Y1398)=0,AA1398,IF(ISNUMBER(AE1398),B1399&gt;AE1398,FALSE()))</f>
        <v>0</v>
      </c>
      <c r="R1399" s="8" t="n">
        <f aca="false">B1399*(1+Inputs!$B$12)</f>
        <v>0.838904080304656</v>
      </c>
      <c r="S1399" s="11" t="n">
        <f aca="false">IF(Q1399,MIN(P1399*Inputs!$B$3/(R1399-AE1398),P1399*Inputs!$B$11/R1399),0)</f>
        <v>0</v>
      </c>
      <c r="T1399" s="11" t="n">
        <f aca="false">IF(Q1399,S1399,IF(M1399,0,Y1398))</f>
        <v>0</v>
      </c>
      <c r="U1399" s="8" t="n">
        <f aca="false">IF(Q1399,AE1398,AF1398)</f>
        <v>0.854592691222844</v>
      </c>
      <c r="V1399" s="9" t="b">
        <f aca="false">AND(T1399&gt;0,D1399&lt;=U1399)</f>
        <v>0</v>
      </c>
      <c r="W1399" s="10" t="n">
        <f aca="false">IF(V1399,T1399*(AK1399-AB1399)-Inputs!$B$9-T1399*AD1399*Inputs!$B$13*(A1399-AC1399),0)</f>
        <v>0</v>
      </c>
      <c r="X1399" s="10" t="n">
        <f aca="false">P1399-IF(Q1399,Inputs!$B$9,0)+W1399</f>
        <v>912.311293952437</v>
      </c>
      <c r="Y1399" s="11" t="n">
        <f aca="false">IF(V1399,0,T1399)</f>
        <v>0</v>
      </c>
      <c r="Z1399" s="9" t="b">
        <f aca="false">AND(Y1399&gt;0,K1399)</f>
        <v>0</v>
      </c>
      <c r="AA1399" s="9" t="b">
        <f aca="false">AND(Y1399=0,J1399,ISNUMBER(L1399))</f>
        <v>0</v>
      </c>
      <c r="AB1399" s="8" t="n">
        <f aca="false">IF(Q1399,R1399,AB1398)</f>
        <v>0.874077315692695</v>
      </c>
      <c r="AC1399" s="12" t="n">
        <f aca="false">IF(Q1399,A1399,AC1398)</f>
        <v>46112</v>
      </c>
      <c r="AD1399" s="8" t="n">
        <f aca="false">IF(Q1399,B1399,AD1398)</f>
        <v>0.873902535185658</v>
      </c>
      <c r="AE1399" s="8" t="str">
        <f aca="false">IF(AA1399,L1399,"")</f>
        <v/>
      </c>
      <c r="AF1399" s="8" t="n">
        <f aca="false">U1399</f>
        <v>0.854592691222844</v>
      </c>
      <c r="AG1399" s="2" t="n">
        <f aca="false">AG1398+IF(Q1399,1,0)</f>
        <v>15</v>
      </c>
      <c r="AH1399" s="2" t="n">
        <f aca="false">AG1398</f>
        <v>15</v>
      </c>
      <c r="AI1399" s="10" t="n">
        <f aca="false">X1399+Y1399*(E1399-AB1399)-Y1399*AD1399*Inputs!$B$13*(A1399-AC1399)</f>
        <v>912.311293952437</v>
      </c>
      <c r="AJ1399" s="10" t="n">
        <v>0</v>
      </c>
      <c r="AK1399" s="8" t="n">
        <f aca="false">IF(AND(B1399&lt;=U1399,NOT(Q1399)),B1399,U1399)*(1-Inputs!$B$12)</f>
        <v>0.83856858577144</v>
      </c>
    </row>
    <row r="1400" customFormat="false" ht="15" hidden="false" customHeight="false" outlineLevel="0" collapsed="false">
      <c r="A1400" s="6" t="n">
        <v>46184</v>
      </c>
      <c r="B1400" s="7" t="n">
        <v>0.84163246742912</v>
      </c>
      <c r="C1400" s="7" t="n">
        <v>0.846837807584434</v>
      </c>
      <c r="D1400" s="7" t="n">
        <v>0.841580624165869</v>
      </c>
      <c r="E1400" s="7" t="n">
        <v>0.845605061398176</v>
      </c>
      <c r="F1400" s="8" t="n">
        <f aca="true">IF(ROW()-2&gt;=Inputs!$B$4,AVERAGE(OFFSET(E1400,1-Inputs!$B$4,0,Inputs!$B$4,1)),"")</f>
        <v>0.839243141181499</v>
      </c>
      <c r="G1400" s="8" t="n">
        <f aca="true">IF(ROW()-2&gt;=Inputs!$B$5,AVERAGE(OFFSET(E1400,1-Inputs!$B$5,0,Inputs!$B$5,1)),"")</f>
        <v>0.839566035609264</v>
      </c>
      <c r="H1400" s="8" t="n">
        <f aca="false">MAX(C1400-D1400,ABS(C1400-E1399),ABS(D1400-E1399))</f>
        <v>0.00525718341856496</v>
      </c>
      <c r="I1400" s="8" t="n">
        <f aca="true">IF(ROW()-2&lt;14,"",IF(ROW()-2=14,AVERAGE(OFFSET(H1400,-13,0,14,1)),(I1399*13+H1400)/14))</f>
        <v>0.00915215991161824</v>
      </c>
      <c r="J1400" s="9" t="b">
        <f aca="false">IF(AND(ISNUMBER(F1400),ISNUMBER(G1400),ISNUMBER(F1399),ISNUMBER(G1399)),AND(F1400&gt;G1400,F1399&lt;=G1399),FALSE())</f>
        <v>0</v>
      </c>
      <c r="K1400" s="9" t="b">
        <f aca="false">IF(AND(ISNUMBER(F1400),ISNUMBER(G1400),ISNUMBER(F1399),ISNUMBER(G1399)),AND(F1400&lt;G1400,F1399&gt;=G1399),FALSE())</f>
        <v>0</v>
      </c>
      <c r="L1400" s="8" t="n">
        <f aca="false">IF(ISNUMBER(I1400),E1400-Inputs!$B$6*I1400,"")</f>
        <v>0.827300741574939</v>
      </c>
      <c r="M1400" s="9" t="b">
        <f aca="false">AND(Y1399&gt;0,Z1399)</f>
        <v>0</v>
      </c>
      <c r="N1400" s="8" t="n">
        <f aca="false">B1400*(1-Inputs!$B$12)</f>
        <v>0.841464140935634</v>
      </c>
      <c r="O1400" s="10" t="n">
        <f aca="false">IF(M1400,Y1399*(N1400-AB1399)-Inputs!$B$9-Y1399*AD1399*Inputs!$B$13*(A1400-AC1399),0)</f>
        <v>0</v>
      </c>
      <c r="P1400" s="10" t="n">
        <f aca="false">X1399+O1400</f>
        <v>912.311293952437</v>
      </c>
      <c r="Q1400" s="9" t="b">
        <f aca="false">AND(IF(M1400,0,Y1399)=0,AA1399,IF(ISNUMBER(AE1399),B1400&gt;AE1399,FALSE()))</f>
        <v>0</v>
      </c>
      <c r="R1400" s="8" t="n">
        <f aca="false">B1400*(1+Inputs!$B$12)</f>
        <v>0.841800793922606</v>
      </c>
      <c r="S1400" s="11" t="n">
        <f aca="false">IF(Q1400,MIN(P1400*Inputs!$B$3/(R1400-AE1399),P1400*Inputs!$B$11/R1400),0)</f>
        <v>0</v>
      </c>
      <c r="T1400" s="11" t="n">
        <f aca="false">IF(Q1400,S1400,IF(M1400,0,Y1399))</f>
        <v>0</v>
      </c>
      <c r="U1400" s="8" t="n">
        <f aca="false">IF(Q1400,AE1399,AF1399)</f>
        <v>0.854592691222844</v>
      </c>
      <c r="V1400" s="9" t="b">
        <f aca="false">AND(T1400&gt;0,D1400&lt;=U1400)</f>
        <v>0</v>
      </c>
      <c r="W1400" s="10" t="n">
        <f aca="false">IF(V1400,T1400*(AK1400-AB1400)-Inputs!$B$9-T1400*AD1400*Inputs!$B$13*(A1400-AC1400),0)</f>
        <v>0</v>
      </c>
      <c r="X1400" s="10" t="n">
        <f aca="false">P1400-IF(Q1400,Inputs!$B$9,0)+W1400</f>
        <v>912.311293952437</v>
      </c>
      <c r="Y1400" s="11" t="n">
        <f aca="false">IF(V1400,0,T1400)</f>
        <v>0</v>
      </c>
      <c r="Z1400" s="9" t="b">
        <f aca="false">AND(Y1400&gt;0,K1400)</f>
        <v>0</v>
      </c>
      <c r="AA1400" s="9" t="b">
        <f aca="false">AND(Y1400=0,J1400,ISNUMBER(L1400))</f>
        <v>0</v>
      </c>
      <c r="AB1400" s="8" t="n">
        <f aca="false">IF(Q1400,R1400,AB1399)</f>
        <v>0.874077315692695</v>
      </c>
      <c r="AC1400" s="12" t="n">
        <f aca="false">IF(Q1400,A1400,AC1399)</f>
        <v>46112</v>
      </c>
      <c r="AD1400" s="8" t="n">
        <f aca="false">IF(Q1400,B1400,AD1399)</f>
        <v>0.873902535185658</v>
      </c>
      <c r="AE1400" s="8" t="str">
        <f aca="false">IF(AA1400,L1400,"")</f>
        <v/>
      </c>
      <c r="AF1400" s="8" t="n">
        <f aca="false">U1400</f>
        <v>0.854592691222844</v>
      </c>
      <c r="AG1400" s="2" t="n">
        <f aca="false">AG1399+IF(Q1400,1,0)</f>
        <v>15</v>
      </c>
      <c r="AH1400" s="2" t="n">
        <f aca="false">AG1399</f>
        <v>15</v>
      </c>
      <c r="AI1400" s="10" t="n">
        <f aca="false">X1400+Y1400*(E1400-AB1400)-Y1400*AD1400*Inputs!$B$13*(A1400-AC1400)</f>
        <v>912.311293952437</v>
      </c>
      <c r="AJ1400" s="10" t="n">
        <v>0</v>
      </c>
      <c r="AK1400" s="8" t="n">
        <f aca="false">IF(AND(B1400&lt;=U1400,NOT(Q1400)),B1400,U1400)*(1-Inputs!$B$12)</f>
        <v>0.841464140935634</v>
      </c>
    </row>
    <row r="1401" customFormat="false" ht="15" hidden="false" customHeight="false" outlineLevel="0" collapsed="false">
      <c r="A1401" s="6" t="n">
        <v>46185</v>
      </c>
      <c r="B1401" s="7" t="n">
        <v>0.845605061398176</v>
      </c>
      <c r="C1401" s="7" t="n">
        <v>0.848226189018162</v>
      </c>
      <c r="D1401" s="7" t="n">
        <v>0.833739918590236</v>
      </c>
      <c r="E1401" s="7" t="n">
        <v>0.837875964869684</v>
      </c>
      <c r="F1401" s="8" t="n">
        <f aca="true">IF(ROW()-2&gt;=Inputs!$B$4,AVERAGE(OFFSET(E1401,1-Inputs!$B$4,0,Inputs!$B$4,1)),"")</f>
        <v>0.83864504841464</v>
      </c>
      <c r="G1401" s="8" t="n">
        <f aca="true">IF(ROW()-2&gt;=Inputs!$B$5,AVERAGE(OFFSET(E1401,1-Inputs!$B$5,0,Inputs!$B$5,1)),"")</f>
        <v>0.839279304594084</v>
      </c>
      <c r="H1401" s="8" t="n">
        <f aca="false">MAX(C1401-D1401,ABS(C1401-E1400),ABS(D1401-E1400))</f>
        <v>0.0144862704279262</v>
      </c>
      <c r="I1401" s="8" t="n">
        <f aca="true">IF(ROW()-2&lt;14,"",IF(ROW()-2=14,AVERAGE(OFFSET(H1401,-13,0,14,1)),(I1400*13+H1401)/14))</f>
        <v>0.00953316780564024</v>
      </c>
      <c r="J1401" s="9" t="b">
        <f aca="false">IF(AND(ISNUMBER(F1401),ISNUMBER(G1401),ISNUMBER(F1400),ISNUMBER(G1400)),AND(F1401&gt;G1401,F1400&lt;=G1400),FALSE())</f>
        <v>0</v>
      </c>
      <c r="K1401" s="9" t="b">
        <f aca="false">IF(AND(ISNUMBER(F1401),ISNUMBER(G1401),ISNUMBER(F1400),ISNUMBER(G1400)),AND(F1401&lt;G1401,F1400&gt;=G1400),FALSE())</f>
        <v>0</v>
      </c>
      <c r="L1401" s="8" t="n">
        <f aca="false">IF(ISNUMBER(I1401),E1401-Inputs!$B$6*I1401,"")</f>
        <v>0.818809629258404</v>
      </c>
      <c r="M1401" s="9" t="b">
        <f aca="false">AND(Y1400&gt;0,Z1400)</f>
        <v>0</v>
      </c>
      <c r="N1401" s="8" t="n">
        <f aca="false">B1401*(1-Inputs!$B$12)</f>
        <v>0.845435940385896</v>
      </c>
      <c r="O1401" s="10" t="n">
        <f aca="false">IF(M1401,Y1400*(N1401-AB1400)-Inputs!$B$9-Y1400*AD1400*Inputs!$B$13*(A1401-AC1400),0)</f>
        <v>0</v>
      </c>
      <c r="P1401" s="10" t="n">
        <f aca="false">X1400+O1401</f>
        <v>912.311293952437</v>
      </c>
      <c r="Q1401" s="9" t="b">
        <f aca="false">AND(IF(M1401,0,Y1400)=0,AA1400,IF(ISNUMBER(AE1400),B1401&gt;AE1400,FALSE()))</f>
        <v>0</v>
      </c>
      <c r="R1401" s="8" t="n">
        <f aca="false">B1401*(1+Inputs!$B$12)</f>
        <v>0.845774182410455</v>
      </c>
      <c r="S1401" s="11" t="n">
        <f aca="false">IF(Q1401,MIN(P1401*Inputs!$B$3/(R1401-AE1400),P1401*Inputs!$B$11/R1401),0)</f>
        <v>0</v>
      </c>
      <c r="T1401" s="11" t="n">
        <f aca="false">IF(Q1401,S1401,IF(M1401,0,Y1400))</f>
        <v>0</v>
      </c>
      <c r="U1401" s="8" t="n">
        <f aca="false">IF(Q1401,AE1400,AF1400)</f>
        <v>0.854592691222844</v>
      </c>
      <c r="V1401" s="9" t="b">
        <f aca="false">AND(T1401&gt;0,D1401&lt;=U1401)</f>
        <v>0</v>
      </c>
      <c r="W1401" s="10" t="n">
        <f aca="false">IF(V1401,T1401*(AK1401-AB1401)-Inputs!$B$9-T1401*AD1401*Inputs!$B$13*(A1401-AC1401),0)</f>
        <v>0</v>
      </c>
      <c r="X1401" s="10" t="n">
        <f aca="false">P1401-IF(Q1401,Inputs!$B$9,0)+W1401</f>
        <v>912.311293952437</v>
      </c>
      <c r="Y1401" s="11" t="n">
        <f aca="false">IF(V1401,0,T1401)</f>
        <v>0</v>
      </c>
      <c r="Z1401" s="9" t="b">
        <f aca="false">AND(Y1401&gt;0,K1401)</f>
        <v>0</v>
      </c>
      <c r="AA1401" s="9" t="b">
        <f aca="false">AND(Y1401=0,J1401,ISNUMBER(L1401))</f>
        <v>0</v>
      </c>
      <c r="AB1401" s="8" t="n">
        <f aca="false">IF(Q1401,R1401,AB1400)</f>
        <v>0.874077315692695</v>
      </c>
      <c r="AC1401" s="12" t="n">
        <f aca="false">IF(Q1401,A1401,AC1400)</f>
        <v>46112</v>
      </c>
      <c r="AD1401" s="8" t="n">
        <f aca="false">IF(Q1401,B1401,AD1400)</f>
        <v>0.873902535185658</v>
      </c>
      <c r="AE1401" s="8" t="str">
        <f aca="false">IF(AA1401,L1401,"")</f>
        <v/>
      </c>
      <c r="AF1401" s="8" t="n">
        <f aca="false">U1401</f>
        <v>0.854592691222844</v>
      </c>
      <c r="AG1401" s="2" t="n">
        <f aca="false">AG1400+IF(Q1401,1,0)</f>
        <v>15</v>
      </c>
      <c r="AH1401" s="2" t="n">
        <f aca="false">AG1400</f>
        <v>15</v>
      </c>
      <c r="AI1401" s="10" t="n">
        <f aca="false">X1401+Y1401*(E1401-AB1401)-Y1401*AD1401*Inputs!$B$13*(A1401-AC1401)</f>
        <v>912.311293952437</v>
      </c>
      <c r="AJ1401" s="10" t="n">
        <v>0</v>
      </c>
      <c r="AK1401" s="8" t="n">
        <f aca="false">IF(AND(B1401&lt;=U1401,NOT(Q1401)),B1401,U1401)*(1-Inputs!$B$12)</f>
        <v>0.845435940385896</v>
      </c>
    </row>
    <row r="1402" customFormat="false" ht="15" hidden="false" customHeight="false" outlineLevel="0" collapsed="false">
      <c r="A1402" s="6" t="n">
        <v>46186</v>
      </c>
      <c r="B1402" s="7" t="n">
        <v>0.837875964869684</v>
      </c>
      <c r="C1402" s="7" t="n">
        <v>0.841577769115438</v>
      </c>
      <c r="D1402" s="7" t="n">
        <v>0.836932645555282</v>
      </c>
      <c r="E1402" s="7" t="n">
        <v>0.839890236365189</v>
      </c>
      <c r="F1402" s="8" t="n">
        <f aca="true">IF(ROW()-2&gt;=Inputs!$B$4,AVERAGE(OFFSET(E1402,1-Inputs!$B$4,0,Inputs!$B$4,1)),"")</f>
        <v>0.838288675985918</v>
      </c>
      <c r="G1402" s="8" t="n">
        <f aca="true">IF(ROW()-2&gt;=Inputs!$B$5,AVERAGE(OFFSET(E1402,1-Inputs!$B$5,0,Inputs!$B$5,1)),"")</f>
        <v>0.839021493535144</v>
      </c>
      <c r="H1402" s="8" t="n">
        <f aca="false">MAX(C1402-D1402,ABS(C1402-E1401),ABS(D1402-E1401))</f>
        <v>0.00464512356015612</v>
      </c>
      <c r="I1402" s="8" t="n">
        <f aca="true">IF(ROW()-2&lt;14,"",IF(ROW()-2=14,AVERAGE(OFFSET(H1402,-13,0,14,1)),(I1401*13+H1402)/14))</f>
        <v>0.00918402178810566</v>
      </c>
      <c r="J1402" s="9" t="b">
        <f aca="false">IF(AND(ISNUMBER(F1402),ISNUMBER(G1402),ISNUMBER(F1401),ISNUMBER(G1401)),AND(F1402&gt;G1402,F1401&lt;=G1401),FALSE())</f>
        <v>0</v>
      </c>
      <c r="K1402" s="9" t="b">
        <f aca="false">IF(AND(ISNUMBER(F1402),ISNUMBER(G1402),ISNUMBER(F1401),ISNUMBER(G1401)),AND(F1402&lt;G1402,F1401&gt;=G1401),FALSE())</f>
        <v>0</v>
      </c>
      <c r="L1402" s="8" t="n">
        <f aca="false">IF(ISNUMBER(I1402),E1402-Inputs!$B$6*I1402,"")</f>
        <v>0.821522192788978</v>
      </c>
      <c r="M1402" s="9" t="b">
        <f aca="false">AND(Y1401&gt;0,Z1401)</f>
        <v>0</v>
      </c>
      <c r="N1402" s="8" t="n">
        <f aca="false">B1402*(1-Inputs!$B$12)</f>
        <v>0.83770838967671</v>
      </c>
      <c r="O1402" s="10" t="n">
        <f aca="false">IF(M1402,Y1401*(N1402-AB1401)-Inputs!$B$9-Y1401*AD1401*Inputs!$B$13*(A1402-AC1401),0)</f>
        <v>0</v>
      </c>
      <c r="P1402" s="10" t="n">
        <f aca="false">X1401+O1402</f>
        <v>912.311293952437</v>
      </c>
      <c r="Q1402" s="9" t="b">
        <f aca="false">AND(IF(M1402,0,Y1401)=0,AA1401,IF(ISNUMBER(AE1401),B1402&gt;AE1401,FALSE()))</f>
        <v>0</v>
      </c>
      <c r="R1402" s="8" t="n">
        <f aca="false">B1402*(1+Inputs!$B$12)</f>
        <v>0.838043540062658</v>
      </c>
      <c r="S1402" s="11" t="n">
        <f aca="false">IF(Q1402,MIN(P1402*Inputs!$B$3/(R1402-AE1401),P1402*Inputs!$B$11/R1402),0)</f>
        <v>0</v>
      </c>
      <c r="T1402" s="11" t="n">
        <f aca="false">IF(Q1402,S1402,IF(M1402,0,Y1401))</f>
        <v>0</v>
      </c>
      <c r="U1402" s="8" t="n">
        <f aca="false">IF(Q1402,AE1401,AF1401)</f>
        <v>0.854592691222844</v>
      </c>
      <c r="V1402" s="9" t="b">
        <f aca="false">AND(T1402&gt;0,D1402&lt;=U1402)</f>
        <v>0</v>
      </c>
      <c r="W1402" s="10" t="n">
        <f aca="false">IF(V1402,T1402*(AK1402-AB1402)-Inputs!$B$9-T1402*AD1402*Inputs!$B$13*(A1402-AC1402),0)</f>
        <v>0</v>
      </c>
      <c r="X1402" s="10" t="n">
        <f aca="false">P1402-IF(Q1402,Inputs!$B$9,0)+W1402</f>
        <v>912.311293952437</v>
      </c>
      <c r="Y1402" s="11" t="n">
        <f aca="false">IF(V1402,0,T1402)</f>
        <v>0</v>
      </c>
      <c r="Z1402" s="9" t="b">
        <f aca="false">AND(Y1402&gt;0,K1402)</f>
        <v>0</v>
      </c>
      <c r="AA1402" s="9" t="b">
        <f aca="false">AND(Y1402=0,J1402,ISNUMBER(L1402))</f>
        <v>0</v>
      </c>
      <c r="AB1402" s="8" t="n">
        <f aca="false">IF(Q1402,R1402,AB1401)</f>
        <v>0.874077315692695</v>
      </c>
      <c r="AC1402" s="12" t="n">
        <f aca="false">IF(Q1402,A1402,AC1401)</f>
        <v>46112</v>
      </c>
      <c r="AD1402" s="8" t="n">
        <f aca="false">IF(Q1402,B1402,AD1401)</f>
        <v>0.873902535185658</v>
      </c>
      <c r="AE1402" s="8" t="str">
        <f aca="false">IF(AA1402,L1402,"")</f>
        <v/>
      </c>
      <c r="AF1402" s="8" t="n">
        <f aca="false">U1402</f>
        <v>0.854592691222844</v>
      </c>
      <c r="AG1402" s="2" t="n">
        <f aca="false">AG1401+IF(Q1402,1,0)</f>
        <v>15</v>
      </c>
      <c r="AH1402" s="2" t="n">
        <f aca="false">AG1401</f>
        <v>15</v>
      </c>
      <c r="AI1402" s="10" t="n">
        <f aca="false">X1402+Y1402*(E1402-AB1402)-Y1402*AD1402*Inputs!$B$13*(A1402-AC1402)</f>
        <v>912.311293952437</v>
      </c>
      <c r="AJ1402" s="10" t="n">
        <v>0</v>
      </c>
      <c r="AK1402" s="8" t="n">
        <f aca="false">IF(AND(B1402&lt;=U1402,NOT(Q1402)),B1402,U1402)*(1-Inputs!$B$12)</f>
        <v>0.83770838967671</v>
      </c>
    </row>
    <row r="1403" customFormat="false" ht="15" hidden="false" customHeight="false" outlineLevel="0" collapsed="false">
      <c r="A1403" s="6" t="n">
        <v>46187</v>
      </c>
      <c r="B1403" s="7" t="n">
        <v>0.839890236365189</v>
      </c>
      <c r="C1403" s="7" t="n">
        <v>0.847429968475218</v>
      </c>
      <c r="D1403" s="7" t="n">
        <v>0.834845606628096</v>
      </c>
      <c r="E1403" s="7" t="n">
        <v>0.842186005452988</v>
      </c>
      <c r="F1403" s="8" t="n">
        <f aca="true">IF(ROW()-2&gt;=Inputs!$B$4,AVERAGE(OFFSET(E1403,1-Inputs!$B$4,0,Inputs!$B$4,1)),"")</f>
        <v>0.838170527573059</v>
      </c>
      <c r="G1403" s="8" t="n">
        <f aca="true">IF(ROW()-2&gt;=Inputs!$B$5,AVERAGE(OFFSET(E1403,1-Inputs!$B$5,0,Inputs!$B$5,1)),"")</f>
        <v>0.838819950239201</v>
      </c>
      <c r="H1403" s="8" t="n">
        <f aca="false">MAX(C1403-D1403,ABS(C1403-E1402),ABS(D1403-E1402))</f>
        <v>0.0125843618471225</v>
      </c>
      <c r="I1403" s="8" t="n">
        <f aca="true">IF(ROW()-2&lt;14,"",IF(ROW()-2=14,AVERAGE(OFFSET(H1403,-13,0,14,1)),(I1402*13+H1403)/14))</f>
        <v>0.00942690322089258</v>
      </c>
      <c r="J1403" s="9" t="b">
        <f aca="false">IF(AND(ISNUMBER(F1403),ISNUMBER(G1403),ISNUMBER(F1402),ISNUMBER(G1402)),AND(F1403&gt;G1403,F1402&lt;=G1402),FALSE())</f>
        <v>0</v>
      </c>
      <c r="K1403" s="9" t="b">
        <f aca="false">IF(AND(ISNUMBER(F1403),ISNUMBER(G1403),ISNUMBER(F1402),ISNUMBER(G1402)),AND(F1403&lt;G1403,F1402&gt;=G1402),FALSE())</f>
        <v>0</v>
      </c>
      <c r="L1403" s="8" t="n">
        <f aca="false">IF(ISNUMBER(I1403),E1403-Inputs!$B$6*I1403,"")</f>
        <v>0.823332199011202</v>
      </c>
      <c r="M1403" s="9" t="b">
        <f aca="false">AND(Y1402&gt;0,Z1402)</f>
        <v>0</v>
      </c>
      <c r="N1403" s="8" t="n">
        <f aca="false">B1403*(1-Inputs!$B$12)</f>
        <v>0.839722258317916</v>
      </c>
      <c r="O1403" s="10" t="n">
        <f aca="false">IF(M1403,Y1402*(N1403-AB1402)-Inputs!$B$9-Y1402*AD1402*Inputs!$B$13*(A1403-AC1402),0)</f>
        <v>0</v>
      </c>
      <c r="P1403" s="10" t="n">
        <f aca="false">X1402+O1403</f>
        <v>912.311293952437</v>
      </c>
      <c r="Q1403" s="9" t="b">
        <f aca="false">AND(IF(M1403,0,Y1402)=0,AA1402,IF(ISNUMBER(AE1402),B1403&gt;AE1402,FALSE()))</f>
        <v>0</v>
      </c>
      <c r="R1403" s="8" t="n">
        <f aca="false">B1403*(1+Inputs!$B$12)</f>
        <v>0.840058214412462</v>
      </c>
      <c r="S1403" s="11" t="n">
        <f aca="false">IF(Q1403,MIN(P1403*Inputs!$B$3/(R1403-AE1402),P1403*Inputs!$B$11/R1403),0)</f>
        <v>0</v>
      </c>
      <c r="T1403" s="11" t="n">
        <f aca="false">IF(Q1403,S1403,IF(M1403,0,Y1402))</f>
        <v>0</v>
      </c>
      <c r="U1403" s="8" t="n">
        <f aca="false">IF(Q1403,AE1402,AF1402)</f>
        <v>0.854592691222844</v>
      </c>
      <c r="V1403" s="9" t="b">
        <f aca="false">AND(T1403&gt;0,D1403&lt;=U1403)</f>
        <v>0</v>
      </c>
      <c r="W1403" s="10" t="n">
        <f aca="false">IF(V1403,T1403*(AK1403-AB1403)-Inputs!$B$9-T1403*AD1403*Inputs!$B$13*(A1403-AC1403),0)</f>
        <v>0</v>
      </c>
      <c r="X1403" s="10" t="n">
        <f aca="false">P1403-IF(Q1403,Inputs!$B$9,0)+W1403</f>
        <v>912.311293952437</v>
      </c>
      <c r="Y1403" s="11" t="n">
        <f aca="false">IF(V1403,0,T1403)</f>
        <v>0</v>
      </c>
      <c r="Z1403" s="9" t="b">
        <f aca="false">AND(Y1403&gt;0,K1403)</f>
        <v>0</v>
      </c>
      <c r="AA1403" s="9" t="b">
        <f aca="false">AND(Y1403=0,J1403,ISNUMBER(L1403))</f>
        <v>0</v>
      </c>
      <c r="AB1403" s="8" t="n">
        <f aca="false">IF(Q1403,R1403,AB1402)</f>
        <v>0.874077315692695</v>
      </c>
      <c r="AC1403" s="12" t="n">
        <f aca="false">IF(Q1403,A1403,AC1402)</f>
        <v>46112</v>
      </c>
      <c r="AD1403" s="8" t="n">
        <f aca="false">IF(Q1403,B1403,AD1402)</f>
        <v>0.873902535185658</v>
      </c>
      <c r="AE1403" s="8" t="str">
        <f aca="false">IF(AA1403,L1403,"")</f>
        <v/>
      </c>
      <c r="AF1403" s="8" t="n">
        <f aca="false">U1403</f>
        <v>0.854592691222844</v>
      </c>
      <c r="AG1403" s="2" t="n">
        <f aca="false">AG1402+IF(Q1403,1,0)</f>
        <v>15</v>
      </c>
      <c r="AH1403" s="2" t="n">
        <f aca="false">AG1402</f>
        <v>15</v>
      </c>
      <c r="AI1403" s="10" t="n">
        <f aca="false">X1403+Y1403*(E1403-AB1403)-Y1403*AD1403*Inputs!$B$13*(A1403-AC1403)</f>
        <v>912.311293952437</v>
      </c>
      <c r="AJ1403" s="10" t="n">
        <v>0</v>
      </c>
      <c r="AK1403" s="8" t="n">
        <f aca="false">IF(AND(B1403&lt;=U1403,NOT(Q1403)),B1403,U1403)*(1-Inputs!$B$12)</f>
        <v>0.839722258317916</v>
      </c>
    </row>
    <row r="1404" customFormat="false" ht="15" hidden="false" customHeight="false" outlineLevel="0" collapsed="false">
      <c r="A1404" s="6" t="n">
        <v>46188</v>
      </c>
      <c r="B1404" s="7" t="n">
        <v>0.842186005452988</v>
      </c>
      <c r="C1404" s="7" t="n">
        <v>0.845793799940324</v>
      </c>
      <c r="D1404" s="7" t="n">
        <v>0.836280923290181</v>
      </c>
      <c r="E1404" s="7" t="n">
        <v>0.836313287443722</v>
      </c>
      <c r="F1404" s="8" t="n">
        <f aca="true">IF(ROW()-2&gt;=Inputs!$B$4,AVERAGE(OFFSET(E1404,1-Inputs!$B$4,0,Inputs!$B$4,1)),"")</f>
        <v>0.838076605309521</v>
      </c>
      <c r="G1404" s="8" t="n">
        <f aca="true">IF(ROW()-2&gt;=Inputs!$B$5,AVERAGE(OFFSET(E1404,1-Inputs!$B$5,0,Inputs!$B$5,1)),"")</f>
        <v>0.838571589646379</v>
      </c>
      <c r="H1404" s="8" t="n">
        <f aca="false">MAX(C1404-D1404,ABS(C1404-E1403),ABS(D1404-E1403))</f>
        <v>0.00951287665014333</v>
      </c>
      <c r="I1404" s="8" t="n">
        <f aca="true">IF(ROW()-2&lt;14,"",IF(ROW()-2=14,AVERAGE(OFFSET(H1404,-13,0,14,1)),(I1403*13+H1404)/14))</f>
        <v>0.00943304418012478</v>
      </c>
      <c r="J1404" s="9" t="b">
        <f aca="false">IF(AND(ISNUMBER(F1404),ISNUMBER(G1404),ISNUMBER(F1403),ISNUMBER(G1403)),AND(F1404&gt;G1404,F1403&lt;=G1403),FALSE())</f>
        <v>0</v>
      </c>
      <c r="K1404" s="9" t="b">
        <f aca="false">IF(AND(ISNUMBER(F1404),ISNUMBER(G1404),ISNUMBER(F1403),ISNUMBER(G1403)),AND(F1404&lt;G1404,F1403&gt;=G1403),FALSE())</f>
        <v>0</v>
      </c>
      <c r="L1404" s="8" t="n">
        <f aca="false">IF(ISNUMBER(I1404),E1404-Inputs!$B$6*I1404,"")</f>
        <v>0.817447199083472</v>
      </c>
      <c r="M1404" s="9" t="b">
        <f aca="false">AND(Y1403&gt;0,Z1403)</f>
        <v>0</v>
      </c>
      <c r="N1404" s="8" t="n">
        <f aca="false">B1404*(1-Inputs!$B$12)</f>
        <v>0.842017568251897</v>
      </c>
      <c r="O1404" s="10" t="n">
        <f aca="false">IF(M1404,Y1403*(N1404-AB1403)-Inputs!$B$9-Y1403*AD1403*Inputs!$B$13*(A1404-AC1403),0)</f>
        <v>0</v>
      </c>
      <c r="P1404" s="10" t="n">
        <f aca="false">X1403+O1404</f>
        <v>912.311293952437</v>
      </c>
      <c r="Q1404" s="9" t="b">
        <f aca="false">AND(IF(M1404,0,Y1403)=0,AA1403,IF(ISNUMBER(AE1403),B1404&gt;AE1403,FALSE()))</f>
        <v>0</v>
      </c>
      <c r="R1404" s="8" t="n">
        <f aca="false">B1404*(1+Inputs!$B$12)</f>
        <v>0.842354442654078</v>
      </c>
      <c r="S1404" s="11" t="n">
        <f aca="false">IF(Q1404,MIN(P1404*Inputs!$B$3/(R1404-AE1403),P1404*Inputs!$B$11/R1404),0)</f>
        <v>0</v>
      </c>
      <c r="T1404" s="11" t="n">
        <f aca="false">IF(Q1404,S1404,IF(M1404,0,Y1403))</f>
        <v>0</v>
      </c>
      <c r="U1404" s="8" t="n">
        <f aca="false">IF(Q1404,AE1403,AF1403)</f>
        <v>0.854592691222844</v>
      </c>
      <c r="V1404" s="9" t="b">
        <f aca="false">AND(T1404&gt;0,D1404&lt;=U1404)</f>
        <v>0</v>
      </c>
      <c r="W1404" s="10" t="n">
        <f aca="false">IF(V1404,T1404*(AK1404-AB1404)-Inputs!$B$9-T1404*AD1404*Inputs!$B$13*(A1404-AC1404),0)</f>
        <v>0</v>
      </c>
      <c r="X1404" s="10" t="n">
        <f aca="false">P1404-IF(Q1404,Inputs!$B$9,0)+W1404</f>
        <v>912.311293952437</v>
      </c>
      <c r="Y1404" s="11" t="n">
        <f aca="false">IF(V1404,0,T1404)</f>
        <v>0</v>
      </c>
      <c r="Z1404" s="9" t="b">
        <f aca="false">AND(Y1404&gt;0,K1404)</f>
        <v>0</v>
      </c>
      <c r="AA1404" s="9" t="b">
        <f aca="false">AND(Y1404=0,J1404,ISNUMBER(L1404))</f>
        <v>0</v>
      </c>
      <c r="AB1404" s="8" t="n">
        <f aca="false">IF(Q1404,R1404,AB1403)</f>
        <v>0.874077315692695</v>
      </c>
      <c r="AC1404" s="12" t="n">
        <f aca="false">IF(Q1404,A1404,AC1403)</f>
        <v>46112</v>
      </c>
      <c r="AD1404" s="8" t="n">
        <f aca="false">IF(Q1404,B1404,AD1403)</f>
        <v>0.873902535185658</v>
      </c>
      <c r="AE1404" s="8" t="str">
        <f aca="false">IF(AA1404,L1404,"")</f>
        <v/>
      </c>
      <c r="AF1404" s="8" t="n">
        <f aca="false">U1404</f>
        <v>0.854592691222844</v>
      </c>
      <c r="AG1404" s="2" t="n">
        <f aca="false">AG1403+IF(Q1404,1,0)</f>
        <v>15</v>
      </c>
      <c r="AH1404" s="2" t="n">
        <f aca="false">AG1403</f>
        <v>15</v>
      </c>
      <c r="AI1404" s="10" t="n">
        <f aca="false">X1404+Y1404*(E1404-AB1404)-Y1404*AD1404*Inputs!$B$13*(A1404-AC1404)</f>
        <v>912.311293952437</v>
      </c>
      <c r="AJ1404" s="10" t="n">
        <v>0</v>
      </c>
      <c r="AK1404" s="8" t="n">
        <f aca="false">IF(AND(B1404&lt;=U1404,NOT(Q1404)),B1404,U1404)*(1-Inputs!$B$12)</f>
        <v>0.842017568251897</v>
      </c>
    </row>
    <row r="1405" customFormat="false" ht="15" hidden="false" customHeight="false" outlineLevel="0" collapsed="false">
      <c r="A1405" s="6" t="n">
        <v>46189</v>
      </c>
      <c r="B1405" s="7" t="n">
        <v>0.836313287443722</v>
      </c>
      <c r="C1405" s="7" t="n">
        <v>0.837075038207214</v>
      </c>
      <c r="D1405" s="7" t="n">
        <v>0.83449394383599</v>
      </c>
      <c r="E1405" s="7" t="n">
        <v>0.834657958716857</v>
      </c>
      <c r="F1405" s="8" t="n">
        <f aca="true">IF(ROW()-2&gt;=Inputs!$B$4,AVERAGE(OFFSET(E1405,1-Inputs!$B$4,0,Inputs!$B$4,1)),"")</f>
        <v>0.837820762501202</v>
      </c>
      <c r="G1405" s="8" t="n">
        <f aca="true">IF(ROW()-2&gt;=Inputs!$B$5,AVERAGE(OFFSET(E1405,1-Inputs!$B$5,0,Inputs!$B$5,1)),"")</f>
        <v>0.838172477510795</v>
      </c>
      <c r="H1405" s="8" t="n">
        <f aca="false">MAX(C1405-D1405,ABS(C1405-E1404),ABS(D1405-E1404))</f>
        <v>0.00258109437122356</v>
      </c>
      <c r="I1405" s="8" t="n">
        <f aca="true">IF(ROW()-2&lt;14,"",IF(ROW()-2=14,AVERAGE(OFFSET(H1405,-13,0,14,1)),(I1404*13+H1405)/14))</f>
        <v>0.00894361919377469</v>
      </c>
      <c r="J1405" s="9" t="b">
        <f aca="false">IF(AND(ISNUMBER(F1405),ISNUMBER(G1405),ISNUMBER(F1404),ISNUMBER(G1404)),AND(F1405&gt;G1405,F1404&lt;=G1404),FALSE())</f>
        <v>0</v>
      </c>
      <c r="K1405" s="9" t="b">
        <f aca="false">IF(AND(ISNUMBER(F1405),ISNUMBER(G1405),ISNUMBER(F1404),ISNUMBER(G1404)),AND(F1405&lt;G1405,F1404&gt;=G1404),FALSE())</f>
        <v>0</v>
      </c>
      <c r="L1405" s="8" t="n">
        <f aca="false">IF(ISNUMBER(I1405),E1405-Inputs!$B$6*I1405,"")</f>
        <v>0.816770720329308</v>
      </c>
      <c r="M1405" s="9" t="b">
        <f aca="false">AND(Y1404&gt;0,Z1404)</f>
        <v>0</v>
      </c>
      <c r="N1405" s="8" t="n">
        <f aca="false">B1405*(1-Inputs!$B$12)</f>
        <v>0.836146024786233</v>
      </c>
      <c r="O1405" s="10" t="n">
        <f aca="false">IF(M1405,Y1404*(N1405-AB1404)-Inputs!$B$9-Y1404*AD1404*Inputs!$B$13*(A1405-AC1404),0)</f>
        <v>0</v>
      </c>
      <c r="P1405" s="10" t="n">
        <f aca="false">X1404+O1405</f>
        <v>912.311293952437</v>
      </c>
      <c r="Q1405" s="9" t="b">
        <f aca="false">AND(IF(M1405,0,Y1404)=0,AA1404,IF(ISNUMBER(AE1404),B1405&gt;AE1404,FALSE()))</f>
        <v>0</v>
      </c>
      <c r="R1405" s="8" t="n">
        <f aca="false">B1405*(1+Inputs!$B$12)</f>
        <v>0.83648055010121</v>
      </c>
      <c r="S1405" s="11" t="n">
        <f aca="false">IF(Q1405,MIN(P1405*Inputs!$B$3/(R1405-AE1404),P1405*Inputs!$B$11/R1405),0)</f>
        <v>0</v>
      </c>
      <c r="T1405" s="11" t="n">
        <f aca="false">IF(Q1405,S1405,IF(M1405,0,Y1404))</f>
        <v>0</v>
      </c>
      <c r="U1405" s="8" t="n">
        <f aca="false">IF(Q1405,AE1404,AF1404)</f>
        <v>0.854592691222844</v>
      </c>
      <c r="V1405" s="9" t="b">
        <f aca="false">AND(T1405&gt;0,D1405&lt;=U1405)</f>
        <v>0</v>
      </c>
      <c r="W1405" s="10" t="n">
        <f aca="false">IF(V1405,T1405*(AK1405-AB1405)-Inputs!$B$9-T1405*AD1405*Inputs!$B$13*(A1405-AC1405),0)</f>
        <v>0</v>
      </c>
      <c r="X1405" s="10" t="n">
        <f aca="false">P1405-IF(Q1405,Inputs!$B$9,0)+W1405</f>
        <v>912.311293952437</v>
      </c>
      <c r="Y1405" s="11" t="n">
        <f aca="false">IF(V1405,0,T1405)</f>
        <v>0</v>
      </c>
      <c r="Z1405" s="9" t="b">
        <f aca="false">AND(Y1405&gt;0,K1405)</f>
        <v>0</v>
      </c>
      <c r="AA1405" s="9" t="b">
        <f aca="false">AND(Y1405=0,J1405,ISNUMBER(L1405))</f>
        <v>0</v>
      </c>
      <c r="AB1405" s="8" t="n">
        <f aca="false">IF(Q1405,R1405,AB1404)</f>
        <v>0.874077315692695</v>
      </c>
      <c r="AC1405" s="12" t="n">
        <f aca="false">IF(Q1405,A1405,AC1404)</f>
        <v>46112</v>
      </c>
      <c r="AD1405" s="8" t="n">
        <f aca="false">IF(Q1405,B1405,AD1404)</f>
        <v>0.873902535185658</v>
      </c>
      <c r="AE1405" s="8" t="str">
        <f aca="false">IF(AA1405,L1405,"")</f>
        <v/>
      </c>
      <c r="AF1405" s="8" t="n">
        <f aca="false">U1405</f>
        <v>0.854592691222844</v>
      </c>
      <c r="AG1405" s="2" t="n">
        <f aca="false">AG1404+IF(Q1405,1,0)</f>
        <v>15</v>
      </c>
      <c r="AH1405" s="2" t="n">
        <f aca="false">AG1404</f>
        <v>15</v>
      </c>
      <c r="AI1405" s="10" t="n">
        <f aca="false">X1405+Y1405*(E1405-AB1405)-Y1405*AD1405*Inputs!$B$13*(A1405-AC1405)</f>
        <v>912.311293952437</v>
      </c>
      <c r="AJ1405" s="10" t="n">
        <v>0</v>
      </c>
      <c r="AK1405" s="8" t="n">
        <f aca="false">IF(AND(B1405&lt;=U1405,NOT(Q1405)),B1405,U1405)*(1-Inputs!$B$12)</f>
        <v>0.836146024786233</v>
      </c>
    </row>
    <row r="1406" customFormat="false" ht="15" hidden="false" customHeight="false" outlineLevel="0" collapsed="false">
      <c r="A1406" s="6" t="n">
        <v>46190</v>
      </c>
      <c r="B1406" s="7" t="n">
        <v>0.834657958716857</v>
      </c>
      <c r="C1406" s="7" t="n">
        <v>0.837322716580684</v>
      </c>
      <c r="D1406" s="7" t="n">
        <v>0.833949879191564</v>
      </c>
      <c r="E1406" s="7" t="n">
        <v>0.836460312462096</v>
      </c>
      <c r="F1406" s="8" t="n">
        <f aca="true">IF(ROW()-2&gt;=Inputs!$B$4,AVERAGE(OFFSET(E1406,1-Inputs!$B$4,0,Inputs!$B$4,1)),"")</f>
        <v>0.837583426059526</v>
      </c>
      <c r="G1406" s="8" t="n">
        <f aca="true">IF(ROW()-2&gt;=Inputs!$B$5,AVERAGE(OFFSET(E1406,1-Inputs!$B$5,0,Inputs!$B$5,1)),"")</f>
        <v>0.837824745842666</v>
      </c>
      <c r="H1406" s="8" t="n">
        <f aca="false">MAX(C1406-D1406,ABS(C1406-E1405),ABS(D1406-E1405))</f>
        <v>0.00337283738912042</v>
      </c>
      <c r="I1406" s="8" t="n">
        <f aca="true">IF(ROW()-2&lt;14,"",IF(ROW()-2=14,AVERAGE(OFFSET(H1406,-13,0,14,1)),(I1405*13+H1406)/14))</f>
        <v>0.00854570620772796</v>
      </c>
      <c r="J1406" s="9" t="b">
        <f aca="false">IF(AND(ISNUMBER(F1406),ISNUMBER(G1406),ISNUMBER(F1405),ISNUMBER(G1405)),AND(F1406&gt;G1406,F1405&lt;=G1405),FALSE())</f>
        <v>0</v>
      </c>
      <c r="K1406" s="9" t="b">
        <f aca="false">IF(AND(ISNUMBER(F1406),ISNUMBER(G1406),ISNUMBER(F1405),ISNUMBER(G1405)),AND(F1406&lt;G1406,F1405&gt;=G1405),FALSE())</f>
        <v>0</v>
      </c>
      <c r="L1406" s="8" t="n">
        <f aca="false">IF(ISNUMBER(I1406),E1406-Inputs!$B$6*I1406,"")</f>
        <v>0.819368900046641</v>
      </c>
      <c r="M1406" s="9" t="b">
        <f aca="false">AND(Y1405&gt;0,Z1405)</f>
        <v>0</v>
      </c>
      <c r="N1406" s="8" t="n">
        <f aca="false">B1406*(1-Inputs!$B$12)</f>
        <v>0.834491027125114</v>
      </c>
      <c r="O1406" s="10" t="n">
        <f aca="false">IF(M1406,Y1405*(N1406-AB1405)-Inputs!$B$9-Y1405*AD1405*Inputs!$B$13*(A1406-AC1405),0)</f>
        <v>0</v>
      </c>
      <c r="P1406" s="10" t="n">
        <f aca="false">X1405+O1406</f>
        <v>912.311293952437</v>
      </c>
      <c r="Q1406" s="9" t="b">
        <f aca="false">AND(IF(M1406,0,Y1405)=0,AA1405,IF(ISNUMBER(AE1405),B1406&gt;AE1405,FALSE()))</f>
        <v>0</v>
      </c>
      <c r="R1406" s="8" t="n">
        <f aca="false">B1406*(1+Inputs!$B$12)</f>
        <v>0.8348248903086</v>
      </c>
      <c r="S1406" s="11" t="n">
        <f aca="false">IF(Q1406,MIN(P1406*Inputs!$B$3/(R1406-AE1405),P1406*Inputs!$B$11/R1406),0)</f>
        <v>0</v>
      </c>
      <c r="T1406" s="11" t="n">
        <f aca="false">IF(Q1406,S1406,IF(M1406,0,Y1405))</f>
        <v>0</v>
      </c>
      <c r="U1406" s="8" t="n">
        <f aca="false">IF(Q1406,AE1405,AF1405)</f>
        <v>0.854592691222844</v>
      </c>
      <c r="V1406" s="9" t="b">
        <f aca="false">AND(T1406&gt;0,D1406&lt;=U1406)</f>
        <v>0</v>
      </c>
      <c r="W1406" s="10" t="n">
        <f aca="false">IF(V1406,T1406*(AK1406-AB1406)-Inputs!$B$9-T1406*AD1406*Inputs!$B$13*(A1406-AC1406),0)</f>
        <v>0</v>
      </c>
      <c r="X1406" s="10" t="n">
        <f aca="false">P1406-IF(Q1406,Inputs!$B$9,0)+W1406</f>
        <v>912.311293952437</v>
      </c>
      <c r="Y1406" s="11" t="n">
        <f aca="false">IF(V1406,0,T1406)</f>
        <v>0</v>
      </c>
      <c r="Z1406" s="9" t="b">
        <f aca="false">AND(Y1406&gt;0,K1406)</f>
        <v>0</v>
      </c>
      <c r="AA1406" s="9" t="b">
        <f aca="false">AND(Y1406=0,J1406,ISNUMBER(L1406))</f>
        <v>0</v>
      </c>
      <c r="AB1406" s="8" t="n">
        <f aca="false">IF(Q1406,R1406,AB1405)</f>
        <v>0.874077315692695</v>
      </c>
      <c r="AC1406" s="12" t="n">
        <f aca="false">IF(Q1406,A1406,AC1405)</f>
        <v>46112</v>
      </c>
      <c r="AD1406" s="8" t="n">
        <f aca="false">IF(Q1406,B1406,AD1405)</f>
        <v>0.873902535185658</v>
      </c>
      <c r="AE1406" s="8" t="str">
        <f aca="false">IF(AA1406,L1406,"")</f>
        <v/>
      </c>
      <c r="AF1406" s="8" t="n">
        <f aca="false">U1406</f>
        <v>0.854592691222844</v>
      </c>
      <c r="AG1406" s="2" t="n">
        <f aca="false">AG1405+IF(Q1406,1,0)</f>
        <v>15</v>
      </c>
      <c r="AH1406" s="2" t="n">
        <f aca="false">AG1405</f>
        <v>15</v>
      </c>
      <c r="AI1406" s="10" t="n">
        <f aca="false">X1406+Y1406*(E1406-AB1406)-Y1406*AD1406*Inputs!$B$13*(A1406-AC1406)</f>
        <v>912.311293952437</v>
      </c>
      <c r="AJ1406" s="10" t="n">
        <v>0</v>
      </c>
      <c r="AK1406" s="8" t="n">
        <f aca="false">IF(AND(B1406&lt;=U1406,NOT(Q1406)),B1406,U1406)*(1-Inputs!$B$12)</f>
        <v>0.834491027125114</v>
      </c>
    </row>
    <row r="1407" customFormat="false" ht="15" hidden="false" customHeight="false" outlineLevel="0" collapsed="false">
      <c r="A1407" s="6" t="n">
        <v>46191</v>
      </c>
      <c r="B1407" s="7" t="n">
        <v>0.836460312462096</v>
      </c>
      <c r="C1407" s="7" t="n">
        <v>0.839510540769005</v>
      </c>
      <c r="D1407" s="7" t="n">
        <v>0.829966768860058</v>
      </c>
      <c r="E1407" s="7" t="n">
        <v>0.830347145005366</v>
      </c>
      <c r="F1407" s="8" t="n">
        <f aca="true">IF(ROW()-2&gt;=Inputs!$B$4,AVERAGE(OFFSET(E1407,1-Inputs!$B$4,0,Inputs!$B$4,1)),"")</f>
        <v>0.83747713447858</v>
      </c>
      <c r="G1407" s="8" t="n">
        <f aca="true">IF(ROW()-2&gt;=Inputs!$B$5,AVERAGE(OFFSET(E1407,1-Inputs!$B$5,0,Inputs!$B$5,1)),"")</f>
        <v>0.837376196520598</v>
      </c>
      <c r="H1407" s="8" t="n">
        <f aca="false">MAX(C1407-D1407,ABS(C1407-E1406),ABS(D1407-E1406))</f>
        <v>0.00954377190894706</v>
      </c>
      <c r="I1407" s="8" t="n">
        <f aca="true">IF(ROW()-2&lt;14,"",IF(ROW()-2=14,AVERAGE(OFFSET(H1407,-13,0,14,1)),(I1406*13+H1407)/14))</f>
        <v>0.00861699661495789</v>
      </c>
      <c r="J1407" s="9" t="b">
        <f aca="false">IF(AND(ISNUMBER(F1407),ISNUMBER(G1407),ISNUMBER(F1406),ISNUMBER(G1406)),AND(F1407&gt;G1407,F1406&lt;=G1406),FALSE())</f>
        <v>1</v>
      </c>
      <c r="K1407" s="9" t="b">
        <f aca="false">IF(AND(ISNUMBER(F1407),ISNUMBER(G1407),ISNUMBER(F1406),ISNUMBER(G1406)),AND(F1407&lt;G1407,F1406&gt;=G1406),FALSE())</f>
        <v>0</v>
      </c>
      <c r="L1407" s="8" t="n">
        <f aca="false">IF(ISNUMBER(I1407),E1407-Inputs!$B$6*I1407,"")</f>
        <v>0.813113151775451</v>
      </c>
      <c r="M1407" s="9" t="b">
        <f aca="false">AND(Y1406&gt;0,Z1406)</f>
        <v>0</v>
      </c>
      <c r="N1407" s="8" t="n">
        <f aca="false">B1407*(1-Inputs!$B$12)</f>
        <v>0.836293020399604</v>
      </c>
      <c r="O1407" s="10" t="n">
        <f aca="false">IF(M1407,Y1406*(N1407-AB1406)-Inputs!$B$9-Y1406*AD1406*Inputs!$B$13*(A1407-AC1406),0)</f>
        <v>0</v>
      </c>
      <c r="P1407" s="10" t="n">
        <f aca="false">X1406+O1407</f>
        <v>912.311293952437</v>
      </c>
      <c r="Q1407" s="9" t="b">
        <f aca="false">AND(IF(M1407,0,Y1406)=0,AA1406,IF(ISNUMBER(AE1406),B1407&gt;AE1406,FALSE()))</f>
        <v>0</v>
      </c>
      <c r="R1407" s="8" t="n">
        <f aca="false">B1407*(1+Inputs!$B$12)</f>
        <v>0.836627604524589</v>
      </c>
      <c r="S1407" s="11" t="n">
        <f aca="false">IF(Q1407,MIN(P1407*Inputs!$B$3/(R1407-AE1406),P1407*Inputs!$B$11/R1407),0)</f>
        <v>0</v>
      </c>
      <c r="T1407" s="11" t="n">
        <f aca="false">IF(Q1407,S1407,IF(M1407,0,Y1406))</f>
        <v>0</v>
      </c>
      <c r="U1407" s="8" t="n">
        <f aca="false">IF(Q1407,AE1406,AF1406)</f>
        <v>0.854592691222844</v>
      </c>
      <c r="V1407" s="9" t="b">
        <f aca="false">AND(T1407&gt;0,D1407&lt;=U1407)</f>
        <v>0</v>
      </c>
      <c r="W1407" s="10" t="n">
        <f aca="false">IF(V1407,T1407*(AK1407-AB1407)-Inputs!$B$9-T1407*AD1407*Inputs!$B$13*(A1407-AC1407),0)</f>
        <v>0</v>
      </c>
      <c r="X1407" s="10" t="n">
        <f aca="false">P1407-IF(Q1407,Inputs!$B$9,0)+W1407</f>
        <v>912.311293952437</v>
      </c>
      <c r="Y1407" s="11" t="n">
        <f aca="false">IF(V1407,0,T1407)</f>
        <v>0</v>
      </c>
      <c r="Z1407" s="9" t="b">
        <f aca="false">AND(Y1407&gt;0,K1407)</f>
        <v>0</v>
      </c>
      <c r="AA1407" s="9" t="b">
        <f aca="false">AND(Y1407=0,J1407,ISNUMBER(L1407))</f>
        <v>1</v>
      </c>
      <c r="AB1407" s="8" t="n">
        <f aca="false">IF(Q1407,R1407,AB1406)</f>
        <v>0.874077315692695</v>
      </c>
      <c r="AC1407" s="12" t="n">
        <f aca="false">IF(Q1407,A1407,AC1406)</f>
        <v>46112</v>
      </c>
      <c r="AD1407" s="8" t="n">
        <f aca="false">IF(Q1407,B1407,AD1406)</f>
        <v>0.873902535185658</v>
      </c>
      <c r="AE1407" s="8" t="n">
        <f aca="false">IF(AA1407,L1407,"")</f>
        <v>0.813113151775451</v>
      </c>
      <c r="AF1407" s="8" t="n">
        <f aca="false">U1407</f>
        <v>0.854592691222844</v>
      </c>
      <c r="AG1407" s="2" t="n">
        <f aca="false">AG1406+IF(Q1407,1,0)</f>
        <v>15</v>
      </c>
      <c r="AH1407" s="2" t="n">
        <f aca="false">AG1406</f>
        <v>15</v>
      </c>
      <c r="AI1407" s="10" t="n">
        <f aca="false">X1407+Y1407*(E1407-AB1407)-Y1407*AD1407*Inputs!$B$13*(A1407-AC1407)</f>
        <v>912.311293952437</v>
      </c>
      <c r="AJ1407" s="10" t="n">
        <v>0</v>
      </c>
      <c r="AK1407" s="8" t="n">
        <f aca="false">IF(AND(B1407&lt;=U1407,NOT(Q1407)),B1407,U1407)*(1-Inputs!$B$12)</f>
        <v>0.836293020399604</v>
      </c>
    </row>
    <row r="1408" customFormat="false" ht="15" hidden="false" customHeight="false" outlineLevel="0" collapsed="false">
      <c r="A1408" s="6" t="n">
        <v>46192</v>
      </c>
      <c r="B1408" s="7" t="n">
        <v>0.830347145005366</v>
      </c>
      <c r="C1408" s="7" t="n">
        <v>0.833122066383418</v>
      </c>
      <c r="D1408" s="7" t="n">
        <v>0.82748222435811</v>
      </c>
      <c r="E1408" s="7" t="n">
        <v>0.828297130918559</v>
      </c>
      <c r="F1408" s="8" t="n">
        <f aca="true">IF(ROW()-2&gt;=Inputs!$B$4,AVERAGE(OFFSET(E1408,1-Inputs!$B$4,0,Inputs!$B$4,1)),"")</f>
        <v>0.837019134073278</v>
      </c>
      <c r="G1408" s="8" t="n">
        <f aca="true">IF(ROW()-2&gt;=Inputs!$B$5,AVERAGE(OFFSET(E1408,1-Inputs!$B$5,0,Inputs!$B$5,1)),"")</f>
        <v>0.836892749411982</v>
      </c>
      <c r="H1408" s="8" t="n">
        <f aca="false">MAX(C1408-D1408,ABS(C1408-E1407),ABS(D1408-E1407))</f>
        <v>0.00563984202530743</v>
      </c>
      <c r="I1408" s="8" t="n">
        <f aca="true">IF(ROW()-2&lt;14,"",IF(ROW()-2=14,AVERAGE(OFFSET(H1408,-13,0,14,1)),(I1407*13+H1408)/14))</f>
        <v>0.00840434271569714</v>
      </c>
      <c r="J1408" s="9" t="b">
        <f aca="false">IF(AND(ISNUMBER(F1408),ISNUMBER(G1408),ISNUMBER(F1407),ISNUMBER(G1407)),AND(F1408&gt;G1408,F1407&lt;=G1407),FALSE())</f>
        <v>0</v>
      </c>
      <c r="K1408" s="9" t="b">
        <f aca="false">IF(AND(ISNUMBER(F1408),ISNUMBER(G1408),ISNUMBER(F1407),ISNUMBER(G1407)),AND(F1408&lt;G1408,F1407&gt;=G1407),FALSE())</f>
        <v>0</v>
      </c>
      <c r="L1408" s="8" t="n">
        <f aca="false">IF(ISNUMBER(I1408),E1408-Inputs!$B$6*I1408,"")</f>
        <v>0.811488445487165</v>
      </c>
      <c r="M1408" s="9" t="b">
        <f aca="false">AND(Y1407&gt;0,Z1407)</f>
        <v>0</v>
      </c>
      <c r="N1408" s="8" t="n">
        <f aca="false">B1408*(1-Inputs!$B$12)</f>
        <v>0.830181075576365</v>
      </c>
      <c r="O1408" s="10" t="n">
        <f aca="false">IF(M1408,Y1407*(N1408-AB1407)-Inputs!$B$9-Y1407*AD1407*Inputs!$B$13*(A1408-AC1407),0)</f>
        <v>0</v>
      </c>
      <c r="P1408" s="10" t="n">
        <f aca="false">X1407+O1408</f>
        <v>912.311293952437</v>
      </c>
      <c r="Q1408" s="9" t="b">
        <f aca="false">AND(IF(M1408,0,Y1407)=0,AA1407,IF(ISNUMBER(AE1407),B1408&gt;AE1407,FALSE()))</f>
        <v>1</v>
      </c>
      <c r="R1408" s="8" t="n">
        <f aca="false">B1408*(1+Inputs!$B$12)</f>
        <v>0.830513214434368</v>
      </c>
      <c r="S1408" s="11" t="n">
        <f aca="false">IF(Q1408,MIN(P1408*Inputs!$B$3/(R1408-AE1407),P1408*Inputs!$B$11/R1408),0)</f>
        <v>524.314947501013</v>
      </c>
      <c r="T1408" s="11" t="n">
        <f aca="false">IF(Q1408,S1408,IF(M1408,0,Y1407))</f>
        <v>524.314947501013</v>
      </c>
      <c r="U1408" s="8" t="n">
        <f aca="false">IF(Q1408,AE1407,AF1407)</f>
        <v>0.813113151775451</v>
      </c>
      <c r="V1408" s="9" t="b">
        <f aca="false">AND(T1408&gt;0,D1408&lt;=U1408)</f>
        <v>0</v>
      </c>
      <c r="W1408" s="10" t="n">
        <f aca="false">IF(V1408,T1408*(AK1408-AB1408)-Inputs!$B$9-T1408*AD1408*Inputs!$B$13*(A1408-AC1408),0)</f>
        <v>0</v>
      </c>
      <c r="X1408" s="10" t="n">
        <f aca="false">P1408-IF(Q1408,Inputs!$B$9,0)+W1408</f>
        <v>911.311293952437</v>
      </c>
      <c r="Y1408" s="11" t="n">
        <f aca="false">IF(V1408,0,T1408)</f>
        <v>524.314947501013</v>
      </c>
      <c r="Z1408" s="9" t="b">
        <f aca="false">AND(Y1408&gt;0,K1408)</f>
        <v>0</v>
      </c>
      <c r="AA1408" s="9" t="b">
        <f aca="false">AND(Y1408=0,J1408,ISNUMBER(L1408))</f>
        <v>0</v>
      </c>
      <c r="AB1408" s="8" t="n">
        <f aca="false">IF(Q1408,R1408,AB1407)</f>
        <v>0.830513214434368</v>
      </c>
      <c r="AC1408" s="12" t="n">
        <f aca="false">IF(Q1408,A1408,AC1407)</f>
        <v>46192</v>
      </c>
      <c r="AD1408" s="8" t="n">
        <f aca="false">IF(Q1408,B1408,AD1407)</f>
        <v>0.830347145005366</v>
      </c>
      <c r="AE1408" s="8" t="str">
        <f aca="false">IF(AA1408,L1408,"")</f>
        <v/>
      </c>
      <c r="AF1408" s="8" t="n">
        <f aca="false">U1408</f>
        <v>0.813113151775451</v>
      </c>
      <c r="AG1408" s="2" t="n">
        <f aca="false">AG1407+IF(Q1408,1,0)</f>
        <v>16</v>
      </c>
      <c r="AH1408" s="2" t="n">
        <f aca="false">AG1407</f>
        <v>15</v>
      </c>
      <c r="AI1408" s="10" t="n">
        <f aca="false">X1408+Y1408*(E1408-AB1408)-Y1408*AD1408*Inputs!$B$13*(A1408-AC1408)</f>
        <v>910.149368240187</v>
      </c>
      <c r="AJ1408" s="10" t="n">
        <v>0</v>
      </c>
      <c r="AK1408" s="8" t="n">
        <f aca="false">IF(AND(B1408&lt;=U1408,NOT(Q1408)),B1408,U1408)*(1-Inputs!$B$12)</f>
        <v>0.812950529145096</v>
      </c>
    </row>
    <row r="1409" customFormat="false" ht="15" hidden="false" customHeight="false" outlineLevel="0" collapsed="false">
      <c r="A1409" s="6" t="n">
        <v>46193</v>
      </c>
      <c r="B1409" s="7" t="n">
        <v>0.828297130918559</v>
      </c>
      <c r="C1409" s="7" t="n">
        <v>0.832299186461291</v>
      </c>
      <c r="D1409" s="7" t="n">
        <v>0.822789025354388</v>
      </c>
      <c r="E1409" s="7" t="n">
        <v>0.82926265198975</v>
      </c>
      <c r="F1409" s="8" t="n">
        <f aca="true">IF(ROW()-2&gt;=Inputs!$B$4,AVERAGE(OFFSET(E1409,1-Inputs!$B$4,0,Inputs!$B$4,1)),"")</f>
        <v>0.836762423823161</v>
      </c>
      <c r="G1409" s="8" t="n">
        <f aca="true">IF(ROW()-2&gt;=Inputs!$B$5,AVERAGE(OFFSET(E1409,1-Inputs!$B$5,0,Inputs!$B$5,1)),"")</f>
        <v>0.836490304141912</v>
      </c>
      <c r="H1409" s="8" t="n">
        <f aca="false">MAX(C1409-D1409,ABS(C1409-E1408),ABS(D1409-E1408))</f>
        <v>0.0095101611069035</v>
      </c>
      <c r="I1409" s="8" t="n">
        <f aca="true">IF(ROW()-2&lt;14,"",IF(ROW()-2=14,AVERAGE(OFFSET(H1409,-13,0,14,1)),(I1408*13+H1409)/14))</f>
        <v>0.00848332974364045</v>
      </c>
      <c r="J1409" s="9" t="b">
        <f aca="false">IF(AND(ISNUMBER(F1409),ISNUMBER(G1409),ISNUMBER(F1408),ISNUMBER(G1408)),AND(F1409&gt;G1409,F1408&lt;=G1408),FALSE())</f>
        <v>0</v>
      </c>
      <c r="K1409" s="9" t="b">
        <f aca="false">IF(AND(ISNUMBER(F1409),ISNUMBER(G1409),ISNUMBER(F1408),ISNUMBER(G1408)),AND(F1409&lt;G1409,F1408&gt;=G1408),FALSE())</f>
        <v>0</v>
      </c>
      <c r="L1409" s="8" t="n">
        <f aca="false">IF(ISNUMBER(I1409),E1409-Inputs!$B$6*I1409,"")</f>
        <v>0.812295992502469</v>
      </c>
      <c r="M1409" s="9" t="b">
        <f aca="false">AND(Y1408&gt;0,Z1408)</f>
        <v>0</v>
      </c>
      <c r="N1409" s="8" t="n">
        <f aca="false">B1409*(1-Inputs!$B$12)</f>
        <v>0.828131471492375</v>
      </c>
      <c r="O1409" s="10" t="n">
        <f aca="false">IF(M1409,Y1408*(N1409-AB1408)-Inputs!$B$9-Y1408*AD1408*Inputs!$B$13*(A1409-AC1408),0)</f>
        <v>0</v>
      </c>
      <c r="P1409" s="10" t="n">
        <f aca="false">X1408+O1409</f>
        <v>911.311293952437</v>
      </c>
      <c r="Q1409" s="9" t="b">
        <f aca="false">AND(IF(M1409,0,Y1408)=0,AA1408,IF(ISNUMBER(AE1408),B1409&gt;AE1408,FALSE()))</f>
        <v>0</v>
      </c>
      <c r="R1409" s="8" t="n">
        <f aca="false">B1409*(1+Inputs!$B$12)</f>
        <v>0.828462790344743</v>
      </c>
      <c r="S1409" s="11" t="n">
        <f aca="false">IF(Q1409,MIN(P1409*Inputs!$B$3/(R1409-AE1408),P1409*Inputs!$B$11/R1409),0)</f>
        <v>0</v>
      </c>
      <c r="T1409" s="11" t="n">
        <f aca="false">IF(Q1409,S1409,IF(M1409,0,Y1408))</f>
        <v>524.314947501013</v>
      </c>
      <c r="U1409" s="8" t="n">
        <f aca="false">IF(Q1409,AE1408,AF1408)</f>
        <v>0.813113151775451</v>
      </c>
      <c r="V1409" s="9" t="b">
        <f aca="false">AND(T1409&gt;0,D1409&lt;=U1409)</f>
        <v>0</v>
      </c>
      <c r="W1409" s="10" t="n">
        <f aca="false">IF(V1409,T1409*(AK1409-AB1409)-Inputs!$B$9-T1409*AD1409*Inputs!$B$13*(A1409-AC1409),0)</f>
        <v>0</v>
      </c>
      <c r="X1409" s="10" t="n">
        <f aca="false">P1409-IF(Q1409,Inputs!$B$9,0)+W1409</f>
        <v>911.311293952437</v>
      </c>
      <c r="Y1409" s="11" t="n">
        <f aca="false">IF(V1409,0,T1409)</f>
        <v>524.314947501013</v>
      </c>
      <c r="Z1409" s="9" t="b">
        <f aca="false">AND(Y1409&gt;0,K1409)</f>
        <v>0</v>
      </c>
      <c r="AA1409" s="9" t="b">
        <f aca="false">AND(Y1409=0,J1409,ISNUMBER(L1409))</f>
        <v>0</v>
      </c>
      <c r="AB1409" s="8" t="n">
        <f aca="false">IF(Q1409,R1409,AB1408)</f>
        <v>0.830513214434368</v>
      </c>
      <c r="AC1409" s="12" t="n">
        <f aca="false">IF(Q1409,A1409,AC1408)</f>
        <v>46192</v>
      </c>
      <c r="AD1409" s="8" t="n">
        <f aca="false">IF(Q1409,B1409,AD1408)</f>
        <v>0.830347145005366</v>
      </c>
      <c r="AE1409" s="8" t="str">
        <f aca="false">IF(AA1409,L1409,"")</f>
        <v/>
      </c>
      <c r="AF1409" s="8" t="n">
        <f aca="false">U1409</f>
        <v>0.813113151775451</v>
      </c>
      <c r="AG1409" s="2" t="n">
        <f aca="false">AG1408+IF(Q1409,1,0)</f>
        <v>16</v>
      </c>
      <c r="AH1409" s="2" t="n">
        <f aca="false">AG1408</f>
        <v>16</v>
      </c>
      <c r="AI1409" s="10" t="n">
        <f aca="false">X1409+Y1409*(E1409-AB1409)-Y1409*AD1409*Inputs!$B$13*(A1409-AC1409)</f>
        <v>910.578074897931</v>
      </c>
      <c r="AJ1409" s="10" t="n">
        <v>0</v>
      </c>
      <c r="AK1409" s="8" t="n">
        <f aca="false">IF(AND(B1409&lt;=U1409,NOT(Q1409)),B1409,U1409)*(1-Inputs!$B$12)</f>
        <v>0.812950529145096</v>
      </c>
    </row>
    <row r="1410" customFormat="false" ht="15" hidden="false" customHeight="false" outlineLevel="0" collapsed="false">
      <c r="A1410" s="6" t="n">
        <v>46194</v>
      </c>
      <c r="B1410" s="7" t="n">
        <v>0.82926265198975</v>
      </c>
      <c r="C1410" s="7" t="n">
        <v>0.830937796894346</v>
      </c>
      <c r="D1410" s="7" t="n">
        <v>0.817701337905797</v>
      </c>
      <c r="E1410" s="7" t="n">
        <v>0.820071767671451</v>
      </c>
      <c r="F1410" s="8" t="n">
        <f aca="true">IF(ROW()-2&gt;=Inputs!$B$4,AVERAGE(OFFSET(E1410,1-Inputs!$B$4,0,Inputs!$B$4,1)),"")</f>
        <v>0.836309272239607</v>
      </c>
      <c r="G1410" s="8" t="n">
        <f aca="true">IF(ROW()-2&gt;=Inputs!$B$5,AVERAGE(OFFSET(E1410,1-Inputs!$B$5,0,Inputs!$B$5,1)),"")</f>
        <v>0.836075792088802</v>
      </c>
      <c r="H1410" s="8" t="n">
        <f aca="false">MAX(C1410-D1410,ABS(C1410-E1409),ABS(D1410-E1409))</f>
        <v>0.0132364589885488</v>
      </c>
      <c r="I1410" s="8" t="n">
        <f aca="true">IF(ROW()-2&lt;14,"",IF(ROW()-2=14,AVERAGE(OFFSET(H1410,-13,0,14,1)),(I1409*13+H1410)/14))</f>
        <v>0.00882283897541962</v>
      </c>
      <c r="J1410" s="9" t="b">
        <f aca="false">IF(AND(ISNUMBER(F1410),ISNUMBER(G1410),ISNUMBER(F1409),ISNUMBER(G1409)),AND(F1410&gt;G1410,F1409&lt;=G1409),FALSE())</f>
        <v>0</v>
      </c>
      <c r="K1410" s="9" t="b">
        <f aca="false">IF(AND(ISNUMBER(F1410),ISNUMBER(G1410),ISNUMBER(F1409),ISNUMBER(G1409)),AND(F1410&lt;G1410,F1409&gt;=G1409),FALSE())</f>
        <v>0</v>
      </c>
      <c r="L1410" s="8" t="n">
        <f aca="false">IF(ISNUMBER(I1410),E1410-Inputs!$B$6*I1410,"")</f>
        <v>0.802426089720612</v>
      </c>
      <c r="M1410" s="9" t="b">
        <f aca="false">AND(Y1409&gt;0,Z1409)</f>
        <v>0</v>
      </c>
      <c r="N1410" s="8" t="n">
        <f aca="false">B1410*(1-Inputs!$B$12)</f>
        <v>0.829096799459352</v>
      </c>
      <c r="O1410" s="10" t="n">
        <f aca="false">IF(M1410,Y1409*(N1410-AB1409)-Inputs!$B$9-Y1409*AD1409*Inputs!$B$13*(A1410-AC1409),0)</f>
        <v>0</v>
      </c>
      <c r="P1410" s="10" t="n">
        <f aca="false">X1409+O1410</f>
        <v>911.311293952437</v>
      </c>
      <c r="Q1410" s="9" t="b">
        <f aca="false">AND(IF(M1410,0,Y1409)=0,AA1409,IF(ISNUMBER(AE1409),B1410&gt;AE1409,FALSE()))</f>
        <v>0</v>
      </c>
      <c r="R1410" s="8" t="n">
        <f aca="false">B1410*(1+Inputs!$B$12)</f>
        <v>0.829428504520148</v>
      </c>
      <c r="S1410" s="11" t="n">
        <f aca="false">IF(Q1410,MIN(P1410*Inputs!$B$3/(R1410-AE1409),P1410*Inputs!$B$11/R1410),0)</f>
        <v>0</v>
      </c>
      <c r="T1410" s="11" t="n">
        <f aca="false">IF(Q1410,S1410,IF(M1410,0,Y1409))</f>
        <v>524.314947501013</v>
      </c>
      <c r="U1410" s="8" t="n">
        <f aca="false">IF(Q1410,AE1409,AF1409)</f>
        <v>0.813113151775451</v>
      </c>
      <c r="V1410" s="9" t="b">
        <f aca="false">AND(T1410&gt;0,D1410&lt;=U1410)</f>
        <v>0</v>
      </c>
      <c r="W1410" s="10" t="n">
        <f aca="false">IF(V1410,T1410*(AK1410-AB1410)-Inputs!$B$9-T1410*AD1410*Inputs!$B$13*(A1410-AC1410),0)</f>
        <v>0</v>
      </c>
      <c r="X1410" s="10" t="n">
        <f aca="false">P1410-IF(Q1410,Inputs!$B$9,0)+W1410</f>
        <v>911.311293952437</v>
      </c>
      <c r="Y1410" s="11" t="n">
        <f aca="false">IF(V1410,0,T1410)</f>
        <v>524.314947501013</v>
      </c>
      <c r="Z1410" s="9" t="b">
        <f aca="false">AND(Y1410&gt;0,K1410)</f>
        <v>0</v>
      </c>
      <c r="AA1410" s="9" t="b">
        <f aca="false">AND(Y1410=0,J1410,ISNUMBER(L1410))</f>
        <v>0</v>
      </c>
      <c r="AB1410" s="8" t="n">
        <f aca="false">IF(Q1410,R1410,AB1409)</f>
        <v>0.830513214434368</v>
      </c>
      <c r="AC1410" s="12" t="n">
        <f aca="false">IF(Q1410,A1410,AC1409)</f>
        <v>46192</v>
      </c>
      <c r="AD1410" s="8" t="n">
        <f aca="false">IF(Q1410,B1410,AD1409)</f>
        <v>0.830347145005366</v>
      </c>
      <c r="AE1410" s="8" t="str">
        <f aca="false">IF(AA1410,L1410,"")</f>
        <v/>
      </c>
      <c r="AF1410" s="8" t="n">
        <f aca="false">U1410</f>
        <v>0.813113151775451</v>
      </c>
      <c r="AG1410" s="2" t="n">
        <f aca="false">AG1409+IF(Q1410,1,0)</f>
        <v>16</v>
      </c>
      <c r="AH1410" s="2" t="n">
        <f aca="false">AG1409</f>
        <v>16</v>
      </c>
      <c r="AI1410" s="10" t="n">
        <f aca="false">X1410+Y1410*(E1410-AB1410)-Y1410*AD1410*Inputs!$B$13*(A1410-AC1410)</f>
        <v>905.681626397086</v>
      </c>
      <c r="AJ1410" s="10" t="n">
        <v>0</v>
      </c>
      <c r="AK1410" s="8" t="n">
        <f aca="false">IF(AND(B1410&lt;=U1410,NOT(Q1410)),B1410,U1410)*(1-Inputs!$B$12)</f>
        <v>0.812950529145096</v>
      </c>
    </row>
    <row r="1411" customFormat="false" ht="15" hidden="false" customHeight="false" outlineLevel="0" collapsed="false">
      <c r="A1411" s="6" t="n">
        <v>46195</v>
      </c>
      <c r="B1411" s="7" t="n">
        <v>0.820071767671451</v>
      </c>
      <c r="C1411" s="7" t="n">
        <v>0.82401138919276</v>
      </c>
      <c r="D1411" s="7" t="n">
        <v>0.818540103199246</v>
      </c>
      <c r="E1411" s="7" t="n">
        <v>0.820115762964004</v>
      </c>
      <c r="F1411" s="8" t="n">
        <f aca="true">IF(ROW()-2&gt;=Inputs!$B$4,AVERAGE(OFFSET(E1411,1-Inputs!$B$4,0,Inputs!$B$4,1)),"")</f>
        <v>0.835447345872366</v>
      </c>
      <c r="G1411" s="8" t="n">
        <f aca="true">IF(ROW()-2&gt;=Inputs!$B$5,AVERAGE(OFFSET(E1411,1-Inputs!$B$5,0,Inputs!$B$5,1)),"")</f>
        <v>0.835695143676555</v>
      </c>
      <c r="H1411" s="8" t="n">
        <f aca="false">MAX(C1411-D1411,ABS(C1411-E1410),ABS(D1411-E1410))</f>
        <v>0.00547128599351354</v>
      </c>
      <c r="I1411" s="8" t="n">
        <f aca="true">IF(ROW()-2&lt;14,"",IF(ROW()-2=14,AVERAGE(OFFSET(H1411,-13,0,14,1)),(I1410*13+H1411)/14))</f>
        <v>0.0085834423338549</v>
      </c>
      <c r="J1411" s="9" t="b">
        <f aca="false">IF(AND(ISNUMBER(F1411),ISNUMBER(G1411),ISNUMBER(F1410),ISNUMBER(G1410)),AND(F1411&gt;G1411,F1410&lt;=G1410),FALSE())</f>
        <v>0</v>
      </c>
      <c r="K1411" s="9" t="b">
        <f aca="false">IF(AND(ISNUMBER(F1411),ISNUMBER(G1411),ISNUMBER(F1410),ISNUMBER(G1410)),AND(F1411&lt;G1411,F1410&gt;=G1410),FALSE())</f>
        <v>1</v>
      </c>
      <c r="L1411" s="8" t="n">
        <f aca="false">IF(ISNUMBER(I1411),E1411-Inputs!$B$6*I1411,"")</f>
        <v>0.802948878296294</v>
      </c>
      <c r="M1411" s="9" t="b">
        <f aca="false">AND(Y1410&gt;0,Z1410)</f>
        <v>0</v>
      </c>
      <c r="N1411" s="8" t="n">
        <f aca="false">B1411*(1-Inputs!$B$12)</f>
        <v>0.819907753317917</v>
      </c>
      <c r="O1411" s="10" t="n">
        <f aca="false">IF(M1411,Y1410*(N1411-AB1410)-Inputs!$B$9-Y1410*AD1410*Inputs!$B$13*(A1411-AC1410),0)</f>
        <v>0</v>
      </c>
      <c r="P1411" s="10" t="n">
        <f aca="false">X1410+O1411</f>
        <v>911.311293952437</v>
      </c>
      <c r="Q1411" s="9" t="b">
        <f aca="false">AND(IF(M1411,0,Y1410)=0,AA1410,IF(ISNUMBER(AE1410),B1411&gt;AE1410,FALSE()))</f>
        <v>0</v>
      </c>
      <c r="R1411" s="8" t="n">
        <f aca="false">B1411*(1+Inputs!$B$12)</f>
        <v>0.820235782024985</v>
      </c>
      <c r="S1411" s="11" t="n">
        <f aca="false">IF(Q1411,MIN(P1411*Inputs!$B$3/(R1411-AE1410),P1411*Inputs!$B$11/R1411),0)</f>
        <v>0</v>
      </c>
      <c r="T1411" s="11" t="n">
        <f aca="false">IF(Q1411,S1411,IF(M1411,0,Y1410))</f>
        <v>524.314947501013</v>
      </c>
      <c r="U1411" s="8" t="n">
        <f aca="false">IF(Q1411,AE1410,AF1410)</f>
        <v>0.813113151775451</v>
      </c>
      <c r="V1411" s="9" t="b">
        <f aca="false">AND(T1411&gt;0,D1411&lt;=U1411)</f>
        <v>0</v>
      </c>
      <c r="W1411" s="10" t="n">
        <f aca="false">IF(V1411,T1411*(AK1411-AB1411)-Inputs!$B$9-T1411*AD1411*Inputs!$B$13*(A1411-AC1411),0)</f>
        <v>0</v>
      </c>
      <c r="X1411" s="10" t="n">
        <f aca="false">P1411-IF(Q1411,Inputs!$B$9,0)+W1411</f>
        <v>911.311293952437</v>
      </c>
      <c r="Y1411" s="11" t="n">
        <f aca="false">IF(V1411,0,T1411)</f>
        <v>524.314947501013</v>
      </c>
      <c r="Z1411" s="9" t="b">
        <f aca="false">AND(Y1411&gt;0,K1411)</f>
        <v>1</v>
      </c>
      <c r="AA1411" s="9" t="b">
        <f aca="false">AND(Y1411=0,J1411,ISNUMBER(L1411))</f>
        <v>0</v>
      </c>
      <c r="AB1411" s="8" t="n">
        <f aca="false">IF(Q1411,R1411,AB1410)</f>
        <v>0.830513214434368</v>
      </c>
      <c r="AC1411" s="12" t="n">
        <f aca="false">IF(Q1411,A1411,AC1410)</f>
        <v>46192</v>
      </c>
      <c r="AD1411" s="8" t="n">
        <f aca="false">IF(Q1411,B1411,AD1410)</f>
        <v>0.830347145005366</v>
      </c>
      <c r="AE1411" s="8" t="str">
        <f aca="false">IF(AA1411,L1411,"")</f>
        <v/>
      </c>
      <c r="AF1411" s="8" t="n">
        <f aca="false">U1411</f>
        <v>0.813113151775451</v>
      </c>
      <c r="AG1411" s="2" t="n">
        <f aca="false">AG1410+IF(Q1411,1,0)</f>
        <v>16</v>
      </c>
      <c r="AH1411" s="2" t="n">
        <f aca="false">AG1410</f>
        <v>16</v>
      </c>
      <c r="AI1411" s="10" t="n">
        <f aca="false">X1411+Y1411*(E1411-AB1411)-Y1411*AD1411*Inputs!$B$13*(A1411-AC1411)</f>
        <v>905.627163314582</v>
      </c>
      <c r="AJ1411" s="10" t="n">
        <v>0</v>
      </c>
      <c r="AK1411" s="8" t="n">
        <f aca="false">IF(AND(B1411&lt;=U1411,NOT(Q1411)),B1411,U1411)*(1-Inputs!$B$12)</f>
        <v>0.812950529145096</v>
      </c>
    </row>
    <row r="1412" customFormat="false" ht="15" hidden="false" customHeight="false" outlineLevel="0" collapsed="false">
      <c r="A1412" s="6" t="n">
        <v>46196</v>
      </c>
      <c r="B1412" s="7" t="n">
        <v>0.820115762964004</v>
      </c>
      <c r="C1412" s="7" t="n">
        <v>0.822796158757656</v>
      </c>
      <c r="D1412" s="7" t="n">
        <v>0.818622979316973</v>
      </c>
      <c r="E1412" s="7" t="n">
        <v>0.819302897746444</v>
      </c>
      <c r="F1412" s="8" t="n">
        <f aca="true">IF(ROW()-2&gt;=Inputs!$B$4,AVERAGE(OFFSET(E1412,1-Inputs!$B$4,0,Inputs!$B$4,1)),"")</f>
        <v>0.834061078017421</v>
      </c>
      <c r="G1412" s="8" t="n">
        <f aca="true">IF(ROW()-2&gt;=Inputs!$B$5,AVERAGE(OFFSET(E1412,1-Inputs!$B$5,0,Inputs!$B$5,1)),"")</f>
        <v>0.835273925760927</v>
      </c>
      <c r="H1412" s="8" t="n">
        <f aca="false">MAX(C1412-D1412,ABS(C1412-E1411),ABS(D1412-E1411))</f>
        <v>0.00417317944068329</v>
      </c>
      <c r="I1412" s="8" t="n">
        <f aca="true">IF(ROW()-2&lt;14,"",IF(ROW()-2=14,AVERAGE(OFFSET(H1412,-13,0,14,1)),(I1411*13+H1412)/14))</f>
        <v>0.00826842355577121</v>
      </c>
      <c r="J1412" s="9" t="b">
        <f aca="false">IF(AND(ISNUMBER(F1412),ISNUMBER(G1412),ISNUMBER(F1411),ISNUMBER(G1411)),AND(F1412&gt;G1412,F1411&lt;=G1411),FALSE())</f>
        <v>0</v>
      </c>
      <c r="K1412" s="9" t="b">
        <f aca="false">IF(AND(ISNUMBER(F1412),ISNUMBER(G1412),ISNUMBER(F1411),ISNUMBER(G1411)),AND(F1412&lt;G1412,F1411&gt;=G1411),FALSE())</f>
        <v>0</v>
      </c>
      <c r="L1412" s="8" t="n">
        <f aca="false">IF(ISNUMBER(I1412),E1412-Inputs!$B$6*I1412,"")</f>
        <v>0.802766050634902</v>
      </c>
      <c r="M1412" s="9" t="b">
        <f aca="false">AND(Y1411&gt;0,Z1411)</f>
        <v>1</v>
      </c>
      <c r="N1412" s="8" t="n">
        <f aca="false">B1412*(1-Inputs!$B$12)</f>
        <v>0.819951739811411</v>
      </c>
      <c r="O1412" s="10" t="n">
        <f aca="false">IF(M1412,Y1411*(N1412-AB1411)-Inputs!$B$9-Y1411*AD1411*Inputs!$B$13*(A1412-AC1411),0)</f>
        <v>-6.84766090050356</v>
      </c>
      <c r="P1412" s="10" t="n">
        <f aca="false">X1411+O1412</f>
        <v>904.463633051933</v>
      </c>
      <c r="Q1412" s="9" t="b">
        <f aca="false">AND(IF(M1412,0,Y1411)=0,AA1411,IF(ISNUMBER(AE1411),B1412&gt;AE1411,FALSE()))</f>
        <v>0</v>
      </c>
      <c r="R1412" s="8" t="n">
        <f aca="false">B1412*(1+Inputs!$B$12)</f>
        <v>0.820279786116597</v>
      </c>
      <c r="S1412" s="11" t="n">
        <f aca="false">IF(Q1412,MIN(P1412*Inputs!$B$3/(R1412-AE1411),P1412*Inputs!$B$11/R1412),0)</f>
        <v>0</v>
      </c>
      <c r="T1412" s="11" t="n">
        <f aca="false">IF(Q1412,S1412,IF(M1412,0,Y1411))</f>
        <v>0</v>
      </c>
      <c r="U1412" s="8" t="n">
        <f aca="false">IF(Q1412,AE1411,AF1411)</f>
        <v>0.813113151775451</v>
      </c>
      <c r="V1412" s="9" t="b">
        <f aca="false">AND(T1412&gt;0,D1412&lt;=U1412)</f>
        <v>0</v>
      </c>
      <c r="W1412" s="10" t="n">
        <f aca="false">IF(V1412,T1412*(AK1412-AB1412)-Inputs!$B$9-T1412*AD1412*Inputs!$B$13*(A1412-AC1412),0)</f>
        <v>0</v>
      </c>
      <c r="X1412" s="10" t="n">
        <f aca="false">P1412-IF(Q1412,Inputs!$B$9,0)+W1412</f>
        <v>904.463633051933</v>
      </c>
      <c r="Y1412" s="11" t="n">
        <f aca="false">IF(V1412,0,T1412)</f>
        <v>0</v>
      </c>
      <c r="Z1412" s="9" t="b">
        <f aca="false">AND(Y1412&gt;0,K1412)</f>
        <v>0</v>
      </c>
      <c r="AA1412" s="9" t="b">
        <f aca="false">AND(Y1412=0,J1412,ISNUMBER(L1412))</f>
        <v>0</v>
      </c>
      <c r="AB1412" s="8" t="n">
        <f aca="false">IF(Q1412,R1412,AB1411)</f>
        <v>0.830513214434368</v>
      </c>
      <c r="AC1412" s="12" t="n">
        <f aca="false">IF(Q1412,A1412,AC1411)</f>
        <v>46192</v>
      </c>
      <c r="AD1412" s="8" t="n">
        <f aca="false">IF(Q1412,B1412,AD1411)</f>
        <v>0.830347145005366</v>
      </c>
      <c r="AE1412" s="8" t="str">
        <f aca="false">IF(AA1412,L1412,"")</f>
        <v/>
      </c>
      <c r="AF1412" s="8" t="n">
        <f aca="false">U1412</f>
        <v>0.813113151775451</v>
      </c>
      <c r="AG1412" s="2" t="n">
        <f aca="false">AG1411+IF(Q1412,1,0)</f>
        <v>16</v>
      </c>
      <c r="AH1412" s="2" t="n">
        <f aca="false">AG1411</f>
        <v>16</v>
      </c>
      <c r="AI1412" s="10" t="n">
        <f aca="false">X1412+Y1412*(E1412-AB1412)-Y1412*AD1412*Inputs!$B$13*(A1412-AC1412)</f>
        <v>904.463633051933</v>
      </c>
      <c r="AJ1412" s="10" t="n">
        <v>0</v>
      </c>
      <c r="AK1412" s="8" t="n">
        <f aca="false">IF(AND(B1412&lt;=U1412,NOT(Q1412)),B1412,U1412)*(1-Inputs!$B$12)</f>
        <v>0.812950529145096</v>
      </c>
    </row>
    <row r="1413" customFormat="false" ht="15" hidden="false" customHeight="false" outlineLevel="0" collapsed="false">
      <c r="A1413" s="6" t="n">
        <v>46197</v>
      </c>
      <c r="B1413" s="7" t="n">
        <v>0.819302897746444</v>
      </c>
      <c r="C1413" s="7" t="n">
        <v>0.823971187646483</v>
      </c>
      <c r="D1413" s="7" t="n">
        <v>0.816245830777117</v>
      </c>
      <c r="E1413" s="7" t="n">
        <v>0.816287534447831</v>
      </c>
      <c r="F1413" s="8" t="n">
        <f aca="true">IF(ROW()-2&gt;=Inputs!$B$4,AVERAGE(OFFSET(E1413,1-Inputs!$B$4,0,Inputs!$B$4,1)),"")</f>
        <v>0.832841973755984</v>
      </c>
      <c r="G1413" s="8" t="n">
        <f aca="true">IF(ROW()-2&gt;=Inputs!$B$5,AVERAGE(OFFSET(E1413,1-Inputs!$B$5,0,Inputs!$B$5,1)),"")</f>
        <v>0.834775957871787</v>
      </c>
      <c r="H1413" s="8" t="n">
        <f aca="false">MAX(C1413-D1413,ABS(C1413-E1412),ABS(D1413-E1412))</f>
        <v>0.00772535686936626</v>
      </c>
      <c r="I1413" s="8" t="n">
        <f aca="true">IF(ROW()-2&lt;14,"",IF(ROW()-2=14,AVERAGE(OFFSET(H1413,-13,0,14,1)),(I1412*13+H1413)/14))</f>
        <v>0.00822963307817086</v>
      </c>
      <c r="J1413" s="9" t="b">
        <f aca="false">IF(AND(ISNUMBER(F1413),ISNUMBER(G1413),ISNUMBER(F1412),ISNUMBER(G1412)),AND(F1413&gt;G1413,F1412&lt;=G1412),FALSE())</f>
        <v>0</v>
      </c>
      <c r="K1413" s="9" t="b">
        <f aca="false">IF(AND(ISNUMBER(F1413),ISNUMBER(G1413),ISNUMBER(F1412),ISNUMBER(G1412)),AND(F1413&lt;G1413,F1412&gt;=G1412),FALSE())</f>
        <v>0</v>
      </c>
      <c r="L1413" s="8" t="n">
        <f aca="false">IF(ISNUMBER(I1413),E1413-Inputs!$B$6*I1413,"")</f>
        <v>0.799828268291489</v>
      </c>
      <c r="M1413" s="9" t="b">
        <f aca="false">AND(Y1412&gt;0,Z1412)</f>
        <v>0</v>
      </c>
      <c r="N1413" s="8" t="n">
        <f aca="false">B1413*(1-Inputs!$B$12)</f>
        <v>0.819139037166895</v>
      </c>
      <c r="O1413" s="10" t="n">
        <f aca="false">IF(M1413,Y1412*(N1413-AB1412)-Inputs!$B$9-Y1412*AD1412*Inputs!$B$13*(A1413-AC1412),0)</f>
        <v>0</v>
      </c>
      <c r="P1413" s="10" t="n">
        <f aca="false">X1412+O1413</f>
        <v>904.463633051933</v>
      </c>
      <c r="Q1413" s="9" t="b">
        <f aca="false">AND(IF(M1413,0,Y1412)=0,AA1412,IF(ISNUMBER(AE1412),B1413&gt;AE1412,FALSE()))</f>
        <v>0</v>
      </c>
      <c r="R1413" s="8" t="n">
        <f aca="false">B1413*(1+Inputs!$B$12)</f>
        <v>0.819466758325993</v>
      </c>
      <c r="S1413" s="11" t="n">
        <f aca="false">IF(Q1413,MIN(P1413*Inputs!$B$3/(R1413-AE1412),P1413*Inputs!$B$11/R1413),0)</f>
        <v>0</v>
      </c>
      <c r="T1413" s="11" t="n">
        <f aca="false">IF(Q1413,S1413,IF(M1413,0,Y1412))</f>
        <v>0</v>
      </c>
      <c r="U1413" s="8" t="n">
        <f aca="false">IF(Q1413,AE1412,AF1412)</f>
        <v>0.813113151775451</v>
      </c>
      <c r="V1413" s="9" t="b">
        <f aca="false">AND(T1413&gt;0,D1413&lt;=U1413)</f>
        <v>0</v>
      </c>
      <c r="W1413" s="10" t="n">
        <f aca="false">IF(V1413,T1413*(AK1413-AB1413)-Inputs!$B$9-T1413*AD1413*Inputs!$B$13*(A1413-AC1413),0)</f>
        <v>0</v>
      </c>
      <c r="X1413" s="10" t="n">
        <f aca="false">P1413-IF(Q1413,Inputs!$B$9,0)+W1413</f>
        <v>904.463633051933</v>
      </c>
      <c r="Y1413" s="11" t="n">
        <f aca="false">IF(V1413,0,T1413)</f>
        <v>0</v>
      </c>
      <c r="Z1413" s="9" t="b">
        <f aca="false">AND(Y1413&gt;0,K1413)</f>
        <v>0</v>
      </c>
      <c r="AA1413" s="9" t="b">
        <f aca="false">AND(Y1413=0,J1413,ISNUMBER(L1413))</f>
        <v>0</v>
      </c>
      <c r="AB1413" s="8" t="n">
        <f aca="false">IF(Q1413,R1413,AB1412)</f>
        <v>0.830513214434368</v>
      </c>
      <c r="AC1413" s="12" t="n">
        <f aca="false">IF(Q1413,A1413,AC1412)</f>
        <v>46192</v>
      </c>
      <c r="AD1413" s="8" t="n">
        <f aca="false">IF(Q1413,B1413,AD1412)</f>
        <v>0.830347145005366</v>
      </c>
      <c r="AE1413" s="8" t="str">
        <f aca="false">IF(AA1413,L1413,"")</f>
        <v/>
      </c>
      <c r="AF1413" s="8" t="n">
        <f aca="false">U1413</f>
        <v>0.813113151775451</v>
      </c>
      <c r="AG1413" s="2" t="n">
        <f aca="false">AG1412+IF(Q1413,1,0)</f>
        <v>16</v>
      </c>
      <c r="AH1413" s="2" t="n">
        <f aca="false">AG1412</f>
        <v>16</v>
      </c>
      <c r="AI1413" s="10" t="n">
        <f aca="false">X1413+Y1413*(E1413-AB1413)-Y1413*AD1413*Inputs!$B$13*(A1413-AC1413)</f>
        <v>904.463633051933</v>
      </c>
      <c r="AJ1413" s="10" t="n">
        <v>0</v>
      </c>
      <c r="AK1413" s="8" t="n">
        <f aca="false">IF(AND(B1413&lt;=U1413,NOT(Q1413)),B1413,U1413)*(1-Inputs!$B$12)</f>
        <v>0.812950529145096</v>
      </c>
    </row>
    <row r="1414" customFormat="false" ht="15" hidden="false" customHeight="false" outlineLevel="0" collapsed="false">
      <c r="A1414" s="6" t="n">
        <v>46198</v>
      </c>
      <c r="B1414" s="7" t="n">
        <v>0.816287534447831</v>
      </c>
      <c r="C1414" s="7" t="n">
        <v>0.818755705928357</v>
      </c>
      <c r="D1414" s="7" t="n">
        <v>0.805229192188745</v>
      </c>
      <c r="E1414" s="7" t="n">
        <v>0.810914450076718</v>
      </c>
      <c r="F1414" s="8" t="n">
        <f aca="true">IF(ROW()-2&gt;=Inputs!$B$4,AVERAGE(OFFSET(E1414,1-Inputs!$B$4,0,Inputs!$B$4,1)),"")</f>
        <v>0.831680896832252</v>
      </c>
      <c r="G1414" s="8" t="n">
        <f aca="true">IF(ROW()-2&gt;=Inputs!$B$5,AVERAGE(OFFSET(E1414,1-Inputs!$B$5,0,Inputs!$B$5,1)),"")</f>
        <v>0.83416195019047</v>
      </c>
      <c r="H1414" s="8" t="n">
        <f aca="false">MAX(C1414-D1414,ABS(C1414-E1413),ABS(D1414-E1413))</f>
        <v>0.013526513739612</v>
      </c>
      <c r="I1414" s="8" t="n">
        <f aca="true">IF(ROW()-2&lt;14,"",IF(ROW()-2=14,AVERAGE(OFFSET(H1414,-13,0,14,1)),(I1413*13+H1414)/14))</f>
        <v>0.00860798169684523</v>
      </c>
      <c r="J1414" s="9" t="b">
        <f aca="false">IF(AND(ISNUMBER(F1414),ISNUMBER(G1414),ISNUMBER(F1413),ISNUMBER(G1413)),AND(F1414&gt;G1414,F1413&lt;=G1413),FALSE())</f>
        <v>0</v>
      </c>
      <c r="K1414" s="9" t="b">
        <f aca="false">IF(AND(ISNUMBER(F1414),ISNUMBER(G1414),ISNUMBER(F1413),ISNUMBER(G1413)),AND(F1414&lt;G1414,F1413&gt;=G1413),FALSE())</f>
        <v>0</v>
      </c>
      <c r="L1414" s="8" t="n">
        <f aca="false">IF(ISNUMBER(I1414),E1414-Inputs!$B$6*I1414,"")</f>
        <v>0.793698486683028</v>
      </c>
      <c r="M1414" s="9" t="b">
        <f aca="false">AND(Y1413&gt;0,Z1413)</f>
        <v>0</v>
      </c>
      <c r="N1414" s="8" t="n">
        <f aca="false">B1414*(1-Inputs!$B$12)</f>
        <v>0.816124276940942</v>
      </c>
      <c r="O1414" s="10" t="n">
        <f aca="false">IF(M1414,Y1413*(N1414-AB1413)-Inputs!$B$9-Y1413*AD1413*Inputs!$B$13*(A1414-AC1413),0)</f>
        <v>0</v>
      </c>
      <c r="P1414" s="10" t="n">
        <f aca="false">X1413+O1414</f>
        <v>904.463633051933</v>
      </c>
      <c r="Q1414" s="9" t="b">
        <f aca="false">AND(IF(M1414,0,Y1413)=0,AA1413,IF(ISNUMBER(AE1413),B1414&gt;AE1413,FALSE()))</f>
        <v>0</v>
      </c>
      <c r="R1414" s="8" t="n">
        <f aca="false">B1414*(1+Inputs!$B$12)</f>
        <v>0.816450791954721</v>
      </c>
      <c r="S1414" s="11" t="n">
        <f aca="false">IF(Q1414,MIN(P1414*Inputs!$B$3/(R1414-AE1413),P1414*Inputs!$B$11/R1414),0)</f>
        <v>0</v>
      </c>
      <c r="T1414" s="11" t="n">
        <f aca="false">IF(Q1414,S1414,IF(M1414,0,Y1413))</f>
        <v>0</v>
      </c>
      <c r="U1414" s="8" t="n">
        <f aca="false">IF(Q1414,AE1413,AF1413)</f>
        <v>0.813113151775451</v>
      </c>
      <c r="V1414" s="9" t="b">
        <f aca="false">AND(T1414&gt;0,D1414&lt;=U1414)</f>
        <v>0</v>
      </c>
      <c r="W1414" s="10" t="n">
        <f aca="false">IF(V1414,T1414*(AK1414-AB1414)-Inputs!$B$9-T1414*AD1414*Inputs!$B$13*(A1414-AC1414),0)</f>
        <v>0</v>
      </c>
      <c r="X1414" s="10" t="n">
        <f aca="false">P1414-IF(Q1414,Inputs!$B$9,0)+W1414</f>
        <v>904.463633051933</v>
      </c>
      <c r="Y1414" s="11" t="n">
        <f aca="false">IF(V1414,0,T1414)</f>
        <v>0</v>
      </c>
      <c r="Z1414" s="9" t="b">
        <f aca="false">AND(Y1414&gt;0,K1414)</f>
        <v>0</v>
      </c>
      <c r="AA1414" s="9" t="b">
        <f aca="false">AND(Y1414=0,J1414,ISNUMBER(L1414))</f>
        <v>0</v>
      </c>
      <c r="AB1414" s="8" t="n">
        <f aca="false">IF(Q1414,R1414,AB1413)</f>
        <v>0.830513214434368</v>
      </c>
      <c r="AC1414" s="12" t="n">
        <f aca="false">IF(Q1414,A1414,AC1413)</f>
        <v>46192</v>
      </c>
      <c r="AD1414" s="8" t="n">
        <f aca="false">IF(Q1414,B1414,AD1413)</f>
        <v>0.830347145005366</v>
      </c>
      <c r="AE1414" s="8" t="str">
        <f aca="false">IF(AA1414,L1414,"")</f>
        <v/>
      </c>
      <c r="AF1414" s="8" t="n">
        <f aca="false">U1414</f>
        <v>0.813113151775451</v>
      </c>
      <c r="AG1414" s="2" t="n">
        <f aca="false">AG1413+IF(Q1414,1,0)</f>
        <v>16</v>
      </c>
      <c r="AH1414" s="2" t="n">
        <f aca="false">AG1413</f>
        <v>16</v>
      </c>
      <c r="AI1414" s="10" t="n">
        <f aca="false">X1414+Y1414*(E1414-AB1414)-Y1414*AD1414*Inputs!$B$13*(A1414-AC1414)</f>
        <v>904.463633051933</v>
      </c>
      <c r="AJ1414" s="10" t="n">
        <v>0</v>
      </c>
      <c r="AK1414" s="8" t="n">
        <f aca="false">IF(AND(B1414&lt;=U1414,NOT(Q1414)),B1414,U1414)*(1-Inputs!$B$12)</f>
        <v>0.812950529145096</v>
      </c>
    </row>
    <row r="1415" customFormat="false" ht="15" hidden="false" customHeight="false" outlineLevel="0" collapsed="false">
      <c r="A1415" s="6" t="n">
        <v>46199</v>
      </c>
      <c r="B1415" s="7" t="n">
        <v>0.810914450076718</v>
      </c>
      <c r="C1415" s="7" t="n">
        <v>0.810960943163495</v>
      </c>
      <c r="D1415" s="7" t="n">
        <v>0.805093293033517</v>
      </c>
      <c r="E1415" s="7" t="n">
        <v>0.805428742449671</v>
      </c>
      <c r="F1415" s="8" t="n">
        <f aca="true">IF(ROW()-2&gt;=Inputs!$B$4,AVERAGE(OFFSET(E1415,1-Inputs!$B$4,0,Inputs!$B$4,1)),"")</f>
        <v>0.830157675503574</v>
      </c>
      <c r="G1415" s="8" t="n">
        <f aca="true">IF(ROW()-2&gt;=Inputs!$B$5,AVERAGE(OFFSET(E1415,1-Inputs!$B$5,0,Inputs!$B$5,1)),"")</f>
        <v>0.833548009943968</v>
      </c>
      <c r="H1415" s="8" t="n">
        <f aca="false">MAX(C1415-D1415,ABS(C1415-E1414),ABS(D1415-E1414))</f>
        <v>0.00586765012997759</v>
      </c>
      <c r="I1415" s="8" t="n">
        <f aca="true">IF(ROW()-2&lt;14,"",IF(ROW()-2=14,AVERAGE(OFFSET(H1415,-13,0,14,1)),(I1414*13+H1415)/14))</f>
        <v>0.00841224372778325</v>
      </c>
      <c r="J1415" s="9" t="b">
        <f aca="false">IF(AND(ISNUMBER(F1415),ISNUMBER(G1415),ISNUMBER(F1414),ISNUMBER(G1414)),AND(F1415&gt;G1415,F1414&lt;=G1414),FALSE())</f>
        <v>0</v>
      </c>
      <c r="K1415" s="9" t="b">
        <f aca="false">IF(AND(ISNUMBER(F1415),ISNUMBER(G1415),ISNUMBER(F1414),ISNUMBER(G1414)),AND(F1415&lt;G1415,F1414&gt;=G1414),FALSE())</f>
        <v>0</v>
      </c>
      <c r="L1415" s="8" t="n">
        <f aca="false">IF(ISNUMBER(I1415),E1415-Inputs!$B$6*I1415,"")</f>
        <v>0.788604254994105</v>
      </c>
      <c r="M1415" s="9" t="b">
        <f aca="false">AND(Y1414&gt;0,Z1414)</f>
        <v>0</v>
      </c>
      <c r="N1415" s="8" t="n">
        <f aca="false">B1415*(1-Inputs!$B$12)</f>
        <v>0.810752267186703</v>
      </c>
      <c r="O1415" s="10" t="n">
        <f aca="false">IF(M1415,Y1414*(N1415-AB1414)-Inputs!$B$9-Y1414*AD1414*Inputs!$B$13*(A1415-AC1414),0)</f>
        <v>0</v>
      </c>
      <c r="P1415" s="10" t="n">
        <f aca="false">X1414+O1415</f>
        <v>904.463633051933</v>
      </c>
      <c r="Q1415" s="9" t="b">
        <f aca="false">AND(IF(M1415,0,Y1414)=0,AA1414,IF(ISNUMBER(AE1414),B1415&gt;AE1414,FALSE()))</f>
        <v>0</v>
      </c>
      <c r="R1415" s="8" t="n">
        <f aca="false">B1415*(1+Inputs!$B$12)</f>
        <v>0.811076632966734</v>
      </c>
      <c r="S1415" s="11" t="n">
        <f aca="false">IF(Q1415,MIN(P1415*Inputs!$B$3/(R1415-AE1414),P1415*Inputs!$B$11/R1415),0)</f>
        <v>0</v>
      </c>
      <c r="T1415" s="11" t="n">
        <f aca="false">IF(Q1415,S1415,IF(M1415,0,Y1414))</f>
        <v>0</v>
      </c>
      <c r="U1415" s="8" t="n">
        <f aca="false">IF(Q1415,AE1414,AF1414)</f>
        <v>0.813113151775451</v>
      </c>
      <c r="V1415" s="9" t="b">
        <f aca="false">AND(T1415&gt;0,D1415&lt;=U1415)</f>
        <v>0</v>
      </c>
      <c r="W1415" s="10" t="n">
        <f aca="false">IF(V1415,T1415*(AK1415-AB1415)-Inputs!$B$9-T1415*AD1415*Inputs!$B$13*(A1415-AC1415),0)</f>
        <v>0</v>
      </c>
      <c r="X1415" s="10" t="n">
        <f aca="false">P1415-IF(Q1415,Inputs!$B$9,0)+W1415</f>
        <v>904.463633051933</v>
      </c>
      <c r="Y1415" s="11" t="n">
        <f aca="false">IF(V1415,0,T1415)</f>
        <v>0</v>
      </c>
      <c r="Z1415" s="9" t="b">
        <f aca="false">AND(Y1415&gt;0,K1415)</f>
        <v>0</v>
      </c>
      <c r="AA1415" s="9" t="b">
        <f aca="false">AND(Y1415=0,J1415,ISNUMBER(L1415))</f>
        <v>0</v>
      </c>
      <c r="AB1415" s="8" t="n">
        <f aca="false">IF(Q1415,R1415,AB1414)</f>
        <v>0.830513214434368</v>
      </c>
      <c r="AC1415" s="12" t="n">
        <f aca="false">IF(Q1415,A1415,AC1414)</f>
        <v>46192</v>
      </c>
      <c r="AD1415" s="8" t="n">
        <f aca="false">IF(Q1415,B1415,AD1414)</f>
        <v>0.830347145005366</v>
      </c>
      <c r="AE1415" s="8" t="str">
        <f aca="false">IF(AA1415,L1415,"")</f>
        <v/>
      </c>
      <c r="AF1415" s="8" t="n">
        <f aca="false">U1415</f>
        <v>0.813113151775451</v>
      </c>
      <c r="AG1415" s="2" t="n">
        <f aca="false">AG1414+IF(Q1415,1,0)</f>
        <v>16</v>
      </c>
      <c r="AH1415" s="2" t="n">
        <f aca="false">AG1414</f>
        <v>16</v>
      </c>
      <c r="AI1415" s="10" t="n">
        <f aca="false">X1415+Y1415*(E1415-AB1415)-Y1415*AD1415*Inputs!$B$13*(A1415-AC1415)</f>
        <v>904.463633051933</v>
      </c>
      <c r="AJ1415" s="10" t="n">
        <v>0</v>
      </c>
      <c r="AK1415" s="8" t="n">
        <f aca="false">IF(AND(B1415&lt;=U1415,NOT(Q1415)),B1415,U1415)*(1-Inputs!$B$12)</f>
        <v>0.810752267186703</v>
      </c>
    </row>
    <row r="1416" customFormat="false" ht="15" hidden="false" customHeight="false" outlineLevel="0" collapsed="false">
      <c r="A1416" s="6" t="n">
        <v>46200</v>
      </c>
      <c r="B1416" s="7" t="n">
        <v>0.805428742449671</v>
      </c>
      <c r="C1416" s="7" t="n">
        <v>0.815311589938948</v>
      </c>
      <c r="D1416" s="7" t="n">
        <v>0.805023664983583</v>
      </c>
      <c r="E1416" s="7" t="n">
        <v>0.80962931058064</v>
      </c>
      <c r="F1416" s="8" t="n">
        <f aca="true">IF(ROW()-2&gt;=Inputs!$B$4,AVERAGE(OFFSET(E1416,1-Inputs!$B$4,0,Inputs!$B$4,1)),"")</f>
        <v>0.828821717466102</v>
      </c>
      <c r="G1416" s="8" t="n">
        <f aca="true">IF(ROW()-2&gt;=Inputs!$B$5,AVERAGE(OFFSET(E1416,1-Inputs!$B$5,0,Inputs!$B$5,1)),"")</f>
        <v>0.832951406511415</v>
      </c>
      <c r="H1416" s="8" t="n">
        <f aca="false">MAX(C1416-D1416,ABS(C1416-E1415),ABS(D1416-E1415))</f>
        <v>0.0102879249553649</v>
      </c>
      <c r="I1416" s="8" t="n">
        <f aca="true">IF(ROW()-2&lt;14,"",IF(ROW()-2=14,AVERAGE(OFFSET(H1416,-13,0,14,1)),(I1415*13+H1416)/14))</f>
        <v>0.0085462209583248</v>
      </c>
      <c r="J1416" s="9" t="b">
        <f aca="false">IF(AND(ISNUMBER(F1416),ISNUMBER(G1416),ISNUMBER(F1415),ISNUMBER(G1415)),AND(F1416&gt;G1416,F1415&lt;=G1415),FALSE())</f>
        <v>0</v>
      </c>
      <c r="K1416" s="9" t="b">
        <f aca="false">IF(AND(ISNUMBER(F1416),ISNUMBER(G1416),ISNUMBER(F1415),ISNUMBER(G1415)),AND(F1416&lt;G1416,F1415&gt;=G1415),FALSE())</f>
        <v>0</v>
      </c>
      <c r="L1416" s="8" t="n">
        <f aca="false">IF(ISNUMBER(I1416),E1416-Inputs!$B$6*I1416,"")</f>
        <v>0.79253686866399</v>
      </c>
      <c r="M1416" s="9" t="b">
        <f aca="false">AND(Y1415&gt;0,Z1415)</f>
        <v>0</v>
      </c>
      <c r="N1416" s="8" t="n">
        <f aca="false">B1416*(1-Inputs!$B$12)</f>
        <v>0.805267656701181</v>
      </c>
      <c r="O1416" s="10" t="n">
        <f aca="false">IF(M1416,Y1415*(N1416-AB1415)-Inputs!$B$9-Y1415*AD1415*Inputs!$B$13*(A1416-AC1415),0)</f>
        <v>0</v>
      </c>
      <c r="P1416" s="10" t="n">
        <f aca="false">X1415+O1416</f>
        <v>904.463633051933</v>
      </c>
      <c r="Q1416" s="9" t="b">
        <f aca="false">AND(IF(M1416,0,Y1415)=0,AA1415,IF(ISNUMBER(AE1415),B1416&gt;AE1415,FALSE()))</f>
        <v>0</v>
      </c>
      <c r="R1416" s="8" t="n">
        <f aca="false">B1416*(1+Inputs!$B$12)</f>
        <v>0.805589828198161</v>
      </c>
      <c r="S1416" s="11" t="n">
        <f aca="false">IF(Q1416,MIN(P1416*Inputs!$B$3/(R1416-AE1415),P1416*Inputs!$B$11/R1416),0)</f>
        <v>0</v>
      </c>
      <c r="T1416" s="11" t="n">
        <f aca="false">IF(Q1416,S1416,IF(M1416,0,Y1415))</f>
        <v>0</v>
      </c>
      <c r="U1416" s="8" t="n">
        <f aca="false">IF(Q1416,AE1415,AF1415)</f>
        <v>0.813113151775451</v>
      </c>
      <c r="V1416" s="9" t="b">
        <f aca="false">AND(T1416&gt;0,D1416&lt;=U1416)</f>
        <v>0</v>
      </c>
      <c r="W1416" s="10" t="n">
        <f aca="false">IF(V1416,T1416*(AK1416-AB1416)-Inputs!$B$9-T1416*AD1416*Inputs!$B$13*(A1416-AC1416),0)</f>
        <v>0</v>
      </c>
      <c r="X1416" s="10" t="n">
        <f aca="false">P1416-IF(Q1416,Inputs!$B$9,0)+W1416</f>
        <v>904.463633051933</v>
      </c>
      <c r="Y1416" s="11" t="n">
        <f aca="false">IF(V1416,0,T1416)</f>
        <v>0</v>
      </c>
      <c r="Z1416" s="9" t="b">
        <f aca="false">AND(Y1416&gt;0,K1416)</f>
        <v>0</v>
      </c>
      <c r="AA1416" s="9" t="b">
        <f aca="false">AND(Y1416=0,J1416,ISNUMBER(L1416))</f>
        <v>0</v>
      </c>
      <c r="AB1416" s="8" t="n">
        <f aca="false">IF(Q1416,R1416,AB1415)</f>
        <v>0.830513214434368</v>
      </c>
      <c r="AC1416" s="12" t="n">
        <f aca="false">IF(Q1416,A1416,AC1415)</f>
        <v>46192</v>
      </c>
      <c r="AD1416" s="8" t="n">
        <f aca="false">IF(Q1416,B1416,AD1415)</f>
        <v>0.830347145005366</v>
      </c>
      <c r="AE1416" s="8" t="str">
        <f aca="false">IF(AA1416,L1416,"")</f>
        <v/>
      </c>
      <c r="AF1416" s="8" t="n">
        <f aca="false">U1416</f>
        <v>0.813113151775451</v>
      </c>
      <c r="AG1416" s="2" t="n">
        <f aca="false">AG1415+IF(Q1416,1,0)</f>
        <v>16</v>
      </c>
      <c r="AH1416" s="2" t="n">
        <f aca="false">AG1415</f>
        <v>16</v>
      </c>
      <c r="AI1416" s="10" t="n">
        <f aca="false">X1416+Y1416*(E1416-AB1416)-Y1416*AD1416*Inputs!$B$13*(A1416-AC1416)</f>
        <v>904.463633051933</v>
      </c>
      <c r="AJ1416" s="10" t="n">
        <v>0</v>
      </c>
      <c r="AK1416" s="8" t="n">
        <f aca="false">IF(AND(B1416&lt;=U1416,NOT(Q1416)),B1416,U1416)*(1-Inputs!$B$12)</f>
        <v>0.805267656701181</v>
      </c>
    </row>
    <row r="1417" customFormat="false" ht="15" hidden="false" customHeight="false" outlineLevel="0" collapsed="false">
      <c r="A1417" s="6" t="n">
        <v>46201</v>
      </c>
      <c r="B1417" s="7" t="n">
        <v>0.80962931058064</v>
      </c>
      <c r="C1417" s="7" t="n">
        <v>0.815271644373929</v>
      </c>
      <c r="D1417" s="7" t="n">
        <v>0.806908253684818</v>
      </c>
      <c r="E1417" s="7" t="n">
        <v>0.81237792691508</v>
      </c>
      <c r="F1417" s="8" t="n">
        <f aca="true">IF(ROW()-2&gt;=Inputs!$B$4,AVERAGE(OFFSET(E1417,1-Inputs!$B$4,0,Inputs!$B$4,1)),"")</f>
        <v>0.82776964739707</v>
      </c>
      <c r="G1417" s="8" t="n">
        <f aca="true">IF(ROW()-2&gt;=Inputs!$B$5,AVERAGE(OFFSET(E1417,1-Inputs!$B$5,0,Inputs!$B$5,1)),"")</f>
        <v>0.832584922080715</v>
      </c>
      <c r="H1417" s="8" t="n">
        <f aca="false">MAX(C1417-D1417,ABS(C1417-E1416),ABS(D1417-E1416))</f>
        <v>0.00836339068911129</v>
      </c>
      <c r="I1417" s="8" t="n">
        <f aca="true">IF(ROW()-2&lt;14,"",IF(ROW()-2=14,AVERAGE(OFFSET(H1417,-13,0,14,1)),(I1416*13+H1417)/14))</f>
        <v>0.00853316165338098</v>
      </c>
      <c r="J1417" s="9" t="b">
        <f aca="false">IF(AND(ISNUMBER(F1417),ISNUMBER(G1417),ISNUMBER(F1416),ISNUMBER(G1416)),AND(F1417&gt;G1417,F1416&lt;=G1416),FALSE())</f>
        <v>0</v>
      </c>
      <c r="K1417" s="9" t="b">
        <f aca="false">IF(AND(ISNUMBER(F1417),ISNUMBER(G1417),ISNUMBER(F1416),ISNUMBER(G1416)),AND(F1417&lt;G1417,F1416&gt;=G1416),FALSE())</f>
        <v>0</v>
      </c>
      <c r="L1417" s="8" t="n">
        <f aca="false">IF(ISNUMBER(I1417),E1417-Inputs!$B$6*I1417,"")</f>
        <v>0.795311603608318</v>
      </c>
      <c r="M1417" s="9" t="b">
        <f aca="false">AND(Y1416&gt;0,Z1416)</f>
        <v>0</v>
      </c>
      <c r="N1417" s="8" t="n">
        <f aca="false">B1417*(1-Inputs!$B$12)</f>
        <v>0.809467384718523</v>
      </c>
      <c r="O1417" s="10" t="n">
        <f aca="false">IF(M1417,Y1416*(N1417-AB1416)-Inputs!$B$9-Y1416*AD1416*Inputs!$B$13*(A1417-AC1416),0)</f>
        <v>0</v>
      </c>
      <c r="P1417" s="10" t="n">
        <f aca="false">X1416+O1417</f>
        <v>904.463633051933</v>
      </c>
      <c r="Q1417" s="9" t="b">
        <f aca="false">AND(IF(M1417,0,Y1416)=0,AA1416,IF(ISNUMBER(AE1416),B1417&gt;AE1416,FALSE()))</f>
        <v>0</v>
      </c>
      <c r="R1417" s="8" t="n">
        <f aca="false">B1417*(1+Inputs!$B$12)</f>
        <v>0.809791236442756</v>
      </c>
      <c r="S1417" s="11" t="n">
        <f aca="false">IF(Q1417,MIN(P1417*Inputs!$B$3/(R1417-AE1416),P1417*Inputs!$B$11/R1417),0)</f>
        <v>0</v>
      </c>
      <c r="T1417" s="11" t="n">
        <f aca="false">IF(Q1417,S1417,IF(M1417,0,Y1416))</f>
        <v>0</v>
      </c>
      <c r="U1417" s="8" t="n">
        <f aca="false">IF(Q1417,AE1416,AF1416)</f>
        <v>0.813113151775451</v>
      </c>
      <c r="V1417" s="9" t="b">
        <f aca="false">AND(T1417&gt;0,D1417&lt;=U1417)</f>
        <v>0</v>
      </c>
      <c r="W1417" s="10" t="n">
        <f aca="false">IF(V1417,T1417*(AK1417-AB1417)-Inputs!$B$9-T1417*AD1417*Inputs!$B$13*(A1417-AC1417),0)</f>
        <v>0</v>
      </c>
      <c r="X1417" s="10" t="n">
        <f aca="false">P1417-IF(Q1417,Inputs!$B$9,0)+W1417</f>
        <v>904.463633051933</v>
      </c>
      <c r="Y1417" s="11" t="n">
        <f aca="false">IF(V1417,0,T1417)</f>
        <v>0</v>
      </c>
      <c r="Z1417" s="9" t="b">
        <f aca="false">AND(Y1417&gt;0,K1417)</f>
        <v>0</v>
      </c>
      <c r="AA1417" s="9" t="b">
        <f aca="false">AND(Y1417=0,J1417,ISNUMBER(L1417))</f>
        <v>0</v>
      </c>
      <c r="AB1417" s="8" t="n">
        <f aca="false">IF(Q1417,R1417,AB1416)</f>
        <v>0.830513214434368</v>
      </c>
      <c r="AC1417" s="12" t="n">
        <f aca="false">IF(Q1417,A1417,AC1416)</f>
        <v>46192</v>
      </c>
      <c r="AD1417" s="8" t="n">
        <f aca="false">IF(Q1417,B1417,AD1416)</f>
        <v>0.830347145005366</v>
      </c>
      <c r="AE1417" s="8" t="str">
        <f aca="false">IF(AA1417,L1417,"")</f>
        <v/>
      </c>
      <c r="AF1417" s="8" t="n">
        <f aca="false">U1417</f>
        <v>0.813113151775451</v>
      </c>
      <c r="AG1417" s="2" t="n">
        <f aca="false">AG1416+IF(Q1417,1,0)</f>
        <v>16</v>
      </c>
      <c r="AH1417" s="2" t="n">
        <f aca="false">AG1416</f>
        <v>16</v>
      </c>
      <c r="AI1417" s="10" t="n">
        <f aca="false">X1417+Y1417*(E1417-AB1417)-Y1417*AD1417*Inputs!$B$13*(A1417-AC1417)</f>
        <v>904.463633051933</v>
      </c>
      <c r="AJ1417" s="10" t="n">
        <v>0</v>
      </c>
      <c r="AK1417" s="8" t="n">
        <f aca="false">IF(AND(B1417&lt;=U1417,NOT(Q1417)),B1417,U1417)*(1-Inputs!$B$12)</f>
        <v>0.809467384718523</v>
      </c>
    </row>
    <row r="1418" customFormat="false" ht="15" hidden="false" customHeight="false" outlineLevel="0" collapsed="false">
      <c r="A1418" s="6" t="n">
        <v>46202</v>
      </c>
      <c r="B1418" s="7" t="n">
        <v>0.81237792691508</v>
      </c>
      <c r="C1418" s="7" t="n">
        <v>0.825896786099283</v>
      </c>
      <c r="D1418" s="7" t="n">
        <v>0.807867722983123</v>
      </c>
      <c r="E1418" s="7" t="n">
        <v>0.821942326551825</v>
      </c>
      <c r="F1418" s="8" t="n">
        <f aca="true">IF(ROW()-2&gt;=Inputs!$B$4,AVERAGE(OFFSET(E1418,1-Inputs!$B$4,0,Inputs!$B$4,1)),"")</f>
        <v>0.826929947072759</v>
      </c>
      <c r="G1418" s="8" t="n">
        <f aca="true">IF(ROW()-2&gt;=Inputs!$B$5,AVERAGE(OFFSET(E1418,1-Inputs!$B$5,0,Inputs!$B$5,1)),"")</f>
        <v>0.832390127582571</v>
      </c>
      <c r="H1418" s="8" t="n">
        <f aca="false">MAX(C1418-D1418,ABS(C1418-E1417),ABS(D1418-E1417))</f>
        <v>0.0180290631161606</v>
      </c>
      <c r="I1418" s="8" t="n">
        <f aca="true">IF(ROW()-2&lt;14,"",IF(ROW()-2=14,AVERAGE(OFFSET(H1418,-13,0,14,1)),(I1417*13+H1418)/14))</f>
        <v>0.00921144032929381</v>
      </c>
      <c r="J1418" s="9" t="b">
        <f aca="false">IF(AND(ISNUMBER(F1418),ISNUMBER(G1418),ISNUMBER(F1417),ISNUMBER(G1417)),AND(F1418&gt;G1418,F1417&lt;=G1417),FALSE())</f>
        <v>0</v>
      </c>
      <c r="K1418" s="9" t="b">
        <f aca="false">IF(AND(ISNUMBER(F1418),ISNUMBER(G1418),ISNUMBER(F1417),ISNUMBER(G1417)),AND(F1418&lt;G1418,F1417&gt;=G1417),FALSE())</f>
        <v>0</v>
      </c>
      <c r="L1418" s="8" t="n">
        <f aca="false">IF(ISNUMBER(I1418),E1418-Inputs!$B$6*I1418,"")</f>
        <v>0.803519445893237</v>
      </c>
      <c r="M1418" s="9" t="b">
        <f aca="false">AND(Y1417&gt;0,Z1417)</f>
        <v>0</v>
      </c>
      <c r="N1418" s="8" t="n">
        <f aca="false">B1418*(1-Inputs!$B$12)</f>
        <v>0.812215451329697</v>
      </c>
      <c r="O1418" s="10" t="n">
        <f aca="false">IF(M1418,Y1417*(N1418-AB1417)-Inputs!$B$9-Y1417*AD1417*Inputs!$B$13*(A1418-AC1417),0)</f>
        <v>0</v>
      </c>
      <c r="P1418" s="10" t="n">
        <f aca="false">X1417+O1418</f>
        <v>904.463633051933</v>
      </c>
      <c r="Q1418" s="9" t="b">
        <f aca="false">AND(IF(M1418,0,Y1417)=0,AA1417,IF(ISNUMBER(AE1417),B1418&gt;AE1417,FALSE()))</f>
        <v>0</v>
      </c>
      <c r="R1418" s="8" t="n">
        <f aca="false">B1418*(1+Inputs!$B$12)</f>
        <v>0.812540402500463</v>
      </c>
      <c r="S1418" s="11" t="n">
        <f aca="false">IF(Q1418,MIN(P1418*Inputs!$B$3/(R1418-AE1417),P1418*Inputs!$B$11/R1418),0)</f>
        <v>0</v>
      </c>
      <c r="T1418" s="11" t="n">
        <f aca="false">IF(Q1418,S1418,IF(M1418,0,Y1417))</f>
        <v>0</v>
      </c>
      <c r="U1418" s="8" t="n">
        <f aca="false">IF(Q1418,AE1417,AF1417)</f>
        <v>0.813113151775451</v>
      </c>
      <c r="V1418" s="9" t="b">
        <f aca="false">AND(T1418&gt;0,D1418&lt;=U1418)</f>
        <v>0</v>
      </c>
      <c r="W1418" s="10" t="n">
        <f aca="false">IF(V1418,T1418*(AK1418-AB1418)-Inputs!$B$9-T1418*AD1418*Inputs!$B$13*(A1418-AC1418),0)</f>
        <v>0</v>
      </c>
      <c r="X1418" s="10" t="n">
        <f aca="false">P1418-IF(Q1418,Inputs!$B$9,0)+W1418</f>
        <v>904.463633051933</v>
      </c>
      <c r="Y1418" s="11" t="n">
        <f aca="false">IF(V1418,0,T1418)</f>
        <v>0</v>
      </c>
      <c r="Z1418" s="9" t="b">
        <f aca="false">AND(Y1418&gt;0,K1418)</f>
        <v>0</v>
      </c>
      <c r="AA1418" s="9" t="b">
        <f aca="false">AND(Y1418=0,J1418,ISNUMBER(L1418))</f>
        <v>0</v>
      </c>
      <c r="AB1418" s="8" t="n">
        <f aca="false">IF(Q1418,R1418,AB1417)</f>
        <v>0.830513214434368</v>
      </c>
      <c r="AC1418" s="12" t="n">
        <f aca="false">IF(Q1418,A1418,AC1417)</f>
        <v>46192</v>
      </c>
      <c r="AD1418" s="8" t="n">
        <f aca="false">IF(Q1418,B1418,AD1417)</f>
        <v>0.830347145005366</v>
      </c>
      <c r="AE1418" s="8" t="str">
        <f aca="false">IF(AA1418,L1418,"")</f>
        <v/>
      </c>
      <c r="AF1418" s="8" t="n">
        <f aca="false">U1418</f>
        <v>0.813113151775451</v>
      </c>
      <c r="AG1418" s="2" t="n">
        <f aca="false">AG1417+IF(Q1418,1,0)</f>
        <v>16</v>
      </c>
      <c r="AH1418" s="2" t="n">
        <f aca="false">AG1417</f>
        <v>16</v>
      </c>
      <c r="AI1418" s="10" t="n">
        <f aca="false">X1418+Y1418*(E1418-AB1418)-Y1418*AD1418*Inputs!$B$13*(A1418-AC1418)</f>
        <v>904.463633051933</v>
      </c>
      <c r="AJ1418" s="10" t="n">
        <v>0</v>
      </c>
      <c r="AK1418" s="8" t="n">
        <f aca="false">IF(AND(B1418&lt;=U1418,NOT(Q1418)),B1418,U1418)*(1-Inputs!$B$12)</f>
        <v>0.812215451329697</v>
      </c>
    </row>
    <row r="1419" customFormat="false" ht="15" hidden="false" customHeight="false" outlineLevel="0" collapsed="false">
      <c r="A1419" s="6" t="n">
        <v>46203</v>
      </c>
      <c r="B1419" s="7" t="n">
        <v>0.821942326551825</v>
      </c>
      <c r="C1419" s="7" t="n">
        <v>0.830314074910671</v>
      </c>
      <c r="D1419" s="7" t="n">
        <v>0.821675982100058</v>
      </c>
      <c r="E1419" s="7" t="n">
        <v>0.829814088345946</v>
      </c>
      <c r="F1419" s="8" t="n">
        <f aca="true">IF(ROW()-2&gt;=Inputs!$B$4,AVERAGE(OFFSET(E1419,1-Inputs!$B$4,0,Inputs!$B$4,1)),"")</f>
        <v>0.8263390281186</v>
      </c>
      <c r="G1419" s="8" t="n">
        <f aca="true">IF(ROW()-2&gt;=Inputs!$B$5,AVERAGE(OFFSET(E1419,1-Inputs!$B$5,0,Inputs!$B$5,1)),"")</f>
        <v>0.832321974348785</v>
      </c>
      <c r="H1419" s="8" t="n">
        <f aca="false">MAX(C1419-D1419,ABS(C1419-E1418),ABS(D1419-E1418))</f>
        <v>0.00863809281061301</v>
      </c>
      <c r="I1419" s="8" t="n">
        <f aca="true">IF(ROW()-2&lt;14,"",IF(ROW()-2=14,AVERAGE(OFFSET(H1419,-13,0,14,1)),(I1418*13+H1419)/14))</f>
        <v>0.00917048693510232</v>
      </c>
      <c r="J1419" s="9" t="b">
        <f aca="false">IF(AND(ISNUMBER(F1419),ISNUMBER(G1419),ISNUMBER(F1418),ISNUMBER(G1418)),AND(F1419&gt;G1419,F1418&lt;=G1418),FALSE())</f>
        <v>0</v>
      </c>
      <c r="K1419" s="9" t="b">
        <f aca="false">IF(AND(ISNUMBER(F1419),ISNUMBER(G1419),ISNUMBER(F1418),ISNUMBER(G1418)),AND(F1419&lt;G1419,F1418&gt;=G1418),FALSE())</f>
        <v>0</v>
      </c>
      <c r="L1419" s="8" t="n">
        <f aca="false">IF(ISNUMBER(I1419),E1419-Inputs!$B$6*I1419,"")</f>
        <v>0.811473114475742</v>
      </c>
      <c r="M1419" s="9" t="b">
        <f aca="false">AND(Y1418&gt;0,Z1418)</f>
        <v>0</v>
      </c>
      <c r="N1419" s="8" t="n">
        <f aca="false">B1419*(1-Inputs!$B$12)</f>
        <v>0.821777938086514</v>
      </c>
      <c r="O1419" s="10" t="n">
        <f aca="false">IF(M1419,Y1418*(N1419-AB1418)-Inputs!$B$9-Y1418*AD1418*Inputs!$B$13*(A1419-AC1418),0)</f>
        <v>0</v>
      </c>
      <c r="P1419" s="10" t="n">
        <f aca="false">X1418+O1419</f>
        <v>904.463633051933</v>
      </c>
      <c r="Q1419" s="9" t="b">
        <f aca="false">AND(IF(M1419,0,Y1418)=0,AA1418,IF(ISNUMBER(AE1418),B1419&gt;AE1418,FALSE()))</f>
        <v>0</v>
      </c>
      <c r="R1419" s="8" t="n">
        <f aca="false">B1419*(1+Inputs!$B$12)</f>
        <v>0.822106715017135</v>
      </c>
      <c r="S1419" s="11" t="n">
        <f aca="false">IF(Q1419,MIN(P1419*Inputs!$B$3/(R1419-AE1418),P1419*Inputs!$B$11/R1419),0)</f>
        <v>0</v>
      </c>
      <c r="T1419" s="11" t="n">
        <f aca="false">IF(Q1419,S1419,IF(M1419,0,Y1418))</f>
        <v>0</v>
      </c>
      <c r="U1419" s="8" t="n">
        <f aca="false">IF(Q1419,AE1418,AF1418)</f>
        <v>0.813113151775451</v>
      </c>
      <c r="V1419" s="9" t="b">
        <f aca="false">AND(T1419&gt;0,D1419&lt;=U1419)</f>
        <v>0</v>
      </c>
      <c r="W1419" s="10" t="n">
        <f aca="false">IF(V1419,T1419*(AK1419-AB1419)-Inputs!$B$9-T1419*AD1419*Inputs!$B$13*(A1419-AC1419),0)</f>
        <v>0</v>
      </c>
      <c r="X1419" s="10" t="n">
        <f aca="false">P1419-IF(Q1419,Inputs!$B$9,0)+W1419</f>
        <v>904.463633051933</v>
      </c>
      <c r="Y1419" s="11" t="n">
        <f aca="false">IF(V1419,0,T1419)</f>
        <v>0</v>
      </c>
      <c r="Z1419" s="9" t="b">
        <f aca="false">AND(Y1419&gt;0,K1419)</f>
        <v>0</v>
      </c>
      <c r="AA1419" s="9" t="b">
        <f aca="false">AND(Y1419=0,J1419,ISNUMBER(L1419))</f>
        <v>0</v>
      </c>
      <c r="AB1419" s="8" t="n">
        <f aca="false">IF(Q1419,R1419,AB1418)</f>
        <v>0.830513214434368</v>
      </c>
      <c r="AC1419" s="12" t="n">
        <f aca="false">IF(Q1419,A1419,AC1418)</f>
        <v>46192</v>
      </c>
      <c r="AD1419" s="8" t="n">
        <f aca="false">IF(Q1419,B1419,AD1418)</f>
        <v>0.830347145005366</v>
      </c>
      <c r="AE1419" s="8" t="str">
        <f aca="false">IF(AA1419,L1419,"")</f>
        <v/>
      </c>
      <c r="AF1419" s="8" t="n">
        <f aca="false">U1419</f>
        <v>0.813113151775451</v>
      </c>
      <c r="AG1419" s="2" t="n">
        <f aca="false">AG1418+IF(Q1419,1,0)</f>
        <v>16</v>
      </c>
      <c r="AH1419" s="2" t="n">
        <f aca="false">AG1418</f>
        <v>16</v>
      </c>
      <c r="AI1419" s="10" t="n">
        <f aca="false">X1419+Y1419*(E1419-AB1419)-Y1419*AD1419*Inputs!$B$13*(A1419-AC1419)</f>
        <v>904.463633051933</v>
      </c>
      <c r="AJ1419" s="10" t="n">
        <v>0</v>
      </c>
      <c r="AK1419" s="8" t="n">
        <f aca="false">IF(AND(B1419&lt;=U1419,NOT(Q1419)),B1419,U1419)*(1-Inputs!$B$12)</f>
        <v>0.812950529145096</v>
      </c>
    </row>
    <row r="1420" customFormat="false" ht="15" hidden="false" customHeight="false" outlineLevel="0" collapsed="false">
      <c r="A1420" s="6" t="n">
        <v>46204</v>
      </c>
      <c r="B1420" s="7" t="n">
        <v>0.829814088345946</v>
      </c>
      <c r="C1420" s="7" t="n">
        <v>0.833373910152675</v>
      </c>
      <c r="D1420" s="7" t="n">
        <v>0.828631100172983</v>
      </c>
      <c r="E1420" s="7" t="n">
        <v>0.830080535845472</v>
      </c>
      <c r="F1420" s="8" t="n">
        <f aca="true">IF(ROW()-2&gt;=Inputs!$B$4,AVERAGE(OFFSET(E1420,1-Inputs!$B$4,0,Inputs!$B$4,1)),"")</f>
        <v>0.825562801840965</v>
      </c>
      <c r="G1420" s="8" t="n">
        <f aca="true">IF(ROW()-2&gt;=Inputs!$B$5,AVERAGE(OFFSET(E1420,1-Inputs!$B$5,0,Inputs!$B$5,1)),"")</f>
        <v>0.832440297312662</v>
      </c>
      <c r="H1420" s="8" t="n">
        <f aca="false">MAX(C1420-D1420,ABS(C1420-E1419),ABS(D1420-E1419))</f>
        <v>0.00474280997969212</v>
      </c>
      <c r="I1420" s="8" t="n">
        <f aca="true">IF(ROW()-2&lt;14,"",IF(ROW()-2=14,AVERAGE(OFFSET(H1420,-13,0,14,1)),(I1419*13+H1420)/14))</f>
        <v>0.00885422429543016</v>
      </c>
      <c r="J1420" s="9" t="b">
        <f aca="false">IF(AND(ISNUMBER(F1420),ISNUMBER(G1420),ISNUMBER(F1419),ISNUMBER(G1419)),AND(F1420&gt;G1420,F1419&lt;=G1419),FALSE())</f>
        <v>0</v>
      </c>
      <c r="K1420" s="9" t="b">
        <f aca="false">IF(AND(ISNUMBER(F1420),ISNUMBER(G1420),ISNUMBER(F1419),ISNUMBER(G1419)),AND(F1420&lt;G1420,F1419&gt;=G1419),FALSE())</f>
        <v>0</v>
      </c>
      <c r="L1420" s="8" t="n">
        <f aca="false">IF(ISNUMBER(I1420),E1420-Inputs!$B$6*I1420,"")</f>
        <v>0.812372087254612</v>
      </c>
      <c r="M1420" s="9" t="b">
        <f aca="false">AND(Y1419&gt;0,Z1419)</f>
        <v>0</v>
      </c>
      <c r="N1420" s="8" t="n">
        <f aca="false">B1420*(1-Inputs!$B$12)</f>
        <v>0.829648125528277</v>
      </c>
      <c r="O1420" s="10" t="n">
        <f aca="false">IF(M1420,Y1419*(N1420-AB1419)-Inputs!$B$9-Y1419*AD1419*Inputs!$B$13*(A1420-AC1419),0)</f>
        <v>0</v>
      </c>
      <c r="P1420" s="10" t="n">
        <f aca="false">X1419+O1420</f>
        <v>904.463633051933</v>
      </c>
      <c r="Q1420" s="9" t="b">
        <f aca="false">AND(IF(M1420,0,Y1419)=0,AA1419,IF(ISNUMBER(AE1419),B1420&gt;AE1419,FALSE()))</f>
        <v>0</v>
      </c>
      <c r="R1420" s="8" t="n">
        <f aca="false">B1420*(1+Inputs!$B$12)</f>
        <v>0.829980051163616</v>
      </c>
      <c r="S1420" s="11" t="n">
        <f aca="false">IF(Q1420,MIN(P1420*Inputs!$B$3/(R1420-AE1419),P1420*Inputs!$B$11/R1420),0)</f>
        <v>0</v>
      </c>
      <c r="T1420" s="11" t="n">
        <f aca="false">IF(Q1420,S1420,IF(M1420,0,Y1419))</f>
        <v>0</v>
      </c>
      <c r="U1420" s="8" t="n">
        <f aca="false">IF(Q1420,AE1419,AF1419)</f>
        <v>0.813113151775451</v>
      </c>
      <c r="V1420" s="9" t="b">
        <f aca="false">AND(T1420&gt;0,D1420&lt;=U1420)</f>
        <v>0</v>
      </c>
      <c r="W1420" s="10" t="n">
        <f aca="false">IF(V1420,T1420*(AK1420-AB1420)-Inputs!$B$9-T1420*AD1420*Inputs!$B$13*(A1420-AC1420),0)</f>
        <v>0</v>
      </c>
      <c r="X1420" s="10" t="n">
        <f aca="false">P1420-IF(Q1420,Inputs!$B$9,0)+W1420</f>
        <v>904.463633051933</v>
      </c>
      <c r="Y1420" s="11" t="n">
        <f aca="false">IF(V1420,0,T1420)</f>
        <v>0</v>
      </c>
      <c r="Z1420" s="9" t="b">
        <f aca="false">AND(Y1420&gt;0,K1420)</f>
        <v>0</v>
      </c>
      <c r="AA1420" s="9" t="b">
        <f aca="false">AND(Y1420=0,J1420,ISNUMBER(L1420))</f>
        <v>0</v>
      </c>
      <c r="AB1420" s="8" t="n">
        <f aca="false">IF(Q1420,R1420,AB1419)</f>
        <v>0.830513214434368</v>
      </c>
      <c r="AC1420" s="12" t="n">
        <f aca="false">IF(Q1420,A1420,AC1419)</f>
        <v>46192</v>
      </c>
      <c r="AD1420" s="8" t="n">
        <f aca="false">IF(Q1420,B1420,AD1419)</f>
        <v>0.830347145005366</v>
      </c>
      <c r="AE1420" s="8" t="str">
        <f aca="false">IF(AA1420,L1420,"")</f>
        <v/>
      </c>
      <c r="AF1420" s="8" t="n">
        <f aca="false">U1420</f>
        <v>0.813113151775451</v>
      </c>
      <c r="AG1420" s="2" t="n">
        <f aca="false">AG1419+IF(Q1420,1,0)</f>
        <v>16</v>
      </c>
      <c r="AH1420" s="2" t="n">
        <f aca="false">AG1419</f>
        <v>16</v>
      </c>
      <c r="AI1420" s="10" t="n">
        <f aca="false">X1420+Y1420*(E1420-AB1420)-Y1420*AD1420*Inputs!$B$13*(A1420-AC1420)</f>
        <v>904.463633051933</v>
      </c>
      <c r="AJ1420" s="10" t="n">
        <v>0</v>
      </c>
      <c r="AK1420" s="8" t="n">
        <f aca="false">IF(AND(B1420&lt;=U1420,NOT(Q1420)),B1420,U1420)*(1-Inputs!$B$12)</f>
        <v>0.812950529145096</v>
      </c>
    </row>
    <row r="1421" customFormat="false" ht="15" hidden="false" customHeight="false" outlineLevel="0" collapsed="false">
      <c r="A1421" s="6" t="n">
        <v>46205</v>
      </c>
      <c r="B1421" s="7" t="n">
        <v>0.830080535845472</v>
      </c>
      <c r="C1421" s="7" t="n">
        <v>0.836003630794682</v>
      </c>
      <c r="D1421" s="7" t="n">
        <v>0.829676685130455</v>
      </c>
      <c r="E1421" s="7" t="n">
        <v>0.831627886678581</v>
      </c>
      <c r="F1421" s="8" t="n">
        <f aca="true">IF(ROW()-2&gt;=Inputs!$B$4,AVERAGE(OFFSET(E1421,1-Inputs!$B$4,0,Inputs!$B$4,1)),"")</f>
        <v>0.82525039793141</v>
      </c>
      <c r="G1421" s="8" t="n">
        <f aca="true">IF(ROW()-2&gt;=Inputs!$B$5,AVERAGE(OFFSET(E1421,1-Inputs!$B$5,0,Inputs!$B$5,1)),"")</f>
        <v>0.832577888558376</v>
      </c>
      <c r="H1421" s="8" t="n">
        <f aca="false">MAX(C1421-D1421,ABS(C1421-E1420),ABS(D1421-E1420))</f>
        <v>0.00632694566422754</v>
      </c>
      <c r="I1421" s="8" t="n">
        <f aca="true">IF(ROW()-2&lt;14,"",IF(ROW()-2=14,AVERAGE(OFFSET(H1421,-13,0,14,1)),(I1420*13+H1421)/14))</f>
        <v>0.0086737043932014</v>
      </c>
      <c r="J1421" s="9" t="b">
        <f aca="false">IF(AND(ISNUMBER(F1421),ISNUMBER(G1421),ISNUMBER(F1420),ISNUMBER(G1420)),AND(F1421&gt;G1421,F1420&lt;=G1420),FALSE())</f>
        <v>0</v>
      </c>
      <c r="K1421" s="9" t="b">
        <f aca="false">IF(AND(ISNUMBER(F1421),ISNUMBER(G1421),ISNUMBER(F1420),ISNUMBER(G1420)),AND(F1421&lt;G1421,F1420&gt;=G1420),FALSE())</f>
        <v>0</v>
      </c>
      <c r="L1421" s="8" t="n">
        <f aca="false">IF(ISNUMBER(I1421),E1421-Inputs!$B$6*I1421,"")</f>
        <v>0.814280477892179</v>
      </c>
      <c r="M1421" s="9" t="b">
        <f aca="false">AND(Y1420&gt;0,Z1420)</f>
        <v>0</v>
      </c>
      <c r="N1421" s="8" t="n">
        <f aca="false">B1421*(1-Inputs!$B$12)</f>
        <v>0.829914519738303</v>
      </c>
      <c r="O1421" s="10" t="n">
        <f aca="false">IF(M1421,Y1420*(N1421-AB1420)-Inputs!$B$9-Y1420*AD1420*Inputs!$B$13*(A1421-AC1420),0)</f>
        <v>0</v>
      </c>
      <c r="P1421" s="10" t="n">
        <f aca="false">X1420+O1421</f>
        <v>904.463633051933</v>
      </c>
      <c r="Q1421" s="9" t="b">
        <f aca="false">AND(IF(M1421,0,Y1420)=0,AA1420,IF(ISNUMBER(AE1420),B1421&gt;AE1420,FALSE()))</f>
        <v>0</v>
      </c>
      <c r="R1421" s="8" t="n">
        <f aca="false">B1421*(1+Inputs!$B$12)</f>
        <v>0.830246551952641</v>
      </c>
      <c r="S1421" s="11" t="n">
        <f aca="false">IF(Q1421,MIN(P1421*Inputs!$B$3/(R1421-AE1420),P1421*Inputs!$B$11/R1421),0)</f>
        <v>0</v>
      </c>
      <c r="T1421" s="11" t="n">
        <f aca="false">IF(Q1421,S1421,IF(M1421,0,Y1420))</f>
        <v>0</v>
      </c>
      <c r="U1421" s="8" t="n">
        <f aca="false">IF(Q1421,AE1420,AF1420)</f>
        <v>0.813113151775451</v>
      </c>
      <c r="V1421" s="9" t="b">
        <f aca="false">AND(T1421&gt;0,D1421&lt;=U1421)</f>
        <v>0</v>
      </c>
      <c r="W1421" s="10" t="n">
        <f aca="false">IF(V1421,T1421*(AK1421-AB1421)-Inputs!$B$9-T1421*AD1421*Inputs!$B$13*(A1421-AC1421),0)</f>
        <v>0</v>
      </c>
      <c r="X1421" s="10" t="n">
        <f aca="false">P1421-IF(Q1421,Inputs!$B$9,0)+W1421</f>
        <v>904.463633051933</v>
      </c>
      <c r="Y1421" s="11" t="n">
        <f aca="false">IF(V1421,0,T1421)</f>
        <v>0</v>
      </c>
      <c r="Z1421" s="9" t="b">
        <f aca="false">AND(Y1421&gt;0,K1421)</f>
        <v>0</v>
      </c>
      <c r="AA1421" s="9" t="b">
        <f aca="false">AND(Y1421=0,J1421,ISNUMBER(L1421))</f>
        <v>0</v>
      </c>
      <c r="AB1421" s="8" t="n">
        <f aca="false">IF(Q1421,R1421,AB1420)</f>
        <v>0.830513214434368</v>
      </c>
      <c r="AC1421" s="12" t="n">
        <f aca="false">IF(Q1421,A1421,AC1420)</f>
        <v>46192</v>
      </c>
      <c r="AD1421" s="8" t="n">
        <f aca="false">IF(Q1421,B1421,AD1420)</f>
        <v>0.830347145005366</v>
      </c>
      <c r="AE1421" s="8" t="str">
        <f aca="false">IF(AA1421,L1421,"")</f>
        <v/>
      </c>
      <c r="AF1421" s="8" t="n">
        <f aca="false">U1421</f>
        <v>0.813113151775451</v>
      </c>
      <c r="AG1421" s="2" t="n">
        <f aca="false">AG1420+IF(Q1421,1,0)</f>
        <v>16</v>
      </c>
      <c r="AH1421" s="2" t="n">
        <f aca="false">AG1420</f>
        <v>16</v>
      </c>
      <c r="AI1421" s="10" t="n">
        <f aca="false">X1421+Y1421*(E1421-AB1421)-Y1421*AD1421*Inputs!$B$13*(A1421-AC1421)</f>
        <v>904.463633051933</v>
      </c>
      <c r="AJ1421" s="10" t="n">
        <v>0</v>
      </c>
      <c r="AK1421" s="8" t="n">
        <f aca="false">IF(AND(B1421&lt;=U1421,NOT(Q1421)),B1421,U1421)*(1-Inputs!$B$12)</f>
        <v>0.812950529145096</v>
      </c>
    </row>
    <row r="1422" customFormat="false" ht="15" hidden="false" customHeight="false" outlineLevel="0" collapsed="false">
      <c r="A1422" s="6" t="n">
        <v>46206</v>
      </c>
      <c r="B1422" s="7" t="n">
        <v>0.831627886678581</v>
      </c>
      <c r="C1422" s="7" t="n">
        <v>0.835137575599148</v>
      </c>
      <c r="D1422" s="7" t="n">
        <v>0.821262525986082</v>
      </c>
      <c r="E1422" s="7" t="n">
        <v>0.821904197008402</v>
      </c>
      <c r="F1422" s="8" t="n">
        <f aca="true">IF(ROW()-2&gt;=Inputs!$B$4,AVERAGE(OFFSET(E1422,1-Inputs!$B$4,0,Inputs!$B$4,1)),"")</f>
        <v>0.82435109596357</v>
      </c>
      <c r="G1422" s="8" t="n">
        <f aca="true">IF(ROW()-2&gt;=Inputs!$B$5,AVERAGE(OFFSET(E1422,1-Inputs!$B$5,0,Inputs!$B$5,1)),"")</f>
        <v>0.832586240566598</v>
      </c>
      <c r="H1422" s="8" t="n">
        <f aca="false">MAX(C1422-D1422,ABS(C1422-E1421),ABS(D1422-E1421))</f>
        <v>0.0138750496130665</v>
      </c>
      <c r="I1422" s="8" t="n">
        <f aca="true">IF(ROW()-2&lt;14,"",IF(ROW()-2=14,AVERAGE(OFFSET(H1422,-13,0,14,1)),(I1421*13+H1422)/14))</f>
        <v>0.0090452290517632</v>
      </c>
      <c r="J1422" s="9" t="b">
        <f aca="false">IF(AND(ISNUMBER(F1422),ISNUMBER(G1422),ISNUMBER(F1421),ISNUMBER(G1421)),AND(F1422&gt;G1422,F1421&lt;=G1421),FALSE())</f>
        <v>0</v>
      </c>
      <c r="K1422" s="9" t="b">
        <f aca="false">IF(AND(ISNUMBER(F1422),ISNUMBER(G1422),ISNUMBER(F1421),ISNUMBER(G1421)),AND(F1422&lt;G1422,F1421&gt;=G1421),FALSE())</f>
        <v>0</v>
      </c>
      <c r="L1422" s="8" t="n">
        <f aca="false">IF(ISNUMBER(I1422),E1422-Inputs!$B$6*I1422,"")</f>
        <v>0.803813738904876</v>
      </c>
      <c r="M1422" s="9" t="b">
        <f aca="false">AND(Y1421&gt;0,Z1421)</f>
        <v>0</v>
      </c>
      <c r="N1422" s="8" t="n">
        <f aca="false">B1422*(1-Inputs!$B$12)</f>
        <v>0.831461561101246</v>
      </c>
      <c r="O1422" s="10" t="n">
        <f aca="false">IF(M1422,Y1421*(N1422-AB1421)-Inputs!$B$9-Y1421*AD1421*Inputs!$B$13*(A1422-AC1421),0)</f>
        <v>0</v>
      </c>
      <c r="P1422" s="10" t="n">
        <f aca="false">X1421+O1422</f>
        <v>904.463633051933</v>
      </c>
      <c r="Q1422" s="9" t="b">
        <f aca="false">AND(IF(M1422,0,Y1421)=0,AA1421,IF(ISNUMBER(AE1421),B1422&gt;AE1421,FALSE()))</f>
        <v>0</v>
      </c>
      <c r="R1422" s="8" t="n">
        <f aca="false">B1422*(1+Inputs!$B$12)</f>
        <v>0.831794212255917</v>
      </c>
      <c r="S1422" s="11" t="n">
        <f aca="false">IF(Q1422,MIN(P1422*Inputs!$B$3/(R1422-AE1421),P1422*Inputs!$B$11/R1422),0)</f>
        <v>0</v>
      </c>
      <c r="T1422" s="11" t="n">
        <f aca="false">IF(Q1422,S1422,IF(M1422,0,Y1421))</f>
        <v>0</v>
      </c>
      <c r="U1422" s="8" t="n">
        <f aca="false">IF(Q1422,AE1421,AF1421)</f>
        <v>0.813113151775451</v>
      </c>
      <c r="V1422" s="9" t="b">
        <f aca="false">AND(T1422&gt;0,D1422&lt;=U1422)</f>
        <v>0</v>
      </c>
      <c r="W1422" s="10" t="n">
        <f aca="false">IF(V1422,T1422*(AK1422-AB1422)-Inputs!$B$9-T1422*AD1422*Inputs!$B$13*(A1422-AC1422),0)</f>
        <v>0</v>
      </c>
      <c r="X1422" s="10" t="n">
        <f aca="false">P1422-IF(Q1422,Inputs!$B$9,0)+W1422</f>
        <v>904.463633051933</v>
      </c>
      <c r="Y1422" s="11" t="n">
        <f aca="false">IF(V1422,0,T1422)</f>
        <v>0</v>
      </c>
      <c r="Z1422" s="9" t="b">
        <f aca="false">AND(Y1422&gt;0,K1422)</f>
        <v>0</v>
      </c>
      <c r="AA1422" s="9" t="b">
        <f aca="false">AND(Y1422=0,J1422,ISNUMBER(L1422))</f>
        <v>0</v>
      </c>
      <c r="AB1422" s="8" t="n">
        <f aca="false">IF(Q1422,R1422,AB1421)</f>
        <v>0.830513214434368</v>
      </c>
      <c r="AC1422" s="12" t="n">
        <f aca="false">IF(Q1422,A1422,AC1421)</f>
        <v>46192</v>
      </c>
      <c r="AD1422" s="8" t="n">
        <f aca="false">IF(Q1422,B1422,AD1421)</f>
        <v>0.830347145005366</v>
      </c>
      <c r="AE1422" s="8" t="str">
        <f aca="false">IF(AA1422,L1422,"")</f>
        <v/>
      </c>
      <c r="AF1422" s="8" t="n">
        <f aca="false">U1422</f>
        <v>0.813113151775451</v>
      </c>
      <c r="AG1422" s="2" t="n">
        <f aca="false">AG1421+IF(Q1422,1,0)</f>
        <v>16</v>
      </c>
      <c r="AH1422" s="2" t="n">
        <f aca="false">AG1421</f>
        <v>16</v>
      </c>
      <c r="AI1422" s="10" t="n">
        <f aca="false">X1422+Y1422*(E1422-AB1422)-Y1422*AD1422*Inputs!$B$13*(A1422-AC1422)</f>
        <v>904.463633051933</v>
      </c>
      <c r="AJ1422" s="10" t="n">
        <v>0</v>
      </c>
      <c r="AK1422" s="8" t="n">
        <f aca="false">IF(AND(B1422&lt;=U1422,NOT(Q1422)),B1422,U1422)*(1-Inputs!$B$12)</f>
        <v>0.812950529145096</v>
      </c>
    </row>
    <row r="1423" customFormat="false" ht="15" hidden="false" customHeight="false" outlineLevel="0" collapsed="false">
      <c r="A1423" s="6" t="n">
        <v>46207</v>
      </c>
      <c r="B1423" s="7" t="n">
        <v>0.821904197008402</v>
      </c>
      <c r="C1423" s="7" t="n">
        <v>0.823770520076038</v>
      </c>
      <c r="D1423" s="7" t="n">
        <v>0.815025757851676</v>
      </c>
      <c r="E1423" s="7" t="n">
        <v>0.822419813427607</v>
      </c>
      <c r="F1423" s="8" t="n">
        <f aca="true">IF(ROW()-2&gt;=Inputs!$B$4,AVERAGE(OFFSET(E1423,1-Inputs!$B$4,0,Inputs!$B$4,1)),"")</f>
        <v>0.823362786362301</v>
      </c>
      <c r="G1423" s="8" t="n">
        <f aca="true">IF(ROW()-2&gt;=Inputs!$B$5,AVERAGE(OFFSET(E1423,1-Inputs!$B$5,0,Inputs!$B$5,1)),"")</f>
        <v>0.832481512176832</v>
      </c>
      <c r="H1423" s="8" t="n">
        <f aca="false">MAX(C1423-D1423,ABS(C1423-E1422),ABS(D1423-E1422))</f>
        <v>0.00874476222436205</v>
      </c>
      <c r="I1423" s="8" t="n">
        <f aca="true">IF(ROW()-2&lt;14,"",IF(ROW()-2=14,AVERAGE(OFFSET(H1423,-13,0,14,1)),(I1422*13+H1423)/14))</f>
        <v>0.00902376713552026</v>
      </c>
      <c r="J1423" s="9" t="b">
        <f aca="false">IF(AND(ISNUMBER(F1423),ISNUMBER(G1423),ISNUMBER(F1422),ISNUMBER(G1422)),AND(F1423&gt;G1423,F1422&lt;=G1422),FALSE())</f>
        <v>0</v>
      </c>
      <c r="K1423" s="9" t="b">
        <f aca="false">IF(AND(ISNUMBER(F1423),ISNUMBER(G1423),ISNUMBER(F1422),ISNUMBER(G1422)),AND(F1423&lt;G1423,F1422&gt;=G1422),FALSE())</f>
        <v>0</v>
      </c>
      <c r="L1423" s="8" t="n">
        <f aca="false">IF(ISNUMBER(I1423),E1423-Inputs!$B$6*I1423,"")</f>
        <v>0.804372279156567</v>
      </c>
      <c r="M1423" s="9" t="b">
        <f aca="false">AND(Y1422&gt;0,Z1422)</f>
        <v>0</v>
      </c>
      <c r="N1423" s="8" t="n">
        <f aca="false">B1423*(1-Inputs!$B$12)</f>
        <v>0.821739816169</v>
      </c>
      <c r="O1423" s="10" t="n">
        <f aca="false">IF(M1423,Y1422*(N1423-AB1422)-Inputs!$B$9-Y1422*AD1422*Inputs!$B$13*(A1423-AC1422),0)</f>
        <v>0</v>
      </c>
      <c r="P1423" s="10" t="n">
        <f aca="false">X1422+O1423</f>
        <v>904.463633051933</v>
      </c>
      <c r="Q1423" s="9" t="b">
        <f aca="false">AND(IF(M1423,0,Y1422)=0,AA1422,IF(ISNUMBER(AE1422),B1423&gt;AE1422,FALSE()))</f>
        <v>0</v>
      </c>
      <c r="R1423" s="8" t="n">
        <f aca="false">B1423*(1+Inputs!$B$12)</f>
        <v>0.822068577847804</v>
      </c>
      <c r="S1423" s="11" t="n">
        <f aca="false">IF(Q1423,MIN(P1423*Inputs!$B$3/(R1423-AE1422),P1423*Inputs!$B$11/R1423),0)</f>
        <v>0</v>
      </c>
      <c r="T1423" s="11" t="n">
        <f aca="false">IF(Q1423,S1423,IF(M1423,0,Y1422))</f>
        <v>0</v>
      </c>
      <c r="U1423" s="8" t="n">
        <f aca="false">IF(Q1423,AE1422,AF1422)</f>
        <v>0.813113151775451</v>
      </c>
      <c r="V1423" s="9" t="b">
        <f aca="false">AND(T1423&gt;0,D1423&lt;=U1423)</f>
        <v>0</v>
      </c>
      <c r="W1423" s="10" t="n">
        <f aca="false">IF(V1423,T1423*(AK1423-AB1423)-Inputs!$B$9-T1423*AD1423*Inputs!$B$13*(A1423-AC1423),0)</f>
        <v>0</v>
      </c>
      <c r="X1423" s="10" t="n">
        <f aca="false">P1423-IF(Q1423,Inputs!$B$9,0)+W1423</f>
        <v>904.463633051933</v>
      </c>
      <c r="Y1423" s="11" t="n">
        <f aca="false">IF(V1423,0,T1423)</f>
        <v>0</v>
      </c>
      <c r="Z1423" s="9" t="b">
        <f aca="false">AND(Y1423&gt;0,K1423)</f>
        <v>0</v>
      </c>
      <c r="AA1423" s="9" t="b">
        <f aca="false">AND(Y1423=0,J1423,ISNUMBER(L1423))</f>
        <v>0</v>
      </c>
      <c r="AB1423" s="8" t="n">
        <f aca="false">IF(Q1423,R1423,AB1422)</f>
        <v>0.830513214434368</v>
      </c>
      <c r="AC1423" s="12" t="n">
        <f aca="false">IF(Q1423,A1423,AC1422)</f>
        <v>46192</v>
      </c>
      <c r="AD1423" s="8" t="n">
        <f aca="false">IF(Q1423,B1423,AD1422)</f>
        <v>0.830347145005366</v>
      </c>
      <c r="AE1423" s="8" t="str">
        <f aca="false">IF(AA1423,L1423,"")</f>
        <v/>
      </c>
      <c r="AF1423" s="8" t="n">
        <f aca="false">U1423</f>
        <v>0.813113151775451</v>
      </c>
      <c r="AG1423" s="2" t="n">
        <f aca="false">AG1422+IF(Q1423,1,0)</f>
        <v>16</v>
      </c>
      <c r="AH1423" s="2" t="n">
        <f aca="false">AG1422</f>
        <v>16</v>
      </c>
      <c r="AI1423" s="10" t="n">
        <f aca="false">X1423+Y1423*(E1423-AB1423)-Y1423*AD1423*Inputs!$B$13*(A1423-AC1423)</f>
        <v>904.463633051933</v>
      </c>
      <c r="AJ1423" s="10" t="n">
        <v>0</v>
      </c>
      <c r="AK1423" s="8" t="n">
        <f aca="false">IF(AND(B1423&lt;=U1423,NOT(Q1423)),B1423,U1423)*(1-Inputs!$B$12)</f>
        <v>0.812950529145096</v>
      </c>
    </row>
    <row r="1424" customFormat="false" ht="15" hidden="false" customHeight="false" outlineLevel="0" collapsed="false">
      <c r="A1424" s="6" t="n">
        <v>46208</v>
      </c>
      <c r="B1424" s="7" t="n">
        <v>0.822419813427607</v>
      </c>
      <c r="C1424" s="7" t="n">
        <v>0.834815107732957</v>
      </c>
      <c r="D1424" s="7" t="n">
        <v>0.818547635680884</v>
      </c>
      <c r="E1424" s="7" t="n">
        <v>0.830544939800281</v>
      </c>
      <c r="F1424" s="8" t="n">
        <f aca="true">IF(ROW()-2&gt;=Inputs!$B$4,AVERAGE(OFFSET(E1424,1-Inputs!$B$4,0,Inputs!$B$4,1)),"")</f>
        <v>0.823074368980129</v>
      </c>
      <c r="G1424" s="8" t="n">
        <f aca="true">IF(ROW()-2&gt;=Inputs!$B$5,AVERAGE(OFFSET(E1424,1-Inputs!$B$5,0,Inputs!$B$5,1)),"")</f>
        <v>0.83255257342001</v>
      </c>
      <c r="H1424" s="8" t="n">
        <f aca="false">MAX(C1424-D1424,ABS(C1424-E1423),ABS(D1424-E1423))</f>
        <v>0.0162674720520736</v>
      </c>
      <c r="I1424" s="8" t="n">
        <f aca="true">IF(ROW()-2&lt;14,"",IF(ROW()-2=14,AVERAGE(OFFSET(H1424,-13,0,14,1)),(I1423*13+H1424)/14))</f>
        <v>0.00954117462955978</v>
      </c>
      <c r="J1424" s="9" t="b">
        <f aca="false">IF(AND(ISNUMBER(F1424),ISNUMBER(G1424),ISNUMBER(F1423),ISNUMBER(G1423)),AND(F1424&gt;G1424,F1423&lt;=G1423),FALSE())</f>
        <v>0</v>
      </c>
      <c r="K1424" s="9" t="b">
        <f aca="false">IF(AND(ISNUMBER(F1424),ISNUMBER(G1424),ISNUMBER(F1423),ISNUMBER(G1423)),AND(F1424&lt;G1424,F1423&gt;=G1423),FALSE())</f>
        <v>0</v>
      </c>
      <c r="L1424" s="8" t="n">
        <f aca="false">IF(ISNUMBER(I1424),E1424-Inputs!$B$6*I1424,"")</f>
        <v>0.811462590541161</v>
      </c>
      <c r="M1424" s="9" t="b">
        <f aca="false">AND(Y1423&gt;0,Z1423)</f>
        <v>0</v>
      </c>
      <c r="N1424" s="8" t="n">
        <f aca="false">B1424*(1-Inputs!$B$12)</f>
        <v>0.822255329464922</v>
      </c>
      <c r="O1424" s="10" t="n">
        <f aca="false">IF(M1424,Y1423*(N1424-AB1423)-Inputs!$B$9-Y1423*AD1423*Inputs!$B$13*(A1424-AC1423),0)</f>
        <v>0</v>
      </c>
      <c r="P1424" s="10" t="n">
        <f aca="false">X1423+O1424</f>
        <v>904.463633051933</v>
      </c>
      <c r="Q1424" s="9" t="b">
        <f aca="false">AND(IF(M1424,0,Y1423)=0,AA1423,IF(ISNUMBER(AE1423),B1424&gt;AE1423,FALSE()))</f>
        <v>0</v>
      </c>
      <c r="R1424" s="8" t="n">
        <f aca="false">B1424*(1+Inputs!$B$12)</f>
        <v>0.822584297390293</v>
      </c>
      <c r="S1424" s="11" t="n">
        <f aca="false">IF(Q1424,MIN(P1424*Inputs!$B$3/(R1424-AE1423),P1424*Inputs!$B$11/R1424),0)</f>
        <v>0</v>
      </c>
      <c r="T1424" s="11" t="n">
        <f aca="false">IF(Q1424,S1424,IF(M1424,0,Y1423))</f>
        <v>0</v>
      </c>
      <c r="U1424" s="8" t="n">
        <f aca="false">IF(Q1424,AE1423,AF1423)</f>
        <v>0.813113151775451</v>
      </c>
      <c r="V1424" s="9" t="b">
        <f aca="false">AND(T1424&gt;0,D1424&lt;=U1424)</f>
        <v>0</v>
      </c>
      <c r="W1424" s="10" t="n">
        <f aca="false">IF(V1424,T1424*(AK1424-AB1424)-Inputs!$B$9-T1424*AD1424*Inputs!$B$13*(A1424-AC1424),0)</f>
        <v>0</v>
      </c>
      <c r="X1424" s="10" t="n">
        <f aca="false">P1424-IF(Q1424,Inputs!$B$9,0)+W1424</f>
        <v>904.463633051933</v>
      </c>
      <c r="Y1424" s="11" t="n">
        <f aca="false">IF(V1424,0,T1424)</f>
        <v>0</v>
      </c>
      <c r="Z1424" s="9" t="b">
        <f aca="false">AND(Y1424&gt;0,K1424)</f>
        <v>0</v>
      </c>
      <c r="AA1424" s="9" t="b">
        <f aca="false">AND(Y1424=0,J1424,ISNUMBER(L1424))</f>
        <v>0</v>
      </c>
      <c r="AB1424" s="8" t="n">
        <f aca="false">IF(Q1424,R1424,AB1423)</f>
        <v>0.830513214434368</v>
      </c>
      <c r="AC1424" s="12" t="n">
        <f aca="false">IF(Q1424,A1424,AC1423)</f>
        <v>46192</v>
      </c>
      <c r="AD1424" s="8" t="n">
        <f aca="false">IF(Q1424,B1424,AD1423)</f>
        <v>0.830347145005366</v>
      </c>
      <c r="AE1424" s="8" t="str">
        <f aca="false">IF(AA1424,L1424,"")</f>
        <v/>
      </c>
      <c r="AF1424" s="8" t="n">
        <f aca="false">U1424</f>
        <v>0.813113151775451</v>
      </c>
      <c r="AG1424" s="2" t="n">
        <f aca="false">AG1423+IF(Q1424,1,0)</f>
        <v>16</v>
      </c>
      <c r="AH1424" s="2" t="n">
        <f aca="false">AG1423</f>
        <v>16</v>
      </c>
      <c r="AI1424" s="10" t="n">
        <f aca="false">X1424+Y1424*(E1424-AB1424)-Y1424*AD1424*Inputs!$B$13*(A1424-AC1424)</f>
        <v>904.463633051933</v>
      </c>
      <c r="AJ1424" s="10" t="n">
        <v>0</v>
      </c>
      <c r="AK1424" s="8" t="n">
        <f aca="false">IF(AND(B1424&lt;=U1424,NOT(Q1424)),B1424,U1424)*(1-Inputs!$B$12)</f>
        <v>0.812950529145096</v>
      </c>
    </row>
    <row r="1425" customFormat="false" ht="15" hidden="false" customHeight="false" outlineLevel="0" collapsed="false">
      <c r="A1425" s="6" t="n">
        <v>46209</v>
      </c>
      <c r="B1425" s="7" t="n">
        <v>0.830544939800281</v>
      </c>
      <c r="C1425" s="7" t="n">
        <v>0.831051869418983</v>
      </c>
      <c r="D1425" s="7" t="n">
        <v>0.824328803192045</v>
      </c>
      <c r="E1425" s="7" t="n">
        <v>0.82792519432162</v>
      </c>
      <c r="F1425" s="8" t="n">
        <f aca="true">IF(ROW()-2&gt;=Inputs!$B$4,AVERAGE(OFFSET(E1425,1-Inputs!$B$4,0,Inputs!$B$4,1)),"")</f>
        <v>0.822737730760367</v>
      </c>
      <c r="G1425" s="8" t="n">
        <f aca="true">IF(ROW()-2&gt;=Inputs!$B$5,AVERAGE(OFFSET(E1425,1-Inputs!$B$5,0,Inputs!$B$5,1)),"")</f>
        <v>0.83249091940088</v>
      </c>
      <c r="H1425" s="8" t="n">
        <f aca="false">MAX(C1425-D1425,ABS(C1425-E1424),ABS(D1425-E1424))</f>
        <v>0.00672306622693819</v>
      </c>
      <c r="I1425" s="8" t="n">
        <f aca="true">IF(ROW()-2&lt;14,"",IF(ROW()-2=14,AVERAGE(OFFSET(H1425,-13,0,14,1)),(I1424*13+H1425)/14))</f>
        <v>0.00933988117222967</v>
      </c>
      <c r="J1425" s="9" t="b">
        <f aca="false">IF(AND(ISNUMBER(F1425),ISNUMBER(G1425),ISNUMBER(F1424),ISNUMBER(G1424)),AND(F1425&gt;G1425,F1424&lt;=G1424),FALSE())</f>
        <v>0</v>
      </c>
      <c r="K1425" s="9" t="b">
        <f aca="false">IF(AND(ISNUMBER(F1425),ISNUMBER(G1425),ISNUMBER(F1424),ISNUMBER(G1424)),AND(F1425&lt;G1425,F1424&gt;=G1424),FALSE())</f>
        <v>0</v>
      </c>
      <c r="L1425" s="8" t="n">
        <f aca="false">IF(ISNUMBER(I1425),E1425-Inputs!$B$6*I1425,"")</f>
        <v>0.809245431977161</v>
      </c>
      <c r="M1425" s="9" t="b">
        <f aca="false">AND(Y1424&gt;0,Z1424)</f>
        <v>0</v>
      </c>
      <c r="N1425" s="8" t="n">
        <f aca="false">B1425*(1-Inputs!$B$12)</f>
        <v>0.830378830812321</v>
      </c>
      <c r="O1425" s="10" t="n">
        <f aca="false">IF(M1425,Y1424*(N1425-AB1424)-Inputs!$B$9-Y1424*AD1424*Inputs!$B$13*(A1425-AC1424),0)</f>
        <v>0</v>
      </c>
      <c r="P1425" s="10" t="n">
        <f aca="false">X1424+O1425</f>
        <v>904.463633051933</v>
      </c>
      <c r="Q1425" s="9" t="b">
        <f aca="false">AND(IF(M1425,0,Y1424)=0,AA1424,IF(ISNUMBER(AE1424),B1425&gt;AE1424,FALSE()))</f>
        <v>0</v>
      </c>
      <c r="R1425" s="8" t="n">
        <f aca="false">B1425*(1+Inputs!$B$12)</f>
        <v>0.830711048788241</v>
      </c>
      <c r="S1425" s="11" t="n">
        <f aca="false">IF(Q1425,MIN(P1425*Inputs!$B$3/(R1425-AE1424),P1425*Inputs!$B$11/R1425),0)</f>
        <v>0</v>
      </c>
      <c r="T1425" s="11" t="n">
        <f aca="false">IF(Q1425,S1425,IF(M1425,0,Y1424))</f>
        <v>0</v>
      </c>
      <c r="U1425" s="8" t="n">
        <f aca="false">IF(Q1425,AE1424,AF1424)</f>
        <v>0.813113151775451</v>
      </c>
      <c r="V1425" s="9" t="b">
        <f aca="false">AND(T1425&gt;0,D1425&lt;=U1425)</f>
        <v>0</v>
      </c>
      <c r="W1425" s="10" t="n">
        <f aca="false">IF(V1425,T1425*(AK1425-AB1425)-Inputs!$B$9-T1425*AD1425*Inputs!$B$13*(A1425-AC1425),0)</f>
        <v>0</v>
      </c>
      <c r="X1425" s="10" t="n">
        <f aca="false">P1425-IF(Q1425,Inputs!$B$9,0)+W1425</f>
        <v>904.463633051933</v>
      </c>
      <c r="Y1425" s="11" t="n">
        <f aca="false">IF(V1425,0,T1425)</f>
        <v>0</v>
      </c>
      <c r="Z1425" s="9" t="b">
        <f aca="false">AND(Y1425&gt;0,K1425)</f>
        <v>0</v>
      </c>
      <c r="AA1425" s="9" t="b">
        <f aca="false">AND(Y1425=0,J1425,ISNUMBER(L1425))</f>
        <v>0</v>
      </c>
      <c r="AB1425" s="8" t="n">
        <f aca="false">IF(Q1425,R1425,AB1424)</f>
        <v>0.830513214434368</v>
      </c>
      <c r="AC1425" s="12" t="n">
        <f aca="false">IF(Q1425,A1425,AC1424)</f>
        <v>46192</v>
      </c>
      <c r="AD1425" s="8" t="n">
        <f aca="false">IF(Q1425,B1425,AD1424)</f>
        <v>0.830347145005366</v>
      </c>
      <c r="AE1425" s="8" t="str">
        <f aca="false">IF(AA1425,L1425,"")</f>
        <v/>
      </c>
      <c r="AF1425" s="8" t="n">
        <f aca="false">U1425</f>
        <v>0.813113151775451</v>
      </c>
      <c r="AG1425" s="2" t="n">
        <f aca="false">AG1424+IF(Q1425,1,0)</f>
        <v>16</v>
      </c>
      <c r="AH1425" s="2" t="n">
        <f aca="false">AG1424</f>
        <v>16</v>
      </c>
      <c r="AI1425" s="10" t="n">
        <f aca="false">X1425+Y1425*(E1425-AB1425)-Y1425*AD1425*Inputs!$B$13*(A1425-AC1425)</f>
        <v>904.463633051933</v>
      </c>
      <c r="AJ1425" s="10" t="n">
        <v>0</v>
      </c>
      <c r="AK1425" s="8" t="n">
        <f aca="false">IF(AND(B1425&lt;=U1425,NOT(Q1425)),B1425,U1425)*(1-Inputs!$B$12)</f>
        <v>0.812950529145096</v>
      </c>
    </row>
    <row r="1426" customFormat="false" ht="15" hidden="false" customHeight="false" outlineLevel="0" collapsed="false">
      <c r="A1426" s="6" t="n">
        <v>46210</v>
      </c>
      <c r="B1426" s="7" t="n">
        <v>0.82792519432162</v>
      </c>
      <c r="C1426" s="7" t="n">
        <v>0.828606959167647</v>
      </c>
      <c r="D1426" s="7" t="n">
        <v>0.823841049000467</v>
      </c>
      <c r="E1426" s="7" t="n">
        <v>0.828591839707576</v>
      </c>
      <c r="F1426" s="8" t="n">
        <f aca="true">IF(ROW()-2&gt;=Inputs!$B$4,AVERAGE(OFFSET(E1426,1-Inputs!$B$4,0,Inputs!$B$4,1)),"")</f>
        <v>0.822344307122641</v>
      </c>
      <c r="G1426" s="8" t="n">
        <f aca="true">IF(ROW()-2&gt;=Inputs!$B$5,AVERAGE(OFFSET(E1426,1-Inputs!$B$5,0,Inputs!$B$5,1)),"")</f>
        <v>0.832336195276274</v>
      </c>
      <c r="H1426" s="8" t="n">
        <f aca="false">MAX(C1426-D1426,ABS(C1426-E1425),ABS(D1426-E1425))</f>
        <v>0.00476591016717975</v>
      </c>
      <c r="I1426" s="8" t="n">
        <f aca="true">IF(ROW()-2&lt;14,"",IF(ROW()-2=14,AVERAGE(OFFSET(H1426,-13,0,14,1)),(I1425*13+H1426)/14))</f>
        <v>0.00901316895758325</v>
      </c>
      <c r="J1426" s="9" t="b">
        <f aca="false">IF(AND(ISNUMBER(F1426),ISNUMBER(G1426),ISNUMBER(F1425),ISNUMBER(G1425)),AND(F1426&gt;G1426,F1425&lt;=G1425),FALSE())</f>
        <v>0</v>
      </c>
      <c r="K1426" s="9" t="b">
        <f aca="false">IF(AND(ISNUMBER(F1426),ISNUMBER(G1426),ISNUMBER(F1425),ISNUMBER(G1425)),AND(F1426&lt;G1426,F1425&gt;=G1425),FALSE())</f>
        <v>0</v>
      </c>
      <c r="L1426" s="8" t="n">
        <f aca="false">IF(ISNUMBER(I1426),E1426-Inputs!$B$6*I1426,"")</f>
        <v>0.81056550179241</v>
      </c>
      <c r="M1426" s="9" t="b">
        <f aca="false">AND(Y1425&gt;0,Z1425)</f>
        <v>0</v>
      </c>
      <c r="N1426" s="8" t="n">
        <f aca="false">B1426*(1-Inputs!$B$12)</f>
        <v>0.827759609282756</v>
      </c>
      <c r="O1426" s="10" t="n">
        <f aca="false">IF(M1426,Y1425*(N1426-AB1425)-Inputs!$B$9-Y1425*AD1425*Inputs!$B$13*(A1426-AC1425),0)</f>
        <v>0</v>
      </c>
      <c r="P1426" s="10" t="n">
        <f aca="false">X1425+O1426</f>
        <v>904.463633051933</v>
      </c>
      <c r="Q1426" s="9" t="b">
        <f aca="false">AND(IF(M1426,0,Y1425)=0,AA1425,IF(ISNUMBER(AE1425),B1426&gt;AE1425,FALSE()))</f>
        <v>0</v>
      </c>
      <c r="R1426" s="8" t="n">
        <f aca="false">B1426*(1+Inputs!$B$12)</f>
        <v>0.828090779360484</v>
      </c>
      <c r="S1426" s="11" t="n">
        <f aca="false">IF(Q1426,MIN(P1426*Inputs!$B$3/(R1426-AE1425),P1426*Inputs!$B$11/R1426),0)</f>
        <v>0</v>
      </c>
      <c r="T1426" s="11" t="n">
        <f aca="false">IF(Q1426,S1426,IF(M1426,0,Y1425))</f>
        <v>0</v>
      </c>
      <c r="U1426" s="8" t="n">
        <f aca="false">IF(Q1426,AE1425,AF1425)</f>
        <v>0.813113151775451</v>
      </c>
      <c r="V1426" s="9" t="b">
        <f aca="false">AND(T1426&gt;0,D1426&lt;=U1426)</f>
        <v>0</v>
      </c>
      <c r="W1426" s="10" t="n">
        <f aca="false">IF(V1426,T1426*(AK1426-AB1426)-Inputs!$B$9-T1426*AD1426*Inputs!$B$13*(A1426-AC1426),0)</f>
        <v>0</v>
      </c>
      <c r="X1426" s="10" t="n">
        <f aca="false">P1426-IF(Q1426,Inputs!$B$9,0)+W1426</f>
        <v>904.463633051933</v>
      </c>
      <c r="Y1426" s="11" t="n">
        <f aca="false">IF(V1426,0,T1426)</f>
        <v>0</v>
      </c>
      <c r="Z1426" s="9" t="b">
        <f aca="false">AND(Y1426&gt;0,K1426)</f>
        <v>0</v>
      </c>
      <c r="AA1426" s="9" t="b">
        <f aca="false">AND(Y1426=0,J1426,ISNUMBER(L1426))</f>
        <v>0</v>
      </c>
      <c r="AB1426" s="8" t="n">
        <f aca="false">IF(Q1426,R1426,AB1425)</f>
        <v>0.830513214434368</v>
      </c>
      <c r="AC1426" s="12" t="n">
        <f aca="false">IF(Q1426,A1426,AC1425)</f>
        <v>46192</v>
      </c>
      <c r="AD1426" s="8" t="n">
        <f aca="false">IF(Q1426,B1426,AD1425)</f>
        <v>0.830347145005366</v>
      </c>
      <c r="AE1426" s="8" t="str">
        <f aca="false">IF(AA1426,L1426,"")</f>
        <v/>
      </c>
      <c r="AF1426" s="8" t="n">
        <f aca="false">U1426</f>
        <v>0.813113151775451</v>
      </c>
      <c r="AG1426" s="2" t="n">
        <f aca="false">AG1425+IF(Q1426,1,0)</f>
        <v>16</v>
      </c>
      <c r="AH1426" s="2" t="n">
        <f aca="false">AG1425</f>
        <v>16</v>
      </c>
      <c r="AI1426" s="10" t="n">
        <f aca="false">X1426+Y1426*(E1426-AB1426)-Y1426*AD1426*Inputs!$B$13*(A1426-AC1426)</f>
        <v>904.463633051933</v>
      </c>
      <c r="AJ1426" s="10" t="n">
        <v>0</v>
      </c>
      <c r="AK1426" s="8" t="n">
        <f aca="false">IF(AND(B1426&lt;=U1426,NOT(Q1426)),B1426,U1426)*(1-Inputs!$B$12)</f>
        <v>0.812950529145096</v>
      </c>
    </row>
    <row r="1427" customFormat="false" ht="15" hidden="false" customHeight="false" outlineLevel="0" collapsed="false">
      <c r="A1427" s="6" t="n">
        <v>46211</v>
      </c>
      <c r="B1427" s="7" t="n">
        <v>0.828591839707576</v>
      </c>
      <c r="C1427" s="7" t="n">
        <v>0.831498668702477</v>
      </c>
      <c r="D1427" s="7" t="n">
        <v>0.827307813962099</v>
      </c>
      <c r="E1427" s="7" t="n">
        <v>0.829137610874482</v>
      </c>
      <c r="F1427" s="8" t="n">
        <f aca="true">IF(ROW()-2&gt;=Inputs!$B$4,AVERAGE(OFFSET(E1427,1-Inputs!$B$4,0,Inputs!$B$4,1)),"")</f>
        <v>0.822283830416097</v>
      </c>
      <c r="G1427" s="8" t="n">
        <f aca="true">IF(ROW()-2&gt;=Inputs!$B$5,AVERAGE(OFFSET(E1427,1-Inputs!$B$5,0,Inputs!$B$5,1)),"")</f>
        <v>0.832100933365039</v>
      </c>
      <c r="H1427" s="8" t="n">
        <f aca="false">MAX(C1427-D1427,ABS(C1427-E1426),ABS(D1427-E1426))</f>
        <v>0.00419085474037773</v>
      </c>
      <c r="I1427" s="8" t="n">
        <f aca="true">IF(ROW()-2&lt;14,"",IF(ROW()-2=14,AVERAGE(OFFSET(H1427,-13,0,14,1)),(I1426*13+H1427)/14))</f>
        <v>0.00866871794206857</v>
      </c>
      <c r="J1427" s="9" t="b">
        <f aca="false">IF(AND(ISNUMBER(F1427),ISNUMBER(G1427),ISNUMBER(F1426),ISNUMBER(G1426)),AND(F1427&gt;G1427,F1426&lt;=G1426),FALSE())</f>
        <v>0</v>
      </c>
      <c r="K1427" s="9" t="b">
        <f aca="false">IF(AND(ISNUMBER(F1427),ISNUMBER(G1427),ISNUMBER(F1426),ISNUMBER(G1426)),AND(F1427&lt;G1427,F1426&gt;=G1426),FALSE())</f>
        <v>0</v>
      </c>
      <c r="L1427" s="8" t="n">
        <f aca="false">IF(ISNUMBER(I1427),E1427-Inputs!$B$6*I1427,"")</f>
        <v>0.811800174990345</v>
      </c>
      <c r="M1427" s="9" t="b">
        <f aca="false">AND(Y1426&gt;0,Z1426)</f>
        <v>0</v>
      </c>
      <c r="N1427" s="8" t="n">
        <f aca="false">B1427*(1-Inputs!$B$12)</f>
        <v>0.828426121339635</v>
      </c>
      <c r="O1427" s="10" t="n">
        <f aca="false">IF(M1427,Y1426*(N1427-AB1426)-Inputs!$B$9-Y1426*AD1426*Inputs!$B$13*(A1427-AC1426),0)</f>
        <v>0</v>
      </c>
      <c r="P1427" s="10" t="n">
        <f aca="false">X1426+O1427</f>
        <v>904.463633051933</v>
      </c>
      <c r="Q1427" s="9" t="b">
        <f aca="false">AND(IF(M1427,0,Y1426)=0,AA1426,IF(ISNUMBER(AE1426),B1427&gt;AE1426,FALSE()))</f>
        <v>0</v>
      </c>
      <c r="R1427" s="8" t="n">
        <f aca="false">B1427*(1+Inputs!$B$12)</f>
        <v>0.828757558075518</v>
      </c>
      <c r="S1427" s="11" t="n">
        <f aca="false">IF(Q1427,MIN(P1427*Inputs!$B$3/(R1427-AE1426),P1427*Inputs!$B$11/R1427),0)</f>
        <v>0</v>
      </c>
      <c r="T1427" s="11" t="n">
        <f aca="false">IF(Q1427,S1427,IF(M1427,0,Y1426))</f>
        <v>0</v>
      </c>
      <c r="U1427" s="8" t="n">
        <f aca="false">IF(Q1427,AE1426,AF1426)</f>
        <v>0.813113151775451</v>
      </c>
      <c r="V1427" s="9" t="b">
        <f aca="false">AND(T1427&gt;0,D1427&lt;=U1427)</f>
        <v>0</v>
      </c>
      <c r="W1427" s="10" t="n">
        <f aca="false">IF(V1427,T1427*(AK1427-AB1427)-Inputs!$B$9-T1427*AD1427*Inputs!$B$13*(A1427-AC1427),0)</f>
        <v>0</v>
      </c>
      <c r="X1427" s="10" t="n">
        <f aca="false">P1427-IF(Q1427,Inputs!$B$9,0)+W1427</f>
        <v>904.463633051933</v>
      </c>
      <c r="Y1427" s="11" t="n">
        <f aca="false">IF(V1427,0,T1427)</f>
        <v>0</v>
      </c>
      <c r="Z1427" s="9" t="b">
        <f aca="false">AND(Y1427&gt;0,K1427)</f>
        <v>0</v>
      </c>
      <c r="AA1427" s="9" t="b">
        <f aca="false">AND(Y1427=0,J1427,ISNUMBER(L1427))</f>
        <v>0</v>
      </c>
      <c r="AB1427" s="8" t="n">
        <f aca="false">IF(Q1427,R1427,AB1426)</f>
        <v>0.830513214434368</v>
      </c>
      <c r="AC1427" s="12" t="n">
        <f aca="false">IF(Q1427,A1427,AC1426)</f>
        <v>46192</v>
      </c>
      <c r="AD1427" s="8" t="n">
        <f aca="false">IF(Q1427,B1427,AD1426)</f>
        <v>0.830347145005366</v>
      </c>
      <c r="AE1427" s="8" t="str">
        <f aca="false">IF(AA1427,L1427,"")</f>
        <v/>
      </c>
      <c r="AF1427" s="8" t="n">
        <f aca="false">U1427</f>
        <v>0.813113151775451</v>
      </c>
      <c r="AG1427" s="2" t="n">
        <f aca="false">AG1426+IF(Q1427,1,0)</f>
        <v>16</v>
      </c>
      <c r="AH1427" s="2" t="n">
        <f aca="false">AG1426</f>
        <v>16</v>
      </c>
      <c r="AI1427" s="10" t="n">
        <f aca="false">X1427+Y1427*(E1427-AB1427)-Y1427*AD1427*Inputs!$B$13*(A1427-AC1427)</f>
        <v>904.463633051933</v>
      </c>
      <c r="AJ1427" s="10" t="n">
        <v>0</v>
      </c>
      <c r="AK1427" s="8" t="n">
        <f aca="false">IF(AND(B1427&lt;=U1427,NOT(Q1427)),B1427,U1427)*(1-Inputs!$B$12)</f>
        <v>0.812950529145096</v>
      </c>
    </row>
    <row r="1428" customFormat="false" ht="15" hidden="false" customHeight="false" outlineLevel="0" collapsed="false">
      <c r="A1428" s="6" t="n">
        <v>46212</v>
      </c>
      <c r="B1428" s="7" t="n">
        <v>0.829137610874482</v>
      </c>
      <c r="C1428" s="7" t="n">
        <v>0.83165423978949</v>
      </c>
      <c r="D1428" s="7" t="n">
        <v>0.809554729754454</v>
      </c>
      <c r="E1428" s="7" t="n">
        <v>0.814102060188424</v>
      </c>
      <c r="F1428" s="8" t="n">
        <f aca="true">IF(ROW()-2&gt;=Inputs!$B$4,AVERAGE(OFFSET(E1428,1-Inputs!$B$4,0,Inputs!$B$4,1)),"")</f>
        <v>0.82157407687959</v>
      </c>
      <c r="G1428" s="8" t="n">
        <f aca="true">IF(ROW()-2&gt;=Inputs!$B$5,AVERAGE(OFFSET(E1428,1-Inputs!$B$5,0,Inputs!$B$5,1)),"")</f>
        <v>0.831637576589878</v>
      </c>
      <c r="H1428" s="8" t="n">
        <f aca="false">MAX(C1428-D1428,ABS(C1428-E1427),ABS(D1428-E1427))</f>
        <v>0.0220995100350359</v>
      </c>
      <c r="I1428" s="8" t="n">
        <f aca="true">IF(ROW()-2&lt;14,"",IF(ROW()-2=14,AVERAGE(OFFSET(H1428,-13,0,14,1)),(I1427*13+H1428)/14))</f>
        <v>0.00962806023442337</v>
      </c>
      <c r="J1428" s="9" t="b">
        <f aca="false">IF(AND(ISNUMBER(F1428),ISNUMBER(G1428),ISNUMBER(F1427),ISNUMBER(G1427)),AND(F1428&gt;G1428,F1427&lt;=G1427),FALSE())</f>
        <v>0</v>
      </c>
      <c r="K1428" s="9" t="b">
        <f aca="false">IF(AND(ISNUMBER(F1428),ISNUMBER(G1428),ISNUMBER(F1427),ISNUMBER(G1427)),AND(F1428&lt;G1428,F1427&gt;=G1427),FALSE())</f>
        <v>0</v>
      </c>
      <c r="L1428" s="8" t="n">
        <f aca="false">IF(ISNUMBER(I1428),E1428-Inputs!$B$6*I1428,"")</f>
        <v>0.794845939719578</v>
      </c>
      <c r="M1428" s="9" t="b">
        <f aca="false">AND(Y1427&gt;0,Z1427)</f>
        <v>0</v>
      </c>
      <c r="N1428" s="8" t="n">
        <f aca="false">B1428*(1-Inputs!$B$12)</f>
        <v>0.828971783352307</v>
      </c>
      <c r="O1428" s="10" t="n">
        <f aca="false">IF(M1428,Y1427*(N1428-AB1427)-Inputs!$B$9-Y1427*AD1427*Inputs!$B$13*(A1428-AC1427),0)</f>
        <v>0</v>
      </c>
      <c r="P1428" s="10" t="n">
        <f aca="false">X1427+O1428</f>
        <v>904.463633051933</v>
      </c>
      <c r="Q1428" s="9" t="b">
        <f aca="false">AND(IF(M1428,0,Y1427)=0,AA1427,IF(ISNUMBER(AE1427),B1428&gt;AE1427,FALSE()))</f>
        <v>0</v>
      </c>
      <c r="R1428" s="8" t="n">
        <f aca="false">B1428*(1+Inputs!$B$12)</f>
        <v>0.829303438396657</v>
      </c>
      <c r="S1428" s="11" t="n">
        <f aca="false">IF(Q1428,MIN(P1428*Inputs!$B$3/(R1428-AE1427),P1428*Inputs!$B$11/R1428),0)</f>
        <v>0</v>
      </c>
      <c r="T1428" s="11" t="n">
        <f aca="false">IF(Q1428,S1428,IF(M1428,0,Y1427))</f>
        <v>0</v>
      </c>
      <c r="U1428" s="8" t="n">
        <f aca="false">IF(Q1428,AE1427,AF1427)</f>
        <v>0.813113151775451</v>
      </c>
      <c r="V1428" s="9" t="b">
        <f aca="false">AND(T1428&gt;0,D1428&lt;=U1428)</f>
        <v>0</v>
      </c>
      <c r="W1428" s="10" t="n">
        <f aca="false">IF(V1428,T1428*(AK1428-AB1428)-Inputs!$B$9-T1428*AD1428*Inputs!$B$13*(A1428-AC1428),0)</f>
        <v>0</v>
      </c>
      <c r="X1428" s="10" t="n">
        <f aca="false">P1428-IF(Q1428,Inputs!$B$9,0)+W1428</f>
        <v>904.463633051933</v>
      </c>
      <c r="Y1428" s="11" t="n">
        <f aca="false">IF(V1428,0,T1428)</f>
        <v>0</v>
      </c>
      <c r="Z1428" s="9" t="b">
        <f aca="false">AND(Y1428&gt;0,K1428)</f>
        <v>0</v>
      </c>
      <c r="AA1428" s="9" t="b">
        <f aca="false">AND(Y1428=0,J1428,ISNUMBER(L1428))</f>
        <v>0</v>
      </c>
      <c r="AB1428" s="8" t="n">
        <f aca="false">IF(Q1428,R1428,AB1427)</f>
        <v>0.830513214434368</v>
      </c>
      <c r="AC1428" s="12" t="n">
        <f aca="false">IF(Q1428,A1428,AC1427)</f>
        <v>46192</v>
      </c>
      <c r="AD1428" s="8" t="n">
        <f aca="false">IF(Q1428,B1428,AD1427)</f>
        <v>0.830347145005366</v>
      </c>
      <c r="AE1428" s="8" t="str">
        <f aca="false">IF(AA1428,L1428,"")</f>
        <v/>
      </c>
      <c r="AF1428" s="8" t="n">
        <f aca="false">U1428</f>
        <v>0.813113151775451</v>
      </c>
      <c r="AG1428" s="2" t="n">
        <f aca="false">AG1427+IF(Q1428,1,0)</f>
        <v>16</v>
      </c>
      <c r="AH1428" s="2" t="n">
        <f aca="false">AG1427</f>
        <v>16</v>
      </c>
      <c r="AI1428" s="10" t="n">
        <f aca="false">X1428+Y1428*(E1428-AB1428)-Y1428*AD1428*Inputs!$B$13*(A1428-AC1428)</f>
        <v>904.463633051933</v>
      </c>
      <c r="AJ1428" s="10" t="n">
        <v>0</v>
      </c>
      <c r="AK1428" s="8" t="n">
        <f aca="false">IF(AND(B1428&lt;=U1428,NOT(Q1428)),B1428,U1428)*(1-Inputs!$B$12)</f>
        <v>0.812950529145096</v>
      </c>
    </row>
    <row r="1429" customFormat="false" ht="15" hidden="false" customHeight="false" outlineLevel="0" collapsed="false">
      <c r="A1429" s="6" t="n">
        <v>46213</v>
      </c>
      <c r="B1429" s="7" t="n">
        <v>0.814102060188424</v>
      </c>
      <c r="C1429" s="7" t="n">
        <v>0.820603177028349</v>
      </c>
      <c r="D1429" s="7" t="n">
        <v>0.810417278584292</v>
      </c>
      <c r="E1429" s="7" t="n">
        <v>0.818476848414636</v>
      </c>
      <c r="F1429" s="8" t="n">
        <f aca="true">IF(ROW()-2&gt;=Inputs!$B$4,AVERAGE(OFFSET(E1429,1-Inputs!$B$4,0,Inputs!$B$4,1)),"")</f>
        <v>0.821034786700835</v>
      </c>
      <c r="G1429" s="8" t="n">
        <f aca="true">IF(ROW()-2&gt;=Inputs!$B$5,AVERAGE(OFFSET(E1429,1-Inputs!$B$5,0,Inputs!$B$5,1)),"")</f>
        <v>0.831313354927385</v>
      </c>
      <c r="H1429" s="8" t="n">
        <f aca="false">MAX(C1429-D1429,ABS(C1429-E1428),ABS(D1429-E1428))</f>
        <v>0.0101858984440573</v>
      </c>
      <c r="I1429" s="8" t="n">
        <f aca="true">IF(ROW()-2&lt;14,"",IF(ROW()-2=14,AVERAGE(OFFSET(H1429,-13,0,14,1)),(I1428*13+H1429)/14))</f>
        <v>0.00966790582082579</v>
      </c>
      <c r="J1429" s="9" t="b">
        <f aca="false">IF(AND(ISNUMBER(F1429),ISNUMBER(G1429),ISNUMBER(F1428),ISNUMBER(G1428)),AND(F1429&gt;G1429,F1428&lt;=G1428),FALSE())</f>
        <v>0</v>
      </c>
      <c r="K1429" s="9" t="b">
        <f aca="false">IF(AND(ISNUMBER(F1429),ISNUMBER(G1429),ISNUMBER(F1428),ISNUMBER(G1428)),AND(F1429&lt;G1429,F1428&gt;=G1428),FALSE())</f>
        <v>0</v>
      </c>
      <c r="L1429" s="8" t="n">
        <f aca="false">IF(ISNUMBER(I1429),E1429-Inputs!$B$6*I1429,"")</f>
        <v>0.799141036772985</v>
      </c>
      <c r="M1429" s="9" t="b">
        <f aca="false">AND(Y1428&gt;0,Z1428)</f>
        <v>0</v>
      </c>
      <c r="N1429" s="8" t="n">
        <f aca="false">B1429*(1-Inputs!$B$12)</f>
        <v>0.813939239776387</v>
      </c>
      <c r="O1429" s="10" t="n">
        <f aca="false">IF(M1429,Y1428*(N1429-AB1428)-Inputs!$B$9-Y1428*AD1428*Inputs!$B$13*(A1429-AC1428),0)</f>
        <v>0</v>
      </c>
      <c r="P1429" s="10" t="n">
        <f aca="false">X1428+O1429</f>
        <v>904.463633051933</v>
      </c>
      <c r="Q1429" s="9" t="b">
        <f aca="false">AND(IF(M1429,0,Y1428)=0,AA1428,IF(ISNUMBER(AE1428),B1429&gt;AE1428,FALSE()))</f>
        <v>0</v>
      </c>
      <c r="R1429" s="8" t="n">
        <f aca="false">B1429*(1+Inputs!$B$12)</f>
        <v>0.814264880600462</v>
      </c>
      <c r="S1429" s="11" t="n">
        <f aca="false">IF(Q1429,MIN(P1429*Inputs!$B$3/(R1429-AE1428),P1429*Inputs!$B$11/R1429),0)</f>
        <v>0</v>
      </c>
      <c r="T1429" s="11" t="n">
        <f aca="false">IF(Q1429,S1429,IF(M1429,0,Y1428))</f>
        <v>0</v>
      </c>
      <c r="U1429" s="8" t="n">
        <f aca="false">IF(Q1429,AE1428,AF1428)</f>
        <v>0.813113151775451</v>
      </c>
      <c r="V1429" s="9" t="b">
        <f aca="false">AND(T1429&gt;0,D1429&lt;=U1429)</f>
        <v>0</v>
      </c>
      <c r="W1429" s="10" t="n">
        <f aca="false">IF(V1429,T1429*(AK1429-AB1429)-Inputs!$B$9-T1429*AD1429*Inputs!$B$13*(A1429-AC1429),0)</f>
        <v>0</v>
      </c>
      <c r="X1429" s="10" t="n">
        <f aca="false">P1429-IF(Q1429,Inputs!$B$9,0)+W1429</f>
        <v>904.463633051933</v>
      </c>
      <c r="Y1429" s="11" t="n">
        <f aca="false">IF(V1429,0,T1429)</f>
        <v>0</v>
      </c>
      <c r="Z1429" s="9" t="b">
        <f aca="false">AND(Y1429&gt;0,K1429)</f>
        <v>0</v>
      </c>
      <c r="AA1429" s="9" t="b">
        <f aca="false">AND(Y1429=0,J1429,ISNUMBER(L1429))</f>
        <v>0</v>
      </c>
      <c r="AB1429" s="8" t="n">
        <f aca="false">IF(Q1429,R1429,AB1428)</f>
        <v>0.830513214434368</v>
      </c>
      <c r="AC1429" s="12" t="n">
        <f aca="false">IF(Q1429,A1429,AC1428)</f>
        <v>46192</v>
      </c>
      <c r="AD1429" s="8" t="n">
        <f aca="false">IF(Q1429,B1429,AD1428)</f>
        <v>0.830347145005366</v>
      </c>
      <c r="AE1429" s="8" t="str">
        <f aca="false">IF(AA1429,L1429,"")</f>
        <v/>
      </c>
      <c r="AF1429" s="8" t="n">
        <f aca="false">U1429</f>
        <v>0.813113151775451</v>
      </c>
      <c r="AG1429" s="2" t="n">
        <f aca="false">AG1428+IF(Q1429,1,0)</f>
        <v>16</v>
      </c>
      <c r="AH1429" s="2" t="n">
        <f aca="false">AG1428</f>
        <v>16</v>
      </c>
      <c r="AI1429" s="10" t="n">
        <f aca="false">X1429+Y1429*(E1429-AB1429)-Y1429*AD1429*Inputs!$B$13*(A1429-AC1429)</f>
        <v>904.463633051933</v>
      </c>
      <c r="AJ1429" s="10" t="n">
        <v>0</v>
      </c>
      <c r="AK1429" s="8" t="n">
        <f aca="false">IF(AND(B1429&lt;=U1429,NOT(Q1429)),B1429,U1429)*(1-Inputs!$B$12)</f>
        <v>0.812950529145096</v>
      </c>
    </row>
    <row r="1430" customFormat="false" ht="15" hidden="false" customHeight="false" outlineLevel="0" collapsed="false">
      <c r="A1430" s="6" t="n">
        <v>46214</v>
      </c>
      <c r="B1430" s="7" t="n">
        <v>0.818476848414636</v>
      </c>
      <c r="C1430" s="7" t="n">
        <v>0.821964829896749</v>
      </c>
      <c r="D1430" s="7" t="n">
        <v>0.812443363275545</v>
      </c>
      <c r="E1430" s="7" t="n">
        <v>0.815526392011868</v>
      </c>
      <c r="F1430" s="8" t="n">
        <f aca="true">IF(ROW()-2&gt;=Inputs!$B$4,AVERAGE(OFFSET(E1430,1-Inputs!$B$4,0,Inputs!$B$4,1)),"")</f>
        <v>0.820807517917855</v>
      </c>
      <c r="G1430" s="8" t="n">
        <f aca="true">IF(ROW()-2&gt;=Inputs!$B$5,AVERAGE(OFFSET(E1430,1-Inputs!$B$5,0,Inputs!$B$5,1)),"")</f>
        <v>0.830727512857655</v>
      </c>
      <c r="H1430" s="8" t="n">
        <f aca="false">MAX(C1430-D1430,ABS(C1430-E1429),ABS(D1430-E1429))</f>
        <v>0.00952146662120468</v>
      </c>
      <c r="I1430" s="8" t="n">
        <f aca="true">IF(ROW()-2&lt;14,"",IF(ROW()-2=14,AVERAGE(OFFSET(H1430,-13,0,14,1)),(I1429*13+H1430)/14))</f>
        <v>0.00965744587799571</v>
      </c>
      <c r="J1430" s="9" t="b">
        <f aca="false">IF(AND(ISNUMBER(F1430),ISNUMBER(G1430),ISNUMBER(F1429),ISNUMBER(G1429)),AND(F1430&gt;G1430,F1429&lt;=G1429),FALSE())</f>
        <v>0</v>
      </c>
      <c r="K1430" s="9" t="b">
        <f aca="false">IF(AND(ISNUMBER(F1430),ISNUMBER(G1430),ISNUMBER(F1429),ISNUMBER(G1429)),AND(F1430&lt;G1430,F1429&gt;=G1429),FALSE())</f>
        <v>0</v>
      </c>
      <c r="L1430" s="8" t="n">
        <f aca="false">IF(ISNUMBER(I1430),E1430-Inputs!$B$6*I1430,"")</f>
        <v>0.796211500255877</v>
      </c>
      <c r="M1430" s="9" t="b">
        <f aca="false">AND(Y1429&gt;0,Z1429)</f>
        <v>0</v>
      </c>
      <c r="N1430" s="8" t="n">
        <f aca="false">B1430*(1-Inputs!$B$12)</f>
        <v>0.818313153044954</v>
      </c>
      <c r="O1430" s="10" t="n">
        <f aca="false">IF(M1430,Y1429*(N1430-AB1429)-Inputs!$B$9-Y1429*AD1429*Inputs!$B$13*(A1430-AC1429),0)</f>
        <v>0</v>
      </c>
      <c r="P1430" s="10" t="n">
        <f aca="false">X1429+O1430</f>
        <v>904.463633051933</v>
      </c>
      <c r="Q1430" s="9" t="b">
        <f aca="false">AND(IF(M1430,0,Y1429)=0,AA1429,IF(ISNUMBER(AE1429),B1430&gt;AE1429,FALSE()))</f>
        <v>0</v>
      </c>
      <c r="R1430" s="8" t="n">
        <f aca="false">B1430*(1+Inputs!$B$12)</f>
        <v>0.818640543784319</v>
      </c>
      <c r="S1430" s="11" t="n">
        <f aca="false">IF(Q1430,MIN(P1430*Inputs!$B$3/(R1430-AE1429),P1430*Inputs!$B$11/R1430),0)</f>
        <v>0</v>
      </c>
      <c r="T1430" s="11" t="n">
        <f aca="false">IF(Q1430,S1430,IF(M1430,0,Y1429))</f>
        <v>0</v>
      </c>
      <c r="U1430" s="8" t="n">
        <f aca="false">IF(Q1430,AE1429,AF1429)</f>
        <v>0.813113151775451</v>
      </c>
      <c r="V1430" s="9" t="b">
        <f aca="false">AND(T1430&gt;0,D1430&lt;=U1430)</f>
        <v>0</v>
      </c>
      <c r="W1430" s="10" t="n">
        <f aca="false">IF(V1430,T1430*(AK1430-AB1430)-Inputs!$B$9-T1430*AD1430*Inputs!$B$13*(A1430-AC1430),0)</f>
        <v>0</v>
      </c>
      <c r="X1430" s="10" t="n">
        <f aca="false">P1430-IF(Q1430,Inputs!$B$9,0)+W1430</f>
        <v>904.463633051933</v>
      </c>
      <c r="Y1430" s="11" t="n">
        <f aca="false">IF(V1430,0,T1430)</f>
        <v>0</v>
      </c>
      <c r="Z1430" s="9" t="b">
        <f aca="false">AND(Y1430&gt;0,K1430)</f>
        <v>0</v>
      </c>
      <c r="AA1430" s="9" t="b">
        <f aca="false">AND(Y1430=0,J1430,ISNUMBER(L1430))</f>
        <v>0</v>
      </c>
      <c r="AB1430" s="8" t="n">
        <f aca="false">IF(Q1430,R1430,AB1429)</f>
        <v>0.830513214434368</v>
      </c>
      <c r="AC1430" s="12" t="n">
        <f aca="false">IF(Q1430,A1430,AC1429)</f>
        <v>46192</v>
      </c>
      <c r="AD1430" s="8" t="n">
        <f aca="false">IF(Q1430,B1430,AD1429)</f>
        <v>0.830347145005366</v>
      </c>
      <c r="AE1430" s="8" t="str">
        <f aca="false">IF(AA1430,L1430,"")</f>
        <v/>
      </c>
      <c r="AF1430" s="8" t="n">
        <f aca="false">U1430</f>
        <v>0.813113151775451</v>
      </c>
      <c r="AG1430" s="2" t="n">
        <f aca="false">AG1429+IF(Q1430,1,0)</f>
        <v>16</v>
      </c>
      <c r="AH1430" s="2" t="n">
        <f aca="false">AG1429</f>
        <v>16</v>
      </c>
      <c r="AI1430" s="10" t="n">
        <f aca="false">X1430+Y1430*(E1430-AB1430)-Y1430*AD1430*Inputs!$B$13*(A1430-AC1430)</f>
        <v>904.463633051933</v>
      </c>
      <c r="AJ1430" s="10" t="n">
        <v>0</v>
      </c>
      <c r="AK1430" s="8" t="n">
        <f aca="false">IF(AND(B1430&lt;=U1430,NOT(Q1430)),B1430,U1430)*(1-Inputs!$B$12)</f>
        <v>0.812950529145096</v>
      </c>
    </row>
    <row r="1431" customFormat="false" ht="15" hidden="false" customHeight="false" outlineLevel="0" collapsed="false">
      <c r="A1431" s="6" t="n">
        <v>46215</v>
      </c>
      <c r="B1431" s="7" t="n">
        <v>0.815526392011868</v>
      </c>
      <c r="C1431" s="7" t="n">
        <v>0.818725346975322</v>
      </c>
      <c r="D1431" s="7" t="n">
        <v>0.810029389169517</v>
      </c>
      <c r="E1431" s="7" t="n">
        <v>0.814018304321152</v>
      </c>
      <c r="F1431" s="8" t="n">
        <f aca="true">IF(ROW()-2&gt;=Inputs!$B$4,AVERAGE(OFFSET(E1431,1-Inputs!$B$4,0,Inputs!$B$4,1)),"")</f>
        <v>0.820502644985713</v>
      </c>
      <c r="G1431" s="8" t="n">
        <f aca="true">IF(ROW()-2&gt;=Inputs!$B$5,AVERAGE(OFFSET(E1431,1-Inputs!$B$5,0,Inputs!$B$5,1)),"")</f>
        <v>0.830011122539941</v>
      </c>
      <c r="H1431" s="8" t="n">
        <f aca="false">MAX(C1431-D1431,ABS(C1431-E1430),ABS(D1431-E1430))</f>
        <v>0.00869595780580568</v>
      </c>
      <c r="I1431" s="8" t="n">
        <f aca="true">IF(ROW()-2&lt;14,"",IF(ROW()-2=14,AVERAGE(OFFSET(H1431,-13,0,14,1)),(I1430*13+H1431)/14))</f>
        <v>0.00958876815855357</v>
      </c>
      <c r="J1431" s="9" t="b">
        <f aca="false">IF(AND(ISNUMBER(F1431),ISNUMBER(G1431),ISNUMBER(F1430),ISNUMBER(G1430)),AND(F1431&gt;G1431,F1430&lt;=G1430),FALSE())</f>
        <v>0</v>
      </c>
      <c r="K1431" s="9" t="b">
        <f aca="false">IF(AND(ISNUMBER(F1431),ISNUMBER(G1431),ISNUMBER(F1430),ISNUMBER(G1430)),AND(F1431&lt;G1431,F1430&gt;=G1430),FALSE())</f>
        <v>0</v>
      </c>
      <c r="L1431" s="8" t="n">
        <f aca="false">IF(ISNUMBER(I1431),E1431-Inputs!$B$6*I1431,"")</f>
        <v>0.794840768004045</v>
      </c>
      <c r="M1431" s="9" t="b">
        <f aca="false">AND(Y1430&gt;0,Z1430)</f>
        <v>0</v>
      </c>
      <c r="N1431" s="8" t="n">
        <f aca="false">B1431*(1-Inputs!$B$12)</f>
        <v>0.815363286733466</v>
      </c>
      <c r="O1431" s="10" t="n">
        <f aca="false">IF(M1431,Y1430*(N1431-AB1430)-Inputs!$B$9-Y1430*AD1430*Inputs!$B$13*(A1431-AC1430),0)</f>
        <v>0</v>
      </c>
      <c r="P1431" s="10" t="n">
        <f aca="false">X1430+O1431</f>
        <v>904.463633051933</v>
      </c>
      <c r="Q1431" s="9" t="b">
        <f aca="false">AND(IF(M1431,0,Y1430)=0,AA1430,IF(ISNUMBER(AE1430),B1431&gt;AE1430,FALSE()))</f>
        <v>0</v>
      </c>
      <c r="R1431" s="8" t="n">
        <f aca="false">B1431*(1+Inputs!$B$12)</f>
        <v>0.81568949729027</v>
      </c>
      <c r="S1431" s="11" t="n">
        <f aca="false">IF(Q1431,MIN(P1431*Inputs!$B$3/(R1431-AE1430),P1431*Inputs!$B$11/R1431),0)</f>
        <v>0</v>
      </c>
      <c r="T1431" s="11" t="n">
        <f aca="false">IF(Q1431,S1431,IF(M1431,0,Y1430))</f>
        <v>0</v>
      </c>
      <c r="U1431" s="8" t="n">
        <f aca="false">IF(Q1431,AE1430,AF1430)</f>
        <v>0.813113151775451</v>
      </c>
      <c r="V1431" s="9" t="b">
        <f aca="false">AND(T1431&gt;0,D1431&lt;=U1431)</f>
        <v>0</v>
      </c>
      <c r="W1431" s="10" t="n">
        <f aca="false">IF(V1431,T1431*(AK1431-AB1431)-Inputs!$B$9-T1431*AD1431*Inputs!$B$13*(A1431-AC1431),0)</f>
        <v>0</v>
      </c>
      <c r="X1431" s="10" t="n">
        <f aca="false">P1431-IF(Q1431,Inputs!$B$9,0)+W1431</f>
        <v>904.463633051933</v>
      </c>
      <c r="Y1431" s="11" t="n">
        <f aca="false">IF(V1431,0,T1431)</f>
        <v>0</v>
      </c>
      <c r="Z1431" s="9" t="b">
        <f aca="false">AND(Y1431&gt;0,K1431)</f>
        <v>0</v>
      </c>
      <c r="AA1431" s="9" t="b">
        <f aca="false">AND(Y1431=0,J1431,ISNUMBER(L1431))</f>
        <v>0</v>
      </c>
      <c r="AB1431" s="8" t="n">
        <f aca="false">IF(Q1431,R1431,AB1430)</f>
        <v>0.830513214434368</v>
      </c>
      <c r="AC1431" s="12" t="n">
        <f aca="false">IF(Q1431,A1431,AC1430)</f>
        <v>46192</v>
      </c>
      <c r="AD1431" s="8" t="n">
        <f aca="false">IF(Q1431,B1431,AD1430)</f>
        <v>0.830347145005366</v>
      </c>
      <c r="AE1431" s="8" t="str">
        <f aca="false">IF(AA1431,L1431,"")</f>
        <v/>
      </c>
      <c r="AF1431" s="8" t="n">
        <f aca="false">U1431</f>
        <v>0.813113151775451</v>
      </c>
      <c r="AG1431" s="2" t="n">
        <f aca="false">AG1430+IF(Q1431,1,0)</f>
        <v>16</v>
      </c>
      <c r="AH1431" s="2" t="n">
        <f aca="false">AG1430</f>
        <v>16</v>
      </c>
      <c r="AI1431" s="10" t="n">
        <f aca="false">X1431+Y1431*(E1431-AB1431)-Y1431*AD1431*Inputs!$B$13*(A1431-AC1431)</f>
        <v>904.463633051933</v>
      </c>
      <c r="AJ1431" s="10" t="n">
        <v>0</v>
      </c>
      <c r="AK1431" s="8" t="n">
        <f aca="false">IF(AND(B1431&lt;=U1431,NOT(Q1431)),B1431,U1431)*(1-Inputs!$B$12)</f>
        <v>0.812950529145096</v>
      </c>
    </row>
    <row r="1432" customFormat="false" ht="15" hidden="false" customHeight="false" outlineLevel="0" collapsed="false">
      <c r="A1432" s="6" t="n">
        <v>46216</v>
      </c>
      <c r="B1432" s="7" t="n">
        <v>0.814018304321152</v>
      </c>
      <c r="C1432" s="7" t="n">
        <v>0.816301375005172</v>
      </c>
      <c r="D1432" s="7" t="n">
        <v>0.812206085696012</v>
      </c>
      <c r="E1432" s="7" t="n">
        <v>0.812376719034919</v>
      </c>
      <c r="F1432" s="8" t="n">
        <f aca="true">IF(ROW()-2&gt;=Inputs!$B$4,AVERAGE(OFFSET(E1432,1-Inputs!$B$4,0,Inputs!$B$4,1)),"")</f>
        <v>0.820156336050137</v>
      </c>
      <c r="G1432" s="8" t="n">
        <f aca="true">IF(ROW()-2&gt;=Inputs!$B$5,AVERAGE(OFFSET(E1432,1-Inputs!$B$5,0,Inputs!$B$5,1)),"")</f>
        <v>0.829318303221847</v>
      </c>
      <c r="H1432" s="8" t="n">
        <f aca="false">MAX(C1432-D1432,ABS(C1432-E1431),ABS(D1432-E1431))</f>
        <v>0.00409528930916092</v>
      </c>
      <c r="I1432" s="8" t="n">
        <f aca="true">IF(ROW()-2&lt;14,"",IF(ROW()-2=14,AVERAGE(OFFSET(H1432,-13,0,14,1)),(I1431*13+H1432)/14))</f>
        <v>0.00919637681216838</v>
      </c>
      <c r="J1432" s="9" t="b">
        <f aca="false">IF(AND(ISNUMBER(F1432),ISNUMBER(G1432),ISNUMBER(F1431),ISNUMBER(G1431)),AND(F1432&gt;G1432,F1431&lt;=G1431),FALSE())</f>
        <v>0</v>
      </c>
      <c r="K1432" s="9" t="b">
        <f aca="false">IF(AND(ISNUMBER(F1432),ISNUMBER(G1432),ISNUMBER(F1431),ISNUMBER(G1431)),AND(F1432&lt;G1432,F1431&gt;=G1431),FALSE())</f>
        <v>0</v>
      </c>
      <c r="L1432" s="8" t="n">
        <f aca="false">IF(ISNUMBER(I1432),E1432-Inputs!$B$6*I1432,"")</f>
        <v>0.793983965410583</v>
      </c>
      <c r="M1432" s="9" t="b">
        <f aca="false">AND(Y1431&gt;0,Z1431)</f>
        <v>0</v>
      </c>
      <c r="N1432" s="8" t="n">
        <f aca="false">B1432*(1-Inputs!$B$12)</f>
        <v>0.813855500660288</v>
      </c>
      <c r="O1432" s="10" t="n">
        <f aca="false">IF(M1432,Y1431*(N1432-AB1431)-Inputs!$B$9-Y1431*AD1431*Inputs!$B$13*(A1432-AC1431),0)</f>
        <v>0</v>
      </c>
      <c r="P1432" s="10" t="n">
        <f aca="false">X1431+O1432</f>
        <v>904.463633051933</v>
      </c>
      <c r="Q1432" s="9" t="b">
        <f aca="false">AND(IF(M1432,0,Y1431)=0,AA1431,IF(ISNUMBER(AE1431),B1432&gt;AE1431,FALSE()))</f>
        <v>0</v>
      </c>
      <c r="R1432" s="8" t="n">
        <f aca="false">B1432*(1+Inputs!$B$12)</f>
        <v>0.814181107982016</v>
      </c>
      <c r="S1432" s="11" t="n">
        <f aca="false">IF(Q1432,MIN(P1432*Inputs!$B$3/(R1432-AE1431),P1432*Inputs!$B$11/R1432),0)</f>
        <v>0</v>
      </c>
      <c r="T1432" s="11" t="n">
        <f aca="false">IF(Q1432,S1432,IF(M1432,0,Y1431))</f>
        <v>0</v>
      </c>
      <c r="U1432" s="8" t="n">
        <f aca="false">IF(Q1432,AE1431,AF1431)</f>
        <v>0.813113151775451</v>
      </c>
      <c r="V1432" s="9" t="b">
        <f aca="false">AND(T1432&gt;0,D1432&lt;=U1432)</f>
        <v>0</v>
      </c>
      <c r="W1432" s="10" t="n">
        <f aca="false">IF(V1432,T1432*(AK1432-AB1432)-Inputs!$B$9-T1432*AD1432*Inputs!$B$13*(A1432-AC1432),0)</f>
        <v>0</v>
      </c>
      <c r="X1432" s="10" t="n">
        <f aca="false">P1432-IF(Q1432,Inputs!$B$9,0)+W1432</f>
        <v>904.463633051933</v>
      </c>
      <c r="Y1432" s="11" t="n">
        <f aca="false">IF(V1432,0,T1432)</f>
        <v>0</v>
      </c>
      <c r="Z1432" s="9" t="b">
        <f aca="false">AND(Y1432&gt;0,K1432)</f>
        <v>0</v>
      </c>
      <c r="AA1432" s="9" t="b">
        <f aca="false">AND(Y1432=0,J1432,ISNUMBER(L1432))</f>
        <v>0</v>
      </c>
      <c r="AB1432" s="8" t="n">
        <f aca="false">IF(Q1432,R1432,AB1431)</f>
        <v>0.830513214434368</v>
      </c>
      <c r="AC1432" s="12" t="n">
        <f aca="false">IF(Q1432,A1432,AC1431)</f>
        <v>46192</v>
      </c>
      <c r="AD1432" s="8" t="n">
        <f aca="false">IF(Q1432,B1432,AD1431)</f>
        <v>0.830347145005366</v>
      </c>
      <c r="AE1432" s="8" t="str">
        <f aca="false">IF(AA1432,L1432,"")</f>
        <v/>
      </c>
      <c r="AF1432" s="8" t="n">
        <f aca="false">U1432</f>
        <v>0.813113151775451</v>
      </c>
      <c r="AG1432" s="2" t="n">
        <f aca="false">AG1431+IF(Q1432,1,0)</f>
        <v>16</v>
      </c>
      <c r="AH1432" s="2" t="n">
        <f aca="false">AG1431</f>
        <v>16</v>
      </c>
      <c r="AI1432" s="10" t="n">
        <f aca="false">X1432+Y1432*(E1432-AB1432)-Y1432*AD1432*Inputs!$B$13*(A1432-AC1432)</f>
        <v>904.463633051933</v>
      </c>
      <c r="AJ1432" s="10" t="n">
        <v>0</v>
      </c>
      <c r="AK1432" s="8" t="n">
        <f aca="false">IF(AND(B1432&lt;=U1432,NOT(Q1432)),B1432,U1432)*(1-Inputs!$B$12)</f>
        <v>0.812950529145096</v>
      </c>
    </row>
    <row r="1433" customFormat="false" ht="15" hidden="false" customHeight="false" outlineLevel="0" collapsed="false">
      <c r="A1433" s="6" t="n">
        <v>46217</v>
      </c>
      <c r="B1433" s="7" t="n">
        <v>0.812376719034919</v>
      </c>
      <c r="C1433" s="7" t="n">
        <v>0.812646364735937</v>
      </c>
      <c r="D1433" s="7" t="n">
        <v>0.803136530166396</v>
      </c>
      <c r="E1433" s="7" t="n">
        <v>0.806191315878504</v>
      </c>
      <c r="F1433" s="8" t="n">
        <f aca="true">IF(ROW()-2&gt;=Inputs!$B$4,AVERAGE(OFFSET(E1433,1-Inputs!$B$4,0,Inputs!$B$4,1)),"")</f>
        <v>0.81965152512167</v>
      </c>
      <c r="G1433" s="8" t="n">
        <f aca="true">IF(ROW()-2&gt;=Inputs!$B$5,AVERAGE(OFFSET(E1433,1-Inputs!$B$5,0,Inputs!$B$5,1)),"")</f>
        <v>0.828551150065213</v>
      </c>
      <c r="H1433" s="8" t="n">
        <f aca="false">MAX(C1433-D1433,ABS(C1433-E1432),ABS(D1433-E1432))</f>
        <v>0.00950983456954091</v>
      </c>
      <c r="I1433" s="8" t="n">
        <f aca="true">IF(ROW()-2&lt;14,"",IF(ROW()-2=14,AVERAGE(OFFSET(H1433,-13,0,14,1)),(I1432*13+H1433)/14))</f>
        <v>0.0092187666519807</v>
      </c>
      <c r="J1433" s="9" t="b">
        <f aca="false">IF(AND(ISNUMBER(F1433),ISNUMBER(G1433),ISNUMBER(F1432),ISNUMBER(G1432)),AND(F1433&gt;G1433,F1432&lt;=G1432),FALSE())</f>
        <v>0</v>
      </c>
      <c r="K1433" s="9" t="b">
        <f aca="false">IF(AND(ISNUMBER(F1433),ISNUMBER(G1433),ISNUMBER(F1432),ISNUMBER(G1432)),AND(F1433&lt;G1433,F1432&gt;=G1432),FALSE())</f>
        <v>0</v>
      </c>
      <c r="L1433" s="8" t="n">
        <f aca="false">IF(ISNUMBER(I1433),E1433-Inputs!$B$6*I1433,"")</f>
        <v>0.787753782574543</v>
      </c>
      <c r="M1433" s="9" t="b">
        <f aca="false">AND(Y1432&gt;0,Z1432)</f>
        <v>0</v>
      </c>
      <c r="N1433" s="8" t="n">
        <f aca="false">B1433*(1-Inputs!$B$12)</f>
        <v>0.812214243691112</v>
      </c>
      <c r="O1433" s="10" t="n">
        <f aca="false">IF(M1433,Y1432*(N1433-AB1432)-Inputs!$B$9-Y1432*AD1432*Inputs!$B$13*(A1433-AC1432),0)</f>
        <v>0</v>
      </c>
      <c r="P1433" s="10" t="n">
        <f aca="false">X1432+O1433</f>
        <v>904.463633051933</v>
      </c>
      <c r="Q1433" s="9" t="b">
        <f aca="false">AND(IF(M1433,0,Y1432)=0,AA1432,IF(ISNUMBER(AE1432),B1433&gt;AE1432,FALSE()))</f>
        <v>0</v>
      </c>
      <c r="R1433" s="8" t="n">
        <f aca="false">B1433*(1+Inputs!$B$12)</f>
        <v>0.812539194378726</v>
      </c>
      <c r="S1433" s="11" t="n">
        <f aca="false">IF(Q1433,MIN(P1433*Inputs!$B$3/(R1433-AE1432),P1433*Inputs!$B$11/R1433),0)</f>
        <v>0</v>
      </c>
      <c r="T1433" s="11" t="n">
        <f aca="false">IF(Q1433,S1433,IF(M1433,0,Y1432))</f>
        <v>0</v>
      </c>
      <c r="U1433" s="8" t="n">
        <f aca="false">IF(Q1433,AE1432,AF1432)</f>
        <v>0.813113151775451</v>
      </c>
      <c r="V1433" s="9" t="b">
        <f aca="false">AND(T1433&gt;0,D1433&lt;=U1433)</f>
        <v>0</v>
      </c>
      <c r="W1433" s="10" t="n">
        <f aca="false">IF(V1433,T1433*(AK1433-AB1433)-Inputs!$B$9-T1433*AD1433*Inputs!$B$13*(A1433-AC1433),0)</f>
        <v>0</v>
      </c>
      <c r="X1433" s="10" t="n">
        <f aca="false">P1433-IF(Q1433,Inputs!$B$9,0)+W1433</f>
        <v>904.463633051933</v>
      </c>
      <c r="Y1433" s="11" t="n">
        <f aca="false">IF(V1433,0,T1433)</f>
        <v>0</v>
      </c>
      <c r="Z1433" s="9" t="b">
        <f aca="false">AND(Y1433&gt;0,K1433)</f>
        <v>0</v>
      </c>
      <c r="AA1433" s="9" t="b">
        <f aca="false">AND(Y1433=0,J1433,ISNUMBER(L1433))</f>
        <v>0</v>
      </c>
      <c r="AB1433" s="8" t="n">
        <f aca="false">IF(Q1433,R1433,AB1432)</f>
        <v>0.830513214434368</v>
      </c>
      <c r="AC1433" s="12" t="n">
        <f aca="false">IF(Q1433,A1433,AC1432)</f>
        <v>46192</v>
      </c>
      <c r="AD1433" s="8" t="n">
        <f aca="false">IF(Q1433,B1433,AD1432)</f>
        <v>0.830347145005366</v>
      </c>
      <c r="AE1433" s="8" t="str">
        <f aca="false">IF(AA1433,L1433,"")</f>
        <v/>
      </c>
      <c r="AF1433" s="8" t="n">
        <f aca="false">U1433</f>
        <v>0.813113151775451</v>
      </c>
      <c r="AG1433" s="2" t="n">
        <f aca="false">AG1432+IF(Q1433,1,0)</f>
        <v>16</v>
      </c>
      <c r="AH1433" s="2" t="n">
        <f aca="false">AG1432</f>
        <v>16</v>
      </c>
      <c r="AI1433" s="10" t="n">
        <f aca="false">X1433+Y1433*(E1433-AB1433)-Y1433*AD1433*Inputs!$B$13*(A1433-AC1433)</f>
        <v>904.463633051933</v>
      </c>
      <c r="AJ1433" s="10" t="n">
        <v>0</v>
      </c>
      <c r="AK1433" s="8" t="n">
        <f aca="false">IF(AND(B1433&lt;=U1433,NOT(Q1433)),B1433,U1433)*(1-Inputs!$B$12)</f>
        <v>0.812214243691112</v>
      </c>
    </row>
    <row r="1434" customFormat="false" ht="15" hidden="false" customHeight="false" outlineLevel="0" collapsed="false">
      <c r="A1434" s="6" t="n">
        <v>46218</v>
      </c>
      <c r="B1434" s="7" t="n">
        <v>0.806191315878504</v>
      </c>
      <c r="C1434" s="7" t="n">
        <v>0.811131344332296</v>
      </c>
      <c r="D1434" s="7" t="n">
        <v>0.798675200226195</v>
      </c>
      <c r="E1434" s="7" t="n">
        <v>0.800939678600455</v>
      </c>
      <c r="F1434" s="8" t="n">
        <f aca="true">IF(ROW()-2&gt;=Inputs!$B$4,AVERAGE(OFFSET(E1434,1-Inputs!$B$4,0,Inputs!$B$4,1)),"")</f>
        <v>0.819152786547857</v>
      </c>
      <c r="G1434" s="8" t="n">
        <f aca="true">IF(ROW()-2&gt;=Inputs!$B$5,AVERAGE(OFFSET(E1434,1-Inputs!$B$5,0,Inputs!$B$5,1)),"")</f>
        <v>0.827806108982933</v>
      </c>
      <c r="H1434" s="8" t="n">
        <f aca="false">MAX(C1434-D1434,ABS(C1434-E1433),ABS(D1434-E1433))</f>
        <v>0.0124561441061015</v>
      </c>
      <c r="I1434" s="8" t="n">
        <f aca="true">IF(ROW()-2&lt;14,"",IF(ROW()-2=14,AVERAGE(OFFSET(H1434,-13,0,14,1)),(I1433*13+H1434)/14))</f>
        <v>0.00945000789870362</v>
      </c>
      <c r="J1434" s="9" t="b">
        <f aca="false">IF(AND(ISNUMBER(F1434),ISNUMBER(G1434),ISNUMBER(F1433),ISNUMBER(G1433)),AND(F1434&gt;G1434,F1433&lt;=G1433),FALSE())</f>
        <v>0</v>
      </c>
      <c r="K1434" s="9" t="b">
        <f aca="false">IF(AND(ISNUMBER(F1434),ISNUMBER(G1434),ISNUMBER(F1433),ISNUMBER(G1433)),AND(F1434&lt;G1434,F1433&gt;=G1433),FALSE())</f>
        <v>0</v>
      </c>
      <c r="L1434" s="8" t="n">
        <f aca="false">IF(ISNUMBER(I1434),E1434-Inputs!$B$6*I1434,"")</f>
        <v>0.782039662803048</v>
      </c>
      <c r="M1434" s="9" t="b">
        <f aca="false">AND(Y1433&gt;0,Z1433)</f>
        <v>0</v>
      </c>
      <c r="N1434" s="8" t="n">
        <f aca="false">B1434*(1-Inputs!$B$12)</f>
        <v>0.806030077615328</v>
      </c>
      <c r="O1434" s="10" t="n">
        <f aca="false">IF(M1434,Y1433*(N1434-AB1433)-Inputs!$B$9-Y1433*AD1433*Inputs!$B$13*(A1434-AC1433),0)</f>
        <v>0</v>
      </c>
      <c r="P1434" s="10" t="n">
        <f aca="false">X1433+O1434</f>
        <v>904.463633051933</v>
      </c>
      <c r="Q1434" s="9" t="b">
        <f aca="false">AND(IF(M1434,0,Y1433)=0,AA1433,IF(ISNUMBER(AE1433),B1434&gt;AE1433,FALSE()))</f>
        <v>0</v>
      </c>
      <c r="R1434" s="8" t="n">
        <f aca="false">B1434*(1+Inputs!$B$12)</f>
        <v>0.80635255414168</v>
      </c>
      <c r="S1434" s="11" t="n">
        <f aca="false">IF(Q1434,MIN(P1434*Inputs!$B$3/(R1434-AE1433),P1434*Inputs!$B$11/R1434),0)</f>
        <v>0</v>
      </c>
      <c r="T1434" s="11" t="n">
        <f aca="false">IF(Q1434,S1434,IF(M1434,0,Y1433))</f>
        <v>0</v>
      </c>
      <c r="U1434" s="8" t="n">
        <f aca="false">IF(Q1434,AE1433,AF1433)</f>
        <v>0.813113151775451</v>
      </c>
      <c r="V1434" s="9" t="b">
        <f aca="false">AND(T1434&gt;0,D1434&lt;=U1434)</f>
        <v>0</v>
      </c>
      <c r="W1434" s="10" t="n">
        <f aca="false">IF(V1434,T1434*(AK1434-AB1434)-Inputs!$B$9-T1434*AD1434*Inputs!$B$13*(A1434-AC1434),0)</f>
        <v>0</v>
      </c>
      <c r="X1434" s="10" t="n">
        <f aca="false">P1434-IF(Q1434,Inputs!$B$9,0)+W1434</f>
        <v>904.463633051933</v>
      </c>
      <c r="Y1434" s="11" t="n">
        <f aca="false">IF(V1434,0,T1434)</f>
        <v>0</v>
      </c>
      <c r="Z1434" s="9" t="b">
        <f aca="false">AND(Y1434&gt;0,K1434)</f>
        <v>0</v>
      </c>
      <c r="AA1434" s="9" t="b">
        <f aca="false">AND(Y1434=0,J1434,ISNUMBER(L1434))</f>
        <v>0</v>
      </c>
      <c r="AB1434" s="8" t="n">
        <f aca="false">IF(Q1434,R1434,AB1433)</f>
        <v>0.830513214434368</v>
      </c>
      <c r="AC1434" s="12" t="n">
        <f aca="false">IF(Q1434,A1434,AC1433)</f>
        <v>46192</v>
      </c>
      <c r="AD1434" s="8" t="n">
        <f aca="false">IF(Q1434,B1434,AD1433)</f>
        <v>0.830347145005366</v>
      </c>
      <c r="AE1434" s="8" t="str">
        <f aca="false">IF(AA1434,L1434,"")</f>
        <v/>
      </c>
      <c r="AF1434" s="8" t="n">
        <f aca="false">U1434</f>
        <v>0.813113151775451</v>
      </c>
      <c r="AG1434" s="2" t="n">
        <f aca="false">AG1433+IF(Q1434,1,0)</f>
        <v>16</v>
      </c>
      <c r="AH1434" s="2" t="n">
        <f aca="false">AG1433</f>
        <v>16</v>
      </c>
      <c r="AI1434" s="10" t="n">
        <f aca="false">X1434+Y1434*(E1434-AB1434)-Y1434*AD1434*Inputs!$B$13*(A1434-AC1434)</f>
        <v>904.463633051933</v>
      </c>
      <c r="AJ1434" s="10" t="n">
        <v>0</v>
      </c>
      <c r="AK1434" s="8" t="n">
        <f aca="false">IF(AND(B1434&lt;=U1434,NOT(Q1434)),B1434,U1434)*(1-Inputs!$B$12)</f>
        <v>0.806030077615328</v>
      </c>
    </row>
    <row r="1435" customFormat="false" ht="15" hidden="false" customHeight="false" outlineLevel="0" collapsed="false">
      <c r="A1435" s="6" t="n">
        <v>46219</v>
      </c>
      <c r="B1435" s="7" t="n">
        <v>0.800939678600455</v>
      </c>
      <c r="C1435" s="7" t="n">
        <v>0.809307139471378</v>
      </c>
      <c r="D1435" s="7" t="n">
        <v>0.798198127690457</v>
      </c>
      <c r="E1435" s="7" t="n">
        <v>0.806909727240334</v>
      </c>
      <c r="F1435" s="8" t="n">
        <f aca="true">IF(ROW()-2&gt;=Inputs!$B$4,AVERAGE(OFFSET(E1435,1-Inputs!$B$4,0,Inputs!$B$4,1)),"")</f>
        <v>0.81922683578739</v>
      </c>
      <c r="G1435" s="8" t="n">
        <f aca="true">IF(ROW()-2&gt;=Inputs!$B$5,AVERAGE(OFFSET(E1435,1-Inputs!$B$5,0,Inputs!$B$5,1)),"")</f>
        <v>0.827148807230075</v>
      </c>
      <c r="H1435" s="8" t="n">
        <f aca="false">MAX(C1435-D1435,ABS(C1435-E1434),ABS(D1435-E1434))</f>
        <v>0.0111090117809209</v>
      </c>
      <c r="I1435" s="8" t="n">
        <f aca="true">IF(ROW()-2&lt;14,"",IF(ROW()-2=14,AVERAGE(OFFSET(H1435,-13,0,14,1)),(I1434*13+H1435)/14))</f>
        <v>0.00956850817600485</v>
      </c>
      <c r="J1435" s="9" t="b">
        <f aca="false">IF(AND(ISNUMBER(F1435),ISNUMBER(G1435),ISNUMBER(F1434),ISNUMBER(G1434)),AND(F1435&gt;G1435,F1434&lt;=G1434),FALSE())</f>
        <v>0</v>
      </c>
      <c r="K1435" s="9" t="b">
        <f aca="false">IF(AND(ISNUMBER(F1435),ISNUMBER(G1435),ISNUMBER(F1434),ISNUMBER(G1434)),AND(F1435&lt;G1435,F1434&gt;=G1434),FALSE())</f>
        <v>0</v>
      </c>
      <c r="L1435" s="8" t="n">
        <f aca="false">IF(ISNUMBER(I1435),E1435-Inputs!$B$6*I1435,"")</f>
        <v>0.787772710888324</v>
      </c>
      <c r="M1435" s="9" t="b">
        <f aca="false">AND(Y1434&gt;0,Z1434)</f>
        <v>0</v>
      </c>
      <c r="N1435" s="8" t="n">
        <f aca="false">B1435*(1-Inputs!$B$12)</f>
        <v>0.800779490664735</v>
      </c>
      <c r="O1435" s="10" t="n">
        <f aca="false">IF(M1435,Y1434*(N1435-AB1434)-Inputs!$B$9-Y1434*AD1434*Inputs!$B$13*(A1435-AC1434),0)</f>
        <v>0</v>
      </c>
      <c r="P1435" s="10" t="n">
        <f aca="false">X1434+O1435</f>
        <v>904.463633051933</v>
      </c>
      <c r="Q1435" s="9" t="b">
        <f aca="false">AND(IF(M1435,0,Y1434)=0,AA1434,IF(ISNUMBER(AE1434),B1435&gt;AE1434,FALSE()))</f>
        <v>0</v>
      </c>
      <c r="R1435" s="8" t="n">
        <f aca="false">B1435*(1+Inputs!$B$12)</f>
        <v>0.801099866536175</v>
      </c>
      <c r="S1435" s="11" t="n">
        <f aca="false">IF(Q1435,MIN(P1435*Inputs!$B$3/(R1435-AE1434),P1435*Inputs!$B$11/R1435),0)</f>
        <v>0</v>
      </c>
      <c r="T1435" s="11" t="n">
        <f aca="false">IF(Q1435,S1435,IF(M1435,0,Y1434))</f>
        <v>0</v>
      </c>
      <c r="U1435" s="8" t="n">
        <f aca="false">IF(Q1435,AE1434,AF1434)</f>
        <v>0.813113151775451</v>
      </c>
      <c r="V1435" s="9" t="b">
        <f aca="false">AND(T1435&gt;0,D1435&lt;=U1435)</f>
        <v>0</v>
      </c>
      <c r="W1435" s="10" t="n">
        <f aca="false">IF(V1435,T1435*(AK1435-AB1435)-Inputs!$B$9-T1435*AD1435*Inputs!$B$13*(A1435-AC1435),0)</f>
        <v>0</v>
      </c>
      <c r="X1435" s="10" t="n">
        <f aca="false">P1435-IF(Q1435,Inputs!$B$9,0)+W1435</f>
        <v>904.463633051933</v>
      </c>
      <c r="Y1435" s="11" t="n">
        <f aca="false">IF(V1435,0,T1435)</f>
        <v>0</v>
      </c>
      <c r="Z1435" s="9" t="b">
        <f aca="false">AND(Y1435&gt;0,K1435)</f>
        <v>0</v>
      </c>
      <c r="AA1435" s="9" t="b">
        <f aca="false">AND(Y1435=0,J1435,ISNUMBER(L1435))</f>
        <v>0</v>
      </c>
      <c r="AB1435" s="8" t="n">
        <f aca="false">IF(Q1435,R1435,AB1434)</f>
        <v>0.830513214434368</v>
      </c>
      <c r="AC1435" s="12" t="n">
        <f aca="false">IF(Q1435,A1435,AC1434)</f>
        <v>46192</v>
      </c>
      <c r="AD1435" s="8" t="n">
        <f aca="false">IF(Q1435,B1435,AD1434)</f>
        <v>0.830347145005366</v>
      </c>
      <c r="AE1435" s="8" t="str">
        <f aca="false">IF(AA1435,L1435,"")</f>
        <v/>
      </c>
      <c r="AF1435" s="8" t="n">
        <f aca="false">U1435</f>
        <v>0.813113151775451</v>
      </c>
      <c r="AG1435" s="2" t="n">
        <f aca="false">AG1434+IF(Q1435,1,0)</f>
        <v>16</v>
      </c>
      <c r="AH1435" s="2" t="n">
        <f aca="false">AG1434</f>
        <v>16</v>
      </c>
      <c r="AI1435" s="10" t="n">
        <f aca="false">X1435+Y1435*(E1435-AB1435)-Y1435*AD1435*Inputs!$B$13*(A1435-AC1435)</f>
        <v>904.463633051933</v>
      </c>
      <c r="AJ1435" s="10" t="n">
        <v>0</v>
      </c>
      <c r="AK1435" s="8" t="n">
        <f aca="false">IF(AND(B1435&lt;=U1435,NOT(Q1435)),B1435,U1435)*(1-Inputs!$B$12)</f>
        <v>0.800779490664735</v>
      </c>
    </row>
    <row r="1436" customFormat="false" ht="15" hidden="false" customHeight="false" outlineLevel="0" collapsed="false">
      <c r="A1436" s="6" t="n">
        <v>46220</v>
      </c>
      <c r="B1436" s="7" t="n">
        <v>0.806909727240334</v>
      </c>
      <c r="C1436" s="7" t="n">
        <v>0.808941127328631</v>
      </c>
      <c r="D1436" s="7" t="n">
        <v>0.802365775001473</v>
      </c>
      <c r="E1436" s="7" t="n">
        <v>0.808902862503229</v>
      </c>
      <c r="F1436" s="8" t="n">
        <f aca="true">IF(ROW()-2&gt;=Inputs!$B$4,AVERAGE(OFFSET(E1436,1-Inputs!$B$4,0,Inputs!$B$4,1)),"")</f>
        <v>0.81919051338352</v>
      </c>
      <c r="G1436" s="8" t="n">
        <f aca="true">IF(ROW()-2&gt;=Inputs!$B$5,AVERAGE(OFFSET(E1436,1-Inputs!$B$5,0,Inputs!$B$5,1)),"")</f>
        <v>0.826502723654227</v>
      </c>
      <c r="H1436" s="8" t="n">
        <f aca="false">MAX(C1436-D1436,ABS(C1436-E1435),ABS(D1436-E1435))</f>
        <v>0.00657535232715756</v>
      </c>
      <c r="I1436" s="8" t="n">
        <f aca="true">IF(ROW()-2&lt;14,"",IF(ROW()-2=14,AVERAGE(OFFSET(H1436,-13,0,14,1)),(I1435*13+H1436)/14))</f>
        <v>0.00935471132965862</v>
      </c>
      <c r="J1436" s="9" t="b">
        <f aca="false">IF(AND(ISNUMBER(F1436),ISNUMBER(G1436),ISNUMBER(F1435),ISNUMBER(G1435)),AND(F1436&gt;G1436,F1435&lt;=G1435),FALSE())</f>
        <v>0</v>
      </c>
      <c r="K1436" s="9" t="b">
        <f aca="false">IF(AND(ISNUMBER(F1436),ISNUMBER(G1436),ISNUMBER(F1435),ISNUMBER(G1435)),AND(F1436&lt;G1436,F1435&gt;=G1435),FALSE())</f>
        <v>0</v>
      </c>
      <c r="L1436" s="8" t="n">
        <f aca="false">IF(ISNUMBER(I1436),E1436-Inputs!$B$6*I1436,"")</f>
        <v>0.790193439843912</v>
      </c>
      <c r="M1436" s="9" t="b">
        <f aca="false">AND(Y1435&gt;0,Z1435)</f>
        <v>0</v>
      </c>
      <c r="N1436" s="8" t="n">
        <f aca="false">B1436*(1-Inputs!$B$12)</f>
        <v>0.806748345294886</v>
      </c>
      <c r="O1436" s="10" t="n">
        <f aca="false">IF(M1436,Y1435*(N1436-AB1435)-Inputs!$B$9-Y1435*AD1435*Inputs!$B$13*(A1436-AC1435),0)</f>
        <v>0</v>
      </c>
      <c r="P1436" s="10" t="n">
        <f aca="false">X1435+O1436</f>
        <v>904.463633051933</v>
      </c>
      <c r="Q1436" s="9" t="b">
        <f aca="false">AND(IF(M1436,0,Y1435)=0,AA1435,IF(ISNUMBER(AE1435),B1436&gt;AE1435,FALSE()))</f>
        <v>0</v>
      </c>
      <c r="R1436" s="8" t="n">
        <f aca="false">B1436*(1+Inputs!$B$12)</f>
        <v>0.807071109185782</v>
      </c>
      <c r="S1436" s="11" t="n">
        <f aca="false">IF(Q1436,MIN(P1436*Inputs!$B$3/(R1436-AE1435),P1436*Inputs!$B$11/R1436),0)</f>
        <v>0</v>
      </c>
      <c r="T1436" s="11" t="n">
        <f aca="false">IF(Q1436,S1436,IF(M1436,0,Y1435))</f>
        <v>0</v>
      </c>
      <c r="U1436" s="8" t="n">
        <f aca="false">IF(Q1436,AE1435,AF1435)</f>
        <v>0.813113151775451</v>
      </c>
      <c r="V1436" s="9" t="b">
        <f aca="false">AND(T1436&gt;0,D1436&lt;=U1436)</f>
        <v>0</v>
      </c>
      <c r="W1436" s="10" t="n">
        <f aca="false">IF(V1436,T1436*(AK1436-AB1436)-Inputs!$B$9-T1436*AD1436*Inputs!$B$13*(A1436-AC1436),0)</f>
        <v>0</v>
      </c>
      <c r="X1436" s="10" t="n">
        <f aca="false">P1436-IF(Q1436,Inputs!$B$9,0)+W1436</f>
        <v>904.463633051933</v>
      </c>
      <c r="Y1436" s="11" t="n">
        <f aca="false">IF(V1436,0,T1436)</f>
        <v>0</v>
      </c>
      <c r="Z1436" s="9" t="b">
        <f aca="false">AND(Y1436&gt;0,K1436)</f>
        <v>0</v>
      </c>
      <c r="AA1436" s="9" t="b">
        <f aca="false">AND(Y1436=0,J1436,ISNUMBER(L1436))</f>
        <v>0</v>
      </c>
      <c r="AB1436" s="8" t="n">
        <f aca="false">IF(Q1436,R1436,AB1435)</f>
        <v>0.830513214434368</v>
      </c>
      <c r="AC1436" s="12" t="n">
        <f aca="false">IF(Q1436,A1436,AC1435)</f>
        <v>46192</v>
      </c>
      <c r="AD1436" s="8" t="n">
        <f aca="false">IF(Q1436,B1436,AD1435)</f>
        <v>0.830347145005366</v>
      </c>
      <c r="AE1436" s="8" t="str">
        <f aca="false">IF(AA1436,L1436,"")</f>
        <v/>
      </c>
      <c r="AF1436" s="8" t="n">
        <f aca="false">U1436</f>
        <v>0.813113151775451</v>
      </c>
      <c r="AG1436" s="2" t="n">
        <f aca="false">AG1435+IF(Q1436,1,0)</f>
        <v>16</v>
      </c>
      <c r="AH1436" s="2" t="n">
        <f aca="false">AG1435</f>
        <v>16</v>
      </c>
      <c r="AI1436" s="10" t="n">
        <f aca="false">X1436+Y1436*(E1436-AB1436)-Y1436*AD1436*Inputs!$B$13*(A1436-AC1436)</f>
        <v>904.463633051933</v>
      </c>
      <c r="AJ1436" s="10" t="n">
        <v>0</v>
      </c>
      <c r="AK1436" s="8" t="n">
        <f aca="false">IF(AND(B1436&lt;=U1436,NOT(Q1436)),B1436,U1436)*(1-Inputs!$B$12)</f>
        <v>0.806748345294886</v>
      </c>
    </row>
    <row r="1437" customFormat="false" ht="15" hidden="false" customHeight="false" outlineLevel="0" collapsed="false">
      <c r="A1437" s="6" t="n">
        <v>46221</v>
      </c>
      <c r="B1437" s="7" t="n">
        <v>0.808902862503229</v>
      </c>
      <c r="C1437" s="7" t="n">
        <v>0.810314769570319</v>
      </c>
      <c r="D1437" s="7" t="n">
        <v>0.806895080529962</v>
      </c>
      <c r="E1437" s="7" t="n">
        <v>0.809477014811404</v>
      </c>
      <c r="F1437" s="8" t="n">
        <f aca="true">IF(ROW()-2&gt;=Inputs!$B$4,AVERAGE(OFFSET(E1437,1-Inputs!$B$4,0,Inputs!$B$4,1)),"")</f>
        <v>0.819045467778336</v>
      </c>
      <c r="G1437" s="8" t="n">
        <f aca="true">IF(ROW()-2&gt;=Inputs!$B$5,AVERAGE(OFFSET(E1437,1-Inputs!$B$5,0,Inputs!$B$5,1)),"")</f>
        <v>0.826042804417969</v>
      </c>
      <c r="H1437" s="8" t="n">
        <f aca="false">MAX(C1437-D1437,ABS(C1437-E1436),ABS(D1437-E1436))</f>
        <v>0.0034196890403575</v>
      </c>
      <c r="I1437" s="8" t="n">
        <f aca="true">IF(ROW()-2&lt;14,"",IF(ROW()-2=14,AVERAGE(OFFSET(H1437,-13,0,14,1)),(I1436*13+H1437)/14))</f>
        <v>0.00893078116613711</v>
      </c>
      <c r="J1437" s="9" t="b">
        <f aca="false">IF(AND(ISNUMBER(F1437),ISNUMBER(G1437),ISNUMBER(F1436),ISNUMBER(G1436)),AND(F1437&gt;G1437,F1436&lt;=G1436),FALSE())</f>
        <v>0</v>
      </c>
      <c r="K1437" s="9" t="b">
        <f aca="false">IF(AND(ISNUMBER(F1437),ISNUMBER(G1437),ISNUMBER(F1436),ISNUMBER(G1436)),AND(F1437&lt;G1437,F1436&gt;=G1436),FALSE())</f>
        <v>0</v>
      </c>
      <c r="L1437" s="8" t="n">
        <f aca="false">IF(ISNUMBER(I1437),E1437-Inputs!$B$6*I1437,"")</f>
        <v>0.79161545247913</v>
      </c>
      <c r="M1437" s="9" t="b">
        <f aca="false">AND(Y1436&gt;0,Z1436)</f>
        <v>0</v>
      </c>
      <c r="N1437" s="8" t="n">
        <f aca="false">B1437*(1-Inputs!$B$12)</f>
        <v>0.808741081930729</v>
      </c>
      <c r="O1437" s="10" t="n">
        <f aca="false">IF(M1437,Y1436*(N1437-AB1436)-Inputs!$B$9-Y1436*AD1436*Inputs!$B$13*(A1437-AC1436),0)</f>
        <v>0</v>
      </c>
      <c r="P1437" s="10" t="n">
        <f aca="false">X1436+O1437</f>
        <v>904.463633051933</v>
      </c>
      <c r="Q1437" s="9" t="b">
        <f aca="false">AND(IF(M1437,0,Y1436)=0,AA1436,IF(ISNUMBER(AE1436),B1437&gt;AE1436,FALSE()))</f>
        <v>0</v>
      </c>
      <c r="R1437" s="8" t="n">
        <f aca="false">B1437*(1+Inputs!$B$12)</f>
        <v>0.80906464307573</v>
      </c>
      <c r="S1437" s="11" t="n">
        <f aca="false">IF(Q1437,MIN(P1437*Inputs!$B$3/(R1437-AE1436),P1437*Inputs!$B$11/R1437),0)</f>
        <v>0</v>
      </c>
      <c r="T1437" s="11" t="n">
        <f aca="false">IF(Q1437,S1437,IF(M1437,0,Y1436))</f>
        <v>0</v>
      </c>
      <c r="U1437" s="8" t="n">
        <f aca="false">IF(Q1437,AE1436,AF1436)</f>
        <v>0.813113151775451</v>
      </c>
      <c r="V1437" s="9" t="b">
        <f aca="false">AND(T1437&gt;0,D1437&lt;=U1437)</f>
        <v>0</v>
      </c>
      <c r="W1437" s="10" t="n">
        <f aca="false">IF(V1437,T1437*(AK1437-AB1437)-Inputs!$B$9-T1437*AD1437*Inputs!$B$13*(A1437-AC1437),0)</f>
        <v>0</v>
      </c>
      <c r="X1437" s="10" t="n">
        <f aca="false">P1437-IF(Q1437,Inputs!$B$9,0)+W1437</f>
        <v>904.463633051933</v>
      </c>
      <c r="Y1437" s="11" t="n">
        <f aca="false">IF(V1437,0,T1437)</f>
        <v>0</v>
      </c>
      <c r="Z1437" s="9" t="b">
        <f aca="false">AND(Y1437&gt;0,K1437)</f>
        <v>0</v>
      </c>
      <c r="AA1437" s="9" t="b">
        <f aca="false">AND(Y1437=0,J1437,ISNUMBER(L1437))</f>
        <v>0</v>
      </c>
      <c r="AB1437" s="8" t="n">
        <f aca="false">IF(Q1437,R1437,AB1436)</f>
        <v>0.830513214434368</v>
      </c>
      <c r="AC1437" s="12" t="n">
        <f aca="false">IF(Q1437,A1437,AC1436)</f>
        <v>46192</v>
      </c>
      <c r="AD1437" s="8" t="n">
        <f aca="false">IF(Q1437,B1437,AD1436)</f>
        <v>0.830347145005366</v>
      </c>
      <c r="AE1437" s="8" t="str">
        <f aca="false">IF(AA1437,L1437,"")</f>
        <v/>
      </c>
      <c r="AF1437" s="8" t="n">
        <f aca="false">U1437</f>
        <v>0.813113151775451</v>
      </c>
      <c r="AG1437" s="2" t="n">
        <f aca="false">AG1436+IF(Q1437,1,0)</f>
        <v>16</v>
      </c>
      <c r="AH1437" s="2" t="n">
        <f aca="false">AG1436</f>
        <v>16</v>
      </c>
      <c r="AI1437" s="10" t="n">
        <f aca="false">X1437+Y1437*(E1437-AB1437)-Y1437*AD1437*Inputs!$B$13*(A1437-AC1437)</f>
        <v>904.463633051933</v>
      </c>
      <c r="AJ1437" s="10" t="n">
        <v>0</v>
      </c>
      <c r="AK1437" s="8" t="n">
        <f aca="false">IF(AND(B1437&lt;=U1437,NOT(Q1437)),B1437,U1437)*(1-Inputs!$B$12)</f>
        <v>0.808741081930729</v>
      </c>
    </row>
    <row r="1438" customFormat="false" ht="15" hidden="false" customHeight="false" outlineLevel="0" collapsed="false">
      <c r="A1438" s="6" t="n">
        <v>46222</v>
      </c>
      <c r="B1438" s="7" t="n">
        <v>0.809477014811404</v>
      </c>
      <c r="C1438" s="7" t="n">
        <v>0.814236466408633</v>
      </c>
      <c r="D1438" s="7" t="n">
        <v>0.807595033217428</v>
      </c>
      <c r="E1438" s="7" t="n">
        <v>0.811243798051606</v>
      </c>
      <c r="F1438" s="8" t="n">
        <f aca="true">IF(ROW()-2&gt;=Inputs!$B$4,AVERAGE(OFFSET(E1438,1-Inputs!$B$4,0,Inputs!$B$4,1)),"")</f>
        <v>0.818510541353325</v>
      </c>
      <c r="G1438" s="8" t="n">
        <f aca="true">IF(ROW()-2&gt;=Inputs!$B$5,AVERAGE(OFFSET(E1438,1-Inputs!$B$5,0,Inputs!$B$5,1)),"")</f>
        <v>0.82551853759851</v>
      </c>
      <c r="H1438" s="8" t="n">
        <f aca="false">MAX(C1438-D1438,ABS(C1438-E1437),ABS(D1438-E1437))</f>
        <v>0.00664143319120403</v>
      </c>
      <c r="I1438" s="8" t="n">
        <f aca="true">IF(ROW()-2&lt;14,"",IF(ROW()-2=14,AVERAGE(OFFSET(H1438,-13,0,14,1)),(I1437*13+H1438)/14))</f>
        <v>0.00876725631078475</v>
      </c>
      <c r="J1438" s="9" t="b">
        <f aca="false">IF(AND(ISNUMBER(F1438),ISNUMBER(G1438),ISNUMBER(F1437),ISNUMBER(G1437)),AND(F1438&gt;G1438,F1437&lt;=G1437),FALSE())</f>
        <v>0</v>
      </c>
      <c r="K1438" s="9" t="b">
        <f aca="false">IF(AND(ISNUMBER(F1438),ISNUMBER(G1438),ISNUMBER(F1437),ISNUMBER(G1437)),AND(F1438&lt;G1438,F1437&gt;=G1437),FALSE())</f>
        <v>0</v>
      </c>
      <c r="L1438" s="8" t="n">
        <f aca="false">IF(ISNUMBER(I1438),E1438-Inputs!$B$6*I1438,"")</f>
        <v>0.793709285430037</v>
      </c>
      <c r="M1438" s="9" t="b">
        <f aca="false">AND(Y1437&gt;0,Z1437)</f>
        <v>0</v>
      </c>
      <c r="N1438" s="8" t="n">
        <f aca="false">B1438*(1-Inputs!$B$12)</f>
        <v>0.809315119408442</v>
      </c>
      <c r="O1438" s="10" t="n">
        <f aca="false">IF(M1438,Y1437*(N1438-AB1437)-Inputs!$B$9-Y1437*AD1437*Inputs!$B$13*(A1438-AC1437),0)</f>
        <v>0</v>
      </c>
      <c r="P1438" s="10" t="n">
        <f aca="false">X1437+O1438</f>
        <v>904.463633051933</v>
      </c>
      <c r="Q1438" s="9" t="b">
        <f aca="false">AND(IF(M1438,0,Y1437)=0,AA1437,IF(ISNUMBER(AE1437),B1438&gt;AE1437,FALSE()))</f>
        <v>0</v>
      </c>
      <c r="R1438" s="8" t="n">
        <f aca="false">B1438*(1+Inputs!$B$12)</f>
        <v>0.809638910214366</v>
      </c>
      <c r="S1438" s="11" t="n">
        <f aca="false">IF(Q1438,MIN(P1438*Inputs!$B$3/(R1438-AE1437),P1438*Inputs!$B$11/R1438),0)</f>
        <v>0</v>
      </c>
      <c r="T1438" s="11" t="n">
        <f aca="false">IF(Q1438,S1438,IF(M1438,0,Y1437))</f>
        <v>0</v>
      </c>
      <c r="U1438" s="8" t="n">
        <f aca="false">IF(Q1438,AE1437,AF1437)</f>
        <v>0.813113151775451</v>
      </c>
      <c r="V1438" s="9" t="b">
        <f aca="false">AND(T1438&gt;0,D1438&lt;=U1438)</f>
        <v>0</v>
      </c>
      <c r="W1438" s="10" t="n">
        <f aca="false">IF(V1438,T1438*(AK1438-AB1438)-Inputs!$B$9-T1438*AD1438*Inputs!$B$13*(A1438-AC1438),0)</f>
        <v>0</v>
      </c>
      <c r="X1438" s="10" t="n">
        <f aca="false">P1438-IF(Q1438,Inputs!$B$9,0)+W1438</f>
        <v>904.463633051933</v>
      </c>
      <c r="Y1438" s="11" t="n">
        <f aca="false">IF(V1438,0,T1438)</f>
        <v>0</v>
      </c>
      <c r="Z1438" s="9" t="b">
        <f aca="false">AND(Y1438&gt;0,K1438)</f>
        <v>0</v>
      </c>
      <c r="AA1438" s="9" t="b">
        <f aca="false">AND(Y1438=0,J1438,ISNUMBER(L1438))</f>
        <v>0</v>
      </c>
      <c r="AB1438" s="8" t="n">
        <f aca="false">IF(Q1438,R1438,AB1437)</f>
        <v>0.830513214434368</v>
      </c>
      <c r="AC1438" s="12" t="n">
        <f aca="false">IF(Q1438,A1438,AC1437)</f>
        <v>46192</v>
      </c>
      <c r="AD1438" s="8" t="n">
        <f aca="false">IF(Q1438,B1438,AD1437)</f>
        <v>0.830347145005366</v>
      </c>
      <c r="AE1438" s="8" t="str">
        <f aca="false">IF(AA1438,L1438,"")</f>
        <v/>
      </c>
      <c r="AF1438" s="8" t="n">
        <f aca="false">U1438</f>
        <v>0.813113151775451</v>
      </c>
      <c r="AG1438" s="2" t="n">
        <f aca="false">AG1437+IF(Q1438,1,0)</f>
        <v>16</v>
      </c>
      <c r="AH1438" s="2" t="n">
        <f aca="false">AG1437</f>
        <v>16</v>
      </c>
      <c r="AI1438" s="10" t="n">
        <f aca="false">X1438+Y1438*(E1438-AB1438)-Y1438*AD1438*Inputs!$B$13*(A1438-AC1438)</f>
        <v>904.463633051933</v>
      </c>
      <c r="AJ1438" s="10" t="n">
        <v>0</v>
      </c>
      <c r="AK1438" s="8" t="n">
        <f aca="false">IF(AND(B1438&lt;=U1438,NOT(Q1438)),B1438,U1438)*(1-Inputs!$B$12)</f>
        <v>0.809315119408442</v>
      </c>
    </row>
    <row r="1439" customFormat="false" ht="15" hidden="false" customHeight="false" outlineLevel="0" collapsed="false">
      <c r="A1439" s="6" t="n">
        <v>46223</v>
      </c>
      <c r="B1439" s="7" t="n">
        <v>0.811243798051606</v>
      </c>
      <c r="C1439" s="7" t="n">
        <v>0.818208998345729</v>
      </c>
      <c r="D1439" s="7" t="n">
        <v>0.808463537726782</v>
      </c>
      <c r="E1439" s="7" t="n">
        <v>0.815339266443629</v>
      </c>
      <c r="F1439" s="8" t="n">
        <f aca="true">IF(ROW()-2&gt;=Inputs!$B$4,AVERAGE(OFFSET(E1439,1-Inputs!$B$4,0,Inputs!$B$4,1)),"")</f>
        <v>0.817786800258209</v>
      </c>
      <c r="G1439" s="8" t="n">
        <f aca="true">IF(ROW()-2&gt;=Inputs!$B$5,AVERAGE(OFFSET(E1439,1-Inputs!$B$5,0,Inputs!$B$5,1)),"")</f>
        <v>0.82513738578754</v>
      </c>
      <c r="H1439" s="8" t="n">
        <f aca="false">MAX(C1439-D1439,ABS(C1439-E1438),ABS(D1439-E1438))</f>
        <v>0.00974546061894677</v>
      </c>
      <c r="I1439" s="8" t="n">
        <f aca="true">IF(ROW()-2&lt;14,"",IF(ROW()-2=14,AVERAGE(OFFSET(H1439,-13,0,14,1)),(I1438*13+H1439)/14))</f>
        <v>0.00883712804708204</v>
      </c>
      <c r="J1439" s="9" t="b">
        <f aca="false">IF(AND(ISNUMBER(F1439),ISNUMBER(G1439),ISNUMBER(F1438),ISNUMBER(G1438)),AND(F1439&gt;G1439,F1438&lt;=G1438),FALSE())</f>
        <v>0</v>
      </c>
      <c r="K1439" s="9" t="b">
        <f aca="false">IF(AND(ISNUMBER(F1439),ISNUMBER(G1439),ISNUMBER(F1438),ISNUMBER(G1438)),AND(F1439&lt;G1439,F1438&gt;=G1438),FALSE())</f>
        <v>0</v>
      </c>
      <c r="L1439" s="8" t="n">
        <f aca="false">IF(ISNUMBER(I1439),E1439-Inputs!$B$6*I1439,"")</f>
        <v>0.797665010349465</v>
      </c>
      <c r="M1439" s="9" t="b">
        <f aca="false">AND(Y1438&gt;0,Z1438)</f>
        <v>0</v>
      </c>
      <c r="N1439" s="8" t="n">
        <f aca="false">B1439*(1-Inputs!$B$12)</f>
        <v>0.811081549291996</v>
      </c>
      <c r="O1439" s="10" t="n">
        <f aca="false">IF(M1439,Y1438*(N1439-AB1438)-Inputs!$B$9-Y1438*AD1438*Inputs!$B$13*(A1439-AC1438),0)</f>
        <v>0</v>
      </c>
      <c r="P1439" s="10" t="n">
        <f aca="false">X1438+O1439</f>
        <v>904.463633051933</v>
      </c>
      <c r="Q1439" s="9" t="b">
        <f aca="false">AND(IF(M1439,0,Y1438)=0,AA1438,IF(ISNUMBER(AE1438),B1439&gt;AE1438,FALSE()))</f>
        <v>0</v>
      </c>
      <c r="R1439" s="8" t="n">
        <f aca="false">B1439*(1+Inputs!$B$12)</f>
        <v>0.811406046811217</v>
      </c>
      <c r="S1439" s="11" t="n">
        <f aca="false">IF(Q1439,MIN(P1439*Inputs!$B$3/(R1439-AE1438),P1439*Inputs!$B$11/R1439),0)</f>
        <v>0</v>
      </c>
      <c r="T1439" s="11" t="n">
        <f aca="false">IF(Q1439,S1439,IF(M1439,0,Y1438))</f>
        <v>0</v>
      </c>
      <c r="U1439" s="8" t="n">
        <f aca="false">IF(Q1439,AE1438,AF1438)</f>
        <v>0.813113151775451</v>
      </c>
      <c r="V1439" s="9" t="b">
        <f aca="false">AND(T1439&gt;0,D1439&lt;=U1439)</f>
        <v>0</v>
      </c>
      <c r="W1439" s="10" t="n">
        <f aca="false">IF(V1439,T1439*(AK1439-AB1439)-Inputs!$B$9-T1439*AD1439*Inputs!$B$13*(A1439-AC1439),0)</f>
        <v>0</v>
      </c>
      <c r="X1439" s="10" t="n">
        <f aca="false">P1439-IF(Q1439,Inputs!$B$9,0)+W1439</f>
        <v>904.463633051933</v>
      </c>
      <c r="Y1439" s="11" t="n">
        <f aca="false">IF(V1439,0,T1439)</f>
        <v>0</v>
      </c>
      <c r="Z1439" s="9" t="b">
        <f aca="false">AND(Y1439&gt;0,K1439)</f>
        <v>0</v>
      </c>
      <c r="AA1439" s="9" t="b">
        <f aca="false">AND(Y1439=0,J1439,ISNUMBER(L1439))</f>
        <v>0</v>
      </c>
      <c r="AB1439" s="8" t="n">
        <f aca="false">IF(Q1439,R1439,AB1438)</f>
        <v>0.830513214434368</v>
      </c>
      <c r="AC1439" s="12" t="n">
        <f aca="false">IF(Q1439,A1439,AC1438)</f>
        <v>46192</v>
      </c>
      <c r="AD1439" s="8" t="n">
        <f aca="false">IF(Q1439,B1439,AD1438)</f>
        <v>0.830347145005366</v>
      </c>
      <c r="AE1439" s="8" t="str">
        <f aca="false">IF(AA1439,L1439,"")</f>
        <v/>
      </c>
      <c r="AF1439" s="8" t="n">
        <f aca="false">U1439</f>
        <v>0.813113151775451</v>
      </c>
      <c r="AG1439" s="2" t="n">
        <f aca="false">AG1438+IF(Q1439,1,0)</f>
        <v>16</v>
      </c>
      <c r="AH1439" s="2" t="n">
        <f aca="false">AG1438</f>
        <v>16</v>
      </c>
      <c r="AI1439" s="10" t="n">
        <f aca="false">X1439+Y1439*(E1439-AB1439)-Y1439*AD1439*Inputs!$B$13*(A1439-AC1439)</f>
        <v>904.463633051933</v>
      </c>
      <c r="AJ1439" s="10" t="n">
        <v>0</v>
      </c>
      <c r="AK1439" s="8" t="n">
        <f aca="false">IF(AND(B1439&lt;=U1439,NOT(Q1439)),B1439,U1439)*(1-Inputs!$B$12)</f>
        <v>0.811081549291996</v>
      </c>
    </row>
    <row r="1440" customFormat="false" ht="15" hidden="false" customHeight="false" outlineLevel="0" collapsed="false">
      <c r="A1440" s="6" t="n">
        <v>46224</v>
      </c>
      <c r="B1440" s="7" t="n">
        <v>0.815339266443629</v>
      </c>
      <c r="C1440" s="7" t="n">
        <v>0.820994166211897</v>
      </c>
      <c r="D1440" s="7" t="n">
        <v>0.813341690642589</v>
      </c>
      <c r="E1440" s="7" t="n">
        <v>0.819704549641999</v>
      </c>
      <c r="F1440" s="8" t="n">
        <f aca="true">IF(ROW()-2&gt;=Inputs!$B$4,AVERAGE(OFFSET(E1440,1-Inputs!$B$4,0,Inputs!$B$4,1)),"")</f>
        <v>0.817268000948036</v>
      </c>
      <c r="G1440" s="8" t="n">
        <f aca="true">IF(ROW()-2&gt;=Inputs!$B$5,AVERAGE(OFFSET(E1440,1-Inputs!$B$5,0,Inputs!$B$5,1)),"")</f>
        <v>0.82494878079353</v>
      </c>
      <c r="H1440" s="8" t="n">
        <f aca="false">MAX(C1440-D1440,ABS(C1440-E1439),ABS(D1440-E1439))</f>
        <v>0.00765247556930804</v>
      </c>
      <c r="I1440" s="8" t="n">
        <f aca="true">IF(ROW()-2&lt;14,"",IF(ROW()-2=14,AVERAGE(OFFSET(H1440,-13,0,14,1)),(I1439*13+H1440)/14))</f>
        <v>0.00875251001295532</v>
      </c>
      <c r="J1440" s="9" t="b">
        <f aca="false">IF(AND(ISNUMBER(F1440),ISNUMBER(G1440),ISNUMBER(F1439),ISNUMBER(G1439)),AND(F1440&gt;G1440,F1439&lt;=G1439),FALSE())</f>
        <v>0</v>
      </c>
      <c r="K1440" s="9" t="b">
        <f aca="false">IF(AND(ISNUMBER(F1440),ISNUMBER(G1440),ISNUMBER(F1439),ISNUMBER(G1439)),AND(F1440&lt;G1440,F1439&gt;=G1439),FALSE())</f>
        <v>0</v>
      </c>
      <c r="L1440" s="8" t="n">
        <f aca="false">IF(ISNUMBER(I1440),E1440-Inputs!$B$6*I1440,"")</f>
        <v>0.802199529616089</v>
      </c>
      <c r="M1440" s="9" t="b">
        <f aca="false">AND(Y1439&gt;0,Z1439)</f>
        <v>0</v>
      </c>
      <c r="N1440" s="8" t="n">
        <f aca="false">B1440*(1-Inputs!$B$12)</f>
        <v>0.81517619859034</v>
      </c>
      <c r="O1440" s="10" t="n">
        <f aca="false">IF(M1440,Y1439*(N1440-AB1439)-Inputs!$B$9-Y1439*AD1439*Inputs!$B$13*(A1440-AC1439),0)</f>
        <v>0</v>
      </c>
      <c r="P1440" s="10" t="n">
        <f aca="false">X1439+O1440</f>
        <v>904.463633051933</v>
      </c>
      <c r="Q1440" s="9" t="b">
        <f aca="false">AND(IF(M1440,0,Y1439)=0,AA1439,IF(ISNUMBER(AE1439),B1440&gt;AE1439,FALSE()))</f>
        <v>0</v>
      </c>
      <c r="R1440" s="8" t="n">
        <f aca="false">B1440*(1+Inputs!$B$12)</f>
        <v>0.815502334296917</v>
      </c>
      <c r="S1440" s="11" t="n">
        <f aca="false">IF(Q1440,MIN(P1440*Inputs!$B$3/(R1440-AE1439),P1440*Inputs!$B$11/R1440),0)</f>
        <v>0</v>
      </c>
      <c r="T1440" s="11" t="n">
        <f aca="false">IF(Q1440,S1440,IF(M1440,0,Y1439))</f>
        <v>0</v>
      </c>
      <c r="U1440" s="8" t="n">
        <f aca="false">IF(Q1440,AE1439,AF1439)</f>
        <v>0.813113151775451</v>
      </c>
      <c r="V1440" s="9" t="b">
        <f aca="false">AND(T1440&gt;0,D1440&lt;=U1440)</f>
        <v>0</v>
      </c>
      <c r="W1440" s="10" t="n">
        <f aca="false">IF(V1440,T1440*(AK1440-AB1440)-Inputs!$B$9-T1440*AD1440*Inputs!$B$13*(A1440-AC1440),0)</f>
        <v>0</v>
      </c>
      <c r="X1440" s="10" t="n">
        <f aca="false">P1440-IF(Q1440,Inputs!$B$9,0)+W1440</f>
        <v>904.463633051933</v>
      </c>
      <c r="Y1440" s="11" t="n">
        <f aca="false">IF(V1440,0,T1440)</f>
        <v>0</v>
      </c>
      <c r="Z1440" s="9" t="b">
        <f aca="false">AND(Y1440&gt;0,K1440)</f>
        <v>0</v>
      </c>
      <c r="AA1440" s="9" t="b">
        <f aca="false">AND(Y1440=0,J1440,ISNUMBER(L1440))</f>
        <v>0</v>
      </c>
      <c r="AB1440" s="8" t="n">
        <f aca="false">IF(Q1440,R1440,AB1439)</f>
        <v>0.830513214434368</v>
      </c>
      <c r="AC1440" s="12" t="n">
        <f aca="false">IF(Q1440,A1440,AC1439)</f>
        <v>46192</v>
      </c>
      <c r="AD1440" s="8" t="n">
        <f aca="false">IF(Q1440,B1440,AD1439)</f>
        <v>0.830347145005366</v>
      </c>
      <c r="AE1440" s="8" t="str">
        <f aca="false">IF(AA1440,L1440,"")</f>
        <v/>
      </c>
      <c r="AF1440" s="8" t="n">
        <f aca="false">U1440</f>
        <v>0.813113151775451</v>
      </c>
      <c r="AG1440" s="2" t="n">
        <f aca="false">AG1439+IF(Q1440,1,0)</f>
        <v>16</v>
      </c>
      <c r="AH1440" s="2" t="n">
        <f aca="false">AG1439</f>
        <v>16</v>
      </c>
      <c r="AI1440" s="10" t="n">
        <f aca="false">X1440+Y1440*(E1440-AB1440)-Y1440*AD1440*Inputs!$B$13*(A1440-AC1440)</f>
        <v>904.463633051933</v>
      </c>
      <c r="AJ1440" s="10" t="n">
        <v>0</v>
      </c>
      <c r="AK1440" s="8" t="n">
        <f aca="false">IF(AND(B1440&lt;=U1440,NOT(Q1440)),B1440,U1440)*(1-Inputs!$B$12)</f>
        <v>0.812950529145096</v>
      </c>
    </row>
    <row r="1441" customFormat="false" ht="15" hidden="false" customHeight="false" outlineLevel="0" collapsed="false">
      <c r="A1441" s="6" t="n">
        <v>46225</v>
      </c>
      <c r="B1441" s="7" t="n">
        <v>0.819704549641999</v>
      </c>
      <c r="C1441" s="7" t="n">
        <v>0.828904726214778</v>
      </c>
      <c r="D1441" s="7" t="n">
        <v>0.818027268847481</v>
      </c>
      <c r="E1441" s="7" t="n">
        <v>0.828297256642139</v>
      </c>
      <c r="F1441" s="8" t="n">
        <f aca="true">IF(ROW()-2&gt;=Inputs!$B$4,AVERAGE(OFFSET(E1441,1-Inputs!$B$4,0,Inputs!$B$4,1)),"")</f>
        <v>0.817101469446213</v>
      </c>
      <c r="G1441" s="8" t="n">
        <f aca="true">IF(ROW()-2&gt;=Inputs!$B$5,AVERAGE(OFFSET(E1441,1-Inputs!$B$5,0,Inputs!$B$5,1)),"")</f>
        <v>0.824767640120196</v>
      </c>
      <c r="H1441" s="8" t="n">
        <f aca="false">MAX(C1441-D1441,ABS(C1441-E1440),ABS(D1441-E1440))</f>
        <v>0.0108774573672971</v>
      </c>
      <c r="I1441" s="8" t="n">
        <f aca="true">IF(ROW()-2&lt;14,"",IF(ROW()-2=14,AVERAGE(OFFSET(H1441,-13,0,14,1)),(I1440*13+H1441)/14))</f>
        <v>0.00890429196683687</v>
      </c>
      <c r="J1441" s="9" t="b">
        <f aca="false">IF(AND(ISNUMBER(F1441),ISNUMBER(G1441),ISNUMBER(F1440),ISNUMBER(G1440)),AND(F1441&gt;G1441,F1440&lt;=G1440),FALSE())</f>
        <v>0</v>
      </c>
      <c r="K1441" s="9" t="b">
        <f aca="false">IF(AND(ISNUMBER(F1441),ISNUMBER(G1441),ISNUMBER(F1440),ISNUMBER(G1440)),AND(F1441&lt;G1441,F1440&gt;=G1440),FALSE())</f>
        <v>0</v>
      </c>
      <c r="L1441" s="8" t="n">
        <f aca="false">IF(ISNUMBER(I1441),E1441-Inputs!$B$6*I1441,"")</f>
        <v>0.810488672708465</v>
      </c>
      <c r="M1441" s="9" t="b">
        <f aca="false">AND(Y1440&gt;0,Z1440)</f>
        <v>0</v>
      </c>
      <c r="N1441" s="8" t="n">
        <f aca="false">B1441*(1-Inputs!$B$12)</f>
        <v>0.819540608732071</v>
      </c>
      <c r="O1441" s="10" t="n">
        <f aca="false">IF(M1441,Y1440*(N1441-AB1440)-Inputs!$B$9-Y1440*AD1440*Inputs!$B$13*(A1441-AC1440),0)</f>
        <v>0</v>
      </c>
      <c r="P1441" s="10" t="n">
        <f aca="false">X1440+O1441</f>
        <v>904.463633051933</v>
      </c>
      <c r="Q1441" s="9" t="b">
        <f aca="false">AND(IF(M1441,0,Y1440)=0,AA1440,IF(ISNUMBER(AE1440),B1441&gt;AE1440,FALSE()))</f>
        <v>0</v>
      </c>
      <c r="R1441" s="8" t="n">
        <f aca="false">B1441*(1+Inputs!$B$12)</f>
        <v>0.819868490551928</v>
      </c>
      <c r="S1441" s="11" t="n">
        <f aca="false">IF(Q1441,MIN(P1441*Inputs!$B$3/(R1441-AE1440),P1441*Inputs!$B$11/R1441),0)</f>
        <v>0</v>
      </c>
      <c r="T1441" s="11" t="n">
        <f aca="false">IF(Q1441,S1441,IF(M1441,0,Y1440))</f>
        <v>0</v>
      </c>
      <c r="U1441" s="8" t="n">
        <f aca="false">IF(Q1441,AE1440,AF1440)</f>
        <v>0.813113151775451</v>
      </c>
      <c r="V1441" s="9" t="b">
        <f aca="false">AND(T1441&gt;0,D1441&lt;=U1441)</f>
        <v>0</v>
      </c>
      <c r="W1441" s="10" t="n">
        <f aca="false">IF(V1441,T1441*(AK1441-AB1441)-Inputs!$B$9-T1441*AD1441*Inputs!$B$13*(A1441-AC1441),0)</f>
        <v>0</v>
      </c>
      <c r="X1441" s="10" t="n">
        <f aca="false">P1441-IF(Q1441,Inputs!$B$9,0)+W1441</f>
        <v>904.463633051933</v>
      </c>
      <c r="Y1441" s="11" t="n">
        <f aca="false">IF(V1441,0,T1441)</f>
        <v>0</v>
      </c>
      <c r="Z1441" s="9" t="b">
        <f aca="false">AND(Y1441&gt;0,K1441)</f>
        <v>0</v>
      </c>
      <c r="AA1441" s="9" t="b">
        <f aca="false">AND(Y1441=0,J1441,ISNUMBER(L1441))</f>
        <v>0</v>
      </c>
      <c r="AB1441" s="8" t="n">
        <f aca="false">IF(Q1441,R1441,AB1440)</f>
        <v>0.830513214434368</v>
      </c>
      <c r="AC1441" s="12" t="n">
        <f aca="false">IF(Q1441,A1441,AC1440)</f>
        <v>46192</v>
      </c>
      <c r="AD1441" s="8" t="n">
        <f aca="false">IF(Q1441,B1441,AD1440)</f>
        <v>0.830347145005366</v>
      </c>
      <c r="AE1441" s="8" t="str">
        <f aca="false">IF(AA1441,L1441,"")</f>
        <v/>
      </c>
      <c r="AF1441" s="8" t="n">
        <f aca="false">U1441</f>
        <v>0.813113151775451</v>
      </c>
      <c r="AG1441" s="2" t="n">
        <f aca="false">AG1440+IF(Q1441,1,0)</f>
        <v>16</v>
      </c>
      <c r="AH1441" s="2" t="n">
        <f aca="false">AG1440</f>
        <v>16</v>
      </c>
      <c r="AI1441" s="10" t="n">
        <f aca="false">X1441+Y1441*(E1441-AB1441)-Y1441*AD1441*Inputs!$B$13*(A1441-AC1441)</f>
        <v>904.463633051933</v>
      </c>
      <c r="AJ1441" s="10" t="n">
        <v>0</v>
      </c>
      <c r="AK1441" s="8" t="n">
        <f aca="false">IF(AND(B1441&lt;=U1441,NOT(Q1441)),B1441,U1441)*(1-Inputs!$B$12)</f>
        <v>0.812950529145096</v>
      </c>
    </row>
    <row r="1442" customFormat="false" ht="15" hidden="false" customHeight="false" outlineLevel="0" collapsed="false">
      <c r="A1442" s="6" t="n">
        <v>46226</v>
      </c>
      <c r="B1442" s="7" t="n">
        <v>0.828297256642139</v>
      </c>
      <c r="C1442" s="7" t="n">
        <v>0.840576259162182</v>
      </c>
      <c r="D1442" s="7" t="n">
        <v>0.823118943536936</v>
      </c>
      <c r="E1442" s="7" t="n">
        <v>0.83979111411402</v>
      </c>
      <c r="F1442" s="8" t="n">
        <f aca="true">IF(ROW()-2&gt;=Inputs!$B$4,AVERAGE(OFFSET(E1442,1-Inputs!$B$4,0,Inputs!$B$4,1)),"")</f>
        <v>0.817995815301494</v>
      </c>
      <c r="G1442" s="8" t="n">
        <f aca="true">IF(ROW()-2&gt;=Inputs!$B$5,AVERAGE(OFFSET(E1442,1-Inputs!$B$5,0,Inputs!$B$5,1)),"")</f>
        <v>0.824622897305569</v>
      </c>
      <c r="H1442" s="8" t="n">
        <f aca="false">MAX(C1442-D1442,ABS(C1442-E1441),ABS(D1442-E1441))</f>
        <v>0.0174573156252457</v>
      </c>
      <c r="I1442" s="8" t="n">
        <f aca="true">IF(ROW()-2&lt;14,"",IF(ROW()-2=14,AVERAGE(OFFSET(H1442,-13,0,14,1)),(I1441*13+H1442)/14))</f>
        <v>0.00951522222815178</v>
      </c>
      <c r="J1442" s="9" t="b">
        <f aca="false">IF(AND(ISNUMBER(F1442),ISNUMBER(G1442),ISNUMBER(F1441),ISNUMBER(G1441)),AND(F1442&gt;G1442,F1441&lt;=G1441),FALSE())</f>
        <v>0</v>
      </c>
      <c r="K1442" s="9" t="b">
        <f aca="false">IF(AND(ISNUMBER(F1442),ISNUMBER(G1442),ISNUMBER(F1441),ISNUMBER(G1441)),AND(F1442&lt;G1442,F1441&gt;=G1441),FALSE())</f>
        <v>0</v>
      </c>
      <c r="L1442" s="8" t="n">
        <f aca="false">IF(ISNUMBER(I1442),E1442-Inputs!$B$6*I1442,"")</f>
        <v>0.820760669657716</v>
      </c>
      <c r="M1442" s="9" t="b">
        <f aca="false">AND(Y1441&gt;0,Z1441)</f>
        <v>0</v>
      </c>
      <c r="N1442" s="8" t="n">
        <f aca="false">B1442*(1-Inputs!$B$12)</f>
        <v>0.828131597190811</v>
      </c>
      <c r="O1442" s="10" t="n">
        <f aca="false">IF(M1442,Y1441*(N1442-AB1441)-Inputs!$B$9-Y1441*AD1441*Inputs!$B$13*(A1442-AC1441),0)</f>
        <v>0</v>
      </c>
      <c r="P1442" s="10" t="n">
        <f aca="false">X1441+O1442</f>
        <v>904.463633051933</v>
      </c>
      <c r="Q1442" s="9" t="b">
        <f aca="false">AND(IF(M1442,0,Y1441)=0,AA1441,IF(ISNUMBER(AE1441),B1442&gt;AE1441,FALSE()))</f>
        <v>0</v>
      </c>
      <c r="R1442" s="8" t="n">
        <f aca="false">B1442*(1+Inputs!$B$12)</f>
        <v>0.828462916093467</v>
      </c>
      <c r="S1442" s="11" t="n">
        <f aca="false">IF(Q1442,MIN(P1442*Inputs!$B$3/(R1442-AE1441),P1442*Inputs!$B$11/R1442),0)</f>
        <v>0</v>
      </c>
      <c r="T1442" s="11" t="n">
        <f aca="false">IF(Q1442,S1442,IF(M1442,0,Y1441))</f>
        <v>0</v>
      </c>
      <c r="U1442" s="8" t="n">
        <f aca="false">IF(Q1442,AE1441,AF1441)</f>
        <v>0.813113151775451</v>
      </c>
      <c r="V1442" s="9" t="b">
        <f aca="false">AND(T1442&gt;0,D1442&lt;=U1442)</f>
        <v>0</v>
      </c>
      <c r="W1442" s="10" t="n">
        <f aca="false">IF(V1442,T1442*(AK1442-AB1442)-Inputs!$B$9-T1442*AD1442*Inputs!$B$13*(A1442-AC1442),0)</f>
        <v>0</v>
      </c>
      <c r="X1442" s="10" t="n">
        <f aca="false">P1442-IF(Q1442,Inputs!$B$9,0)+W1442</f>
        <v>904.463633051933</v>
      </c>
      <c r="Y1442" s="11" t="n">
        <f aca="false">IF(V1442,0,T1442)</f>
        <v>0</v>
      </c>
      <c r="Z1442" s="9" t="b">
        <f aca="false">AND(Y1442&gt;0,K1442)</f>
        <v>0</v>
      </c>
      <c r="AA1442" s="9" t="b">
        <f aca="false">AND(Y1442=0,J1442,ISNUMBER(L1442))</f>
        <v>0</v>
      </c>
      <c r="AB1442" s="8" t="n">
        <f aca="false">IF(Q1442,R1442,AB1441)</f>
        <v>0.830513214434368</v>
      </c>
      <c r="AC1442" s="12" t="n">
        <f aca="false">IF(Q1442,A1442,AC1441)</f>
        <v>46192</v>
      </c>
      <c r="AD1442" s="8" t="n">
        <f aca="false">IF(Q1442,B1442,AD1441)</f>
        <v>0.830347145005366</v>
      </c>
      <c r="AE1442" s="8" t="str">
        <f aca="false">IF(AA1442,L1442,"")</f>
        <v/>
      </c>
      <c r="AF1442" s="8" t="n">
        <f aca="false">U1442</f>
        <v>0.813113151775451</v>
      </c>
      <c r="AG1442" s="2" t="n">
        <f aca="false">AG1441+IF(Q1442,1,0)</f>
        <v>16</v>
      </c>
      <c r="AH1442" s="2" t="n">
        <f aca="false">AG1441</f>
        <v>16</v>
      </c>
      <c r="AI1442" s="10" t="n">
        <f aca="false">X1442+Y1442*(E1442-AB1442)-Y1442*AD1442*Inputs!$B$13*(A1442-AC1442)</f>
        <v>904.463633051933</v>
      </c>
      <c r="AJ1442" s="10" t="n">
        <v>0</v>
      </c>
      <c r="AK1442" s="8" t="n">
        <f aca="false">IF(AND(B1442&lt;=U1442,NOT(Q1442)),B1442,U1442)*(1-Inputs!$B$12)</f>
        <v>0.812950529145096</v>
      </c>
    </row>
    <row r="1443" customFormat="false" ht="15" hidden="false" customHeight="false" outlineLevel="0" collapsed="false">
      <c r="A1443" s="6" t="n">
        <v>46227</v>
      </c>
      <c r="B1443" s="7" t="n">
        <v>0.83979111411402</v>
      </c>
      <c r="C1443" s="7" t="n">
        <v>0.844109581291521</v>
      </c>
      <c r="D1443" s="7" t="n">
        <v>0.835573818380251</v>
      </c>
      <c r="E1443" s="7" t="n">
        <v>0.841538119101573</v>
      </c>
      <c r="F1443" s="8" t="n">
        <f aca="true">IF(ROW()-2&gt;=Inputs!$B$4,AVERAGE(OFFSET(E1443,1-Inputs!$B$4,0,Inputs!$B$4,1)),"")</f>
        <v>0.818951730585193</v>
      </c>
      <c r="G1443" s="8" t="n">
        <f aca="true">IF(ROW()-2&gt;=Inputs!$B$5,AVERAGE(OFFSET(E1443,1-Inputs!$B$5,0,Inputs!$B$5,1)),"")</f>
        <v>0.824640267294069</v>
      </c>
      <c r="H1443" s="8" t="n">
        <f aca="false">MAX(C1443-D1443,ABS(C1443-E1442),ABS(D1443-E1442))</f>
        <v>0.00853576291126923</v>
      </c>
      <c r="I1443" s="8" t="n">
        <f aca="true">IF(ROW()-2&lt;14,"",IF(ROW()-2=14,AVERAGE(OFFSET(H1443,-13,0,14,1)),(I1442*13+H1443)/14))</f>
        <v>0.00944526084837446</v>
      </c>
      <c r="J1443" s="9" t="b">
        <f aca="false">IF(AND(ISNUMBER(F1443),ISNUMBER(G1443),ISNUMBER(F1442),ISNUMBER(G1442)),AND(F1443&gt;G1443,F1442&lt;=G1442),FALSE())</f>
        <v>0</v>
      </c>
      <c r="K1443" s="9" t="b">
        <f aca="false">IF(AND(ISNUMBER(F1443),ISNUMBER(G1443),ISNUMBER(F1442),ISNUMBER(G1442)),AND(F1443&lt;G1443,F1442&gt;=G1442),FALSE())</f>
        <v>0</v>
      </c>
      <c r="L1443" s="8" t="n">
        <f aca="false">IF(ISNUMBER(I1443),E1443-Inputs!$B$6*I1443,"")</f>
        <v>0.822647597404824</v>
      </c>
      <c r="M1443" s="9" t="b">
        <f aca="false">AND(Y1442&gt;0,Z1442)</f>
        <v>0</v>
      </c>
      <c r="N1443" s="8" t="n">
        <f aca="false">B1443*(1-Inputs!$B$12)</f>
        <v>0.839623155891197</v>
      </c>
      <c r="O1443" s="10" t="n">
        <f aca="false">IF(M1443,Y1442*(N1443-AB1442)-Inputs!$B$9-Y1442*AD1442*Inputs!$B$13*(A1443-AC1442),0)</f>
        <v>0</v>
      </c>
      <c r="P1443" s="10" t="n">
        <f aca="false">X1442+O1443</f>
        <v>904.463633051933</v>
      </c>
      <c r="Q1443" s="9" t="b">
        <f aca="false">AND(IF(M1443,0,Y1442)=0,AA1442,IF(ISNUMBER(AE1442),B1443&gt;AE1442,FALSE()))</f>
        <v>0</v>
      </c>
      <c r="R1443" s="8" t="n">
        <f aca="false">B1443*(1+Inputs!$B$12)</f>
        <v>0.839959072336842</v>
      </c>
      <c r="S1443" s="11" t="n">
        <f aca="false">IF(Q1443,MIN(P1443*Inputs!$B$3/(R1443-AE1442),P1443*Inputs!$B$11/R1443),0)</f>
        <v>0</v>
      </c>
      <c r="T1443" s="11" t="n">
        <f aca="false">IF(Q1443,S1443,IF(M1443,0,Y1442))</f>
        <v>0</v>
      </c>
      <c r="U1443" s="8" t="n">
        <f aca="false">IF(Q1443,AE1442,AF1442)</f>
        <v>0.813113151775451</v>
      </c>
      <c r="V1443" s="9" t="b">
        <f aca="false">AND(T1443&gt;0,D1443&lt;=U1443)</f>
        <v>0</v>
      </c>
      <c r="W1443" s="10" t="n">
        <f aca="false">IF(V1443,T1443*(AK1443-AB1443)-Inputs!$B$9-T1443*AD1443*Inputs!$B$13*(A1443-AC1443),0)</f>
        <v>0</v>
      </c>
      <c r="X1443" s="10" t="n">
        <f aca="false">P1443-IF(Q1443,Inputs!$B$9,0)+W1443</f>
        <v>904.463633051933</v>
      </c>
      <c r="Y1443" s="11" t="n">
        <f aca="false">IF(V1443,0,T1443)</f>
        <v>0</v>
      </c>
      <c r="Z1443" s="9" t="b">
        <f aca="false">AND(Y1443&gt;0,K1443)</f>
        <v>0</v>
      </c>
      <c r="AA1443" s="9" t="b">
        <f aca="false">AND(Y1443=0,J1443,ISNUMBER(L1443))</f>
        <v>0</v>
      </c>
      <c r="AB1443" s="8" t="n">
        <f aca="false">IF(Q1443,R1443,AB1442)</f>
        <v>0.830513214434368</v>
      </c>
      <c r="AC1443" s="12" t="n">
        <f aca="false">IF(Q1443,A1443,AC1442)</f>
        <v>46192</v>
      </c>
      <c r="AD1443" s="8" t="n">
        <f aca="false">IF(Q1443,B1443,AD1442)</f>
        <v>0.830347145005366</v>
      </c>
      <c r="AE1443" s="8" t="str">
        <f aca="false">IF(AA1443,L1443,"")</f>
        <v/>
      </c>
      <c r="AF1443" s="8" t="n">
        <f aca="false">U1443</f>
        <v>0.813113151775451</v>
      </c>
      <c r="AG1443" s="2" t="n">
        <f aca="false">AG1442+IF(Q1443,1,0)</f>
        <v>16</v>
      </c>
      <c r="AH1443" s="2" t="n">
        <f aca="false">AG1442</f>
        <v>16</v>
      </c>
      <c r="AI1443" s="10" t="n">
        <f aca="false">X1443+Y1443*(E1443-AB1443)-Y1443*AD1443*Inputs!$B$13*(A1443-AC1443)</f>
        <v>904.463633051933</v>
      </c>
      <c r="AJ1443" s="10" t="n">
        <v>0</v>
      </c>
      <c r="AK1443" s="8" t="n">
        <f aca="false">IF(AND(B1443&lt;=U1443,NOT(Q1443)),B1443,U1443)*(1-Inputs!$B$12)</f>
        <v>0.812950529145096</v>
      </c>
    </row>
    <row r="1444" customFormat="false" ht="15" hidden="false" customHeight="false" outlineLevel="0" collapsed="false">
      <c r="A1444" s="6" t="n">
        <v>46228</v>
      </c>
      <c r="B1444" s="7" t="n">
        <v>0.841538119101573</v>
      </c>
      <c r="C1444" s="7" t="n">
        <v>0.851342426718825</v>
      </c>
      <c r="D1444" s="7" t="n">
        <v>0.840653419004522</v>
      </c>
      <c r="E1444" s="7" t="n">
        <v>0.849873266547988</v>
      </c>
      <c r="F1444" s="8" t="n">
        <f aca="true">IF(ROW()-2&gt;=Inputs!$B$4,AVERAGE(OFFSET(E1444,1-Inputs!$B$4,0,Inputs!$B$4,1)),"")</f>
        <v>0.819918146922578</v>
      </c>
      <c r="G1444" s="8" t="n">
        <f aca="true">IF(ROW()-2&gt;=Inputs!$B$5,AVERAGE(OFFSET(E1444,1-Inputs!$B$5,0,Inputs!$B$5,1)),"")</f>
        <v>0.824955012854002</v>
      </c>
      <c r="H1444" s="8" t="n">
        <f aca="false">MAX(C1444-D1444,ABS(C1444-E1443),ABS(D1444-E1443))</f>
        <v>0.0106890077143035</v>
      </c>
      <c r="I1444" s="8" t="n">
        <f aca="true">IF(ROW()-2&lt;14,"",IF(ROW()-2=14,AVERAGE(OFFSET(H1444,-13,0,14,1)),(I1443*13+H1444)/14))</f>
        <v>0.00953409991022653</v>
      </c>
      <c r="J1444" s="9" t="b">
        <f aca="false">IF(AND(ISNUMBER(F1444),ISNUMBER(G1444),ISNUMBER(F1443),ISNUMBER(G1443)),AND(F1444&gt;G1444,F1443&lt;=G1443),FALSE())</f>
        <v>0</v>
      </c>
      <c r="K1444" s="9" t="b">
        <f aca="false">IF(AND(ISNUMBER(F1444),ISNUMBER(G1444),ISNUMBER(F1443),ISNUMBER(G1443)),AND(F1444&lt;G1444,F1443&gt;=G1443),FALSE())</f>
        <v>0</v>
      </c>
      <c r="L1444" s="8" t="n">
        <f aca="false">IF(ISNUMBER(I1444),E1444-Inputs!$B$6*I1444,"")</f>
        <v>0.830805066727535</v>
      </c>
      <c r="M1444" s="9" t="b">
        <f aca="false">AND(Y1443&gt;0,Z1443)</f>
        <v>0</v>
      </c>
      <c r="N1444" s="8" t="n">
        <f aca="false">B1444*(1-Inputs!$B$12)</f>
        <v>0.841369811477752</v>
      </c>
      <c r="O1444" s="10" t="n">
        <f aca="false">IF(M1444,Y1443*(N1444-AB1443)-Inputs!$B$9-Y1443*AD1443*Inputs!$B$13*(A1444-AC1443),0)</f>
        <v>0</v>
      </c>
      <c r="P1444" s="10" t="n">
        <f aca="false">X1443+O1444</f>
        <v>904.463633051933</v>
      </c>
      <c r="Q1444" s="9" t="b">
        <f aca="false">AND(IF(M1444,0,Y1443)=0,AA1443,IF(ISNUMBER(AE1443),B1444&gt;AE1443,FALSE()))</f>
        <v>0</v>
      </c>
      <c r="R1444" s="8" t="n">
        <f aca="false">B1444*(1+Inputs!$B$12)</f>
        <v>0.841706426725393</v>
      </c>
      <c r="S1444" s="11" t="n">
        <f aca="false">IF(Q1444,MIN(P1444*Inputs!$B$3/(R1444-AE1443),P1444*Inputs!$B$11/R1444),0)</f>
        <v>0</v>
      </c>
      <c r="T1444" s="11" t="n">
        <f aca="false">IF(Q1444,S1444,IF(M1444,0,Y1443))</f>
        <v>0</v>
      </c>
      <c r="U1444" s="8" t="n">
        <f aca="false">IF(Q1444,AE1443,AF1443)</f>
        <v>0.813113151775451</v>
      </c>
      <c r="V1444" s="9" t="b">
        <f aca="false">AND(T1444&gt;0,D1444&lt;=U1444)</f>
        <v>0</v>
      </c>
      <c r="W1444" s="10" t="n">
        <f aca="false">IF(V1444,T1444*(AK1444-AB1444)-Inputs!$B$9-T1444*AD1444*Inputs!$B$13*(A1444-AC1444),0)</f>
        <v>0</v>
      </c>
      <c r="X1444" s="10" t="n">
        <f aca="false">P1444-IF(Q1444,Inputs!$B$9,0)+W1444</f>
        <v>904.463633051933</v>
      </c>
      <c r="Y1444" s="11" t="n">
        <f aca="false">IF(V1444,0,T1444)</f>
        <v>0</v>
      </c>
      <c r="Z1444" s="9" t="b">
        <f aca="false">AND(Y1444&gt;0,K1444)</f>
        <v>0</v>
      </c>
      <c r="AA1444" s="9" t="b">
        <f aca="false">AND(Y1444=0,J1444,ISNUMBER(L1444))</f>
        <v>0</v>
      </c>
      <c r="AB1444" s="8" t="n">
        <f aca="false">IF(Q1444,R1444,AB1443)</f>
        <v>0.830513214434368</v>
      </c>
      <c r="AC1444" s="12" t="n">
        <f aca="false">IF(Q1444,A1444,AC1443)</f>
        <v>46192</v>
      </c>
      <c r="AD1444" s="8" t="n">
        <f aca="false">IF(Q1444,B1444,AD1443)</f>
        <v>0.830347145005366</v>
      </c>
      <c r="AE1444" s="8" t="str">
        <f aca="false">IF(AA1444,L1444,"")</f>
        <v/>
      </c>
      <c r="AF1444" s="8" t="n">
        <f aca="false">U1444</f>
        <v>0.813113151775451</v>
      </c>
      <c r="AG1444" s="2" t="n">
        <f aca="false">AG1443+IF(Q1444,1,0)</f>
        <v>16</v>
      </c>
      <c r="AH1444" s="2" t="n">
        <f aca="false">AG1443</f>
        <v>16</v>
      </c>
      <c r="AI1444" s="10" t="n">
        <f aca="false">X1444+Y1444*(E1444-AB1444)-Y1444*AD1444*Inputs!$B$13*(A1444-AC1444)</f>
        <v>904.463633051933</v>
      </c>
      <c r="AJ1444" s="10" t="n">
        <v>0</v>
      </c>
      <c r="AK1444" s="8" t="n">
        <f aca="false">IF(AND(B1444&lt;=U1444,NOT(Q1444)),B1444,U1444)*(1-Inputs!$B$12)</f>
        <v>0.812950529145096</v>
      </c>
    </row>
    <row r="1445" customFormat="false" ht="15" hidden="false" customHeight="false" outlineLevel="0" collapsed="false">
      <c r="A1445" s="6" t="n">
        <v>46229</v>
      </c>
      <c r="B1445" s="7" t="n">
        <v>0.849873266547988</v>
      </c>
      <c r="C1445" s="7" t="n">
        <v>0.856028311810673</v>
      </c>
      <c r="D1445" s="7" t="n">
        <v>0.84865774045367</v>
      </c>
      <c r="E1445" s="7" t="n">
        <v>0.852128110395643</v>
      </c>
      <c r="F1445" s="8" t="n">
        <f aca="true">IF(ROW()-2&gt;=Inputs!$B$4,AVERAGE(OFFSET(E1445,1-Inputs!$B$4,0,Inputs!$B$4,1)),"")</f>
        <v>0.821128292726279</v>
      </c>
      <c r="G1445" s="8" t="n">
        <f aca="true">IF(ROW()-2&gt;=Inputs!$B$5,AVERAGE(OFFSET(E1445,1-Inputs!$B$5,0,Inputs!$B$5,1)),"")</f>
        <v>0.82527971168145</v>
      </c>
      <c r="H1445" s="8" t="n">
        <f aca="false">MAX(C1445-D1445,ABS(C1445-E1444),ABS(D1445-E1444))</f>
        <v>0.00737057135700303</v>
      </c>
      <c r="I1445" s="8" t="n">
        <f aca="true">IF(ROW()-2&lt;14,"",IF(ROW()-2=14,AVERAGE(OFFSET(H1445,-13,0,14,1)),(I1444*13+H1445)/14))</f>
        <v>0.00937956215642485</v>
      </c>
      <c r="J1445" s="9" t="b">
        <f aca="false">IF(AND(ISNUMBER(F1445),ISNUMBER(G1445),ISNUMBER(F1444),ISNUMBER(G1444)),AND(F1445&gt;G1445,F1444&lt;=G1444),FALSE())</f>
        <v>0</v>
      </c>
      <c r="K1445" s="9" t="b">
        <f aca="false">IF(AND(ISNUMBER(F1445),ISNUMBER(G1445),ISNUMBER(F1444),ISNUMBER(G1444)),AND(F1445&lt;G1445,F1444&gt;=G1444),FALSE())</f>
        <v>0</v>
      </c>
      <c r="L1445" s="8" t="n">
        <f aca="false">IF(ISNUMBER(I1445),E1445-Inputs!$B$6*I1445,"")</f>
        <v>0.833368986082794</v>
      </c>
      <c r="M1445" s="9" t="b">
        <f aca="false">AND(Y1444&gt;0,Z1444)</f>
        <v>0</v>
      </c>
      <c r="N1445" s="8" t="n">
        <f aca="false">B1445*(1-Inputs!$B$12)</f>
        <v>0.849703291894678</v>
      </c>
      <c r="O1445" s="10" t="n">
        <f aca="false">IF(M1445,Y1444*(N1445-AB1444)-Inputs!$B$9-Y1444*AD1444*Inputs!$B$13*(A1445-AC1444),0)</f>
        <v>0</v>
      </c>
      <c r="P1445" s="10" t="n">
        <f aca="false">X1444+O1445</f>
        <v>904.463633051933</v>
      </c>
      <c r="Q1445" s="9" t="b">
        <f aca="false">AND(IF(M1445,0,Y1444)=0,AA1444,IF(ISNUMBER(AE1444),B1445&gt;AE1444,FALSE()))</f>
        <v>0</v>
      </c>
      <c r="R1445" s="8" t="n">
        <f aca="false">B1445*(1+Inputs!$B$12)</f>
        <v>0.850043241201297</v>
      </c>
      <c r="S1445" s="11" t="n">
        <f aca="false">IF(Q1445,MIN(P1445*Inputs!$B$3/(R1445-AE1444),P1445*Inputs!$B$11/R1445),0)</f>
        <v>0</v>
      </c>
      <c r="T1445" s="11" t="n">
        <f aca="false">IF(Q1445,S1445,IF(M1445,0,Y1444))</f>
        <v>0</v>
      </c>
      <c r="U1445" s="8" t="n">
        <f aca="false">IF(Q1445,AE1444,AF1444)</f>
        <v>0.813113151775451</v>
      </c>
      <c r="V1445" s="9" t="b">
        <f aca="false">AND(T1445&gt;0,D1445&lt;=U1445)</f>
        <v>0</v>
      </c>
      <c r="W1445" s="10" t="n">
        <f aca="false">IF(V1445,T1445*(AK1445-AB1445)-Inputs!$B$9-T1445*AD1445*Inputs!$B$13*(A1445-AC1445),0)</f>
        <v>0</v>
      </c>
      <c r="X1445" s="10" t="n">
        <f aca="false">P1445-IF(Q1445,Inputs!$B$9,0)+W1445</f>
        <v>904.463633051933</v>
      </c>
      <c r="Y1445" s="11" t="n">
        <f aca="false">IF(V1445,0,T1445)</f>
        <v>0</v>
      </c>
      <c r="Z1445" s="9" t="b">
        <f aca="false">AND(Y1445&gt;0,K1445)</f>
        <v>0</v>
      </c>
      <c r="AA1445" s="9" t="b">
        <f aca="false">AND(Y1445=0,J1445,ISNUMBER(L1445))</f>
        <v>0</v>
      </c>
      <c r="AB1445" s="8" t="n">
        <f aca="false">IF(Q1445,R1445,AB1444)</f>
        <v>0.830513214434368</v>
      </c>
      <c r="AC1445" s="12" t="n">
        <f aca="false">IF(Q1445,A1445,AC1444)</f>
        <v>46192</v>
      </c>
      <c r="AD1445" s="8" t="n">
        <f aca="false">IF(Q1445,B1445,AD1444)</f>
        <v>0.830347145005366</v>
      </c>
      <c r="AE1445" s="8" t="str">
        <f aca="false">IF(AA1445,L1445,"")</f>
        <v/>
      </c>
      <c r="AF1445" s="8" t="n">
        <f aca="false">U1445</f>
        <v>0.813113151775451</v>
      </c>
      <c r="AG1445" s="2" t="n">
        <f aca="false">AG1444+IF(Q1445,1,0)</f>
        <v>16</v>
      </c>
      <c r="AH1445" s="2" t="n">
        <f aca="false">AG1444</f>
        <v>16</v>
      </c>
      <c r="AI1445" s="10" t="n">
        <f aca="false">X1445+Y1445*(E1445-AB1445)-Y1445*AD1445*Inputs!$B$13*(A1445-AC1445)</f>
        <v>904.463633051933</v>
      </c>
      <c r="AJ1445" s="10" t="n">
        <v>0</v>
      </c>
      <c r="AK1445" s="8" t="n">
        <f aca="false">IF(AND(B1445&lt;=U1445,NOT(Q1445)),B1445,U1445)*(1-Inputs!$B$12)</f>
        <v>0.812950529145096</v>
      </c>
    </row>
    <row r="1446" customFormat="false" ht="15" hidden="false" customHeight="false" outlineLevel="0" collapsed="false">
      <c r="A1446" s="6" t="n">
        <v>46230</v>
      </c>
      <c r="B1446" s="7" t="n">
        <v>0.852128110395643</v>
      </c>
      <c r="C1446" s="7" t="n">
        <v>0.860457746955543</v>
      </c>
      <c r="D1446" s="7" t="n">
        <v>0.845723213369348</v>
      </c>
      <c r="E1446" s="7" t="n">
        <v>0.859355936150004</v>
      </c>
      <c r="F1446" s="8" t="n">
        <f aca="true">IF(ROW()-2&gt;=Inputs!$B$4,AVERAGE(OFFSET(E1446,1-Inputs!$B$4,0,Inputs!$B$4,1)),"")</f>
        <v>0.8226664975484</v>
      </c>
      <c r="G1446" s="8" t="n">
        <f aca="true">IF(ROW()-2&gt;=Inputs!$B$5,AVERAGE(OFFSET(E1446,1-Inputs!$B$5,0,Inputs!$B$5,1)),"")</f>
        <v>0.825739860977849</v>
      </c>
      <c r="H1446" s="8" t="n">
        <f aca="false">MAX(C1446-D1446,ABS(C1446-E1445),ABS(D1446-E1445))</f>
        <v>0.0147345335861955</v>
      </c>
      <c r="I1446" s="8" t="n">
        <f aca="true">IF(ROW()-2&lt;14,"",IF(ROW()-2=14,AVERAGE(OFFSET(H1446,-13,0,14,1)),(I1445*13+H1446)/14))</f>
        <v>0.00976206011569418</v>
      </c>
      <c r="J1446" s="9" t="b">
        <f aca="false">IF(AND(ISNUMBER(F1446),ISNUMBER(G1446),ISNUMBER(F1445),ISNUMBER(G1445)),AND(F1446&gt;G1446,F1445&lt;=G1445),FALSE())</f>
        <v>0</v>
      </c>
      <c r="K1446" s="9" t="b">
        <f aca="false">IF(AND(ISNUMBER(F1446),ISNUMBER(G1446),ISNUMBER(F1445),ISNUMBER(G1445)),AND(F1446&lt;G1446,F1445&gt;=G1445),FALSE())</f>
        <v>0</v>
      </c>
      <c r="L1446" s="8" t="n">
        <f aca="false">IF(ISNUMBER(I1446),E1446-Inputs!$B$6*I1446,"")</f>
        <v>0.839831815918615</v>
      </c>
      <c r="M1446" s="9" t="b">
        <f aca="false">AND(Y1445&gt;0,Z1445)</f>
        <v>0</v>
      </c>
      <c r="N1446" s="8" t="n">
        <f aca="false">B1446*(1-Inputs!$B$12)</f>
        <v>0.851957684773564</v>
      </c>
      <c r="O1446" s="10" t="n">
        <f aca="false">IF(M1446,Y1445*(N1446-AB1445)-Inputs!$B$9-Y1445*AD1445*Inputs!$B$13*(A1446-AC1445),0)</f>
        <v>0</v>
      </c>
      <c r="P1446" s="10" t="n">
        <f aca="false">X1445+O1446</f>
        <v>904.463633051933</v>
      </c>
      <c r="Q1446" s="9" t="b">
        <f aca="false">AND(IF(M1446,0,Y1445)=0,AA1445,IF(ISNUMBER(AE1445),B1446&gt;AE1445,FALSE()))</f>
        <v>0</v>
      </c>
      <c r="R1446" s="8" t="n">
        <f aca="false">B1446*(1+Inputs!$B$12)</f>
        <v>0.852298536017722</v>
      </c>
      <c r="S1446" s="11" t="n">
        <f aca="false">IF(Q1446,MIN(P1446*Inputs!$B$3/(R1446-AE1445),P1446*Inputs!$B$11/R1446),0)</f>
        <v>0</v>
      </c>
      <c r="T1446" s="11" t="n">
        <f aca="false">IF(Q1446,S1446,IF(M1446,0,Y1445))</f>
        <v>0</v>
      </c>
      <c r="U1446" s="8" t="n">
        <f aca="false">IF(Q1446,AE1445,AF1445)</f>
        <v>0.813113151775451</v>
      </c>
      <c r="V1446" s="9" t="b">
        <f aca="false">AND(T1446&gt;0,D1446&lt;=U1446)</f>
        <v>0</v>
      </c>
      <c r="W1446" s="10" t="n">
        <f aca="false">IF(V1446,T1446*(AK1446-AB1446)-Inputs!$B$9-T1446*AD1446*Inputs!$B$13*(A1446-AC1446),0)</f>
        <v>0</v>
      </c>
      <c r="X1446" s="10" t="n">
        <f aca="false">P1446-IF(Q1446,Inputs!$B$9,0)+W1446</f>
        <v>904.463633051933</v>
      </c>
      <c r="Y1446" s="11" t="n">
        <f aca="false">IF(V1446,0,T1446)</f>
        <v>0</v>
      </c>
      <c r="Z1446" s="9" t="b">
        <f aca="false">AND(Y1446&gt;0,K1446)</f>
        <v>0</v>
      </c>
      <c r="AA1446" s="9" t="b">
        <f aca="false">AND(Y1446=0,J1446,ISNUMBER(L1446))</f>
        <v>0</v>
      </c>
      <c r="AB1446" s="8" t="n">
        <f aca="false">IF(Q1446,R1446,AB1445)</f>
        <v>0.830513214434368</v>
      </c>
      <c r="AC1446" s="12" t="n">
        <f aca="false">IF(Q1446,A1446,AC1445)</f>
        <v>46192</v>
      </c>
      <c r="AD1446" s="8" t="n">
        <f aca="false">IF(Q1446,B1446,AD1445)</f>
        <v>0.830347145005366</v>
      </c>
      <c r="AE1446" s="8" t="str">
        <f aca="false">IF(AA1446,L1446,"")</f>
        <v/>
      </c>
      <c r="AF1446" s="8" t="n">
        <f aca="false">U1446</f>
        <v>0.813113151775451</v>
      </c>
      <c r="AG1446" s="2" t="n">
        <f aca="false">AG1445+IF(Q1446,1,0)</f>
        <v>16</v>
      </c>
      <c r="AH1446" s="2" t="n">
        <f aca="false">AG1445</f>
        <v>16</v>
      </c>
      <c r="AI1446" s="10" t="n">
        <f aca="false">X1446+Y1446*(E1446-AB1446)-Y1446*AD1446*Inputs!$B$13*(A1446-AC1446)</f>
        <v>904.463633051933</v>
      </c>
      <c r="AJ1446" s="10" t="n">
        <v>0</v>
      </c>
      <c r="AK1446" s="8" t="n">
        <f aca="false">IF(AND(B1446&lt;=U1446,NOT(Q1446)),B1446,U1446)*(1-Inputs!$B$12)</f>
        <v>0.812950529145096</v>
      </c>
    </row>
    <row r="1447" customFormat="false" ht="15" hidden="false" customHeight="false" outlineLevel="0" collapsed="false">
      <c r="A1447" s="6" t="n">
        <v>46231</v>
      </c>
      <c r="B1447" s="7" t="n">
        <v>0.859355936150004</v>
      </c>
      <c r="C1447" s="7" t="n">
        <v>0.865692457265055</v>
      </c>
      <c r="D1447" s="7" t="n">
        <v>0.859305554237937</v>
      </c>
      <c r="E1447" s="7" t="n">
        <v>0.864374102775664</v>
      </c>
      <c r="F1447" s="8" t="n">
        <f aca="true">IF(ROW()-2&gt;=Inputs!$B$4,AVERAGE(OFFSET(E1447,1-Inputs!$B$4,0,Inputs!$B$4,1)),"")</f>
        <v>0.824428322143459</v>
      </c>
      <c r="G1447" s="8" t="n">
        <f aca="true">IF(ROW()-2&gt;=Inputs!$B$5,AVERAGE(OFFSET(E1447,1-Inputs!$B$5,0,Inputs!$B$5,1)),"")</f>
        <v>0.826358956467448</v>
      </c>
      <c r="H1447" s="8" t="n">
        <f aca="false">MAX(C1447-D1447,ABS(C1447-E1446),ABS(D1447-E1446))</f>
        <v>0.00638690302711853</v>
      </c>
      <c r="I1447" s="8" t="n">
        <f aca="true">IF(ROW()-2&lt;14,"",IF(ROW()-2=14,AVERAGE(OFFSET(H1447,-13,0,14,1)),(I1446*13+H1447)/14))</f>
        <v>0.00952097746651021</v>
      </c>
      <c r="J1447" s="9" t="b">
        <f aca="false">IF(AND(ISNUMBER(F1447),ISNUMBER(G1447),ISNUMBER(F1446),ISNUMBER(G1446)),AND(F1447&gt;G1447,F1446&lt;=G1446),FALSE())</f>
        <v>0</v>
      </c>
      <c r="K1447" s="9" t="b">
        <f aca="false">IF(AND(ISNUMBER(F1447),ISNUMBER(G1447),ISNUMBER(F1446),ISNUMBER(G1446)),AND(F1447&lt;G1447,F1446&gt;=G1446),FALSE())</f>
        <v>0</v>
      </c>
      <c r="L1447" s="8" t="n">
        <f aca="false">IF(ISNUMBER(I1447),E1447-Inputs!$B$6*I1447,"")</f>
        <v>0.845332147842644</v>
      </c>
      <c r="M1447" s="9" t="b">
        <f aca="false">AND(Y1446&gt;0,Z1446)</f>
        <v>0</v>
      </c>
      <c r="N1447" s="8" t="n">
        <f aca="false">B1447*(1-Inputs!$B$12)</f>
        <v>0.859184064962774</v>
      </c>
      <c r="O1447" s="10" t="n">
        <f aca="false">IF(M1447,Y1446*(N1447-AB1446)-Inputs!$B$9-Y1446*AD1446*Inputs!$B$13*(A1447-AC1446),0)</f>
        <v>0</v>
      </c>
      <c r="P1447" s="10" t="n">
        <f aca="false">X1446+O1447</f>
        <v>904.463633051933</v>
      </c>
      <c r="Q1447" s="9" t="b">
        <f aca="false">AND(IF(M1447,0,Y1446)=0,AA1446,IF(ISNUMBER(AE1446),B1447&gt;AE1446,FALSE()))</f>
        <v>0</v>
      </c>
      <c r="R1447" s="8" t="n">
        <f aca="false">B1447*(1+Inputs!$B$12)</f>
        <v>0.859527807337234</v>
      </c>
      <c r="S1447" s="11" t="n">
        <f aca="false">IF(Q1447,MIN(P1447*Inputs!$B$3/(R1447-AE1446),P1447*Inputs!$B$11/R1447),0)</f>
        <v>0</v>
      </c>
      <c r="T1447" s="11" t="n">
        <f aca="false">IF(Q1447,S1447,IF(M1447,0,Y1446))</f>
        <v>0</v>
      </c>
      <c r="U1447" s="8" t="n">
        <f aca="false">IF(Q1447,AE1446,AF1446)</f>
        <v>0.813113151775451</v>
      </c>
      <c r="V1447" s="9" t="b">
        <f aca="false">AND(T1447&gt;0,D1447&lt;=U1447)</f>
        <v>0</v>
      </c>
      <c r="W1447" s="10" t="n">
        <f aca="false">IF(V1447,T1447*(AK1447-AB1447)-Inputs!$B$9-T1447*AD1447*Inputs!$B$13*(A1447-AC1447),0)</f>
        <v>0</v>
      </c>
      <c r="X1447" s="10" t="n">
        <f aca="false">P1447-IF(Q1447,Inputs!$B$9,0)+W1447</f>
        <v>904.463633051933</v>
      </c>
      <c r="Y1447" s="11" t="n">
        <f aca="false">IF(V1447,0,T1447)</f>
        <v>0</v>
      </c>
      <c r="Z1447" s="9" t="b">
        <f aca="false">AND(Y1447&gt;0,K1447)</f>
        <v>0</v>
      </c>
      <c r="AA1447" s="9" t="b">
        <f aca="false">AND(Y1447=0,J1447,ISNUMBER(L1447))</f>
        <v>0</v>
      </c>
      <c r="AB1447" s="8" t="n">
        <f aca="false">IF(Q1447,R1447,AB1446)</f>
        <v>0.830513214434368</v>
      </c>
      <c r="AC1447" s="12" t="n">
        <f aca="false">IF(Q1447,A1447,AC1446)</f>
        <v>46192</v>
      </c>
      <c r="AD1447" s="8" t="n">
        <f aca="false">IF(Q1447,B1447,AD1446)</f>
        <v>0.830347145005366</v>
      </c>
      <c r="AE1447" s="8" t="str">
        <f aca="false">IF(AA1447,L1447,"")</f>
        <v/>
      </c>
      <c r="AF1447" s="8" t="n">
        <f aca="false">U1447</f>
        <v>0.813113151775451</v>
      </c>
      <c r="AG1447" s="2" t="n">
        <f aca="false">AG1446+IF(Q1447,1,0)</f>
        <v>16</v>
      </c>
      <c r="AH1447" s="2" t="n">
        <f aca="false">AG1446</f>
        <v>16</v>
      </c>
      <c r="AI1447" s="10" t="n">
        <f aca="false">X1447+Y1447*(E1447-AB1447)-Y1447*AD1447*Inputs!$B$13*(A1447-AC1447)</f>
        <v>904.463633051933</v>
      </c>
      <c r="AJ1447" s="10" t="n">
        <v>0</v>
      </c>
      <c r="AK1447" s="8" t="n">
        <f aca="false">IF(AND(B1447&lt;=U1447,NOT(Q1447)),B1447,U1447)*(1-Inputs!$B$12)</f>
        <v>0.812950529145096</v>
      </c>
    </row>
    <row r="1448" customFormat="false" ht="15" hidden="false" customHeight="false" outlineLevel="0" collapsed="false">
      <c r="A1448" s="6" t="n">
        <v>46232</v>
      </c>
      <c r="B1448" s="7" t="n">
        <v>0.864374102775664</v>
      </c>
      <c r="C1448" s="7" t="n">
        <v>0.86999306107486</v>
      </c>
      <c r="D1448" s="7" t="n">
        <v>0.863270475485227</v>
      </c>
      <c r="E1448" s="7" t="n">
        <v>0.866076569419758</v>
      </c>
      <c r="F1448" s="8" t="n">
        <f aca="true">IF(ROW()-2&gt;=Inputs!$B$4,AVERAGE(OFFSET(E1448,1-Inputs!$B$4,0,Inputs!$B$4,1)),"")</f>
        <v>0.827027047605026</v>
      </c>
      <c r="G1448" s="8" t="n">
        <f aca="true">IF(ROW()-2&gt;=Inputs!$B$5,AVERAGE(OFFSET(E1448,1-Inputs!$B$5,0,Inputs!$B$5,1)),"")</f>
        <v>0.826905761195082</v>
      </c>
      <c r="H1448" s="8" t="n">
        <f aca="false">MAX(C1448-D1448,ABS(C1448-E1447),ABS(D1448-E1447))</f>
        <v>0.00672258558963312</v>
      </c>
      <c r="I1448" s="8" t="n">
        <f aca="true">IF(ROW()-2&lt;14,"",IF(ROW()-2=14,AVERAGE(OFFSET(H1448,-13,0,14,1)),(I1447*13+H1448)/14))</f>
        <v>0.00932109233244756</v>
      </c>
      <c r="J1448" s="9" t="b">
        <f aca="false">IF(AND(ISNUMBER(F1448),ISNUMBER(G1448),ISNUMBER(F1447),ISNUMBER(G1447)),AND(F1448&gt;G1448,F1447&lt;=G1447),FALSE())</f>
        <v>1</v>
      </c>
      <c r="K1448" s="9" t="b">
        <f aca="false">IF(AND(ISNUMBER(F1448),ISNUMBER(G1448),ISNUMBER(F1447),ISNUMBER(G1447)),AND(F1448&lt;G1448,F1447&gt;=G1447),FALSE())</f>
        <v>0</v>
      </c>
      <c r="L1448" s="8" t="n">
        <f aca="false">IF(ISNUMBER(I1448),E1448-Inputs!$B$6*I1448,"")</f>
        <v>0.847434384754863</v>
      </c>
      <c r="M1448" s="9" t="b">
        <f aca="false">AND(Y1447&gt;0,Z1447)</f>
        <v>0</v>
      </c>
      <c r="N1448" s="8" t="n">
        <f aca="false">B1448*(1-Inputs!$B$12)</f>
        <v>0.864201227955109</v>
      </c>
      <c r="O1448" s="10" t="n">
        <f aca="false">IF(M1448,Y1447*(N1448-AB1447)-Inputs!$B$9-Y1447*AD1447*Inputs!$B$13*(A1448-AC1447),0)</f>
        <v>0</v>
      </c>
      <c r="P1448" s="10" t="n">
        <f aca="false">X1447+O1448</f>
        <v>904.463633051933</v>
      </c>
      <c r="Q1448" s="9" t="b">
        <f aca="false">AND(IF(M1448,0,Y1447)=0,AA1447,IF(ISNUMBER(AE1447),B1448&gt;AE1447,FALSE()))</f>
        <v>0</v>
      </c>
      <c r="R1448" s="8" t="n">
        <f aca="false">B1448*(1+Inputs!$B$12)</f>
        <v>0.86454697759622</v>
      </c>
      <c r="S1448" s="11" t="n">
        <f aca="false">IF(Q1448,MIN(P1448*Inputs!$B$3/(R1448-AE1447),P1448*Inputs!$B$11/R1448),0)</f>
        <v>0</v>
      </c>
      <c r="T1448" s="11" t="n">
        <f aca="false">IF(Q1448,S1448,IF(M1448,0,Y1447))</f>
        <v>0</v>
      </c>
      <c r="U1448" s="8" t="n">
        <f aca="false">IF(Q1448,AE1447,AF1447)</f>
        <v>0.813113151775451</v>
      </c>
      <c r="V1448" s="9" t="b">
        <f aca="false">AND(T1448&gt;0,D1448&lt;=U1448)</f>
        <v>0</v>
      </c>
      <c r="W1448" s="10" t="n">
        <f aca="false">IF(V1448,T1448*(AK1448-AB1448)-Inputs!$B$9-T1448*AD1448*Inputs!$B$13*(A1448-AC1448),0)</f>
        <v>0</v>
      </c>
      <c r="X1448" s="10" t="n">
        <f aca="false">P1448-IF(Q1448,Inputs!$B$9,0)+W1448</f>
        <v>904.463633051933</v>
      </c>
      <c r="Y1448" s="11" t="n">
        <f aca="false">IF(V1448,0,T1448)</f>
        <v>0</v>
      </c>
      <c r="Z1448" s="9" t="b">
        <f aca="false">AND(Y1448&gt;0,K1448)</f>
        <v>0</v>
      </c>
      <c r="AA1448" s="9" t="b">
        <f aca="false">AND(Y1448=0,J1448,ISNUMBER(L1448))</f>
        <v>1</v>
      </c>
      <c r="AB1448" s="8" t="n">
        <f aca="false">IF(Q1448,R1448,AB1447)</f>
        <v>0.830513214434368</v>
      </c>
      <c r="AC1448" s="12" t="n">
        <f aca="false">IF(Q1448,A1448,AC1447)</f>
        <v>46192</v>
      </c>
      <c r="AD1448" s="8" t="n">
        <f aca="false">IF(Q1448,B1448,AD1447)</f>
        <v>0.830347145005366</v>
      </c>
      <c r="AE1448" s="8" t="n">
        <f aca="false">IF(AA1448,L1448,"")</f>
        <v>0.847434384754863</v>
      </c>
      <c r="AF1448" s="8" t="n">
        <f aca="false">U1448</f>
        <v>0.813113151775451</v>
      </c>
      <c r="AG1448" s="2" t="n">
        <f aca="false">AG1447+IF(Q1448,1,0)</f>
        <v>16</v>
      </c>
      <c r="AH1448" s="2" t="n">
        <f aca="false">AG1447</f>
        <v>16</v>
      </c>
      <c r="AI1448" s="10" t="n">
        <f aca="false">X1448+Y1448*(E1448-AB1448)-Y1448*AD1448*Inputs!$B$13*(A1448-AC1448)</f>
        <v>904.463633051933</v>
      </c>
      <c r="AJ1448" s="10" t="n">
        <v>0</v>
      </c>
      <c r="AK1448" s="8" t="n">
        <f aca="false">IF(AND(B1448&lt;=U1448,NOT(Q1448)),B1448,U1448)*(1-Inputs!$B$12)</f>
        <v>0.812950529145096</v>
      </c>
    </row>
    <row r="1449" customFormat="false" ht="15" hidden="false" customHeight="false" outlineLevel="0" collapsed="false">
      <c r="A1449" s="6" t="n">
        <v>46233</v>
      </c>
      <c r="B1449" s="7" t="n">
        <v>0.866076569419758</v>
      </c>
      <c r="C1449" s="7" t="n">
        <v>0.866392163941219</v>
      </c>
      <c r="D1449" s="7" t="n">
        <v>0.862035479799644</v>
      </c>
      <c r="E1449" s="7" t="n">
        <v>0.864569935123299</v>
      </c>
      <c r="F1449" s="8" t="n">
        <f aca="true">IF(ROW()-2&gt;=Inputs!$B$4,AVERAGE(OFFSET(E1449,1-Inputs!$B$4,0,Inputs!$B$4,1)),"")</f>
        <v>0.829331701940459</v>
      </c>
      <c r="G1449" s="8" t="n">
        <f aca="true">IF(ROW()-2&gt;=Inputs!$B$5,AVERAGE(OFFSET(E1449,1-Inputs!$B$5,0,Inputs!$B$5,1)),"")</f>
        <v>0.827364510548965</v>
      </c>
      <c r="H1449" s="8" t="n">
        <f aca="false">MAX(C1449-D1449,ABS(C1449-E1448),ABS(D1449-E1448))</f>
        <v>0.00435668414157508</v>
      </c>
      <c r="I1449" s="8" t="n">
        <f aca="true">IF(ROW()-2&lt;14,"",IF(ROW()-2=14,AVERAGE(OFFSET(H1449,-13,0,14,1)),(I1448*13+H1449)/14))</f>
        <v>0.00896649174738524</v>
      </c>
      <c r="J1449" s="9" t="b">
        <f aca="false">IF(AND(ISNUMBER(F1449),ISNUMBER(G1449),ISNUMBER(F1448),ISNUMBER(G1448)),AND(F1449&gt;G1449,F1448&lt;=G1448),FALSE())</f>
        <v>0</v>
      </c>
      <c r="K1449" s="9" t="b">
        <f aca="false">IF(AND(ISNUMBER(F1449),ISNUMBER(G1449),ISNUMBER(F1448),ISNUMBER(G1448)),AND(F1449&lt;G1449,F1448&gt;=G1448),FALSE())</f>
        <v>0</v>
      </c>
      <c r="L1449" s="8" t="n">
        <f aca="false">IF(ISNUMBER(I1449),E1449-Inputs!$B$6*I1449,"")</f>
        <v>0.846636951628529</v>
      </c>
      <c r="M1449" s="9" t="b">
        <f aca="false">AND(Y1448&gt;0,Z1448)</f>
        <v>0</v>
      </c>
      <c r="N1449" s="8" t="n">
        <f aca="false">B1449*(1-Inputs!$B$12)</f>
        <v>0.865903354105874</v>
      </c>
      <c r="O1449" s="10" t="n">
        <f aca="false">IF(M1449,Y1448*(N1449-AB1448)-Inputs!$B$9-Y1448*AD1448*Inputs!$B$13*(A1449-AC1448),0)</f>
        <v>0</v>
      </c>
      <c r="P1449" s="10" t="n">
        <f aca="false">X1448+O1449</f>
        <v>904.463633051933</v>
      </c>
      <c r="Q1449" s="9" t="b">
        <f aca="false">AND(IF(M1449,0,Y1448)=0,AA1448,IF(ISNUMBER(AE1448),B1449&gt;AE1448,FALSE()))</f>
        <v>1</v>
      </c>
      <c r="R1449" s="8" t="n">
        <f aca="false">B1449*(1+Inputs!$B$12)</f>
        <v>0.866249784733642</v>
      </c>
      <c r="S1449" s="11" t="n">
        <f aca="false">IF(Q1449,MIN(P1449*Inputs!$B$3/(R1449-AE1448),P1449*Inputs!$B$11/R1449),0)</f>
        <v>480.703909601727</v>
      </c>
      <c r="T1449" s="11" t="n">
        <f aca="false">IF(Q1449,S1449,IF(M1449,0,Y1448))</f>
        <v>480.703909601727</v>
      </c>
      <c r="U1449" s="8" t="n">
        <f aca="false">IF(Q1449,AE1448,AF1448)</f>
        <v>0.847434384754863</v>
      </c>
      <c r="V1449" s="9" t="b">
        <f aca="false">AND(T1449&gt;0,D1449&lt;=U1449)</f>
        <v>0</v>
      </c>
      <c r="W1449" s="10" t="n">
        <f aca="false">IF(V1449,T1449*(AK1449-AB1449)-Inputs!$B$9-T1449*AD1449*Inputs!$B$13*(A1449-AC1449),0)</f>
        <v>0</v>
      </c>
      <c r="X1449" s="10" t="n">
        <f aca="false">P1449-IF(Q1449,Inputs!$B$9,0)+W1449</f>
        <v>903.463633051933</v>
      </c>
      <c r="Y1449" s="11" t="n">
        <f aca="false">IF(V1449,0,T1449)</f>
        <v>480.703909601727</v>
      </c>
      <c r="Z1449" s="9" t="b">
        <f aca="false">AND(Y1449&gt;0,K1449)</f>
        <v>0</v>
      </c>
      <c r="AA1449" s="9" t="b">
        <f aca="false">AND(Y1449=0,J1449,ISNUMBER(L1449))</f>
        <v>0</v>
      </c>
      <c r="AB1449" s="8" t="n">
        <f aca="false">IF(Q1449,R1449,AB1448)</f>
        <v>0.866249784733642</v>
      </c>
      <c r="AC1449" s="12" t="n">
        <f aca="false">IF(Q1449,A1449,AC1448)</f>
        <v>46233</v>
      </c>
      <c r="AD1449" s="8" t="n">
        <f aca="false">IF(Q1449,B1449,AD1448)</f>
        <v>0.866076569419758</v>
      </c>
      <c r="AE1449" s="8" t="str">
        <f aca="false">IF(AA1449,L1449,"")</f>
        <v/>
      </c>
      <c r="AF1449" s="8" t="n">
        <f aca="false">U1449</f>
        <v>0.847434384754863</v>
      </c>
      <c r="AG1449" s="2" t="n">
        <f aca="false">AG1448+IF(Q1449,1,0)</f>
        <v>17</v>
      </c>
      <c r="AH1449" s="2" t="n">
        <f aca="false">AG1448</f>
        <v>16</v>
      </c>
      <c r="AI1449" s="10" t="n">
        <f aca="false">X1449+Y1449*(E1449-AB1449)-Y1449*AD1449*Inputs!$B$13*(A1449-AC1449)</f>
        <v>902.656122776698</v>
      </c>
      <c r="AJ1449" s="10" t="n">
        <v>0</v>
      </c>
      <c r="AK1449" s="8" t="n">
        <f aca="false">IF(AND(B1449&lt;=U1449,NOT(Q1449)),B1449,U1449)*(1-Inputs!$B$12)</f>
        <v>0.847264897877912</v>
      </c>
    </row>
    <row r="1450" customFormat="false" ht="15" hidden="false" customHeight="false" outlineLevel="0" collapsed="false">
      <c r="A1450" s="6" t="n">
        <v>46234</v>
      </c>
      <c r="B1450" s="7" t="n">
        <v>0.864569935123299</v>
      </c>
      <c r="C1450" s="7" t="n">
        <v>0.867202042646659</v>
      </c>
      <c r="D1450" s="7" t="n">
        <v>0.859259237452363</v>
      </c>
      <c r="E1450" s="7" t="n">
        <v>0.862729699167568</v>
      </c>
      <c r="F1450" s="8" t="n">
        <f aca="true">IF(ROW()-2&gt;=Inputs!$B$4,AVERAGE(OFFSET(E1450,1-Inputs!$B$4,0,Inputs!$B$4,1)),"")</f>
        <v>0.831691867298244</v>
      </c>
      <c r="G1450" s="8" t="n">
        <f aca="true">IF(ROW()-2&gt;=Inputs!$B$5,AVERAGE(OFFSET(E1450,1-Inputs!$B$5,0,Inputs!$B$5,1)),"")</f>
        <v>0.827707003304353</v>
      </c>
      <c r="H1450" s="8" t="n">
        <f aca="false">MAX(C1450-D1450,ABS(C1450-E1449),ABS(D1450-E1449))</f>
        <v>0.00794280519429591</v>
      </c>
      <c r="I1450" s="8" t="n">
        <f aca="true">IF(ROW()-2&lt;14,"",IF(ROW()-2=14,AVERAGE(OFFSET(H1450,-13,0,14,1)),(I1449*13+H1450)/14))</f>
        <v>0.00889337127930743</v>
      </c>
      <c r="J1450" s="9" t="b">
        <f aca="false">IF(AND(ISNUMBER(F1450),ISNUMBER(G1450),ISNUMBER(F1449),ISNUMBER(G1449)),AND(F1450&gt;G1450,F1449&lt;=G1449),FALSE())</f>
        <v>0</v>
      </c>
      <c r="K1450" s="9" t="b">
        <f aca="false">IF(AND(ISNUMBER(F1450),ISNUMBER(G1450),ISNUMBER(F1449),ISNUMBER(G1449)),AND(F1450&lt;G1450,F1449&gt;=G1449),FALSE())</f>
        <v>0</v>
      </c>
      <c r="L1450" s="8" t="n">
        <f aca="false">IF(ISNUMBER(I1450),E1450-Inputs!$B$6*I1450,"")</f>
        <v>0.844942956608953</v>
      </c>
      <c r="M1450" s="9" t="b">
        <f aca="false">AND(Y1449&gt;0,Z1449)</f>
        <v>0</v>
      </c>
      <c r="N1450" s="8" t="n">
        <f aca="false">B1450*(1-Inputs!$B$12)</f>
        <v>0.864397021136274</v>
      </c>
      <c r="O1450" s="10" t="n">
        <f aca="false">IF(M1450,Y1449*(N1450-AB1449)-Inputs!$B$9-Y1449*AD1449*Inputs!$B$13*(A1450-AC1449),0)</f>
        <v>0</v>
      </c>
      <c r="P1450" s="10" t="n">
        <f aca="false">X1449+O1450</f>
        <v>903.463633051933</v>
      </c>
      <c r="Q1450" s="9" t="b">
        <f aca="false">AND(IF(M1450,0,Y1449)=0,AA1449,IF(ISNUMBER(AE1449),B1450&gt;AE1449,FALSE()))</f>
        <v>0</v>
      </c>
      <c r="R1450" s="8" t="n">
        <f aca="false">B1450*(1+Inputs!$B$12)</f>
        <v>0.864742849110324</v>
      </c>
      <c r="S1450" s="11" t="n">
        <f aca="false">IF(Q1450,MIN(P1450*Inputs!$B$3/(R1450-AE1449),P1450*Inputs!$B$11/R1450),0)</f>
        <v>0</v>
      </c>
      <c r="T1450" s="11" t="n">
        <f aca="false">IF(Q1450,S1450,IF(M1450,0,Y1449))</f>
        <v>480.703909601727</v>
      </c>
      <c r="U1450" s="8" t="n">
        <f aca="false">IF(Q1450,AE1449,AF1449)</f>
        <v>0.847434384754863</v>
      </c>
      <c r="V1450" s="9" t="b">
        <f aca="false">AND(T1450&gt;0,D1450&lt;=U1450)</f>
        <v>0</v>
      </c>
      <c r="W1450" s="10" t="n">
        <f aca="false">IF(V1450,T1450*(AK1450-AB1450)-Inputs!$B$9-T1450*AD1450*Inputs!$B$13*(A1450-AC1450),0)</f>
        <v>0</v>
      </c>
      <c r="X1450" s="10" t="n">
        <f aca="false">P1450-IF(Q1450,Inputs!$B$9,0)+W1450</f>
        <v>903.463633051933</v>
      </c>
      <c r="Y1450" s="11" t="n">
        <f aca="false">IF(V1450,0,T1450)</f>
        <v>480.703909601727</v>
      </c>
      <c r="Z1450" s="9" t="b">
        <f aca="false">AND(Y1450&gt;0,K1450)</f>
        <v>0</v>
      </c>
      <c r="AA1450" s="9" t="b">
        <f aca="false">AND(Y1450=0,J1450,ISNUMBER(L1450))</f>
        <v>0</v>
      </c>
      <c r="AB1450" s="8" t="n">
        <f aca="false">IF(Q1450,R1450,AB1449)</f>
        <v>0.866249784733642</v>
      </c>
      <c r="AC1450" s="12" t="n">
        <f aca="false">IF(Q1450,A1450,AC1449)</f>
        <v>46233</v>
      </c>
      <c r="AD1450" s="8" t="n">
        <f aca="false">IF(Q1450,B1450,AD1449)</f>
        <v>0.866076569419758</v>
      </c>
      <c r="AE1450" s="8" t="str">
        <f aca="false">IF(AA1450,L1450,"")</f>
        <v/>
      </c>
      <c r="AF1450" s="8" t="n">
        <f aca="false">U1450</f>
        <v>0.847434384754863</v>
      </c>
      <c r="AG1450" s="2" t="n">
        <f aca="false">AG1449+IF(Q1450,1,0)</f>
        <v>17</v>
      </c>
      <c r="AH1450" s="2" t="n">
        <f aca="false">AG1449</f>
        <v>17</v>
      </c>
      <c r="AI1450" s="10" t="n">
        <f aca="false">X1450+Y1450*(E1450-AB1450)-Y1450*AD1450*Inputs!$B$13*(A1450-AC1450)</f>
        <v>901.697373841639</v>
      </c>
      <c r="AJ1450" s="10" t="n">
        <v>0</v>
      </c>
      <c r="AK1450" s="8" t="n">
        <f aca="false">IF(AND(B1450&lt;=U1450,NOT(Q1450)),B1450,U1450)*(1-Inputs!$B$12)</f>
        <v>0.847264897877912</v>
      </c>
    </row>
    <row r="1451" customFormat="false" ht="15" hidden="false" customHeight="false" outlineLevel="0" collapsed="false">
      <c r="A1451" s="6" t="n">
        <v>46235</v>
      </c>
      <c r="B1451" s="7" t="n">
        <v>0.862729699167568</v>
      </c>
      <c r="C1451" s="7" t="n">
        <v>0.86579726175508</v>
      </c>
      <c r="D1451" s="7" t="n">
        <v>0.851650944495317</v>
      </c>
      <c r="E1451" s="7" t="n">
        <v>0.85397686300251</v>
      </c>
      <c r="F1451" s="8" t="n">
        <f aca="true">IF(ROW()-2&gt;=Inputs!$B$4,AVERAGE(OFFSET(E1451,1-Inputs!$B$4,0,Inputs!$B$4,1)),"")</f>
        <v>0.833689795232312</v>
      </c>
      <c r="G1451" s="8" t="n">
        <f aca="true">IF(ROW()-2&gt;=Inputs!$B$5,AVERAGE(OFFSET(E1451,1-Inputs!$B$5,0,Inputs!$B$5,1)),"")</f>
        <v>0.82802902126701</v>
      </c>
      <c r="H1451" s="8" t="n">
        <f aca="false">MAX(C1451-D1451,ABS(C1451-E1450),ABS(D1451-E1450))</f>
        <v>0.0141463172597629</v>
      </c>
      <c r="I1451" s="8" t="n">
        <f aca="true">IF(ROW()-2&lt;14,"",IF(ROW()-2=14,AVERAGE(OFFSET(H1451,-13,0,14,1)),(I1450*13+H1451)/14))</f>
        <v>0.00926858170648282</v>
      </c>
      <c r="J1451" s="9" t="b">
        <f aca="false">IF(AND(ISNUMBER(F1451),ISNUMBER(G1451),ISNUMBER(F1450),ISNUMBER(G1450)),AND(F1451&gt;G1451,F1450&lt;=G1450),FALSE())</f>
        <v>0</v>
      </c>
      <c r="K1451" s="9" t="b">
        <f aca="false">IF(AND(ISNUMBER(F1451),ISNUMBER(G1451),ISNUMBER(F1450),ISNUMBER(G1450)),AND(F1451&lt;G1451,F1450&gt;=G1450),FALSE())</f>
        <v>0</v>
      </c>
      <c r="L1451" s="8" t="n">
        <f aca="false">IF(ISNUMBER(I1451),E1451-Inputs!$B$6*I1451,"")</f>
        <v>0.835439699589544</v>
      </c>
      <c r="M1451" s="9" t="b">
        <f aca="false">AND(Y1450&gt;0,Z1450)</f>
        <v>0</v>
      </c>
      <c r="N1451" s="8" t="n">
        <f aca="false">B1451*(1-Inputs!$B$12)</f>
        <v>0.862557153227735</v>
      </c>
      <c r="O1451" s="10" t="n">
        <f aca="false">IF(M1451,Y1450*(N1451-AB1450)-Inputs!$B$9-Y1450*AD1450*Inputs!$B$13*(A1451-AC1450),0)</f>
        <v>0</v>
      </c>
      <c r="P1451" s="10" t="n">
        <f aca="false">X1450+O1451</f>
        <v>903.463633051933</v>
      </c>
      <c r="Q1451" s="9" t="b">
        <f aca="false">AND(IF(M1451,0,Y1450)=0,AA1450,IF(ISNUMBER(AE1450),B1451&gt;AE1450,FALSE()))</f>
        <v>0</v>
      </c>
      <c r="R1451" s="8" t="n">
        <f aca="false">B1451*(1+Inputs!$B$12)</f>
        <v>0.862902245107402</v>
      </c>
      <c r="S1451" s="11" t="n">
        <f aca="false">IF(Q1451,MIN(P1451*Inputs!$B$3/(R1451-AE1450),P1451*Inputs!$B$11/R1451),0)</f>
        <v>0</v>
      </c>
      <c r="T1451" s="11" t="n">
        <f aca="false">IF(Q1451,S1451,IF(M1451,0,Y1450))</f>
        <v>480.703909601727</v>
      </c>
      <c r="U1451" s="8" t="n">
        <f aca="false">IF(Q1451,AE1450,AF1450)</f>
        <v>0.847434384754863</v>
      </c>
      <c r="V1451" s="9" t="b">
        <f aca="false">AND(T1451&gt;0,D1451&lt;=U1451)</f>
        <v>0</v>
      </c>
      <c r="W1451" s="10" t="n">
        <f aca="false">IF(V1451,T1451*(AK1451-AB1451)-Inputs!$B$9-T1451*AD1451*Inputs!$B$13*(A1451-AC1451),0)</f>
        <v>0</v>
      </c>
      <c r="X1451" s="10" t="n">
        <f aca="false">P1451-IF(Q1451,Inputs!$B$9,0)+W1451</f>
        <v>903.463633051933</v>
      </c>
      <c r="Y1451" s="11" t="n">
        <f aca="false">IF(V1451,0,T1451)</f>
        <v>480.703909601727</v>
      </c>
      <c r="Z1451" s="9" t="b">
        <f aca="false">AND(Y1451&gt;0,K1451)</f>
        <v>0</v>
      </c>
      <c r="AA1451" s="9" t="b">
        <f aca="false">AND(Y1451=0,J1451,ISNUMBER(L1451))</f>
        <v>0</v>
      </c>
      <c r="AB1451" s="8" t="n">
        <f aca="false">IF(Q1451,R1451,AB1450)</f>
        <v>0.866249784733642</v>
      </c>
      <c r="AC1451" s="12" t="n">
        <f aca="false">IF(Q1451,A1451,AC1450)</f>
        <v>46233</v>
      </c>
      <c r="AD1451" s="8" t="n">
        <f aca="false">IF(Q1451,B1451,AD1450)</f>
        <v>0.866076569419758</v>
      </c>
      <c r="AE1451" s="8" t="str">
        <f aca="false">IF(AA1451,L1451,"")</f>
        <v/>
      </c>
      <c r="AF1451" s="8" t="n">
        <f aca="false">U1451</f>
        <v>0.847434384754863</v>
      </c>
      <c r="AG1451" s="2" t="n">
        <f aca="false">AG1450+IF(Q1451,1,0)</f>
        <v>17</v>
      </c>
      <c r="AH1451" s="2" t="n">
        <f aca="false">AG1450</f>
        <v>17</v>
      </c>
      <c r="AI1451" s="10" t="n">
        <f aca="false">X1451+Y1451*(E1451-AB1451)-Y1451*AD1451*Inputs!$B$13*(A1451-AC1451)</f>
        <v>897.415710960442</v>
      </c>
      <c r="AJ1451" s="10" t="n">
        <v>0</v>
      </c>
      <c r="AK1451" s="8" t="n">
        <f aca="false">IF(AND(B1451&lt;=U1451,NOT(Q1451)),B1451,U1451)*(1-Inputs!$B$12)</f>
        <v>0.847264897877912</v>
      </c>
    </row>
    <row r="1452" customFormat="false" ht="15" hidden="false" customHeight="false" outlineLevel="0" collapsed="false">
      <c r="A1452" s="6" t="n">
        <v>46236</v>
      </c>
      <c r="B1452" s="7" t="n">
        <v>0.85397686300251</v>
      </c>
      <c r="C1452" s="7" t="n">
        <v>0.858620590105194</v>
      </c>
      <c r="D1452" s="7" t="n">
        <v>0.852906620852919</v>
      </c>
      <c r="E1452" s="7" t="n">
        <v>0.857764913244248</v>
      </c>
      <c r="F1452" s="8" t="n">
        <f aca="true">IF(ROW()-2&gt;=Inputs!$B$4,AVERAGE(OFFSET(E1452,1-Inputs!$B$4,0,Inputs!$B$4,1)),"")</f>
        <v>0.835959204942779</v>
      </c>
      <c r="G1452" s="8" t="n">
        <f aca="true">IF(ROW()-2&gt;=Inputs!$B$5,AVERAGE(OFFSET(E1452,1-Inputs!$B$5,0,Inputs!$B$5,1)),"")</f>
        <v>0.828386514804591</v>
      </c>
      <c r="H1452" s="8" t="n">
        <f aca="false">MAX(C1452-D1452,ABS(C1452-E1451),ABS(D1452-E1451))</f>
        <v>0.00571396925227519</v>
      </c>
      <c r="I1452" s="8" t="n">
        <f aca="true">IF(ROW()-2&lt;14,"",IF(ROW()-2=14,AVERAGE(OFFSET(H1452,-13,0,14,1)),(I1451*13+H1452)/14))</f>
        <v>0.00901468081689656</v>
      </c>
      <c r="J1452" s="9" t="b">
        <f aca="false">IF(AND(ISNUMBER(F1452),ISNUMBER(G1452),ISNUMBER(F1451),ISNUMBER(G1451)),AND(F1452&gt;G1452,F1451&lt;=G1451),FALSE())</f>
        <v>0</v>
      </c>
      <c r="K1452" s="9" t="b">
        <f aca="false">IF(AND(ISNUMBER(F1452),ISNUMBER(G1452),ISNUMBER(F1451),ISNUMBER(G1451)),AND(F1452&lt;G1452,F1451&gt;=G1451),FALSE())</f>
        <v>0</v>
      </c>
      <c r="L1452" s="8" t="n">
        <f aca="false">IF(ISNUMBER(I1452),E1452-Inputs!$B$6*I1452,"")</f>
        <v>0.839735551610455</v>
      </c>
      <c r="M1452" s="9" t="b">
        <f aca="false">AND(Y1451&gt;0,Z1451)</f>
        <v>0</v>
      </c>
      <c r="N1452" s="8" t="n">
        <f aca="false">B1452*(1-Inputs!$B$12)</f>
        <v>0.85380606762991</v>
      </c>
      <c r="O1452" s="10" t="n">
        <f aca="false">IF(M1452,Y1451*(N1452-AB1451)-Inputs!$B$9-Y1451*AD1451*Inputs!$B$13*(A1452-AC1451),0)</f>
        <v>0</v>
      </c>
      <c r="P1452" s="10" t="n">
        <f aca="false">X1451+O1452</f>
        <v>903.463633051933</v>
      </c>
      <c r="Q1452" s="9" t="b">
        <f aca="false">AND(IF(M1452,0,Y1451)=0,AA1451,IF(ISNUMBER(AE1451),B1452&gt;AE1451,FALSE()))</f>
        <v>0</v>
      </c>
      <c r="R1452" s="8" t="n">
        <f aca="false">B1452*(1+Inputs!$B$12)</f>
        <v>0.85414765837511</v>
      </c>
      <c r="S1452" s="11" t="n">
        <f aca="false">IF(Q1452,MIN(P1452*Inputs!$B$3/(R1452-AE1451),P1452*Inputs!$B$11/R1452),0)</f>
        <v>0</v>
      </c>
      <c r="T1452" s="11" t="n">
        <f aca="false">IF(Q1452,S1452,IF(M1452,0,Y1451))</f>
        <v>480.703909601727</v>
      </c>
      <c r="U1452" s="8" t="n">
        <f aca="false">IF(Q1452,AE1451,AF1451)</f>
        <v>0.847434384754863</v>
      </c>
      <c r="V1452" s="9" t="b">
        <f aca="false">AND(T1452&gt;0,D1452&lt;=U1452)</f>
        <v>0</v>
      </c>
      <c r="W1452" s="10" t="n">
        <f aca="false">IF(V1452,T1452*(AK1452-AB1452)-Inputs!$B$9-T1452*AD1452*Inputs!$B$13*(A1452-AC1452),0)</f>
        <v>0</v>
      </c>
      <c r="X1452" s="10" t="n">
        <f aca="false">P1452-IF(Q1452,Inputs!$B$9,0)+W1452</f>
        <v>903.463633051933</v>
      </c>
      <c r="Y1452" s="11" t="n">
        <f aca="false">IF(V1452,0,T1452)</f>
        <v>480.703909601727</v>
      </c>
      <c r="Z1452" s="9" t="b">
        <f aca="false">AND(Y1452&gt;0,K1452)</f>
        <v>0</v>
      </c>
      <c r="AA1452" s="9" t="b">
        <f aca="false">AND(Y1452=0,J1452,ISNUMBER(L1452))</f>
        <v>0</v>
      </c>
      <c r="AB1452" s="8" t="n">
        <f aca="false">IF(Q1452,R1452,AB1451)</f>
        <v>0.866249784733642</v>
      </c>
      <c r="AC1452" s="12" t="n">
        <f aca="false">IF(Q1452,A1452,AC1451)</f>
        <v>46233</v>
      </c>
      <c r="AD1452" s="8" t="n">
        <f aca="false">IF(Q1452,B1452,AD1451)</f>
        <v>0.866076569419758</v>
      </c>
      <c r="AE1452" s="8" t="str">
        <f aca="false">IF(AA1452,L1452,"")</f>
        <v/>
      </c>
      <c r="AF1452" s="8" t="n">
        <f aca="false">U1452</f>
        <v>0.847434384754863</v>
      </c>
      <c r="AG1452" s="2" t="n">
        <f aca="false">AG1451+IF(Q1452,1,0)</f>
        <v>17</v>
      </c>
      <c r="AH1452" s="2" t="n">
        <f aca="false">AG1451</f>
        <v>17</v>
      </c>
      <c r="AI1452" s="10" t="n">
        <f aca="false">X1452+Y1452*(E1452-AB1452)-Y1452*AD1452*Inputs!$B$13*(A1452-AC1452)</f>
        <v>899.162501204863</v>
      </c>
      <c r="AJ1452" s="10" t="n">
        <v>0</v>
      </c>
      <c r="AK1452" s="8" t="n">
        <f aca="false">IF(AND(B1452&lt;=U1452,NOT(Q1452)),B1452,U1452)*(1-Inputs!$B$12)</f>
        <v>0.847264897877912</v>
      </c>
    </row>
    <row r="1453" customFormat="false" ht="15" hidden="false" customHeight="false" outlineLevel="0" collapsed="false">
      <c r="A1453" s="6" t="n">
        <v>46237</v>
      </c>
      <c r="B1453" s="7" t="n">
        <v>0.857764913244248</v>
      </c>
      <c r="C1453" s="7" t="n">
        <v>0.859697586121572</v>
      </c>
      <c r="D1453" s="7" t="n">
        <v>0.850083736521581</v>
      </c>
      <c r="E1453" s="7" t="n">
        <v>0.851053529388584</v>
      </c>
      <c r="F1453" s="8" t="n">
        <f aca="true">IF(ROW()-2&gt;=Inputs!$B$4,AVERAGE(OFFSET(E1453,1-Inputs!$B$4,0,Inputs!$B$4,1)),"")</f>
        <v>0.838202315618283</v>
      </c>
      <c r="G1453" s="8" t="n">
        <f aca="true">IF(ROW()-2&gt;=Inputs!$B$5,AVERAGE(OFFSET(E1453,1-Inputs!$B$5,0,Inputs!$B$5,1)),"")</f>
        <v>0.828563865283303</v>
      </c>
      <c r="H1453" s="8" t="n">
        <f aca="false">MAX(C1453-D1453,ABS(C1453-E1452),ABS(D1453-E1452))</f>
        <v>0.00961384959999079</v>
      </c>
      <c r="I1453" s="8" t="n">
        <f aca="true">IF(ROW()-2&lt;14,"",IF(ROW()-2=14,AVERAGE(OFFSET(H1453,-13,0,14,1)),(I1452*13+H1453)/14))</f>
        <v>0.00905747858711758</v>
      </c>
      <c r="J1453" s="9" t="b">
        <f aca="false">IF(AND(ISNUMBER(F1453),ISNUMBER(G1453),ISNUMBER(F1452),ISNUMBER(G1452)),AND(F1453&gt;G1453,F1452&lt;=G1452),FALSE())</f>
        <v>0</v>
      </c>
      <c r="K1453" s="9" t="b">
        <f aca="false">IF(AND(ISNUMBER(F1453),ISNUMBER(G1453),ISNUMBER(F1452),ISNUMBER(G1452)),AND(F1453&lt;G1453,F1452&gt;=G1452),FALSE())</f>
        <v>0</v>
      </c>
      <c r="L1453" s="8" t="n">
        <f aca="false">IF(ISNUMBER(I1453),E1453-Inputs!$B$6*I1453,"")</f>
        <v>0.832938572214348</v>
      </c>
      <c r="M1453" s="9" t="b">
        <f aca="false">AND(Y1452&gt;0,Z1452)</f>
        <v>0</v>
      </c>
      <c r="N1453" s="8" t="n">
        <f aca="false">B1453*(1-Inputs!$B$12)</f>
        <v>0.8575933602616</v>
      </c>
      <c r="O1453" s="10" t="n">
        <f aca="false">IF(M1453,Y1452*(N1453-AB1452)-Inputs!$B$9-Y1452*AD1452*Inputs!$B$13*(A1453-AC1452),0)</f>
        <v>0</v>
      </c>
      <c r="P1453" s="10" t="n">
        <f aca="false">X1452+O1453</f>
        <v>903.463633051933</v>
      </c>
      <c r="Q1453" s="9" t="b">
        <f aca="false">AND(IF(M1453,0,Y1452)=0,AA1452,IF(ISNUMBER(AE1452),B1453&gt;AE1452,FALSE()))</f>
        <v>0</v>
      </c>
      <c r="R1453" s="8" t="n">
        <f aca="false">B1453*(1+Inputs!$B$12)</f>
        <v>0.857936466226897</v>
      </c>
      <c r="S1453" s="11" t="n">
        <f aca="false">IF(Q1453,MIN(P1453*Inputs!$B$3/(R1453-AE1452),P1453*Inputs!$B$11/R1453),0)</f>
        <v>0</v>
      </c>
      <c r="T1453" s="11" t="n">
        <f aca="false">IF(Q1453,S1453,IF(M1453,0,Y1452))</f>
        <v>480.703909601727</v>
      </c>
      <c r="U1453" s="8" t="n">
        <f aca="false">IF(Q1453,AE1452,AF1452)</f>
        <v>0.847434384754863</v>
      </c>
      <c r="V1453" s="9" t="b">
        <f aca="false">AND(T1453&gt;0,D1453&lt;=U1453)</f>
        <v>0</v>
      </c>
      <c r="W1453" s="10" t="n">
        <f aca="false">IF(V1453,T1453*(AK1453-AB1453)-Inputs!$B$9-T1453*AD1453*Inputs!$B$13*(A1453-AC1453),0)</f>
        <v>0</v>
      </c>
      <c r="X1453" s="10" t="n">
        <f aca="false">P1453-IF(Q1453,Inputs!$B$9,0)+W1453</f>
        <v>903.463633051933</v>
      </c>
      <c r="Y1453" s="11" t="n">
        <f aca="false">IF(V1453,0,T1453)</f>
        <v>480.703909601727</v>
      </c>
      <c r="Z1453" s="9" t="b">
        <f aca="false">AND(Y1453&gt;0,K1453)</f>
        <v>0</v>
      </c>
      <c r="AA1453" s="9" t="b">
        <f aca="false">AND(Y1453=0,J1453,ISNUMBER(L1453))</f>
        <v>0</v>
      </c>
      <c r="AB1453" s="8" t="n">
        <f aca="false">IF(Q1453,R1453,AB1452)</f>
        <v>0.866249784733642</v>
      </c>
      <c r="AC1453" s="12" t="n">
        <f aca="false">IF(Q1453,A1453,AC1452)</f>
        <v>46233</v>
      </c>
      <c r="AD1453" s="8" t="n">
        <f aca="false">IF(Q1453,B1453,AD1452)</f>
        <v>0.866076569419758</v>
      </c>
      <c r="AE1453" s="8" t="str">
        <f aca="false">IF(AA1453,L1453,"")</f>
        <v/>
      </c>
      <c r="AF1453" s="8" t="n">
        <f aca="false">U1453</f>
        <v>0.847434384754863</v>
      </c>
      <c r="AG1453" s="2" t="n">
        <f aca="false">AG1452+IF(Q1453,1,0)</f>
        <v>17</v>
      </c>
      <c r="AH1453" s="2" t="n">
        <f aca="false">AG1452</f>
        <v>17</v>
      </c>
      <c r="AI1453" s="10" t="n">
        <f aca="false">X1453+Y1453*(E1453-AB1453)-Y1453*AD1453*Inputs!$B$13*(A1453-AC1453)</f>
        <v>895.862172430057</v>
      </c>
      <c r="AJ1453" s="10" t="n">
        <v>0</v>
      </c>
      <c r="AK1453" s="8" t="n">
        <f aca="false">IF(AND(B1453&lt;=U1453,NOT(Q1453)),B1453,U1453)*(1-Inputs!$B$12)</f>
        <v>0.847264897877912</v>
      </c>
    </row>
    <row r="1454" customFormat="false" ht="15" hidden="false" customHeight="false" outlineLevel="0" collapsed="false">
      <c r="A1454" s="6" t="n">
        <v>46238</v>
      </c>
      <c r="B1454" s="7" t="n">
        <v>0.851053529388584</v>
      </c>
      <c r="C1454" s="7" t="n">
        <v>0.851807338406875</v>
      </c>
      <c r="D1454" s="7" t="n">
        <v>0.840551383872636</v>
      </c>
      <c r="E1454" s="7" t="n">
        <v>0.843841058763337</v>
      </c>
      <c r="F1454" s="8" t="n">
        <f aca="true">IF(ROW()-2&gt;=Inputs!$B$4,AVERAGE(OFFSET(E1454,1-Inputs!$B$4,0,Inputs!$B$4,1)),"")</f>
        <v>0.840347384626427</v>
      </c>
      <c r="G1454" s="8" t="n">
        <f aca="true">IF(ROW()-2&gt;=Inputs!$B$5,AVERAGE(OFFSET(E1454,1-Inputs!$B$5,0,Inputs!$B$5,1)),"")</f>
        <v>0.828714420709695</v>
      </c>
      <c r="H1454" s="8" t="n">
        <f aca="false">MAX(C1454-D1454,ABS(C1454-E1453),ABS(D1454-E1453))</f>
        <v>0.0112559545342387</v>
      </c>
      <c r="I1454" s="8" t="n">
        <f aca="true">IF(ROW()-2&lt;14,"",IF(ROW()-2=14,AVERAGE(OFFSET(H1454,-13,0,14,1)),(I1453*13+H1454)/14))</f>
        <v>0.00921451258334051</v>
      </c>
      <c r="J1454" s="9" t="b">
        <f aca="false">IF(AND(ISNUMBER(F1454),ISNUMBER(G1454),ISNUMBER(F1453),ISNUMBER(G1453)),AND(F1454&gt;G1454,F1453&lt;=G1453),FALSE())</f>
        <v>0</v>
      </c>
      <c r="K1454" s="9" t="b">
        <f aca="false">IF(AND(ISNUMBER(F1454),ISNUMBER(G1454),ISNUMBER(F1453),ISNUMBER(G1453)),AND(F1454&lt;G1454,F1453&gt;=G1453),FALSE())</f>
        <v>0</v>
      </c>
      <c r="L1454" s="8" t="n">
        <f aca="false">IF(ISNUMBER(I1454),E1454-Inputs!$B$6*I1454,"")</f>
        <v>0.825412033596656</v>
      </c>
      <c r="M1454" s="9" t="b">
        <f aca="false">AND(Y1453&gt;0,Z1453)</f>
        <v>0</v>
      </c>
      <c r="N1454" s="8" t="n">
        <f aca="false">B1454*(1-Inputs!$B$12)</f>
        <v>0.850883318682706</v>
      </c>
      <c r="O1454" s="10" t="n">
        <f aca="false">IF(M1454,Y1453*(N1454-AB1453)-Inputs!$B$9-Y1453*AD1453*Inputs!$B$13*(A1454-AC1453),0)</f>
        <v>0</v>
      </c>
      <c r="P1454" s="10" t="n">
        <f aca="false">X1453+O1454</f>
        <v>903.463633051933</v>
      </c>
      <c r="Q1454" s="9" t="b">
        <f aca="false">AND(IF(M1454,0,Y1453)=0,AA1453,IF(ISNUMBER(AE1453),B1454&gt;AE1453,FALSE()))</f>
        <v>0</v>
      </c>
      <c r="R1454" s="8" t="n">
        <f aca="false">B1454*(1+Inputs!$B$12)</f>
        <v>0.851223740094461</v>
      </c>
      <c r="S1454" s="11" t="n">
        <f aca="false">IF(Q1454,MIN(P1454*Inputs!$B$3/(R1454-AE1453),P1454*Inputs!$B$11/R1454),0)</f>
        <v>0</v>
      </c>
      <c r="T1454" s="11" t="n">
        <f aca="false">IF(Q1454,S1454,IF(M1454,0,Y1453))</f>
        <v>480.703909601727</v>
      </c>
      <c r="U1454" s="8" t="n">
        <f aca="false">IF(Q1454,AE1453,AF1453)</f>
        <v>0.847434384754863</v>
      </c>
      <c r="V1454" s="9" t="b">
        <f aca="false">AND(T1454&gt;0,D1454&lt;=U1454)</f>
        <v>1</v>
      </c>
      <c r="W1454" s="10" t="n">
        <f aca="false">IF(V1454,T1454*(AK1454-AB1454)-Inputs!$B$9-T1454*AD1454*Inputs!$B$13*(A1454-AC1454),0)</f>
        <v>-10.4968109176458</v>
      </c>
      <c r="X1454" s="10" t="n">
        <f aca="false">P1454-IF(Q1454,Inputs!$B$9,0)+W1454</f>
        <v>892.966822134287</v>
      </c>
      <c r="Y1454" s="11" t="n">
        <f aca="false">IF(V1454,0,T1454)</f>
        <v>0</v>
      </c>
      <c r="Z1454" s="9" t="b">
        <f aca="false">AND(Y1454&gt;0,K1454)</f>
        <v>0</v>
      </c>
      <c r="AA1454" s="9" t="b">
        <f aca="false">AND(Y1454=0,J1454,ISNUMBER(L1454))</f>
        <v>0</v>
      </c>
      <c r="AB1454" s="8" t="n">
        <f aca="false">IF(Q1454,R1454,AB1453)</f>
        <v>0.866249784733642</v>
      </c>
      <c r="AC1454" s="12" t="n">
        <f aca="false">IF(Q1454,A1454,AC1453)</f>
        <v>46233</v>
      </c>
      <c r="AD1454" s="8" t="n">
        <f aca="false">IF(Q1454,B1454,AD1453)</f>
        <v>0.866076569419758</v>
      </c>
      <c r="AE1454" s="8" t="str">
        <f aca="false">IF(AA1454,L1454,"")</f>
        <v/>
      </c>
      <c r="AF1454" s="8" t="n">
        <f aca="false">U1454</f>
        <v>0.847434384754863</v>
      </c>
      <c r="AG1454" s="2" t="n">
        <f aca="false">AG1453+IF(Q1454,1,0)</f>
        <v>17</v>
      </c>
      <c r="AH1454" s="2" t="n">
        <f aca="false">AG1453</f>
        <v>17</v>
      </c>
      <c r="AI1454" s="10" t="n">
        <f aca="false">X1454+Y1454*(E1454-AB1454)-Y1454*AD1454*Inputs!$B$13*(A1454-AC1454)</f>
        <v>892.966822134287</v>
      </c>
      <c r="AJ1454" s="10" t="n">
        <v>0</v>
      </c>
      <c r="AK1454" s="8" t="n">
        <f aca="false">IF(AND(B1454&lt;=U1454,NOT(Q1454)),B1454,U1454)*(1-Inputs!$B$12)</f>
        <v>0.847264897877912</v>
      </c>
    </row>
    <row r="1455" customFormat="false" ht="15" hidden="false" customHeight="false" outlineLevel="0" collapsed="false">
      <c r="A1455" s="6" t="n">
        <v>46239</v>
      </c>
      <c r="B1455" s="7" t="n">
        <v>0.843841058763337</v>
      </c>
      <c r="C1455" s="7" t="n">
        <v>0.845455210898697</v>
      </c>
      <c r="D1455" s="7" t="n">
        <v>0.834402096823306</v>
      </c>
      <c r="E1455" s="7" t="n">
        <v>0.834505877962133</v>
      </c>
      <c r="F1455" s="8" t="n">
        <f aca="true">IF(ROW()-2&gt;=Inputs!$B$4,AVERAGE(OFFSET(E1455,1-Inputs!$B$4,0,Inputs!$B$4,1)),"")</f>
        <v>0.841727192162517</v>
      </c>
      <c r="G1455" s="8" t="n">
        <f aca="true">IF(ROW()-2&gt;=Inputs!$B$5,AVERAGE(OFFSET(E1455,1-Inputs!$B$5,0,Inputs!$B$5,1)),"")</f>
        <v>0.828711379094601</v>
      </c>
      <c r="H1455" s="8" t="n">
        <f aca="false">MAX(C1455-D1455,ABS(C1455-E1454),ABS(D1455-E1454))</f>
        <v>0.011053114075391</v>
      </c>
      <c r="I1455" s="8" t="n">
        <f aca="true">IF(ROW()-2&lt;14,"",IF(ROW()-2=14,AVERAGE(OFFSET(H1455,-13,0,14,1)),(I1454*13+H1455)/14))</f>
        <v>0.00934584126134412</v>
      </c>
      <c r="J1455" s="9" t="b">
        <f aca="false">IF(AND(ISNUMBER(F1455),ISNUMBER(G1455),ISNUMBER(F1454),ISNUMBER(G1454)),AND(F1455&gt;G1455,F1454&lt;=G1454),FALSE())</f>
        <v>0</v>
      </c>
      <c r="K1455" s="9" t="b">
        <f aca="false">IF(AND(ISNUMBER(F1455),ISNUMBER(G1455),ISNUMBER(F1454),ISNUMBER(G1454)),AND(F1455&lt;G1455,F1454&gt;=G1454),FALSE())</f>
        <v>0</v>
      </c>
      <c r="L1455" s="8" t="n">
        <f aca="false">IF(ISNUMBER(I1455),E1455-Inputs!$B$6*I1455,"")</f>
        <v>0.815814195439445</v>
      </c>
      <c r="M1455" s="9" t="b">
        <f aca="false">AND(Y1454&gt;0,Z1454)</f>
        <v>0</v>
      </c>
      <c r="N1455" s="8" t="n">
        <f aca="false">B1455*(1-Inputs!$B$12)</f>
        <v>0.843672290551585</v>
      </c>
      <c r="O1455" s="10" t="n">
        <f aca="false">IF(M1455,Y1454*(N1455-AB1454)-Inputs!$B$9-Y1454*AD1454*Inputs!$B$13*(A1455-AC1454),0)</f>
        <v>0</v>
      </c>
      <c r="P1455" s="10" t="n">
        <f aca="false">X1454+O1455</f>
        <v>892.966822134287</v>
      </c>
      <c r="Q1455" s="9" t="b">
        <f aca="false">AND(IF(M1455,0,Y1454)=0,AA1454,IF(ISNUMBER(AE1454),B1455&gt;AE1454,FALSE()))</f>
        <v>0</v>
      </c>
      <c r="R1455" s="8" t="n">
        <f aca="false">B1455*(1+Inputs!$B$12)</f>
        <v>0.84400982697509</v>
      </c>
      <c r="S1455" s="11" t="n">
        <f aca="false">IF(Q1455,MIN(P1455*Inputs!$B$3/(R1455-AE1454),P1455*Inputs!$B$11/R1455),0)</f>
        <v>0</v>
      </c>
      <c r="T1455" s="11" t="n">
        <f aca="false">IF(Q1455,S1455,IF(M1455,0,Y1454))</f>
        <v>0</v>
      </c>
      <c r="U1455" s="8" t="n">
        <f aca="false">IF(Q1455,AE1454,AF1454)</f>
        <v>0.847434384754863</v>
      </c>
      <c r="V1455" s="9" t="b">
        <f aca="false">AND(T1455&gt;0,D1455&lt;=U1455)</f>
        <v>0</v>
      </c>
      <c r="W1455" s="10" t="n">
        <f aca="false">IF(V1455,T1455*(AK1455-AB1455)-Inputs!$B$9-T1455*AD1455*Inputs!$B$13*(A1455-AC1455),0)</f>
        <v>0</v>
      </c>
      <c r="X1455" s="10" t="n">
        <f aca="false">P1455-IF(Q1455,Inputs!$B$9,0)+W1455</f>
        <v>892.966822134287</v>
      </c>
      <c r="Y1455" s="11" t="n">
        <f aca="false">IF(V1455,0,T1455)</f>
        <v>0</v>
      </c>
      <c r="Z1455" s="9" t="b">
        <f aca="false">AND(Y1455&gt;0,K1455)</f>
        <v>0</v>
      </c>
      <c r="AA1455" s="9" t="b">
        <f aca="false">AND(Y1455=0,J1455,ISNUMBER(L1455))</f>
        <v>0</v>
      </c>
      <c r="AB1455" s="8" t="n">
        <f aca="false">IF(Q1455,R1455,AB1454)</f>
        <v>0.866249784733642</v>
      </c>
      <c r="AC1455" s="12" t="n">
        <f aca="false">IF(Q1455,A1455,AC1454)</f>
        <v>46233</v>
      </c>
      <c r="AD1455" s="8" t="n">
        <f aca="false">IF(Q1455,B1455,AD1454)</f>
        <v>0.866076569419758</v>
      </c>
      <c r="AE1455" s="8" t="str">
        <f aca="false">IF(AA1455,L1455,"")</f>
        <v/>
      </c>
      <c r="AF1455" s="8" t="n">
        <f aca="false">U1455</f>
        <v>0.847434384754863</v>
      </c>
      <c r="AG1455" s="2" t="n">
        <f aca="false">AG1454+IF(Q1455,1,0)</f>
        <v>17</v>
      </c>
      <c r="AH1455" s="2" t="n">
        <f aca="false">AG1454</f>
        <v>17</v>
      </c>
      <c r="AI1455" s="10" t="n">
        <f aca="false">X1455+Y1455*(E1455-AB1455)-Y1455*AD1455*Inputs!$B$13*(A1455-AC1455)</f>
        <v>892.966822134287</v>
      </c>
      <c r="AJ1455" s="10" t="n">
        <v>0</v>
      </c>
      <c r="AK1455" s="8" t="n">
        <f aca="false">IF(AND(B1455&lt;=U1455,NOT(Q1455)),B1455,U1455)*(1-Inputs!$B$12)</f>
        <v>0.843672290551585</v>
      </c>
    </row>
    <row r="1456" customFormat="false" ht="15" hidden="false" customHeight="false" outlineLevel="0" collapsed="false">
      <c r="A1456" s="6" t="n">
        <v>46240</v>
      </c>
      <c r="B1456" s="7" t="n">
        <v>0.834505877962133</v>
      </c>
      <c r="C1456" s="7" t="n">
        <v>0.842597944774351</v>
      </c>
      <c r="D1456" s="7" t="n">
        <v>0.831981468281758</v>
      </c>
      <c r="E1456" s="7" t="n">
        <v>0.84075794884822</v>
      </c>
      <c r="F1456" s="8" t="n">
        <f aca="true">IF(ROW()-2&gt;=Inputs!$B$4,AVERAGE(OFFSET(E1456,1-Inputs!$B$4,0,Inputs!$B$4,1)),"")</f>
        <v>0.843319946479766</v>
      </c>
      <c r="G1456" s="8" t="n">
        <f aca="true">IF(ROW()-2&gt;=Inputs!$B$5,AVERAGE(OFFSET(E1456,1-Inputs!$B$5,0,Inputs!$B$5,1)),"")</f>
        <v>0.828797331822323</v>
      </c>
      <c r="H1456" s="8" t="n">
        <f aca="false">MAX(C1456-D1456,ABS(C1456-E1455),ABS(D1456-E1455))</f>
        <v>0.0106164764925925</v>
      </c>
      <c r="I1456" s="8" t="n">
        <f aca="true">IF(ROW()-2&lt;14,"",IF(ROW()-2=14,AVERAGE(OFFSET(H1456,-13,0,14,1)),(I1455*13+H1456)/14))</f>
        <v>0.009436600920719</v>
      </c>
      <c r="J1456" s="9" t="b">
        <f aca="false">IF(AND(ISNUMBER(F1456),ISNUMBER(G1456),ISNUMBER(F1455),ISNUMBER(G1455)),AND(F1456&gt;G1456,F1455&lt;=G1455),FALSE())</f>
        <v>0</v>
      </c>
      <c r="K1456" s="9" t="b">
        <f aca="false">IF(AND(ISNUMBER(F1456),ISNUMBER(G1456),ISNUMBER(F1455),ISNUMBER(G1455)),AND(F1456&lt;G1456,F1455&gt;=G1455),FALSE())</f>
        <v>0</v>
      </c>
      <c r="L1456" s="8" t="n">
        <f aca="false">IF(ISNUMBER(I1456),E1456-Inputs!$B$6*I1456,"")</f>
        <v>0.821884747006782</v>
      </c>
      <c r="M1456" s="9" t="b">
        <f aca="false">AND(Y1455&gt;0,Z1455)</f>
        <v>0</v>
      </c>
      <c r="N1456" s="8" t="n">
        <f aca="false">B1456*(1-Inputs!$B$12)</f>
        <v>0.834338976786541</v>
      </c>
      <c r="O1456" s="10" t="n">
        <f aca="false">IF(M1456,Y1455*(N1456-AB1455)-Inputs!$B$9-Y1455*AD1455*Inputs!$B$13*(A1456-AC1455),0)</f>
        <v>0</v>
      </c>
      <c r="P1456" s="10" t="n">
        <f aca="false">X1455+O1456</f>
        <v>892.966822134287</v>
      </c>
      <c r="Q1456" s="9" t="b">
        <f aca="false">AND(IF(M1456,0,Y1455)=0,AA1455,IF(ISNUMBER(AE1455),B1456&gt;AE1455,FALSE()))</f>
        <v>0</v>
      </c>
      <c r="R1456" s="8" t="n">
        <f aca="false">B1456*(1+Inputs!$B$12)</f>
        <v>0.834672779137726</v>
      </c>
      <c r="S1456" s="11" t="n">
        <f aca="false">IF(Q1456,MIN(P1456*Inputs!$B$3/(R1456-AE1455),P1456*Inputs!$B$11/R1456),0)</f>
        <v>0</v>
      </c>
      <c r="T1456" s="11" t="n">
        <f aca="false">IF(Q1456,S1456,IF(M1456,0,Y1455))</f>
        <v>0</v>
      </c>
      <c r="U1456" s="8" t="n">
        <f aca="false">IF(Q1456,AE1455,AF1455)</f>
        <v>0.847434384754863</v>
      </c>
      <c r="V1456" s="9" t="b">
        <f aca="false">AND(T1456&gt;0,D1456&lt;=U1456)</f>
        <v>0</v>
      </c>
      <c r="W1456" s="10" t="n">
        <f aca="false">IF(V1456,T1456*(AK1456-AB1456)-Inputs!$B$9-T1456*AD1456*Inputs!$B$13*(A1456-AC1456),0)</f>
        <v>0</v>
      </c>
      <c r="X1456" s="10" t="n">
        <f aca="false">P1456-IF(Q1456,Inputs!$B$9,0)+W1456</f>
        <v>892.966822134287</v>
      </c>
      <c r="Y1456" s="11" t="n">
        <f aca="false">IF(V1456,0,T1456)</f>
        <v>0</v>
      </c>
      <c r="Z1456" s="9" t="b">
        <f aca="false">AND(Y1456&gt;0,K1456)</f>
        <v>0</v>
      </c>
      <c r="AA1456" s="9" t="b">
        <f aca="false">AND(Y1456=0,J1456,ISNUMBER(L1456))</f>
        <v>0</v>
      </c>
      <c r="AB1456" s="8" t="n">
        <f aca="false">IF(Q1456,R1456,AB1455)</f>
        <v>0.866249784733642</v>
      </c>
      <c r="AC1456" s="12" t="n">
        <f aca="false">IF(Q1456,A1456,AC1455)</f>
        <v>46233</v>
      </c>
      <c r="AD1456" s="8" t="n">
        <f aca="false">IF(Q1456,B1456,AD1455)</f>
        <v>0.866076569419758</v>
      </c>
      <c r="AE1456" s="8" t="str">
        <f aca="false">IF(AA1456,L1456,"")</f>
        <v/>
      </c>
      <c r="AF1456" s="8" t="n">
        <f aca="false">U1456</f>
        <v>0.847434384754863</v>
      </c>
      <c r="AG1456" s="2" t="n">
        <f aca="false">AG1455+IF(Q1456,1,0)</f>
        <v>17</v>
      </c>
      <c r="AH1456" s="2" t="n">
        <f aca="false">AG1455</f>
        <v>17</v>
      </c>
      <c r="AI1456" s="10" t="n">
        <f aca="false">X1456+Y1456*(E1456-AB1456)-Y1456*AD1456*Inputs!$B$13*(A1456-AC1456)</f>
        <v>892.966822134287</v>
      </c>
      <c r="AJ1456" s="10" t="n">
        <v>0</v>
      </c>
      <c r="AK1456" s="8" t="n">
        <f aca="false">IF(AND(B1456&lt;=U1456,NOT(Q1456)),B1456,U1456)*(1-Inputs!$B$12)</f>
        <v>0.834338976786541</v>
      </c>
    </row>
    <row r="1457" customFormat="false" ht="15" hidden="false" customHeight="false" outlineLevel="0" collapsed="false">
      <c r="A1457" s="6" t="n">
        <v>46241</v>
      </c>
      <c r="B1457" s="7" t="n">
        <v>0.84075794884822</v>
      </c>
      <c r="C1457" s="7" t="n">
        <v>0.841974737746605</v>
      </c>
      <c r="D1457" s="7" t="n">
        <v>0.839099359762141</v>
      </c>
      <c r="E1457" s="7" t="n">
        <v>0.839551747787284</v>
      </c>
      <c r="F1457" s="8" t="n">
        <f aca="true">IF(ROW()-2&gt;=Inputs!$B$4,AVERAGE(OFFSET(E1457,1-Inputs!$B$4,0,Inputs!$B$4,1)),"")</f>
        <v>0.84482368312856</v>
      </c>
      <c r="G1457" s="8" t="n">
        <f aca="true">IF(ROW()-2&gt;=Inputs!$B$5,AVERAGE(OFFSET(E1457,1-Inputs!$B$5,0,Inputs!$B$5,1)),"")</f>
        <v>0.828981423877961</v>
      </c>
      <c r="H1457" s="8" t="n">
        <f aca="false">MAX(C1457-D1457,ABS(C1457-E1456),ABS(D1457-E1456))</f>
        <v>0.00287537798446402</v>
      </c>
      <c r="I1457" s="8" t="n">
        <f aca="true">IF(ROW()-2&lt;14,"",IF(ROW()-2=14,AVERAGE(OFFSET(H1457,-13,0,14,1)),(I1456*13+H1457)/14))</f>
        <v>0.00896794213955793</v>
      </c>
      <c r="J1457" s="9" t="b">
        <f aca="false">IF(AND(ISNUMBER(F1457),ISNUMBER(G1457),ISNUMBER(F1456),ISNUMBER(G1456)),AND(F1457&gt;G1457,F1456&lt;=G1456),FALSE())</f>
        <v>0</v>
      </c>
      <c r="K1457" s="9" t="b">
        <f aca="false">IF(AND(ISNUMBER(F1457),ISNUMBER(G1457),ISNUMBER(F1456),ISNUMBER(G1456)),AND(F1457&lt;G1457,F1456&gt;=G1456),FALSE())</f>
        <v>0</v>
      </c>
      <c r="L1457" s="8" t="n">
        <f aca="false">IF(ISNUMBER(I1457),E1457-Inputs!$B$6*I1457,"")</f>
        <v>0.821615863508168</v>
      </c>
      <c r="M1457" s="9" t="b">
        <f aca="false">AND(Y1456&gt;0,Z1456)</f>
        <v>0</v>
      </c>
      <c r="N1457" s="8" t="n">
        <f aca="false">B1457*(1-Inputs!$B$12)</f>
        <v>0.84058979725845</v>
      </c>
      <c r="O1457" s="10" t="n">
        <f aca="false">IF(M1457,Y1456*(N1457-AB1456)-Inputs!$B$9-Y1456*AD1456*Inputs!$B$13*(A1457-AC1456),0)</f>
        <v>0</v>
      </c>
      <c r="P1457" s="10" t="n">
        <f aca="false">X1456+O1457</f>
        <v>892.966822134287</v>
      </c>
      <c r="Q1457" s="9" t="b">
        <f aca="false">AND(IF(M1457,0,Y1456)=0,AA1456,IF(ISNUMBER(AE1456),B1457&gt;AE1456,FALSE()))</f>
        <v>0</v>
      </c>
      <c r="R1457" s="8" t="n">
        <f aca="false">B1457*(1+Inputs!$B$12)</f>
        <v>0.84092610043799</v>
      </c>
      <c r="S1457" s="11" t="n">
        <f aca="false">IF(Q1457,MIN(P1457*Inputs!$B$3/(R1457-AE1456),P1457*Inputs!$B$11/R1457),0)</f>
        <v>0</v>
      </c>
      <c r="T1457" s="11" t="n">
        <f aca="false">IF(Q1457,S1457,IF(M1457,0,Y1456))</f>
        <v>0</v>
      </c>
      <c r="U1457" s="8" t="n">
        <f aca="false">IF(Q1457,AE1456,AF1456)</f>
        <v>0.847434384754863</v>
      </c>
      <c r="V1457" s="9" t="b">
        <f aca="false">AND(T1457&gt;0,D1457&lt;=U1457)</f>
        <v>0</v>
      </c>
      <c r="W1457" s="10" t="n">
        <f aca="false">IF(V1457,T1457*(AK1457-AB1457)-Inputs!$B$9-T1457*AD1457*Inputs!$B$13*(A1457-AC1457),0)</f>
        <v>0</v>
      </c>
      <c r="X1457" s="10" t="n">
        <f aca="false">P1457-IF(Q1457,Inputs!$B$9,0)+W1457</f>
        <v>892.966822134287</v>
      </c>
      <c r="Y1457" s="11" t="n">
        <f aca="false">IF(V1457,0,T1457)</f>
        <v>0</v>
      </c>
      <c r="Z1457" s="9" t="b">
        <f aca="false">AND(Y1457&gt;0,K1457)</f>
        <v>0</v>
      </c>
      <c r="AA1457" s="9" t="b">
        <f aca="false">AND(Y1457=0,J1457,ISNUMBER(L1457))</f>
        <v>0</v>
      </c>
      <c r="AB1457" s="8" t="n">
        <f aca="false">IF(Q1457,R1457,AB1456)</f>
        <v>0.866249784733642</v>
      </c>
      <c r="AC1457" s="12" t="n">
        <f aca="false">IF(Q1457,A1457,AC1456)</f>
        <v>46233</v>
      </c>
      <c r="AD1457" s="8" t="n">
        <f aca="false">IF(Q1457,B1457,AD1456)</f>
        <v>0.866076569419758</v>
      </c>
      <c r="AE1457" s="8" t="str">
        <f aca="false">IF(AA1457,L1457,"")</f>
        <v/>
      </c>
      <c r="AF1457" s="8" t="n">
        <f aca="false">U1457</f>
        <v>0.847434384754863</v>
      </c>
      <c r="AG1457" s="2" t="n">
        <f aca="false">AG1456+IF(Q1457,1,0)</f>
        <v>17</v>
      </c>
      <c r="AH1457" s="2" t="n">
        <f aca="false">AG1456</f>
        <v>17</v>
      </c>
      <c r="AI1457" s="10" t="n">
        <f aca="false">X1457+Y1457*(E1457-AB1457)-Y1457*AD1457*Inputs!$B$13*(A1457-AC1457)</f>
        <v>892.966822134287</v>
      </c>
      <c r="AJ1457" s="10" t="n">
        <v>0</v>
      </c>
      <c r="AK1457" s="8" t="n">
        <f aca="false">IF(AND(B1457&lt;=U1457,NOT(Q1457)),B1457,U1457)*(1-Inputs!$B$12)</f>
        <v>0.84058979725845</v>
      </c>
    </row>
    <row r="1458" customFormat="false" ht="15" hidden="false" customHeight="false" outlineLevel="0" collapsed="false">
      <c r="A1458" s="6" t="n">
        <v>46242</v>
      </c>
      <c r="B1458" s="7" t="n">
        <v>0.839551747787284</v>
      </c>
      <c r="C1458" s="7" t="n">
        <v>0.842703977962816</v>
      </c>
      <c r="D1458" s="7" t="n">
        <v>0.832156055798679</v>
      </c>
      <c r="E1458" s="7" t="n">
        <v>0.837500585596053</v>
      </c>
      <c r="F1458" s="8" t="n">
        <f aca="true">IF(ROW()-2&gt;=Inputs!$B$4,AVERAGE(OFFSET(E1458,1-Inputs!$B$4,0,Inputs!$B$4,1)),"")</f>
        <v>0.846136522505783</v>
      </c>
      <c r="G1458" s="8" t="n">
        <f aca="true">IF(ROW()-2&gt;=Inputs!$B$5,AVERAGE(OFFSET(E1458,1-Inputs!$B$5,0,Inputs!$B$5,1)),"")</f>
        <v>0.829165492971511</v>
      </c>
      <c r="H1458" s="8" t="n">
        <f aca="false">MAX(C1458-D1458,ABS(C1458-E1457),ABS(D1458-E1457))</f>
        <v>0.0105479221641369</v>
      </c>
      <c r="I1458" s="8" t="n">
        <f aca="true">IF(ROW()-2&lt;14,"",IF(ROW()-2=14,AVERAGE(OFFSET(H1458,-13,0,14,1)),(I1457*13+H1458)/14))</f>
        <v>0.00908079785559929</v>
      </c>
      <c r="J1458" s="9" t="b">
        <f aca="false">IF(AND(ISNUMBER(F1458),ISNUMBER(G1458),ISNUMBER(F1457),ISNUMBER(G1457)),AND(F1458&gt;G1458,F1457&lt;=G1457),FALSE())</f>
        <v>0</v>
      </c>
      <c r="K1458" s="9" t="b">
        <f aca="false">IF(AND(ISNUMBER(F1458),ISNUMBER(G1458),ISNUMBER(F1457),ISNUMBER(G1457)),AND(F1458&lt;G1458,F1457&gt;=G1457),FALSE())</f>
        <v>0</v>
      </c>
      <c r="L1458" s="8" t="n">
        <f aca="false">IF(ISNUMBER(I1458),E1458-Inputs!$B$6*I1458,"")</f>
        <v>0.819338989884854</v>
      </c>
      <c r="M1458" s="9" t="b">
        <f aca="false">AND(Y1457&gt;0,Z1457)</f>
        <v>0</v>
      </c>
      <c r="N1458" s="8" t="n">
        <f aca="false">B1458*(1-Inputs!$B$12)</f>
        <v>0.839383837437727</v>
      </c>
      <c r="O1458" s="10" t="n">
        <f aca="false">IF(M1458,Y1457*(N1458-AB1457)-Inputs!$B$9-Y1457*AD1457*Inputs!$B$13*(A1458-AC1457),0)</f>
        <v>0</v>
      </c>
      <c r="P1458" s="10" t="n">
        <f aca="false">X1457+O1458</f>
        <v>892.966822134287</v>
      </c>
      <c r="Q1458" s="9" t="b">
        <f aca="false">AND(IF(M1458,0,Y1457)=0,AA1457,IF(ISNUMBER(AE1457),B1458&gt;AE1457,FALSE()))</f>
        <v>0</v>
      </c>
      <c r="R1458" s="8" t="n">
        <f aca="false">B1458*(1+Inputs!$B$12)</f>
        <v>0.839719658136842</v>
      </c>
      <c r="S1458" s="11" t="n">
        <f aca="false">IF(Q1458,MIN(P1458*Inputs!$B$3/(R1458-AE1457),P1458*Inputs!$B$11/R1458),0)</f>
        <v>0</v>
      </c>
      <c r="T1458" s="11" t="n">
        <f aca="false">IF(Q1458,S1458,IF(M1458,0,Y1457))</f>
        <v>0</v>
      </c>
      <c r="U1458" s="8" t="n">
        <f aca="false">IF(Q1458,AE1457,AF1457)</f>
        <v>0.847434384754863</v>
      </c>
      <c r="V1458" s="9" t="b">
        <f aca="false">AND(T1458&gt;0,D1458&lt;=U1458)</f>
        <v>0</v>
      </c>
      <c r="W1458" s="10" t="n">
        <f aca="false">IF(V1458,T1458*(AK1458-AB1458)-Inputs!$B$9-T1458*AD1458*Inputs!$B$13*(A1458-AC1458),0)</f>
        <v>0</v>
      </c>
      <c r="X1458" s="10" t="n">
        <f aca="false">P1458-IF(Q1458,Inputs!$B$9,0)+W1458</f>
        <v>892.966822134287</v>
      </c>
      <c r="Y1458" s="11" t="n">
        <f aca="false">IF(V1458,0,T1458)</f>
        <v>0</v>
      </c>
      <c r="Z1458" s="9" t="b">
        <f aca="false">AND(Y1458&gt;0,K1458)</f>
        <v>0</v>
      </c>
      <c r="AA1458" s="9" t="b">
        <f aca="false">AND(Y1458=0,J1458,ISNUMBER(L1458))</f>
        <v>0</v>
      </c>
      <c r="AB1458" s="8" t="n">
        <f aca="false">IF(Q1458,R1458,AB1457)</f>
        <v>0.866249784733642</v>
      </c>
      <c r="AC1458" s="12" t="n">
        <f aca="false">IF(Q1458,A1458,AC1457)</f>
        <v>46233</v>
      </c>
      <c r="AD1458" s="8" t="n">
        <f aca="false">IF(Q1458,B1458,AD1457)</f>
        <v>0.866076569419758</v>
      </c>
      <c r="AE1458" s="8" t="str">
        <f aca="false">IF(AA1458,L1458,"")</f>
        <v/>
      </c>
      <c r="AF1458" s="8" t="n">
        <f aca="false">U1458</f>
        <v>0.847434384754863</v>
      </c>
      <c r="AG1458" s="2" t="n">
        <f aca="false">AG1457+IF(Q1458,1,0)</f>
        <v>17</v>
      </c>
      <c r="AH1458" s="2" t="n">
        <f aca="false">AG1457</f>
        <v>17</v>
      </c>
      <c r="AI1458" s="10" t="n">
        <f aca="false">X1458+Y1458*(E1458-AB1458)-Y1458*AD1458*Inputs!$B$13*(A1458-AC1458)</f>
        <v>892.966822134287</v>
      </c>
      <c r="AJ1458" s="10" t="n">
        <v>0</v>
      </c>
      <c r="AK1458" s="8" t="n">
        <f aca="false">IF(AND(B1458&lt;=U1458,NOT(Q1458)),B1458,U1458)*(1-Inputs!$B$12)</f>
        <v>0.839383837437727</v>
      </c>
    </row>
    <row r="1459" customFormat="false" ht="15" hidden="false" customHeight="false" outlineLevel="0" collapsed="false">
      <c r="A1459" s="6" t="n">
        <v>46243</v>
      </c>
      <c r="B1459" s="7" t="n">
        <v>0.837500585596053</v>
      </c>
      <c r="C1459" s="7" t="n">
        <v>0.838508364180015</v>
      </c>
      <c r="D1459" s="7" t="n">
        <v>0.835054324478474</v>
      </c>
      <c r="E1459" s="7" t="n">
        <v>0.837499994074051</v>
      </c>
      <c r="F1459" s="8" t="n">
        <f aca="true">IF(ROW()-2&gt;=Inputs!$B$4,AVERAGE(OFFSET(E1459,1-Inputs!$B$4,0,Inputs!$B$4,1)),"")</f>
        <v>0.847244558887304</v>
      </c>
      <c r="G1459" s="8" t="n">
        <f aca="true">IF(ROW()-2&gt;=Inputs!$B$5,AVERAGE(OFFSET(E1459,1-Inputs!$B$5,0,Inputs!$B$5,1)),"")</f>
        <v>0.829330239813197</v>
      </c>
      <c r="H1459" s="8" t="n">
        <f aca="false">MAX(C1459-D1459,ABS(C1459-E1458),ABS(D1459-E1458))</f>
        <v>0.00345403970154057</v>
      </c>
      <c r="I1459" s="8" t="n">
        <f aca="true">IF(ROW()-2&lt;14,"",IF(ROW()-2=14,AVERAGE(OFFSET(H1459,-13,0,14,1)),(I1458*13+H1459)/14))</f>
        <v>0.00867888655888081</v>
      </c>
      <c r="J1459" s="9" t="b">
        <f aca="false">IF(AND(ISNUMBER(F1459),ISNUMBER(G1459),ISNUMBER(F1458),ISNUMBER(G1458)),AND(F1459&gt;G1459,F1458&lt;=G1458),FALSE())</f>
        <v>0</v>
      </c>
      <c r="K1459" s="9" t="b">
        <f aca="false">IF(AND(ISNUMBER(F1459),ISNUMBER(G1459),ISNUMBER(F1458),ISNUMBER(G1458)),AND(F1459&lt;G1459,F1458&gt;=G1458),FALSE())</f>
        <v>0</v>
      </c>
      <c r="L1459" s="8" t="n">
        <f aca="false">IF(ISNUMBER(I1459),E1459-Inputs!$B$6*I1459,"")</f>
        <v>0.820142220956289</v>
      </c>
      <c r="M1459" s="9" t="b">
        <f aca="false">AND(Y1458&gt;0,Z1458)</f>
        <v>0</v>
      </c>
      <c r="N1459" s="8" t="n">
        <f aca="false">B1459*(1-Inputs!$B$12)</f>
        <v>0.837333085478934</v>
      </c>
      <c r="O1459" s="10" t="n">
        <f aca="false">IF(M1459,Y1458*(N1459-AB1458)-Inputs!$B$9-Y1458*AD1458*Inputs!$B$13*(A1459-AC1458),0)</f>
        <v>0</v>
      </c>
      <c r="P1459" s="10" t="n">
        <f aca="false">X1458+O1459</f>
        <v>892.966822134287</v>
      </c>
      <c r="Q1459" s="9" t="b">
        <f aca="false">AND(IF(M1459,0,Y1458)=0,AA1458,IF(ISNUMBER(AE1458),B1459&gt;AE1458,FALSE()))</f>
        <v>0</v>
      </c>
      <c r="R1459" s="8" t="n">
        <f aca="false">B1459*(1+Inputs!$B$12)</f>
        <v>0.837668085713172</v>
      </c>
      <c r="S1459" s="11" t="n">
        <f aca="false">IF(Q1459,MIN(P1459*Inputs!$B$3/(R1459-AE1458),P1459*Inputs!$B$11/R1459),0)</f>
        <v>0</v>
      </c>
      <c r="T1459" s="11" t="n">
        <f aca="false">IF(Q1459,S1459,IF(M1459,0,Y1458))</f>
        <v>0</v>
      </c>
      <c r="U1459" s="8" t="n">
        <f aca="false">IF(Q1459,AE1458,AF1458)</f>
        <v>0.847434384754863</v>
      </c>
      <c r="V1459" s="9" t="b">
        <f aca="false">AND(T1459&gt;0,D1459&lt;=U1459)</f>
        <v>0</v>
      </c>
      <c r="W1459" s="10" t="n">
        <f aca="false">IF(V1459,T1459*(AK1459-AB1459)-Inputs!$B$9-T1459*AD1459*Inputs!$B$13*(A1459-AC1459),0)</f>
        <v>0</v>
      </c>
      <c r="X1459" s="10" t="n">
        <f aca="false">P1459-IF(Q1459,Inputs!$B$9,0)+W1459</f>
        <v>892.966822134287</v>
      </c>
      <c r="Y1459" s="11" t="n">
        <f aca="false">IF(V1459,0,T1459)</f>
        <v>0</v>
      </c>
      <c r="Z1459" s="9" t="b">
        <f aca="false">AND(Y1459&gt;0,K1459)</f>
        <v>0</v>
      </c>
      <c r="AA1459" s="9" t="b">
        <f aca="false">AND(Y1459=0,J1459,ISNUMBER(L1459))</f>
        <v>0</v>
      </c>
      <c r="AB1459" s="8" t="n">
        <f aca="false">IF(Q1459,R1459,AB1458)</f>
        <v>0.866249784733642</v>
      </c>
      <c r="AC1459" s="12" t="n">
        <f aca="false">IF(Q1459,A1459,AC1458)</f>
        <v>46233</v>
      </c>
      <c r="AD1459" s="8" t="n">
        <f aca="false">IF(Q1459,B1459,AD1458)</f>
        <v>0.866076569419758</v>
      </c>
      <c r="AE1459" s="8" t="str">
        <f aca="false">IF(AA1459,L1459,"")</f>
        <v/>
      </c>
      <c r="AF1459" s="8" t="n">
        <f aca="false">U1459</f>
        <v>0.847434384754863</v>
      </c>
      <c r="AG1459" s="2" t="n">
        <f aca="false">AG1458+IF(Q1459,1,0)</f>
        <v>17</v>
      </c>
      <c r="AH1459" s="2" t="n">
        <f aca="false">AG1458</f>
        <v>17</v>
      </c>
      <c r="AI1459" s="10" t="n">
        <f aca="false">X1459+Y1459*(E1459-AB1459)-Y1459*AD1459*Inputs!$B$13*(A1459-AC1459)</f>
        <v>892.966822134287</v>
      </c>
      <c r="AJ1459" s="10" t="n">
        <v>0</v>
      </c>
      <c r="AK1459" s="8" t="n">
        <f aca="false">IF(AND(B1459&lt;=U1459,NOT(Q1459)),B1459,U1459)*(1-Inputs!$B$12)</f>
        <v>0.837333085478934</v>
      </c>
    </row>
    <row r="1460" customFormat="false" ht="15" hidden="false" customHeight="false" outlineLevel="0" collapsed="false">
      <c r="A1460" s="6" t="n">
        <v>46244</v>
      </c>
      <c r="B1460" s="7" t="n">
        <v>0.837499994074051</v>
      </c>
      <c r="C1460" s="7" t="n">
        <v>0.837832516517187</v>
      </c>
      <c r="D1460" s="7" t="n">
        <v>0.834101342420111</v>
      </c>
      <c r="E1460" s="7" t="n">
        <v>0.835179255752463</v>
      </c>
      <c r="F1460" s="8" t="n">
        <f aca="true">IF(ROW()-2&gt;=Inputs!$B$4,AVERAGE(OFFSET(E1460,1-Inputs!$B$4,0,Inputs!$B$4,1)),"")</f>
        <v>0.848018294192827</v>
      </c>
      <c r="G1460" s="8" t="n">
        <f aca="true">IF(ROW()-2&gt;=Inputs!$B$5,AVERAGE(OFFSET(E1460,1-Inputs!$B$5,0,Inputs!$B$5,1)),"")</f>
        <v>0.829632389574818</v>
      </c>
      <c r="H1460" s="8" t="n">
        <f aca="false">MAX(C1460-D1460,ABS(C1460-E1459),ABS(D1460-E1459))</f>
        <v>0.00373117409707624</v>
      </c>
      <c r="I1460" s="8" t="n">
        <f aca="true">IF(ROW()-2&lt;14,"",IF(ROW()-2=14,AVERAGE(OFFSET(H1460,-13,0,14,1)),(I1459*13+H1460)/14))</f>
        <v>0.00832547852589476</v>
      </c>
      <c r="J1460" s="9" t="b">
        <f aca="false">IF(AND(ISNUMBER(F1460),ISNUMBER(G1460),ISNUMBER(F1459),ISNUMBER(G1459)),AND(F1460&gt;G1460,F1459&lt;=G1459),FALSE())</f>
        <v>0</v>
      </c>
      <c r="K1460" s="9" t="b">
        <f aca="false">IF(AND(ISNUMBER(F1460),ISNUMBER(G1460),ISNUMBER(F1459),ISNUMBER(G1459)),AND(F1460&lt;G1460,F1459&gt;=G1459),FALSE())</f>
        <v>0</v>
      </c>
      <c r="L1460" s="8" t="n">
        <f aca="false">IF(ISNUMBER(I1460),E1460-Inputs!$B$6*I1460,"")</f>
        <v>0.818528298700674</v>
      </c>
      <c r="M1460" s="9" t="b">
        <f aca="false">AND(Y1459&gt;0,Z1459)</f>
        <v>0</v>
      </c>
      <c r="N1460" s="8" t="n">
        <f aca="false">B1460*(1-Inputs!$B$12)</f>
        <v>0.837332494075236</v>
      </c>
      <c r="O1460" s="10" t="n">
        <f aca="false">IF(M1460,Y1459*(N1460-AB1459)-Inputs!$B$9-Y1459*AD1459*Inputs!$B$13*(A1460-AC1459),0)</f>
        <v>0</v>
      </c>
      <c r="P1460" s="10" t="n">
        <f aca="false">X1459+O1460</f>
        <v>892.966822134287</v>
      </c>
      <c r="Q1460" s="9" t="b">
        <f aca="false">AND(IF(M1460,0,Y1459)=0,AA1459,IF(ISNUMBER(AE1459),B1460&gt;AE1459,FALSE()))</f>
        <v>0</v>
      </c>
      <c r="R1460" s="8" t="n">
        <f aca="false">B1460*(1+Inputs!$B$12)</f>
        <v>0.837667494072866</v>
      </c>
      <c r="S1460" s="11" t="n">
        <f aca="false">IF(Q1460,MIN(P1460*Inputs!$B$3/(R1460-AE1459),P1460*Inputs!$B$11/R1460),0)</f>
        <v>0</v>
      </c>
      <c r="T1460" s="11" t="n">
        <f aca="false">IF(Q1460,S1460,IF(M1460,0,Y1459))</f>
        <v>0</v>
      </c>
      <c r="U1460" s="8" t="n">
        <f aca="false">IF(Q1460,AE1459,AF1459)</f>
        <v>0.847434384754863</v>
      </c>
      <c r="V1460" s="9" t="b">
        <f aca="false">AND(T1460&gt;0,D1460&lt;=U1460)</f>
        <v>0</v>
      </c>
      <c r="W1460" s="10" t="n">
        <f aca="false">IF(V1460,T1460*(AK1460-AB1460)-Inputs!$B$9-T1460*AD1460*Inputs!$B$13*(A1460-AC1460),0)</f>
        <v>0</v>
      </c>
      <c r="X1460" s="10" t="n">
        <f aca="false">P1460-IF(Q1460,Inputs!$B$9,0)+W1460</f>
        <v>892.966822134287</v>
      </c>
      <c r="Y1460" s="11" t="n">
        <f aca="false">IF(V1460,0,T1460)</f>
        <v>0</v>
      </c>
      <c r="Z1460" s="9" t="b">
        <f aca="false">AND(Y1460&gt;0,K1460)</f>
        <v>0</v>
      </c>
      <c r="AA1460" s="9" t="b">
        <f aca="false">AND(Y1460=0,J1460,ISNUMBER(L1460))</f>
        <v>0</v>
      </c>
      <c r="AB1460" s="8" t="n">
        <f aca="false">IF(Q1460,R1460,AB1459)</f>
        <v>0.866249784733642</v>
      </c>
      <c r="AC1460" s="12" t="n">
        <f aca="false">IF(Q1460,A1460,AC1459)</f>
        <v>46233</v>
      </c>
      <c r="AD1460" s="8" t="n">
        <f aca="false">IF(Q1460,B1460,AD1459)</f>
        <v>0.866076569419758</v>
      </c>
      <c r="AE1460" s="8" t="str">
        <f aca="false">IF(AA1460,L1460,"")</f>
        <v/>
      </c>
      <c r="AF1460" s="8" t="n">
        <f aca="false">U1460</f>
        <v>0.847434384754863</v>
      </c>
      <c r="AG1460" s="2" t="n">
        <f aca="false">AG1459+IF(Q1460,1,0)</f>
        <v>17</v>
      </c>
      <c r="AH1460" s="2" t="n">
        <f aca="false">AG1459</f>
        <v>17</v>
      </c>
      <c r="AI1460" s="10" t="n">
        <f aca="false">X1460+Y1460*(E1460-AB1460)-Y1460*AD1460*Inputs!$B$13*(A1460-AC1460)</f>
        <v>892.966822134287</v>
      </c>
      <c r="AJ1460" s="10" t="n">
        <v>0</v>
      </c>
      <c r="AK1460" s="8" t="n">
        <f aca="false">IF(AND(B1460&lt;=U1460,NOT(Q1460)),B1460,U1460)*(1-Inputs!$B$12)</f>
        <v>0.837332494075236</v>
      </c>
    </row>
    <row r="1461" customFormat="false" ht="15" hidden="false" customHeight="false" outlineLevel="0" collapsed="false">
      <c r="A1461" s="6" t="n">
        <v>46245</v>
      </c>
      <c r="B1461" s="7" t="n">
        <v>0.835179255752463</v>
      </c>
      <c r="C1461" s="7" t="n">
        <v>0.838660913305042</v>
      </c>
      <c r="D1461" s="7" t="n">
        <v>0.829212989532626</v>
      </c>
      <c r="E1461" s="7" t="n">
        <v>0.831958492830875</v>
      </c>
      <c r="F1461" s="8" t="n">
        <f aca="true">IF(ROW()-2&gt;=Inputs!$B$4,AVERAGE(OFFSET(E1461,1-Inputs!$B$4,0,Inputs!$B$4,1)),"")</f>
        <v>0.848201356002264</v>
      </c>
      <c r="G1461" s="8" t="n">
        <f aca="true">IF(ROW()-2&gt;=Inputs!$B$5,AVERAGE(OFFSET(E1461,1-Inputs!$B$5,0,Inputs!$B$5,1)),"")</f>
        <v>0.829869244172155</v>
      </c>
      <c r="H1461" s="8" t="n">
        <f aca="false">MAX(C1461-D1461,ABS(C1461-E1460),ABS(D1461-E1460))</f>
        <v>0.00944792377241599</v>
      </c>
      <c r="I1461" s="8" t="n">
        <f aca="true">IF(ROW()-2&lt;14,"",IF(ROW()-2=14,AVERAGE(OFFSET(H1461,-13,0,14,1)),(I1460*13+H1461)/14))</f>
        <v>0.00840565318636057</v>
      </c>
      <c r="J1461" s="9" t="b">
        <f aca="false">IF(AND(ISNUMBER(F1461),ISNUMBER(G1461),ISNUMBER(F1460),ISNUMBER(G1460)),AND(F1461&gt;G1461,F1460&lt;=G1460),FALSE())</f>
        <v>0</v>
      </c>
      <c r="K1461" s="9" t="b">
        <f aca="false">IF(AND(ISNUMBER(F1461),ISNUMBER(G1461),ISNUMBER(F1460),ISNUMBER(G1460)),AND(F1461&lt;G1461,F1460&gt;=G1460),FALSE())</f>
        <v>0</v>
      </c>
      <c r="L1461" s="8" t="n">
        <f aca="false">IF(ISNUMBER(I1461),E1461-Inputs!$B$6*I1461,"")</f>
        <v>0.815147186458153</v>
      </c>
      <c r="M1461" s="9" t="b">
        <f aca="false">AND(Y1460&gt;0,Z1460)</f>
        <v>0</v>
      </c>
      <c r="N1461" s="8" t="n">
        <f aca="false">B1461*(1-Inputs!$B$12)</f>
        <v>0.835012219901313</v>
      </c>
      <c r="O1461" s="10" t="n">
        <f aca="false">IF(M1461,Y1460*(N1461-AB1460)-Inputs!$B$9-Y1460*AD1460*Inputs!$B$13*(A1461-AC1460),0)</f>
        <v>0</v>
      </c>
      <c r="P1461" s="10" t="n">
        <f aca="false">X1460+O1461</f>
        <v>892.966822134287</v>
      </c>
      <c r="Q1461" s="9" t="b">
        <f aca="false">AND(IF(M1461,0,Y1460)=0,AA1460,IF(ISNUMBER(AE1460),B1461&gt;AE1460,FALSE()))</f>
        <v>0</v>
      </c>
      <c r="R1461" s="8" t="n">
        <f aca="false">B1461*(1+Inputs!$B$12)</f>
        <v>0.835346291603614</v>
      </c>
      <c r="S1461" s="11" t="n">
        <f aca="false">IF(Q1461,MIN(P1461*Inputs!$B$3/(R1461-AE1460),P1461*Inputs!$B$11/R1461),0)</f>
        <v>0</v>
      </c>
      <c r="T1461" s="11" t="n">
        <f aca="false">IF(Q1461,S1461,IF(M1461,0,Y1460))</f>
        <v>0</v>
      </c>
      <c r="U1461" s="8" t="n">
        <f aca="false">IF(Q1461,AE1460,AF1460)</f>
        <v>0.847434384754863</v>
      </c>
      <c r="V1461" s="9" t="b">
        <f aca="false">AND(T1461&gt;0,D1461&lt;=U1461)</f>
        <v>0</v>
      </c>
      <c r="W1461" s="10" t="n">
        <f aca="false">IF(V1461,T1461*(AK1461-AB1461)-Inputs!$B$9-T1461*AD1461*Inputs!$B$13*(A1461-AC1461),0)</f>
        <v>0</v>
      </c>
      <c r="X1461" s="10" t="n">
        <f aca="false">P1461-IF(Q1461,Inputs!$B$9,0)+W1461</f>
        <v>892.966822134287</v>
      </c>
      <c r="Y1461" s="11" t="n">
        <f aca="false">IF(V1461,0,T1461)</f>
        <v>0</v>
      </c>
      <c r="Z1461" s="9" t="b">
        <f aca="false">AND(Y1461&gt;0,K1461)</f>
        <v>0</v>
      </c>
      <c r="AA1461" s="9" t="b">
        <f aca="false">AND(Y1461=0,J1461,ISNUMBER(L1461))</f>
        <v>0</v>
      </c>
      <c r="AB1461" s="8" t="n">
        <f aca="false">IF(Q1461,R1461,AB1460)</f>
        <v>0.866249784733642</v>
      </c>
      <c r="AC1461" s="12" t="n">
        <f aca="false">IF(Q1461,A1461,AC1460)</f>
        <v>46233</v>
      </c>
      <c r="AD1461" s="8" t="n">
        <f aca="false">IF(Q1461,B1461,AD1460)</f>
        <v>0.866076569419758</v>
      </c>
      <c r="AE1461" s="8" t="str">
        <f aca="false">IF(AA1461,L1461,"")</f>
        <v/>
      </c>
      <c r="AF1461" s="8" t="n">
        <f aca="false">U1461</f>
        <v>0.847434384754863</v>
      </c>
      <c r="AG1461" s="2" t="n">
        <f aca="false">AG1460+IF(Q1461,1,0)</f>
        <v>17</v>
      </c>
      <c r="AH1461" s="2" t="n">
        <f aca="false">AG1460</f>
        <v>17</v>
      </c>
      <c r="AI1461" s="10" t="n">
        <f aca="false">X1461+Y1461*(E1461-AB1461)-Y1461*AD1461*Inputs!$B$13*(A1461-AC1461)</f>
        <v>892.966822134287</v>
      </c>
      <c r="AJ1461" s="10" t="n">
        <v>0</v>
      </c>
      <c r="AK1461" s="8" t="n">
        <f aca="false">IF(AND(B1461&lt;=U1461,NOT(Q1461)),B1461,U1461)*(1-Inputs!$B$12)</f>
        <v>0.835012219901313</v>
      </c>
    </row>
    <row r="1462" customFormat="false" ht="15" hidden="false" customHeight="false" outlineLevel="0" collapsed="false">
      <c r="A1462" s="6" t="n">
        <v>46246</v>
      </c>
      <c r="B1462" s="7" t="n">
        <v>0.831958492830875</v>
      </c>
      <c r="C1462" s="7" t="n">
        <v>0.838685307750031</v>
      </c>
      <c r="D1462" s="7" t="n">
        <v>0.830200346677862</v>
      </c>
      <c r="E1462" s="7" t="n">
        <v>0.834116068232516</v>
      </c>
      <c r="F1462" s="8" t="n">
        <f aca="true">IF(ROW()-2&gt;=Inputs!$B$4,AVERAGE(OFFSET(E1462,1-Inputs!$B$4,0,Inputs!$B$4,1)),"")</f>
        <v>0.847917603708189</v>
      </c>
      <c r="G1462" s="8" t="n">
        <f aca="true">IF(ROW()-2&gt;=Inputs!$B$5,AVERAGE(OFFSET(E1462,1-Inputs!$B$5,0,Inputs!$B$5,1)),"")</f>
        <v>0.830165507581877</v>
      </c>
      <c r="H1462" s="8" t="n">
        <f aca="false">MAX(C1462-D1462,ABS(C1462-E1461),ABS(D1462-E1461))</f>
        <v>0.00848496107216923</v>
      </c>
      <c r="I1462" s="8" t="n">
        <f aca="true">IF(ROW()-2&lt;14,"",IF(ROW()-2=14,AVERAGE(OFFSET(H1462,-13,0,14,1)),(I1461*13+H1462)/14))</f>
        <v>0.0084113180353469</v>
      </c>
      <c r="J1462" s="9" t="b">
        <f aca="false">IF(AND(ISNUMBER(F1462),ISNUMBER(G1462),ISNUMBER(F1461),ISNUMBER(G1461)),AND(F1462&gt;G1462,F1461&lt;=G1461),FALSE())</f>
        <v>0</v>
      </c>
      <c r="K1462" s="9" t="b">
        <f aca="false">IF(AND(ISNUMBER(F1462),ISNUMBER(G1462),ISNUMBER(F1461),ISNUMBER(G1461)),AND(F1462&lt;G1462,F1461&gt;=G1461),FALSE())</f>
        <v>0</v>
      </c>
      <c r="L1462" s="8" t="n">
        <f aca="false">IF(ISNUMBER(I1462),E1462-Inputs!$B$6*I1462,"")</f>
        <v>0.817293432161822</v>
      </c>
      <c r="M1462" s="9" t="b">
        <f aca="false">AND(Y1461&gt;0,Z1461)</f>
        <v>0</v>
      </c>
      <c r="N1462" s="8" t="n">
        <f aca="false">B1462*(1-Inputs!$B$12)</f>
        <v>0.831792101132308</v>
      </c>
      <c r="O1462" s="10" t="n">
        <f aca="false">IF(M1462,Y1461*(N1462-AB1461)-Inputs!$B$9-Y1461*AD1461*Inputs!$B$13*(A1462-AC1461),0)</f>
        <v>0</v>
      </c>
      <c r="P1462" s="10" t="n">
        <f aca="false">X1461+O1462</f>
        <v>892.966822134287</v>
      </c>
      <c r="Q1462" s="9" t="b">
        <f aca="false">AND(IF(M1462,0,Y1461)=0,AA1461,IF(ISNUMBER(AE1461),B1462&gt;AE1461,FALSE()))</f>
        <v>0</v>
      </c>
      <c r="R1462" s="8" t="n">
        <f aca="false">B1462*(1+Inputs!$B$12)</f>
        <v>0.832124884529441</v>
      </c>
      <c r="S1462" s="11" t="n">
        <f aca="false">IF(Q1462,MIN(P1462*Inputs!$B$3/(R1462-AE1461),P1462*Inputs!$B$11/R1462),0)</f>
        <v>0</v>
      </c>
      <c r="T1462" s="11" t="n">
        <f aca="false">IF(Q1462,S1462,IF(M1462,0,Y1461))</f>
        <v>0</v>
      </c>
      <c r="U1462" s="8" t="n">
        <f aca="false">IF(Q1462,AE1461,AF1461)</f>
        <v>0.847434384754863</v>
      </c>
      <c r="V1462" s="9" t="b">
        <f aca="false">AND(T1462&gt;0,D1462&lt;=U1462)</f>
        <v>0</v>
      </c>
      <c r="W1462" s="10" t="n">
        <f aca="false">IF(V1462,T1462*(AK1462-AB1462)-Inputs!$B$9-T1462*AD1462*Inputs!$B$13*(A1462-AC1462),0)</f>
        <v>0</v>
      </c>
      <c r="X1462" s="10" t="n">
        <f aca="false">P1462-IF(Q1462,Inputs!$B$9,0)+W1462</f>
        <v>892.966822134287</v>
      </c>
      <c r="Y1462" s="11" t="n">
        <f aca="false">IF(V1462,0,T1462)</f>
        <v>0</v>
      </c>
      <c r="Z1462" s="9" t="b">
        <f aca="false">AND(Y1462&gt;0,K1462)</f>
        <v>0</v>
      </c>
      <c r="AA1462" s="9" t="b">
        <f aca="false">AND(Y1462=0,J1462,ISNUMBER(L1462))</f>
        <v>0</v>
      </c>
      <c r="AB1462" s="8" t="n">
        <f aca="false">IF(Q1462,R1462,AB1461)</f>
        <v>0.866249784733642</v>
      </c>
      <c r="AC1462" s="12" t="n">
        <f aca="false">IF(Q1462,A1462,AC1461)</f>
        <v>46233</v>
      </c>
      <c r="AD1462" s="8" t="n">
        <f aca="false">IF(Q1462,B1462,AD1461)</f>
        <v>0.866076569419758</v>
      </c>
      <c r="AE1462" s="8" t="str">
        <f aca="false">IF(AA1462,L1462,"")</f>
        <v/>
      </c>
      <c r="AF1462" s="8" t="n">
        <f aca="false">U1462</f>
        <v>0.847434384754863</v>
      </c>
      <c r="AG1462" s="2" t="n">
        <f aca="false">AG1461+IF(Q1462,1,0)</f>
        <v>17</v>
      </c>
      <c r="AH1462" s="2" t="n">
        <f aca="false">AG1461</f>
        <v>17</v>
      </c>
      <c r="AI1462" s="10" t="n">
        <f aca="false">X1462+Y1462*(E1462-AB1462)-Y1462*AD1462*Inputs!$B$13*(A1462-AC1462)</f>
        <v>892.966822134287</v>
      </c>
      <c r="AJ1462" s="10" t="n">
        <v>0</v>
      </c>
      <c r="AK1462" s="8" t="n">
        <f aca="false">IF(AND(B1462&lt;=U1462,NOT(Q1462)),B1462,U1462)*(1-Inputs!$B$12)</f>
        <v>0.831792101132308</v>
      </c>
    </row>
    <row r="1463" customFormat="false" ht="15" hidden="false" customHeight="false" outlineLevel="0" collapsed="false">
      <c r="A1463" s="6" t="n">
        <v>46247</v>
      </c>
      <c r="B1463" s="7" t="n">
        <v>0.834116068232516</v>
      </c>
      <c r="C1463" s="7" t="n">
        <v>0.834734182886529</v>
      </c>
      <c r="D1463" s="7" t="n">
        <v>0.832674156927402</v>
      </c>
      <c r="E1463" s="7" t="n">
        <v>0.834075955533584</v>
      </c>
      <c r="F1463" s="8" t="n">
        <f aca="true">IF(ROW()-2&gt;=Inputs!$B$4,AVERAGE(OFFSET(E1463,1-Inputs!$B$4,0,Inputs!$B$4,1)),"")</f>
        <v>0.847544495529789</v>
      </c>
      <c r="G1463" s="8" t="n">
        <f aca="true">IF(ROW()-2&gt;=Inputs!$B$5,AVERAGE(OFFSET(E1463,1-Inputs!$B$5,0,Inputs!$B$5,1)),"")</f>
        <v>0.830521276003591</v>
      </c>
      <c r="H1463" s="8" t="n">
        <f aca="false">MAX(C1463-D1463,ABS(C1463-E1462),ABS(D1463-E1462))</f>
        <v>0.00206002595912713</v>
      </c>
      <c r="I1463" s="8" t="n">
        <f aca="true">IF(ROW()-2&lt;14,"",IF(ROW()-2=14,AVERAGE(OFFSET(H1463,-13,0,14,1)),(I1462*13+H1463)/14))</f>
        <v>0.00795765431561692</v>
      </c>
      <c r="J1463" s="9" t="b">
        <f aca="false">IF(AND(ISNUMBER(F1463),ISNUMBER(G1463),ISNUMBER(F1462),ISNUMBER(G1462)),AND(F1463&gt;G1463,F1462&lt;=G1462),FALSE())</f>
        <v>0</v>
      </c>
      <c r="K1463" s="9" t="b">
        <f aca="false">IF(AND(ISNUMBER(F1463),ISNUMBER(G1463),ISNUMBER(F1462),ISNUMBER(G1462)),AND(F1463&lt;G1463,F1462&gt;=G1462),FALSE())</f>
        <v>0</v>
      </c>
      <c r="L1463" s="8" t="n">
        <f aca="false">IF(ISNUMBER(I1463),E1463-Inputs!$B$6*I1463,"")</f>
        <v>0.81816064690235</v>
      </c>
      <c r="M1463" s="9" t="b">
        <f aca="false">AND(Y1462&gt;0,Z1462)</f>
        <v>0</v>
      </c>
      <c r="N1463" s="8" t="n">
        <f aca="false">B1463*(1-Inputs!$B$12)</f>
        <v>0.833949245018869</v>
      </c>
      <c r="O1463" s="10" t="n">
        <f aca="false">IF(M1463,Y1462*(N1463-AB1462)-Inputs!$B$9-Y1462*AD1462*Inputs!$B$13*(A1463-AC1462),0)</f>
        <v>0</v>
      </c>
      <c r="P1463" s="10" t="n">
        <f aca="false">X1462+O1463</f>
        <v>892.966822134287</v>
      </c>
      <c r="Q1463" s="9" t="b">
        <f aca="false">AND(IF(M1463,0,Y1462)=0,AA1462,IF(ISNUMBER(AE1462),B1463&gt;AE1462,FALSE()))</f>
        <v>0</v>
      </c>
      <c r="R1463" s="8" t="n">
        <f aca="false">B1463*(1+Inputs!$B$12)</f>
        <v>0.834282891446162</v>
      </c>
      <c r="S1463" s="11" t="n">
        <f aca="false">IF(Q1463,MIN(P1463*Inputs!$B$3/(R1463-AE1462),P1463*Inputs!$B$11/R1463),0)</f>
        <v>0</v>
      </c>
      <c r="T1463" s="11" t="n">
        <f aca="false">IF(Q1463,S1463,IF(M1463,0,Y1462))</f>
        <v>0</v>
      </c>
      <c r="U1463" s="8" t="n">
        <f aca="false">IF(Q1463,AE1462,AF1462)</f>
        <v>0.847434384754863</v>
      </c>
      <c r="V1463" s="9" t="b">
        <f aca="false">AND(T1463&gt;0,D1463&lt;=U1463)</f>
        <v>0</v>
      </c>
      <c r="W1463" s="10" t="n">
        <f aca="false">IF(V1463,T1463*(AK1463-AB1463)-Inputs!$B$9-T1463*AD1463*Inputs!$B$13*(A1463-AC1463),0)</f>
        <v>0</v>
      </c>
      <c r="X1463" s="10" t="n">
        <f aca="false">P1463-IF(Q1463,Inputs!$B$9,0)+W1463</f>
        <v>892.966822134287</v>
      </c>
      <c r="Y1463" s="11" t="n">
        <f aca="false">IF(V1463,0,T1463)</f>
        <v>0</v>
      </c>
      <c r="Z1463" s="9" t="b">
        <f aca="false">AND(Y1463&gt;0,K1463)</f>
        <v>0</v>
      </c>
      <c r="AA1463" s="9" t="b">
        <f aca="false">AND(Y1463=0,J1463,ISNUMBER(L1463))</f>
        <v>0</v>
      </c>
      <c r="AB1463" s="8" t="n">
        <f aca="false">IF(Q1463,R1463,AB1462)</f>
        <v>0.866249784733642</v>
      </c>
      <c r="AC1463" s="12" t="n">
        <f aca="false">IF(Q1463,A1463,AC1462)</f>
        <v>46233</v>
      </c>
      <c r="AD1463" s="8" t="n">
        <f aca="false">IF(Q1463,B1463,AD1462)</f>
        <v>0.866076569419758</v>
      </c>
      <c r="AE1463" s="8" t="str">
        <f aca="false">IF(AA1463,L1463,"")</f>
        <v/>
      </c>
      <c r="AF1463" s="8" t="n">
        <f aca="false">U1463</f>
        <v>0.847434384754863</v>
      </c>
      <c r="AG1463" s="2" t="n">
        <f aca="false">AG1462+IF(Q1463,1,0)</f>
        <v>17</v>
      </c>
      <c r="AH1463" s="2" t="n">
        <f aca="false">AG1462</f>
        <v>17</v>
      </c>
      <c r="AI1463" s="10" t="n">
        <f aca="false">X1463+Y1463*(E1463-AB1463)-Y1463*AD1463*Inputs!$B$13*(A1463-AC1463)</f>
        <v>892.966822134287</v>
      </c>
      <c r="AJ1463" s="10" t="n">
        <v>0</v>
      </c>
      <c r="AK1463" s="8" t="n">
        <f aca="false">IF(AND(B1463&lt;=U1463,NOT(Q1463)),B1463,U1463)*(1-Inputs!$B$12)</f>
        <v>0.833949245018869</v>
      </c>
    </row>
    <row r="1464" customFormat="false" ht="15" hidden="false" customHeight="false" outlineLevel="0" collapsed="false">
      <c r="A1464" s="6" t="n">
        <v>46248</v>
      </c>
      <c r="B1464" s="7" t="n">
        <v>0.834075955533584</v>
      </c>
      <c r="C1464" s="7" t="n">
        <v>0.834466659631195</v>
      </c>
      <c r="D1464" s="7" t="n">
        <v>0.831008572918304</v>
      </c>
      <c r="E1464" s="7" t="n">
        <v>0.832563131614995</v>
      </c>
      <c r="F1464" s="8" t="n">
        <f aca="true">IF(ROW()-2&gt;=Inputs!$B$4,AVERAGE(OFFSET(E1464,1-Inputs!$B$4,0,Inputs!$B$4,1)),"")</f>
        <v>0.846678988783139</v>
      </c>
      <c r="G1464" s="8" t="n">
        <f aca="true">IF(ROW()-2&gt;=Inputs!$B$5,AVERAGE(OFFSET(E1464,1-Inputs!$B$5,0,Inputs!$B$5,1)),"")</f>
        <v>0.830954249634357</v>
      </c>
      <c r="H1464" s="8" t="n">
        <f aca="false">MAX(C1464-D1464,ABS(C1464-E1463),ABS(D1464-E1463))</f>
        <v>0.00345808671289094</v>
      </c>
      <c r="I1464" s="8" t="n">
        <f aca="true">IF(ROW()-2&lt;14,"",IF(ROW()-2=14,AVERAGE(OFFSET(H1464,-13,0,14,1)),(I1463*13+H1464)/14))</f>
        <v>0.00763625662970792</v>
      </c>
      <c r="J1464" s="9" t="b">
        <f aca="false">IF(AND(ISNUMBER(F1464),ISNUMBER(G1464),ISNUMBER(F1463),ISNUMBER(G1463)),AND(F1464&gt;G1464,F1463&lt;=G1463),FALSE())</f>
        <v>0</v>
      </c>
      <c r="K1464" s="9" t="b">
        <f aca="false">IF(AND(ISNUMBER(F1464),ISNUMBER(G1464),ISNUMBER(F1463),ISNUMBER(G1463)),AND(F1464&lt;G1464,F1463&gt;=G1463),FALSE())</f>
        <v>0</v>
      </c>
      <c r="L1464" s="8" t="n">
        <f aca="false">IF(ISNUMBER(I1464),E1464-Inputs!$B$6*I1464,"")</f>
        <v>0.817290618355579</v>
      </c>
      <c r="M1464" s="9" t="b">
        <f aca="false">AND(Y1463&gt;0,Z1463)</f>
        <v>0</v>
      </c>
      <c r="N1464" s="8" t="n">
        <f aca="false">B1464*(1-Inputs!$B$12)</f>
        <v>0.833909140342477</v>
      </c>
      <c r="O1464" s="10" t="n">
        <f aca="false">IF(M1464,Y1463*(N1464-AB1463)-Inputs!$B$9-Y1463*AD1463*Inputs!$B$13*(A1464-AC1463),0)</f>
        <v>0</v>
      </c>
      <c r="P1464" s="10" t="n">
        <f aca="false">X1463+O1464</f>
        <v>892.966822134287</v>
      </c>
      <c r="Q1464" s="9" t="b">
        <f aca="false">AND(IF(M1464,0,Y1463)=0,AA1463,IF(ISNUMBER(AE1463),B1464&gt;AE1463,FALSE()))</f>
        <v>0</v>
      </c>
      <c r="R1464" s="8" t="n">
        <f aca="false">B1464*(1+Inputs!$B$12)</f>
        <v>0.834242770724691</v>
      </c>
      <c r="S1464" s="11" t="n">
        <f aca="false">IF(Q1464,MIN(P1464*Inputs!$B$3/(R1464-AE1463),P1464*Inputs!$B$11/R1464),0)</f>
        <v>0</v>
      </c>
      <c r="T1464" s="11" t="n">
        <f aca="false">IF(Q1464,S1464,IF(M1464,0,Y1463))</f>
        <v>0</v>
      </c>
      <c r="U1464" s="8" t="n">
        <f aca="false">IF(Q1464,AE1463,AF1463)</f>
        <v>0.847434384754863</v>
      </c>
      <c r="V1464" s="9" t="b">
        <f aca="false">AND(T1464&gt;0,D1464&lt;=U1464)</f>
        <v>0</v>
      </c>
      <c r="W1464" s="10" t="n">
        <f aca="false">IF(V1464,T1464*(AK1464-AB1464)-Inputs!$B$9-T1464*AD1464*Inputs!$B$13*(A1464-AC1464),0)</f>
        <v>0</v>
      </c>
      <c r="X1464" s="10" t="n">
        <f aca="false">P1464-IF(Q1464,Inputs!$B$9,0)+W1464</f>
        <v>892.966822134287</v>
      </c>
      <c r="Y1464" s="11" t="n">
        <f aca="false">IF(V1464,0,T1464)</f>
        <v>0</v>
      </c>
      <c r="Z1464" s="9" t="b">
        <f aca="false">AND(Y1464&gt;0,K1464)</f>
        <v>0</v>
      </c>
      <c r="AA1464" s="9" t="b">
        <f aca="false">AND(Y1464=0,J1464,ISNUMBER(L1464))</f>
        <v>0</v>
      </c>
      <c r="AB1464" s="8" t="n">
        <f aca="false">IF(Q1464,R1464,AB1463)</f>
        <v>0.866249784733642</v>
      </c>
      <c r="AC1464" s="12" t="n">
        <f aca="false">IF(Q1464,A1464,AC1463)</f>
        <v>46233</v>
      </c>
      <c r="AD1464" s="8" t="n">
        <f aca="false">IF(Q1464,B1464,AD1463)</f>
        <v>0.866076569419758</v>
      </c>
      <c r="AE1464" s="8" t="str">
        <f aca="false">IF(AA1464,L1464,"")</f>
        <v/>
      </c>
      <c r="AF1464" s="8" t="n">
        <f aca="false">U1464</f>
        <v>0.847434384754863</v>
      </c>
      <c r="AG1464" s="2" t="n">
        <f aca="false">AG1463+IF(Q1464,1,0)</f>
        <v>17</v>
      </c>
      <c r="AH1464" s="2" t="n">
        <f aca="false">AG1463</f>
        <v>17</v>
      </c>
      <c r="AI1464" s="10" t="n">
        <f aca="false">X1464+Y1464*(E1464-AB1464)-Y1464*AD1464*Inputs!$B$13*(A1464-AC1464)</f>
        <v>892.966822134287</v>
      </c>
      <c r="AJ1464" s="10" t="n">
        <v>0</v>
      </c>
      <c r="AK1464" s="8" t="n">
        <f aca="false">IF(AND(B1464&lt;=U1464,NOT(Q1464)),B1464,U1464)*(1-Inputs!$B$12)</f>
        <v>0.833909140342477</v>
      </c>
    </row>
    <row r="1465" customFormat="false" ht="15" hidden="false" customHeight="false" outlineLevel="0" collapsed="false">
      <c r="A1465" s="6" t="n">
        <v>46249</v>
      </c>
      <c r="B1465" s="7" t="n">
        <v>0.832563131614995</v>
      </c>
      <c r="C1465" s="7" t="n">
        <v>0.832614196931304</v>
      </c>
      <c r="D1465" s="7" t="n">
        <v>0.820335233278413</v>
      </c>
      <c r="E1465" s="7" t="n">
        <v>0.824489308103064</v>
      </c>
      <c r="F1465" s="8" t="n">
        <f aca="true">IF(ROW()-2&gt;=Inputs!$B$4,AVERAGE(OFFSET(E1465,1-Inputs!$B$4,0,Inputs!$B$4,1)),"")</f>
        <v>0.845297048668511</v>
      </c>
      <c r="G1465" s="8" t="n">
        <f aca="true">IF(ROW()-2&gt;=Inputs!$B$5,AVERAGE(OFFSET(E1465,1-Inputs!$B$5,0,Inputs!$B$5,1)),"")</f>
        <v>0.831335460947425</v>
      </c>
      <c r="H1465" s="8" t="n">
        <f aca="false">MAX(C1465-D1465,ABS(C1465-E1464),ABS(D1465-E1464))</f>
        <v>0.0122789636528913</v>
      </c>
      <c r="I1465" s="8" t="n">
        <f aca="true">IF(ROW()-2&lt;14,"",IF(ROW()-2=14,AVERAGE(OFFSET(H1465,-13,0,14,1)),(I1464*13+H1465)/14))</f>
        <v>0.0079678785599353</v>
      </c>
      <c r="J1465" s="9" t="b">
        <f aca="false">IF(AND(ISNUMBER(F1465),ISNUMBER(G1465),ISNUMBER(F1464),ISNUMBER(G1464)),AND(F1465&gt;G1465,F1464&lt;=G1464),FALSE())</f>
        <v>0</v>
      </c>
      <c r="K1465" s="9" t="b">
        <f aca="false">IF(AND(ISNUMBER(F1465),ISNUMBER(G1465),ISNUMBER(F1464),ISNUMBER(G1464)),AND(F1465&lt;G1465,F1464&gt;=G1464),FALSE())</f>
        <v>0</v>
      </c>
      <c r="L1465" s="8" t="n">
        <f aca="false">IF(ISNUMBER(I1465),E1465-Inputs!$B$6*I1465,"")</f>
        <v>0.808553550983193</v>
      </c>
      <c r="M1465" s="9" t="b">
        <f aca="false">AND(Y1464&gt;0,Z1464)</f>
        <v>0</v>
      </c>
      <c r="N1465" s="8" t="n">
        <f aca="false">B1465*(1-Inputs!$B$12)</f>
        <v>0.832396618988672</v>
      </c>
      <c r="O1465" s="10" t="n">
        <f aca="false">IF(M1465,Y1464*(N1465-AB1464)-Inputs!$B$9-Y1464*AD1464*Inputs!$B$13*(A1465-AC1464),0)</f>
        <v>0</v>
      </c>
      <c r="P1465" s="10" t="n">
        <f aca="false">X1464+O1465</f>
        <v>892.966822134287</v>
      </c>
      <c r="Q1465" s="9" t="b">
        <f aca="false">AND(IF(M1465,0,Y1464)=0,AA1464,IF(ISNUMBER(AE1464),B1465&gt;AE1464,FALSE()))</f>
        <v>0</v>
      </c>
      <c r="R1465" s="8" t="n">
        <f aca="false">B1465*(1+Inputs!$B$12)</f>
        <v>0.832729644241318</v>
      </c>
      <c r="S1465" s="11" t="n">
        <f aca="false">IF(Q1465,MIN(P1465*Inputs!$B$3/(R1465-AE1464),P1465*Inputs!$B$11/R1465),0)</f>
        <v>0</v>
      </c>
      <c r="T1465" s="11" t="n">
        <f aca="false">IF(Q1465,S1465,IF(M1465,0,Y1464))</f>
        <v>0</v>
      </c>
      <c r="U1465" s="8" t="n">
        <f aca="false">IF(Q1465,AE1464,AF1464)</f>
        <v>0.847434384754863</v>
      </c>
      <c r="V1465" s="9" t="b">
        <f aca="false">AND(T1465&gt;0,D1465&lt;=U1465)</f>
        <v>0</v>
      </c>
      <c r="W1465" s="10" t="n">
        <f aca="false">IF(V1465,T1465*(AK1465-AB1465)-Inputs!$B$9-T1465*AD1465*Inputs!$B$13*(A1465-AC1465),0)</f>
        <v>0</v>
      </c>
      <c r="X1465" s="10" t="n">
        <f aca="false">P1465-IF(Q1465,Inputs!$B$9,0)+W1465</f>
        <v>892.966822134287</v>
      </c>
      <c r="Y1465" s="11" t="n">
        <f aca="false">IF(V1465,0,T1465)</f>
        <v>0</v>
      </c>
      <c r="Z1465" s="9" t="b">
        <f aca="false">AND(Y1465&gt;0,K1465)</f>
        <v>0</v>
      </c>
      <c r="AA1465" s="9" t="b">
        <f aca="false">AND(Y1465=0,J1465,ISNUMBER(L1465))</f>
        <v>0</v>
      </c>
      <c r="AB1465" s="8" t="n">
        <f aca="false">IF(Q1465,R1465,AB1464)</f>
        <v>0.866249784733642</v>
      </c>
      <c r="AC1465" s="12" t="n">
        <f aca="false">IF(Q1465,A1465,AC1464)</f>
        <v>46233</v>
      </c>
      <c r="AD1465" s="8" t="n">
        <f aca="false">IF(Q1465,B1465,AD1464)</f>
        <v>0.866076569419758</v>
      </c>
      <c r="AE1465" s="8" t="str">
        <f aca="false">IF(AA1465,L1465,"")</f>
        <v/>
      </c>
      <c r="AF1465" s="8" t="n">
        <f aca="false">U1465</f>
        <v>0.847434384754863</v>
      </c>
      <c r="AG1465" s="2" t="n">
        <f aca="false">AG1464+IF(Q1465,1,0)</f>
        <v>17</v>
      </c>
      <c r="AH1465" s="2" t="n">
        <f aca="false">AG1464</f>
        <v>17</v>
      </c>
      <c r="AI1465" s="10" t="n">
        <f aca="false">X1465+Y1465*(E1465-AB1465)-Y1465*AD1465*Inputs!$B$13*(A1465-AC1465)</f>
        <v>892.966822134287</v>
      </c>
      <c r="AJ1465" s="10" t="n">
        <v>0</v>
      </c>
      <c r="AK1465" s="8" t="n">
        <f aca="false">IF(AND(B1465&lt;=U1465,NOT(Q1465)),B1465,U1465)*(1-Inputs!$B$12)</f>
        <v>0.832396618988672</v>
      </c>
    </row>
    <row r="1466" customFormat="false" ht="15" hidden="false" customHeight="false" outlineLevel="0" collapsed="false">
      <c r="A1466" s="6" t="n">
        <v>46250</v>
      </c>
      <c r="B1466" s="7" t="n">
        <v>0.824489308103064</v>
      </c>
      <c r="C1466" s="7" t="n">
        <v>0.829505712973308</v>
      </c>
      <c r="D1466" s="7" t="n">
        <v>0.824367081970223</v>
      </c>
      <c r="E1466" s="7" t="n">
        <v>0.826543610855119</v>
      </c>
      <c r="F1466" s="8" t="n">
        <f aca="true">IF(ROW()-2&gt;=Inputs!$B$4,AVERAGE(OFFSET(E1466,1-Inputs!$B$4,0,Inputs!$B$4,1)),"")</f>
        <v>0.843656432403766</v>
      </c>
      <c r="G1466" s="8" t="n">
        <f aca="true">IF(ROW()-2&gt;=Inputs!$B$5,AVERAGE(OFFSET(E1466,1-Inputs!$B$5,0,Inputs!$B$5,1)),"")</f>
        <v>0.831673746952914</v>
      </c>
      <c r="H1466" s="8" t="n">
        <f aca="false">MAX(C1466-D1466,ABS(C1466-E1465),ABS(D1466-E1465))</f>
        <v>0.00513863100308454</v>
      </c>
      <c r="I1466" s="8" t="n">
        <f aca="true">IF(ROW()-2&lt;14,"",IF(ROW()-2=14,AVERAGE(OFFSET(H1466,-13,0,14,1)),(I1465*13+H1466)/14))</f>
        <v>0.00776578944873168</v>
      </c>
      <c r="J1466" s="9" t="b">
        <f aca="false">IF(AND(ISNUMBER(F1466),ISNUMBER(G1466),ISNUMBER(F1465),ISNUMBER(G1465)),AND(F1466&gt;G1466,F1465&lt;=G1465),FALSE())</f>
        <v>0</v>
      </c>
      <c r="K1466" s="9" t="b">
        <f aca="false">IF(AND(ISNUMBER(F1466),ISNUMBER(G1466),ISNUMBER(F1465),ISNUMBER(G1465)),AND(F1466&lt;G1466,F1465&gt;=G1465),FALSE())</f>
        <v>0</v>
      </c>
      <c r="L1466" s="8" t="n">
        <f aca="false">IF(ISNUMBER(I1466),E1466-Inputs!$B$6*I1466,"")</f>
        <v>0.811012031957656</v>
      </c>
      <c r="M1466" s="9" t="b">
        <f aca="false">AND(Y1465&gt;0,Z1465)</f>
        <v>0</v>
      </c>
      <c r="N1466" s="8" t="n">
        <f aca="false">B1466*(1-Inputs!$B$12)</f>
        <v>0.824324410241443</v>
      </c>
      <c r="O1466" s="10" t="n">
        <f aca="false">IF(M1466,Y1465*(N1466-AB1465)-Inputs!$B$9-Y1465*AD1465*Inputs!$B$13*(A1466-AC1465),0)</f>
        <v>0</v>
      </c>
      <c r="P1466" s="10" t="n">
        <f aca="false">X1465+O1466</f>
        <v>892.966822134287</v>
      </c>
      <c r="Q1466" s="9" t="b">
        <f aca="false">AND(IF(M1466,0,Y1465)=0,AA1465,IF(ISNUMBER(AE1465),B1466&gt;AE1465,FALSE()))</f>
        <v>0</v>
      </c>
      <c r="R1466" s="8" t="n">
        <f aca="false">B1466*(1+Inputs!$B$12)</f>
        <v>0.824654205964685</v>
      </c>
      <c r="S1466" s="11" t="n">
        <f aca="false">IF(Q1466,MIN(P1466*Inputs!$B$3/(R1466-AE1465),P1466*Inputs!$B$11/R1466),0)</f>
        <v>0</v>
      </c>
      <c r="T1466" s="11" t="n">
        <f aca="false">IF(Q1466,S1466,IF(M1466,0,Y1465))</f>
        <v>0</v>
      </c>
      <c r="U1466" s="8" t="n">
        <f aca="false">IF(Q1466,AE1465,AF1465)</f>
        <v>0.847434384754863</v>
      </c>
      <c r="V1466" s="9" t="b">
        <f aca="false">AND(T1466&gt;0,D1466&lt;=U1466)</f>
        <v>0</v>
      </c>
      <c r="W1466" s="10" t="n">
        <f aca="false">IF(V1466,T1466*(AK1466-AB1466)-Inputs!$B$9-T1466*AD1466*Inputs!$B$13*(A1466-AC1466),0)</f>
        <v>0</v>
      </c>
      <c r="X1466" s="10" t="n">
        <f aca="false">P1466-IF(Q1466,Inputs!$B$9,0)+W1466</f>
        <v>892.966822134287</v>
      </c>
      <c r="Y1466" s="11" t="n">
        <f aca="false">IF(V1466,0,T1466)</f>
        <v>0</v>
      </c>
      <c r="Z1466" s="9" t="b">
        <f aca="false">AND(Y1466&gt;0,K1466)</f>
        <v>0</v>
      </c>
      <c r="AA1466" s="9" t="b">
        <f aca="false">AND(Y1466=0,J1466,ISNUMBER(L1466))</f>
        <v>0</v>
      </c>
      <c r="AB1466" s="8" t="n">
        <f aca="false">IF(Q1466,R1466,AB1465)</f>
        <v>0.866249784733642</v>
      </c>
      <c r="AC1466" s="12" t="n">
        <f aca="false">IF(Q1466,A1466,AC1465)</f>
        <v>46233</v>
      </c>
      <c r="AD1466" s="8" t="n">
        <f aca="false">IF(Q1466,B1466,AD1465)</f>
        <v>0.866076569419758</v>
      </c>
      <c r="AE1466" s="8" t="str">
        <f aca="false">IF(AA1466,L1466,"")</f>
        <v/>
      </c>
      <c r="AF1466" s="8" t="n">
        <f aca="false">U1466</f>
        <v>0.847434384754863</v>
      </c>
      <c r="AG1466" s="2" t="n">
        <f aca="false">AG1465+IF(Q1466,1,0)</f>
        <v>17</v>
      </c>
      <c r="AH1466" s="2" t="n">
        <f aca="false">AG1465</f>
        <v>17</v>
      </c>
      <c r="AI1466" s="10" t="n">
        <f aca="false">X1466+Y1466*(E1466-AB1466)-Y1466*AD1466*Inputs!$B$13*(A1466-AC1466)</f>
        <v>892.966822134287</v>
      </c>
      <c r="AJ1466" s="10" t="n">
        <v>0</v>
      </c>
      <c r="AK1466" s="8" t="n">
        <f aca="false">IF(AND(B1466&lt;=U1466,NOT(Q1466)),B1466,U1466)*(1-Inputs!$B$12)</f>
        <v>0.824324410241443</v>
      </c>
    </row>
    <row r="1467" customFormat="false" ht="15" hidden="false" customHeight="false" outlineLevel="0" collapsed="false">
      <c r="A1467" s="6" t="n">
        <v>46251</v>
      </c>
      <c r="B1467" s="7" t="n">
        <v>0.826543610855119</v>
      </c>
      <c r="C1467" s="7" t="n">
        <v>0.827573452013967</v>
      </c>
      <c r="D1467" s="7" t="n">
        <v>0.819903717073668</v>
      </c>
      <c r="E1467" s="7" t="n">
        <v>0.823237616754888</v>
      </c>
      <c r="F1467" s="8" t="n">
        <f aca="true">IF(ROW()-2&gt;=Inputs!$B$4,AVERAGE(OFFSET(E1467,1-Inputs!$B$4,0,Inputs!$B$4,1)),"")</f>
        <v>0.841599608102727</v>
      </c>
      <c r="G1467" s="8" t="n">
        <f aca="true">IF(ROW()-2&gt;=Inputs!$B$5,AVERAGE(OFFSET(E1467,1-Inputs!$B$5,0,Inputs!$B$5,1)),"")</f>
        <v>0.831890940749711</v>
      </c>
      <c r="H1467" s="8" t="n">
        <f aca="false">MAX(C1467-D1467,ABS(C1467-E1466),ABS(D1467-E1466))</f>
        <v>0.00766973494029843</v>
      </c>
      <c r="I1467" s="8" t="n">
        <f aca="true">IF(ROW()-2&lt;14,"",IF(ROW()-2=14,AVERAGE(OFFSET(H1467,-13,0,14,1)),(I1466*13+H1467)/14))</f>
        <v>0.00775892841241501</v>
      </c>
      <c r="J1467" s="9" t="b">
        <f aca="false">IF(AND(ISNUMBER(F1467),ISNUMBER(G1467),ISNUMBER(F1466),ISNUMBER(G1466)),AND(F1467&gt;G1467,F1466&lt;=G1466),FALSE())</f>
        <v>0</v>
      </c>
      <c r="K1467" s="9" t="b">
        <f aca="false">IF(AND(ISNUMBER(F1467),ISNUMBER(G1467),ISNUMBER(F1466),ISNUMBER(G1466)),AND(F1467&lt;G1467,F1466&gt;=G1466),FALSE())</f>
        <v>0</v>
      </c>
      <c r="L1467" s="8" t="n">
        <f aca="false">IF(ISNUMBER(I1467),E1467-Inputs!$B$6*I1467,"")</f>
        <v>0.807719759930058</v>
      </c>
      <c r="M1467" s="9" t="b">
        <f aca="false">AND(Y1466&gt;0,Z1466)</f>
        <v>0</v>
      </c>
      <c r="N1467" s="8" t="n">
        <f aca="false">B1467*(1-Inputs!$B$12)</f>
        <v>0.826378302132948</v>
      </c>
      <c r="O1467" s="10" t="n">
        <f aca="false">IF(M1467,Y1466*(N1467-AB1466)-Inputs!$B$9-Y1466*AD1466*Inputs!$B$13*(A1467-AC1466),0)</f>
        <v>0</v>
      </c>
      <c r="P1467" s="10" t="n">
        <f aca="false">X1466+O1467</f>
        <v>892.966822134287</v>
      </c>
      <c r="Q1467" s="9" t="b">
        <f aca="false">AND(IF(M1467,0,Y1466)=0,AA1466,IF(ISNUMBER(AE1466),B1467&gt;AE1466,FALSE()))</f>
        <v>0</v>
      </c>
      <c r="R1467" s="8" t="n">
        <f aca="false">B1467*(1+Inputs!$B$12)</f>
        <v>0.82670891957729</v>
      </c>
      <c r="S1467" s="11" t="n">
        <f aca="false">IF(Q1467,MIN(P1467*Inputs!$B$3/(R1467-AE1466),P1467*Inputs!$B$11/R1467),0)</f>
        <v>0</v>
      </c>
      <c r="T1467" s="11" t="n">
        <f aca="false">IF(Q1467,S1467,IF(M1467,0,Y1466))</f>
        <v>0</v>
      </c>
      <c r="U1467" s="8" t="n">
        <f aca="false">IF(Q1467,AE1466,AF1466)</f>
        <v>0.847434384754863</v>
      </c>
      <c r="V1467" s="9" t="b">
        <f aca="false">AND(T1467&gt;0,D1467&lt;=U1467)</f>
        <v>0</v>
      </c>
      <c r="W1467" s="10" t="n">
        <f aca="false">IF(V1467,T1467*(AK1467-AB1467)-Inputs!$B$9-T1467*AD1467*Inputs!$B$13*(A1467-AC1467),0)</f>
        <v>0</v>
      </c>
      <c r="X1467" s="10" t="n">
        <f aca="false">P1467-IF(Q1467,Inputs!$B$9,0)+W1467</f>
        <v>892.966822134287</v>
      </c>
      <c r="Y1467" s="11" t="n">
        <f aca="false">IF(V1467,0,T1467)</f>
        <v>0</v>
      </c>
      <c r="Z1467" s="9" t="b">
        <f aca="false">AND(Y1467&gt;0,K1467)</f>
        <v>0</v>
      </c>
      <c r="AA1467" s="9" t="b">
        <f aca="false">AND(Y1467=0,J1467,ISNUMBER(L1467))</f>
        <v>0</v>
      </c>
      <c r="AB1467" s="8" t="n">
        <f aca="false">IF(Q1467,R1467,AB1466)</f>
        <v>0.866249784733642</v>
      </c>
      <c r="AC1467" s="12" t="n">
        <f aca="false">IF(Q1467,A1467,AC1466)</f>
        <v>46233</v>
      </c>
      <c r="AD1467" s="8" t="n">
        <f aca="false">IF(Q1467,B1467,AD1466)</f>
        <v>0.866076569419758</v>
      </c>
      <c r="AE1467" s="8" t="str">
        <f aca="false">IF(AA1467,L1467,"")</f>
        <v/>
      </c>
      <c r="AF1467" s="8" t="n">
        <f aca="false">U1467</f>
        <v>0.847434384754863</v>
      </c>
      <c r="AG1467" s="2" t="n">
        <f aca="false">AG1466+IF(Q1467,1,0)</f>
        <v>17</v>
      </c>
      <c r="AH1467" s="2" t="n">
        <f aca="false">AG1466</f>
        <v>17</v>
      </c>
      <c r="AI1467" s="10" t="n">
        <f aca="false">X1467+Y1467*(E1467-AB1467)-Y1467*AD1467*Inputs!$B$13*(A1467-AC1467)</f>
        <v>892.966822134287</v>
      </c>
      <c r="AJ1467" s="10" t="n">
        <v>0</v>
      </c>
      <c r="AK1467" s="8" t="n">
        <f aca="false">IF(AND(B1467&lt;=U1467,NOT(Q1467)),B1467,U1467)*(1-Inputs!$B$12)</f>
        <v>0.826378302132948</v>
      </c>
    </row>
    <row r="1468" customFormat="false" ht="15" hidden="false" customHeight="false" outlineLevel="0" collapsed="false">
      <c r="A1468" s="6" t="n">
        <v>46252</v>
      </c>
      <c r="B1468" s="7" t="n">
        <v>0.823237616754888</v>
      </c>
      <c r="C1468" s="7" t="n">
        <v>0.824632675677437</v>
      </c>
      <c r="D1468" s="7" t="n">
        <v>0.816264929234381</v>
      </c>
      <c r="E1468" s="7" t="n">
        <v>0.817986987337811</v>
      </c>
      <c r="F1468" s="8" t="n">
        <f aca="true">IF(ROW()-2&gt;=Inputs!$B$4,AVERAGE(OFFSET(E1468,1-Inputs!$B$4,0,Inputs!$B$4,1)),"")</f>
        <v>0.83919512899863</v>
      </c>
      <c r="G1468" s="8" t="n">
        <f aca="true">IF(ROW()-2&gt;=Inputs!$B$5,AVERAGE(OFFSET(E1468,1-Inputs!$B$5,0,Inputs!$B$5,1)),"")</f>
        <v>0.83181183396543</v>
      </c>
      <c r="H1468" s="8" t="n">
        <f aca="false">MAX(C1468-D1468,ABS(C1468-E1467),ABS(D1468-E1467))</f>
        <v>0.00836774644305571</v>
      </c>
      <c r="I1468" s="8" t="n">
        <f aca="true">IF(ROW()-2&lt;14,"",IF(ROW()-2=14,AVERAGE(OFFSET(H1468,-13,0,14,1)),(I1467*13+H1468)/14))</f>
        <v>0.00780241541460364</v>
      </c>
      <c r="J1468" s="9" t="b">
        <f aca="false">IF(AND(ISNUMBER(F1468),ISNUMBER(G1468),ISNUMBER(F1467),ISNUMBER(G1467)),AND(F1468&gt;G1468,F1467&lt;=G1467),FALSE())</f>
        <v>0</v>
      </c>
      <c r="K1468" s="9" t="b">
        <f aca="false">IF(AND(ISNUMBER(F1468),ISNUMBER(G1468),ISNUMBER(F1467),ISNUMBER(G1467)),AND(F1468&lt;G1468,F1467&gt;=G1467),FALSE())</f>
        <v>0</v>
      </c>
      <c r="L1468" s="8" t="n">
        <f aca="false">IF(ISNUMBER(I1468),E1468-Inputs!$B$6*I1468,"")</f>
        <v>0.802382156508604</v>
      </c>
      <c r="M1468" s="9" t="b">
        <f aca="false">AND(Y1467&gt;0,Z1467)</f>
        <v>0</v>
      </c>
      <c r="N1468" s="8" t="n">
        <f aca="false">B1468*(1-Inputs!$B$12)</f>
        <v>0.823072969231537</v>
      </c>
      <c r="O1468" s="10" t="n">
        <f aca="false">IF(M1468,Y1467*(N1468-AB1467)-Inputs!$B$9-Y1467*AD1467*Inputs!$B$13*(A1468-AC1467),0)</f>
        <v>0</v>
      </c>
      <c r="P1468" s="10" t="n">
        <f aca="false">X1467+O1468</f>
        <v>892.966822134287</v>
      </c>
      <c r="Q1468" s="9" t="b">
        <f aca="false">AND(IF(M1468,0,Y1467)=0,AA1467,IF(ISNUMBER(AE1467),B1468&gt;AE1467,FALSE()))</f>
        <v>0</v>
      </c>
      <c r="R1468" s="8" t="n">
        <f aca="false">B1468*(1+Inputs!$B$12)</f>
        <v>0.823402264278239</v>
      </c>
      <c r="S1468" s="11" t="n">
        <f aca="false">IF(Q1468,MIN(P1468*Inputs!$B$3/(R1468-AE1467),P1468*Inputs!$B$11/R1468),0)</f>
        <v>0</v>
      </c>
      <c r="T1468" s="11" t="n">
        <f aca="false">IF(Q1468,S1468,IF(M1468,0,Y1467))</f>
        <v>0</v>
      </c>
      <c r="U1468" s="8" t="n">
        <f aca="false">IF(Q1468,AE1467,AF1467)</f>
        <v>0.847434384754863</v>
      </c>
      <c r="V1468" s="9" t="b">
        <f aca="false">AND(T1468&gt;0,D1468&lt;=U1468)</f>
        <v>0</v>
      </c>
      <c r="W1468" s="10" t="n">
        <f aca="false">IF(V1468,T1468*(AK1468-AB1468)-Inputs!$B$9-T1468*AD1468*Inputs!$B$13*(A1468-AC1468),0)</f>
        <v>0</v>
      </c>
      <c r="X1468" s="10" t="n">
        <f aca="false">P1468-IF(Q1468,Inputs!$B$9,0)+W1468</f>
        <v>892.966822134287</v>
      </c>
      <c r="Y1468" s="11" t="n">
        <f aca="false">IF(V1468,0,T1468)</f>
        <v>0</v>
      </c>
      <c r="Z1468" s="9" t="b">
        <f aca="false">AND(Y1468&gt;0,K1468)</f>
        <v>0</v>
      </c>
      <c r="AA1468" s="9" t="b">
        <f aca="false">AND(Y1468=0,J1468,ISNUMBER(L1468))</f>
        <v>0</v>
      </c>
      <c r="AB1468" s="8" t="n">
        <f aca="false">IF(Q1468,R1468,AB1467)</f>
        <v>0.866249784733642</v>
      </c>
      <c r="AC1468" s="12" t="n">
        <f aca="false">IF(Q1468,A1468,AC1467)</f>
        <v>46233</v>
      </c>
      <c r="AD1468" s="8" t="n">
        <f aca="false">IF(Q1468,B1468,AD1467)</f>
        <v>0.866076569419758</v>
      </c>
      <c r="AE1468" s="8" t="str">
        <f aca="false">IF(AA1468,L1468,"")</f>
        <v/>
      </c>
      <c r="AF1468" s="8" t="n">
        <f aca="false">U1468</f>
        <v>0.847434384754863</v>
      </c>
      <c r="AG1468" s="2" t="n">
        <f aca="false">AG1467+IF(Q1468,1,0)</f>
        <v>17</v>
      </c>
      <c r="AH1468" s="2" t="n">
        <f aca="false">AG1467</f>
        <v>17</v>
      </c>
      <c r="AI1468" s="10" t="n">
        <f aca="false">X1468+Y1468*(E1468-AB1468)-Y1468*AD1468*Inputs!$B$13*(A1468-AC1468)</f>
        <v>892.966822134287</v>
      </c>
      <c r="AJ1468" s="10" t="n">
        <v>0</v>
      </c>
      <c r="AK1468" s="8" t="n">
        <f aca="false">IF(AND(B1468&lt;=U1468,NOT(Q1468)),B1468,U1468)*(1-Inputs!$B$12)</f>
        <v>0.823072969231537</v>
      </c>
    </row>
    <row r="1469" customFormat="false" ht="15" hidden="false" customHeight="false" outlineLevel="0" collapsed="false">
      <c r="A1469" s="6" t="n">
        <v>46253</v>
      </c>
      <c r="B1469" s="7" t="n">
        <v>0.817986987337811</v>
      </c>
      <c r="C1469" s="7" t="n">
        <v>0.820650482957839</v>
      </c>
      <c r="D1469" s="7" t="n">
        <v>0.814357551121348</v>
      </c>
      <c r="E1469" s="7" t="n">
        <v>0.815653046516033</v>
      </c>
      <c r="F1469" s="8" t="n">
        <f aca="true">IF(ROW()-2&gt;=Inputs!$B$4,AVERAGE(OFFSET(E1469,1-Inputs!$B$4,0,Inputs!$B$4,1)),"")</f>
        <v>0.836749284568267</v>
      </c>
      <c r="G1469" s="8" t="n">
        <f aca="true">IF(ROW()-2&gt;=Inputs!$B$5,AVERAGE(OFFSET(E1469,1-Inputs!$B$5,0,Inputs!$B$5,1)),"")</f>
        <v>0.831528613128832</v>
      </c>
      <c r="H1469" s="8" t="n">
        <f aca="false">MAX(C1469-D1469,ABS(C1469-E1468),ABS(D1469-E1468))</f>
        <v>0.00629293183649116</v>
      </c>
      <c r="I1469" s="8" t="n">
        <f aca="true">IF(ROW()-2&lt;14,"",IF(ROW()-2=14,AVERAGE(OFFSET(H1469,-13,0,14,1)),(I1468*13+H1469)/14))</f>
        <v>0.00769459515902417</v>
      </c>
      <c r="J1469" s="9" t="b">
        <f aca="false">IF(AND(ISNUMBER(F1469),ISNUMBER(G1469),ISNUMBER(F1468),ISNUMBER(G1468)),AND(F1469&gt;G1469,F1468&lt;=G1468),FALSE())</f>
        <v>0</v>
      </c>
      <c r="K1469" s="9" t="b">
        <f aca="false">IF(AND(ISNUMBER(F1469),ISNUMBER(G1469),ISNUMBER(F1468),ISNUMBER(G1468)),AND(F1469&lt;G1469,F1468&gt;=G1468),FALSE())</f>
        <v>0</v>
      </c>
      <c r="L1469" s="8" t="n">
        <f aca="false">IF(ISNUMBER(I1469),E1469-Inputs!$B$6*I1469,"")</f>
        <v>0.800263856197985</v>
      </c>
      <c r="M1469" s="9" t="b">
        <f aca="false">AND(Y1468&gt;0,Z1468)</f>
        <v>0</v>
      </c>
      <c r="N1469" s="8" t="n">
        <f aca="false">B1469*(1-Inputs!$B$12)</f>
        <v>0.817823389940344</v>
      </c>
      <c r="O1469" s="10" t="n">
        <f aca="false">IF(M1469,Y1468*(N1469-AB1468)-Inputs!$B$9-Y1468*AD1468*Inputs!$B$13*(A1469-AC1468),0)</f>
        <v>0</v>
      </c>
      <c r="P1469" s="10" t="n">
        <f aca="false">X1468+O1469</f>
        <v>892.966822134287</v>
      </c>
      <c r="Q1469" s="9" t="b">
        <f aca="false">AND(IF(M1469,0,Y1468)=0,AA1468,IF(ISNUMBER(AE1468),B1469&gt;AE1468,FALSE()))</f>
        <v>0</v>
      </c>
      <c r="R1469" s="8" t="n">
        <f aca="false">B1469*(1+Inputs!$B$12)</f>
        <v>0.818150584735279</v>
      </c>
      <c r="S1469" s="11" t="n">
        <f aca="false">IF(Q1469,MIN(P1469*Inputs!$B$3/(R1469-AE1468),P1469*Inputs!$B$11/R1469),0)</f>
        <v>0</v>
      </c>
      <c r="T1469" s="11" t="n">
        <f aca="false">IF(Q1469,S1469,IF(M1469,0,Y1468))</f>
        <v>0</v>
      </c>
      <c r="U1469" s="8" t="n">
        <f aca="false">IF(Q1469,AE1468,AF1468)</f>
        <v>0.847434384754863</v>
      </c>
      <c r="V1469" s="9" t="b">
        <f aca="false">AND(T1469&gt;0,D1469&lt;=U1469)</f>
        <v>0</v>
      </c>
      <c r="W1469" s="10" t="n">
        <f aca="false">IF(V1469,T1469*(AK1469-AB1469)-Inputs!$B$9-T1469*AD1469*Inputs!$B$13*(A1469-AC1469),0)</f>
        <v>0</v>
      </c>
      <c r="X1469" s="10" t="n">
        <f aca="false">P1469-IF(Q1469,Inputs!$B$9,0)+W1469</f>
        <v>892.966822134287</v>
      </c>
      <c r="Y1469" s="11" t="n">
        <f aca="false">IF(V1469,0,T1469)</f>
        <v>0</v>
      </c>
      <c r="Z1469" s="9" t="b">
        <f aca="false">AND(Y1469&gt;0,K1469)</f>
        <v>0</v>
      </c>
      <c r="AA1469" s="9" t="b">
        <f aca="false">AND(Y1469=0,J1469,ISNUMBER(L1469))</f>
        <v>0</v>
      </c>
      <c r="AB1469" s="8" t="n">
        <f aca="false">IF(Q1469,R1469,AB1468)</f>
        <v>0.866249784733642</v>
      </c>
      <c r="AC1469" s="12" t="n">
        <f aca="false">IF(Q1469,A1469,AC1468)</f>
        <v>46233</v>
      </c>
      <c r="AD1469" s="8" t="n">
        <f aca="false">IF(Q1469,B1469,AD1468)</f>
        <v>0.866076569419758</v>
      </c>
      <c r="AE1469" s="8" t="str">
        <f aca="false">IF(AA1469,L1469,"")</f>
        <v/>
      </c>
      <c r="AF1469" s="8" t="n">
        <f aca="false">U1469</f>
        <v>0.847434384754863</v>
      </c>
      <c r="AG1469" s="2" t="n">
        <f aca="false">AG1468+IF(Q1469,1,0)</f>
        <v>17</v>
      </c>
      <c r="AH1469" s="2" t="n">
        <f aca="false">AG1468</f>
        <v>17</v>
      </c>
      <c r="AI1469" s="10" t="n">
        <f aca="false">X1469+Y1469*(E1469-AB1469)-Y1469*AD1469*Inputs!$B$13*(A1469-AC1469)</f>
        <v>892.966822134287</v>
      </c>
      <c r="AJ1469" s="10" t="n">
        <v>0</v>
      </c>
      <c r="AK1469" s="8" t="n">
        <f aca="false">IF(AND(B1469&lt;=U1469,NOT(Q1469)),B1469,U1469)*(1-Inputs!$B$12)</f>
        <v>0.817823389940344</v>
      </c>
    </row>
    <row r="1470" customFormat="false" ht="15" hidden="false" customHeight="false" outlineLevel="0" collapsed="false">
      <c r="A1470" s="6" t="n">
        <v>46254</v>
      </c>
      <c r="B1470" s="7" t="n">
        <v>0.815653046516033</v>
      </c>
      <c r="C1470" s="7" t="n">
        <v>0.819565529725484</v>
      </c>
      <c r="D1470" s="7" t="n">
        <v>0.815412320290531</v>
      </c>
      <c r="E1470" s="7" t="n">
        <v>0.817575260791393</v>
      </c>
      <c r="F1470" s="8" t="n">
        <f aca="true">IF(ROW()-2&gt;=Inputs!$B$4,AVERAGE(OFFSET(E1470,1-Inputs!$B$4,0,Inputs!$B$4,1)),"")</f>
        <v>0.834491562649458</v>
      </c>
      <c r="G1470" s="8" t="n">
        <f aca="true">IF(ROW()-2&gt;=Inputs!$B$5,AVERAGE(OFFSET(E1470,1-Inputs!$B$5,0,Inputs!$B$5,1)),"")</f>
        <v>0.831278507627751</v>
      </c>
      <c r="H1470" s="8" t="n">
        <f aca="false">MAX(C1470-D1470,ABS(C1470-E1469),ABS(D1470-E1469))</f>
        <v>0.00415320943495334</v>
      </c>
      <c r="I1470" s="8" t="n">
        <f aca="true">IF(ROW()-2&lt;14,"",IF(ROW()-2=14,AVERAGE(OFFSET(H1470,-13,0,14,1)),(I1469*13+H1470)/14))</f>
        <v>0.00744163903587626</v>
      </c>
      <c r="J1470" s="9" t="b">
        <f aca="false">IF(AND(ISNUMBER(F1470),ISNUMBER(G1470),ISNUMBER(F1469),ISNUMBER(G1469)),AND(F1470&gt;G1470,F1469&lt;=G1469),FALSE())</f>
        <v>0</v>
      </c>
      <c r="K1470" s="9" t="b">
        <f aca="false">IF(AND(ISNUMBER(F1470),ISNUMBER(G1470),ISNUMBER(F1469),ISNUMBER(G1469)),AND(F1470&lt;G1470,F1469&gt;=G1469),FALSE())</f>
        <v>0</v>
      </c>
      <c r="L1470" s="8" t="n">
        <f aca="false">IF(ISNUMBER(I1470),E1470-Inputs!$B$6*I1470,"")</f>
        <v>0.80269198271964</v>
      </c>
      <c r="M1470" s="9" t="b">
        <f aca="false">AND(Y1469&gt;0,Z1469)</f>
        <v>0</v>
      </c>
      <c r="N1470" s="8" t="n">
        <f aca="false">B1470*(1-Inputs!$B$12)</f>
        <v>0.81548991590673</v>
      </c>
      <c r="O1470" s="10" t="n">
        <f aca="false">IF(M1470,Y1469*(N1470-AB1469)-Inputs!$B$9-Y1469*AD1469*Inputs!$B$13*(A1470-AC1469),0)</f>
        <v>0</v>
      </c>
      <c r="P1470" s="10" t="n">
        <f aca="false">X1469+O1470</f>
        <v>892.966822134287</v>
      </c>
      <c r="Q1470" s="9" t="b">
        <f aca="false">AND(IF(M1470,0,Y1469)=0,AA1469,IF(ISNUMBER(AE1469),B1470&gt;AE1469,FALSE()))</f>
        <v>0</v>
      </c>
      <c r="R1470" s="8" t="n">
        <f aca="false">B1470*(1+Inputs!$B$12)</f>
        <v>0.815816177125337</v>
      </c>
      <c r="S1470" s="11" t="n">
        <f aca="false">IF(Q1470,MIN(P1470*Inputs!$B$3/(R1470-AE1469),P1470*Inputs!$B$11/R1470),0)</f>
        <v>0</v>
      </c>
      <c r="T1470" s="11" t="n">
        <f aca="false">IF(Q1470,S1470,IF(M1470,0,Y1469))</f>
        <v>0</v>
      </c>
      <c r="U1470" s="8" t="n">
        <f aca="false">IF(Q1470,AE1469,AF1469)</f>
        <v>0.847434384754863</v>
      </c>
      <c r="V1470" s="9" t="b">
        <f aca="false">AND(T1470&gt;0,D1470&lt;=U1470)</f>
        <v>0</v>
      </c>
      <c r="W1470" s="10" t="n">
        <f aca="false">IF(V1470,T1470*(AK1470-AB1470)-Inputs!$B$9-T1470*AD1470*Inputs!$B$13*(A1470-AC1470),0)</f>
        <v>0</v>
      </c>
      <c r="X1470" s="10" t="n">
        <f aca="false">P1470-IF(Q1470,Inputs!$B$9,0)+W1470</f>
        <v>892.966822134287</v>
      </c>
      <c r="Y1470" s="11" t="n">
        <f aca="false">IF(V1470,0,T1470)</f>
        <v>0</v>
      </c>
      <c r="Z1470" s="9" t="b">
        <f aca="false">AND(Y1470&gt;0,K1470)</f>
        <v>0</v>
      </c>
      <c r="AA1470" s="9" t="b">
        <f aca="false">AND(Y1470=0,J1470,ISNUMBER(L1470))</f>
        <v>0</v>
      </c>
      <c r="AB1470" s="8" t="n">
        <f aca="false">IF(Q1470,R1470,AB1469)</f>
        <v>0.866249784733642</v>
      </c>
      <c r="AC1470" s="12" t="n">
        <f aca="false">IF(Q1470,A1470,AC1469)</f>
        <v>46233</v>
      </c>
      <c r="AD1470" s="8" t="n">
        <f aca="false">IF(Q1470,B1470,AD1469)</f>
        <v>0.866076569419758</v>
      </c>
      <c r="AE1470" s="8" t="str">
        <f aca="false">IF(AA1470,L1470,"")</f>
        <v/>
      </c>
      <c r="AF1470" s="8" t="n">
        <f aca="false">U1470</f>
        <v>0.847434384754863</v>
      </c>
      <c r="AG1470" s="2" t="n">
        <f aca="false">AG1469+IF(Q1470,1,0)</f>
        <v>17</v>
      </c>
      <c r="AH1470" s="2" t="n">
        <f aca="false">AG1469</f>
        <v>17</v>
      </c>
      <c r="AI1470" s="10" t="n">
        <f aca="false">X1470+Y1470*(E1470-AB1470)-Y1470*AD1470*Inputs!$B$13*(A1470-AC1470)</f>
        <v>892.966822134287</v>
      </c>
      <c r="AJ1470" s="10" t="n">
        <v>0</v>
      </c>
      <c r="AK1470" s="8" t="n">
        <f aca="false">IF(AND(B1470&lt;=U1470,NOT(Q1470)),B1470,U1470)*(1-Inputs!$B$12)</f>
        <v>0.81548991590673</v>
      </c>
    </row>
    <row r="1471" customFormat="false" ht="15" hidden="false" customHeight="false" outlineLevel="0" collapsed="false">
      <c r="A1471" s="6" t="n">
        <v>46255</v>
      </c>
      <c r="B1471" s="7" t="n">
        <v>0.817575260791393</v>
      </c>
      <c r="C1471" s="7" t="n">
        <v>0.820229269809942</v>
      </c>
      <c r="D1471" s="7" t="n">
        <v>0.813420978141885</v>
      </c>
      <c r="E1471" s="7" t="n">
        <v>0.819454610696158</v>
      </c>
      <c r="F1471" s="8" t="n">
        <f aca="true">IF(ROW()-2&gt;=Inputs!$B$4,AVERAGE(OFFSET(E1471,1-Inputs!$B$4,0,Inputs!$B$4,1)),"")</f>
        <v>0.832765450034141</v>
      </c>
      <c r="G1471" s="8" t="n">
        <f aca="true">IF(ROW()-2&gt;=Inputs!$B$5,AVERAGE(OFFSET(E1471,1-Inputs!$B$5,0,Inputs!$B$5,1)),"")</f>
        <v>0.831035042108102</v>
      </c>
      <c r="H1471" s="8" t="n">
        <f aca="false">MAX(C1471-D1471,ABS(C1471-E1470),ABS(D1471-E1470))</f>
        <v>0.0068082916680563</v>
      </c>
      <c r="I1471" s="8" t="n">
        <f aca="true">IF(ROW()-2&lt;14,"",IF(ROW()-2=14,AVERAGE(OFFSET(H1471,-13,0,14,1)),(I1470*13+H1471)/14))</f>
        <v>0.00739639993817483</v>
      </c>
      <c r="J1471" s="9" t="b">
        <f aca="false">IF(AND(ISNUMBER(F1471),ISNUMBER(G1471),ISNUMBER(F1470),ISNUMBER(G1470)),AND(F1471&gt;G1471,F1470&lt;=G1470),FALSE())</f>
        <v>0</v>
      </c>
      <c r="K1471" s="9" t="b">
        <f aca="false">IF(AND(ISNUMBER(F1471),ISNUMBER(G1471),ISNUMBER(F1470),ISNUMBER(G1470)),AND(F1471&lt;G1471,F1470&gt;=G1470),FALSE())</f>
        <v>0</v>
      </c>
      <c r="L1471" s="8" t="n">
        <f aca="false">IF(ISNUMBER(I1471),E1471-Inputs!$B$6*I1471,"")</f>
        <v>0.804661810819808</v>
      </c>
      <c r="M1471" s="9" t="b">
        <f aca="false">AND(Y1470&gt;0,Z1470)</f>
        <v>0</v>
      </c>
      <c r="N1471" s="8" t="n">
        <f aca="false">B1471*(1-Inputs!$B$12)</f>
        <v>0.817411745739235</v>
      </c>
      <c r="O1471" s="10" t="n">
        <f aca="false">IF(M1471,Y1470*(N1471-AB1470)-Inputs!$B$9-Y1470*AD1470*Inputs!$B$13*(A1471-AC1470),0)</f>
        <v>0</v>
      </c>
      <c r="P1471" s="10" t="n">
        <f aca="false">X1470+O1471</f>
        <v>892.966822134287</v>
      </c>
      <c r="Q1471" s="9" t="b">
        <f aca="false">AND(IF(M1471,0,Y1470)=0,AA1470,IF(ISNUMBER(AE1470),B1471&gt;AE1470,FALSE()))</f>
        <v>0</v>
      </c>
      <c r="R1471" s="8" t="n">
        <f aca="false">B1471*(1+Inputs!$B$12)</f>
        <v>0.817738775843551</v>
      </c>
      <c r="S1471" s="11" t="n">
        <f aca="false">IF(Q1471,MIN(P1471*Inputs!$B$3/(R1471-AE1470),P1471*Inputs!$B$11/R1471),0)</f>
        <v>0</v>
      </c>
      <c r="T1471" s="11" t="n">
        <f aca="false">IF(Q1471,S1471,IF(M1471,0,Y1470))</f>
        <v>0</v>
      </c>
      <c r="U1471" s="8" t="n">
        <f aca="false">IF(Q1471,AE1470,AF1470)</f>
        <v>0.847434384754863</v>
      </c>
      <c r="V1471" s="9" t="b">
        <f aca="false">AND(T1471&gt;0,D1471&lt;=U1471)</f>
        <v>0</v>
      </c>
      <c r="W1471" s="10" t="n">
        <f aca="false">IF(V1471,T1471*(AK1471-AB1471)-Inputs!$B$9-T1471*AD1471*Inputs!$B$13*(A1471-AC1471),0)</f>
        <v>0</v>
      </c>
      <c r="X1471" s="10" t="n">
        <f aca="false">P1471-IF(Q1471,Inputs!$B$9,0)+W1471</f>
        <v>892.966822134287</v>
      </c>
      <c r="Y1471" s="11" t="n">
        <f aca="false">IF(V1471,0,T1471)</f>
        <v>0</v>
      </c>
      <c r="Z1471" s="9" t="b">
        <f aca="false">AND(Y1471&gt;0,K1471)</f>
        <v>0</v>
      </c>
      <c r="AA1471" s="9" t="b">
        <f aca="false">AND(Y1471=0,J1471,ISNUMBER(L1471))</f>
        <v>0</v>
      </c>
      <c r="AB1471" s="8" t="n">
        <f aca="false">IF(Q1471,R1471,AB1470)</f>
        <v>0.866249784733642</v>
      </c>
      <c r="AC1471" s="12" t="n">
        <f aca="false">IF(Q1471,A1471,AC1470)</f>
        <v>46233</v>
      </c>
      <c r="AD1471" s="8" t="n">
        <f aca="false">IF(Q1471,B1471,AD1470)</f>
        <v>0.866076569419758</v>
      </c>
      <c r="AE1471" s="8" t="str">
        <f aca="false">IF(AA1471,L1471,"")</f>
        <v/>
      </c>
      <c r="AF1471" s="8" t="n">
        <f aca="false">U1471</f>
        <v>0.847434384754863</v>
      </c>
      <c r="AG1471" s="2" t="n">
        <f aca="false">AG1470+IF(Q1471,1,0)</f>
        <v>17</v>
      </c>
      <c r="AH1471" s="2" t="n">
        <f aca="false">AG1470</f>
        <v>17</v>
      </c>
      <c r="AI1471" s="10" t="n">
        <f aca="false">X1471+Y1471*(E1471-AB1471)-Y1471*AD1471*Inputs!$B$13*(A1471-AC1471)</f>
        <v>892.966822134287</v>
      </c>
      <c r="AJ1471" s="10" t="n">
        <v>0</v>
      </c>
      <c r="AK1471" s="8" t="n">
        <f aca="false">IF(AND(B1471&lt;=U1471,NOT(Q1471)),B1471,U1471)*(1-Inputs!$B$12)</f>
        <v>0.817411745739235</v>
      </c>
    </row>
    <row r="1472" customFormat="false" ht="15" hidden="false" customHeight="false" outlineLevel="0" collapsed="false">
      <c r="A1472" s="6" t="n">
        <v>46256</v>
      </c>
      <c r="B1472" s="7" t="n">
        <v>0.819454610696158</v>
      </c>
      <c r="C1472" s="7" t="n">
        <v>0.826695195125343</v>
      </c>
      <c r="D1472" s="7" t="n">
        <v>0.81591476626551</v>
      </c>
      <c r="E1472" s="7" t="n">
        <v>0.820922294502449</v>
      </c>
      <c r="F1472" s="8" t="n">
        <f aca="true">IF(ROW()-2&gt;=Inputs!$B$4,AVERAGE(OFFSET(E1472,1-Inputs!$B$4,0,Inputs!$B$4,1)),"")</f>
        <v>0.83092331909705</v>
      </c>
      <c r="G1472" s="8" t="n">
        <f aca="true">IF(ROW()-2&gt;=Inputs!$B$5,AVERAGE(OFFSET(E1472,1-Inputs!$B$5,0,Inputs!$B$5,1)),"")</f>
        <v>0.831015404057983</v>
      </c>
      <c r="H1472" s="8" t="n">
        <f aca="false">MAX(C1472-D1472,ABS(C1472-E1471),ABS(D1472-E1471))</f>
        <v>0.0107804288598335</v>
      </c>
      <c r="I1472" s="8" t="n">
        <f aca="true">IF(ROW()-2&lt;14,"",IF(ROW()-2=14,AVERAGE(OFFSET(H1472,-13,0,14,1)),(I1471*13+H1472)/14))</f>
        <v>0.00763811628972188</v>
      </c>
      <c r="J1472" s="9" t="b">
        <f aca="false">IF(AND(ISNUMBER(F1472),ISNUMBER(G1472),ISNUMBER(F1471),ISNUMBER(G1471)),AND(F1472&gt;G1472,F1471&lt;=G1471),FALSE())</f>
        <v>0</v>
      </c>
      <c r="K1472" s="9" t="b">
        <f aca="false">IF(AND(ISNUMBER(F1472),ISNUMBER(G1472),ISNUMBER(F1471),ISNUMBER(G1471)),AND(F1472&lt;G1472,F1471&gt;=G1471),FALSE())</f>
        <v>1</v>
      </c>
      <c r="L1472" s="8" t="n">
        <f aca="false">IF(ISNUMBER(I1472),E1472-Inputs!$B$6*I1472,"")</f>
        <v>0.805646061923006</v>
      </c>
      <c r="M1472" s="9" t="b">
        <f aca="false">AND(Y1471&gt;0,Z1471)</f>
        <v>0</v>
      </c>
      <c r="N1472" s="8" t="n">
        <f aca="false">B1472*(1-Inputs!$B$12)</f>
        <v>0.819290719774019</v>
      </c>
      <c r="O1472" s="10" t="n">
        <f aca="false">IF(M1472,Y1471*(N1472-AB1471)-Inputs!$B$9-Y1471*AD1471*Inputs!$B$13*(A1472-AC1471),0)</f>
        <v>0</v>
      </c>
      <c r="P1472" s="10" t="n">
        <f aca="false">X1471+O1472</f>
        <v>892.966822134287</v>
      </c>
      <c r="Q1472" s="9" t="b">
        <f aca="false">AND(IF(M1472,0,Y1471)=0,AA1471,IF(ISNUMBER(AE1471),B1472&gt;AE1471,FALSE()))</f>
        <v>0</v>
      </c>
      <c r="R1472" s="8" t="n">
        <f aca="false">B1472*(1+Inputs!$B$12)</f>
        <v>0.819618501618297</v>
      </c>
      <c r="S1472" s="11" t="n">
        <f aca="false">IF(Q1472,MIN(P1472*Inputs!$B$3/(R1472-AE1471),P1472*Inputs!$B$11/R1472),0)</f>
        <v>0</v>
      </c>
      <c r="T1472" s="11" t="n">
        <f aca="false">IF(Q1472,S1472,IF(M1472,0,Y1471))</f>
        <v>0</v>
      </c>
      <c r="U1472" s="8" t="n">
        <f aca="false">IF(Q1472,AE1471,AF1471)</f>
        <v>0.847434384754863</v>
      </c>
      <c r="V1472" s="9" t="b">
        <f aca="false">AND(T1472&gt;0,D1472&lt;=U1472)</f>
        <v>0</v>
      </c>
      <c r="W1472" s="10" t="n">
        <f aca="false">IF(V1472,T1472*(AK1472-AB1472)-Inputs!$B$9-T1472*AD1472*Inputs!$B$13*(A1472-AC1472),0)</f>
        <v>0</v>
      </c>
      <c r="X1472" s="10" t="n">
        <f aca="false">P1472-IF(Q1472,Inputs!$B$9,0)+W1472</f>
        <v>892.966822134287</v>
      </c>
      <c r="Y1472" s="11" t="n">
        <f aca="false">IF(V1472,0,T1472)</f>
        <v>0</v>
      </c>
      <c r="Z1472" s="9" t="b">
        <f aca="false">AND(Y1472&gt;0,K1472)</f>
        <v>0</v>
      </c>
      <c r="AA1472" s="9" t="b">
        <f aca="false">AND(Y1472=0,J1472,ISNUMBER(L1472))</f>
        <v>0</v>
      </c>
      <c r="AB1472" s="8" t="n">
        <f aca="false">IF(Q1472,R1472,AB1471)</f>
        <v>0.866249784733642</v>
      </c>
      <c r="AC1472" s="12" t="n">
        <f aca="false">IF(Q1472,A1472,AC1471)</f>
        <v>46233</v>
      </c>
      <c r="AD1472" s="8" t="n">
        <f aca="false">IF(Q1472,B1472,AD1471)</f>
        <v>0.866076569419758</v>
      </c>
      <c r="AE1472" s="8" t="str">
        <f aca="false">IF(AA1472,L1472,"")</f>
        <v/>
      </c>
      <c r="AF1472" s="8" t="n">
        <f aca="false">U1472</f>
        <v>0.847434384754863</v>
      </c>
      <c r="AG1472" s="2" t="n">
        <f aca="false">AG1471+IF(Q1472,1,0)</f>
        <v>17</v>
      </c>
      <c r="AH1472" s="2" t="n">
        <f aca="false">AG1471</f>
        <v>17</v>
      </c>
      <c r="AI1472" s="10" t="n">
        <f aca="false">X1472+Y1472*(E1472-AB1472)-Y1472*AD1472*Inputs!$B$13*(A1472-AC1472)</f>
        <v>892.966822134287</v>
      </c>
      <c r="AJ1472" s="10" t="n">
        <v>0</v>
      </c>
      <c r="AK1472" s="8" t="n">
        <f aca="false">IF(AND(B1472&lt;=U1472,NOT(Q1472)),B1472,U1472)*(1-Inputs!$B$12)</f>
        <v>0.819290719774019</v>
      </c>
    </row>
    <row r="1473" customFormat="false" ht="15" hidden="false" customHeight="false" outlineLevel="0" collapsed="false">
      <c r="A1473" s="6" t="n">
        <v>46257</v>
      </c>
      <c r="B1473" s="7" t="n">
        <v>0.820922294502449</v>
      </c>
      <c r="C1473" s="7" t="n">
        <v>0.823726647328693</v>
      </c>
      <c r="D1473" s="7" t="n">
        <v>0.813701201751702</v>
      </c>
      <c r="E1473" s="7" t="n">
        <v>0.815290810090901</v>
      </c>
      <c r="F1473" s="8" t="n">
        <f aca="true">IF(ROW()-2&gt;=Inputs!$B$4,AVERAGE(OFFSET(E1473,1-Inputs!$B$4,0,Inputs!$B$4,1)),"")</f>
        <v>0.829135183132166</v>
      </c>
      <c r="G1473" s="8" t="n">
        <f aca="true">IF(ROW()-2&gt;=Inputs!$B$5,AVERAGE(OFFSET(E1473,1-Inputs!$B$5,0,Inputs!$B$5,1)),"")</f>
        <v>0.830872823991249</v>
      </c>
      <c r="H1473" s="8" t="n">
        <f aca="false">MAX(C1473-D1473,ABS(C1473-E1472),ABS(D1473-E1472))</f>
        <v>0.0100254455769914</v>
      </c>
      <c r="I1473" s="8" t="n">
        <f aca="true">IF(ROW()-2&lt;14,"",IF(ROW()-2=14,AVERAGE(OFFSET(H1473,-13,0,14,1)),(I1472*13+H1473)/14))</f>
        <v>0.00780863981024113</v>
      </c>
      <c r="J1473" s="9" t="b">
        <f aca="false">IF(AND(ISNUMBER(F1473),ISNUMBER(G1473),ISNUMBER(F1472),ISNUMBER(G1472)),AND(F1473&gt;G1473,F1472&lt;=G1472),FALSE())</f>
        <v>0</v>
      </c>
      <c r="K1473" s="9" t="b">
        <f aca="false">IF(AND(ISNUMBER(F1473),ISNUMBER(G1473),ISNUMBER(F1472),ISNUMBER(G1472)),AND(F1473&lt;G1473,F1472&gt;=G1472),FALSE())</f>
        <v>0</v>
      </c>
      <c r="L1473" s="8" t="n">
        <f aca="false">IF(ISNUMBER(I1473),E1473-Inputs!$B$6*I1473,"")</f>
        <v>0.799673530470419</v>
      </c>
      <c r="M1473" s="9" t="b">
        <f aca="false">AND(Y1472&gt;0,Z1472)</f>
        <v>0</v>
      </c>
      <c r="N1473" s="8" t="n">
        <f aca="false">B1473*(1-Inputs!$B$12)</f>
        <v>0.820758110043549</v>
      </c>
      <c r="O1473" s="10" t="n">
        <f aca="false">IF(M1473,Y1472*(N1473-AB1472)-Inputs!$B$9-Y1472*AD1472*Inputs!$B$13*(A1473-AC1472),0)</f>
        <v>0</v>
      </c>
      <c r="P1473" s="10" t="n">
        <f aca="false">X1472+O1473</f>
        <v>892.966822134287</v>
      </c>
      <c r="Q1473" s="9" t="b">
        <f aca="false">AND(IF(M1473,0,Y1472)=0,AA1472,IF(ISNUMBER(AE1472),B1473&gt;AE1472,FALSE()))</f>
        <v>0</v>
      </c>
      <c r="R1473" s="8" t="n">
        <f aca="false">B1473*(1+Inputs!$B$12)</f>
        <v>0.82108647896135</v>
      </c>
      <c r="S1473" s="11" t="n">
        <f aca="false">IF(Q1473,MIN(P1473*Inputs!$B$3/(R1473-AE1472),P1473*Inputs!$B$11/R1473),0)</f>
        <v>0</v>
      </c>
      <c r="T1473" s="11" t="n">
        <f aca="false">IF(Q1473,S1473,IF(M1473,0,Y1472))</f>
        <v>0</v>
      </c>
      <c r="U1473" s="8" t="n">
        <f aca="false">IF(Q1473,AE1472,AF1472)</f>
        <v>0.847434384754863</v>
      </c>
      <c r="V1473" s="9" t="b">
        <f aca="false">AND(T1473&gt;0,D1473&lt;=U1473)</f>
        <v>0</v>
      </c>
      <c r="W1473" s="10" t="n">
        <f aca="false">IF(V1473,T1473*(AK1473-AB1473)-Inputs!$B$9-T1473*AD1473*Inputs!$B$13*(A1473-AC1473),0)</f>
        <v>0</v>
      </c>
      <c r="X1473" s="10" t="n">
        <f aca="false">P1473-IF(Q1473,Inputs!$B$9,0)+W1473</f>
        <v>892.966822134287</v>
      </c>
      <c r="Y1473" s="11" t="n">
        <f aca="false">IF(V1473,0,T1473)</f>
        <v>0</v>
      </c>
      <c r="Z1473" s="9" t="b">
        <f aca="false">AND(Y1473&gt;0,K1473)</f>
        <v>0</v>
      </c>
      <c r="AA1473" s="9" t="b">
        <f aca="false">AND(Y1473=0,J1473,ISNUMBER(L1473))</f>
        <v>0</v>
      </c>
      <c r="AB1473" s="8" t="n">
        <f aca="false">IF(Q1473,R1473,AB1472)</f>
        <v>0.866249784733642</v>
      </c>
      <c r="AC1473" s="12" t="n">
        <f aca="false">IF(Q1473,A1473,AC1472)</f>
        <v>46233</v>
      </c>
      <c r="AD1473" s="8" t="n">
        <f aca="false">IF(Q1473,B1473,AD1472)</f>
        <v>0.866076569419758</v>
      </c>
      <c r="AE1473" s="8" t="str">
        <f aca="false">IF(AA1473,L1473,"")</f>
        <v/>
      </c>
      <c r="AF1473" s="8" t="n">
        <f aca="false">U1473</f>
        <v>0.847434384754863</v>
      </c>
      <c r="AG1473" s="2" t="n">
        <f aca="false">AG1472+IF(Q1473,1,0)</f>
        <v>17</v>
      </c>
      <c r="AH1473" s="2" t="n">
        <f aca="false">AG1472</f>
        <v>17</v>
      </c>
      <c r="AI1473" s="10" t="n">
        <f aca="false">X1473+Y1473*(E1473-AB1473)-Y1473*AD1473*Inputs!$B$13*(A1473-AC1473)</f>
        <v>892.966822134287</v>
      </c>
      <c r="AJ1473" s="10" t="n">
        <v>0</v>
      </c>
      <c r="AK1473" s="8" t="n">
        <f aca="false">IF(AND(B1473&lt;=U1473,NOT(Q1473)),B1473,U1473)*(1-Inputs!$B$12)</f>
        <v>0.820758110043549</v>
      </c>
    </row>
    <row r="1474" customFormat="false" ht="15" hidden="false" customHeight="false" outlineLevel="0" collapsed="false">
      <c r="A1474" s="6" t="n">
        <v>46258</v>
      </c>
      <c r="B1474" s="7" t="n">
        <v>0.815290810090901</v>
      </c>
      <c r="C1474" s="7" t="n">
        <v>0.820081205365813</v>
      </c>
      <c r="D1474" s="7" t="n">
        <v>0.813326722132921</v>
      </c>
      <c r="E1474" s="7" t="n">
        <v>0.81806019507386</v>
      </c>
      <c r="F1474" s="8" t="n">
        <f aca="true">IF(ROW()-2&gt;=Inputs!$B$4,AVERAGE(OFFSET(E1474,1-Inputs!$B$4,0,Inputs!$B$4,1)),"")</f>
        <v>0.827846139947692</v>
      </c>
      <c r="G1474" s="8" t="n">
        <f aca="true">IF(ROW()-2&gt;=Inputs!$B$5,AVERAGE(OFFSET(E1474,1-Inputs!$B$5,0,Inputs!$B$5,1)),"")</f>
        <v>0.83062312909672</v>
      </c>
      <c r="H1474" s="8" t="n">
        <f aca="false">MAX(C1474-D1474,ABS(C1474-E1473),ABS(D1474-E1473))</f>
        <v>0.00675448323289229</v>
      </c>
      <c r="I1474" s="8" t="n">
        <f aca="true">IF(ROW()-2&lt;14,"",IF(ROW()-2=14,AVERAGE(OFFSET(H1474,-13,0,14,1)),(I1473*13+H1474)/14))</f>
        <v>0.00773334291185907</v>
      </c>
      <c r="J1474" s="9" t="b">
        <f aca="false">IF(AND(ISNUMBER(F1474),ISNUMBER(G1474),ISNUMBER(F1473),ISNUMBER(G1473)),AND(F1474&gt;G1474,F1473&lt;=G1473),FALSE())</f>
        <v>0</v>
      </c>
      <c r="K1474" s="9" t="b">
        <f aca="false">IF(AND(ISNUMBER(F1474),ISNUMBER(G1474),ISNUMBER(F1473),ISNUMBER(G1473)),AND(F1474&lt;G1474,F1473&gt;=G1473),FALSE())</f>
        <v>0</v>
      </c>
      <c r="L1474" s="8" t="n">
        <f aca="false">IF(ISNUMBER(I1474),E1474-Inputs!$B$6*I1474,"")</f>
        <v>0.802593509250142</v>
      </c>
      <c r="M1474" s="9" t="b">
        <f aca="false">AND(Y1473&gt;0,Z1473)</f>
        <v>0</v>
      </c>
      <c r="N1474" s="8" t="n">
        <f aca="false">B1474*(1-Inputs!$B$12)</f>
        <v>0.815127751928883</v>
      </c>
      <c r="O1474" s="10" t="n">
        <f aca="false">IF(M1474,Y1473*(N1474-AB1473)-Inputs!$B$9-Y1473*AD1473*Inputs!$B$13*(A1474-AC1473),0)</f>
        <v>0</v>
      </c>
      <c r="P1474" s="10" t="n">
        <f aca="false">X1473+O1474</f>
        <v>892.966822134287</v>
      </c>
      <c r="Q1474" s="9" t="b">
        <f aca="false">AND(IF(M1474,0,Y1473)=0,AA1473,IF(ISNUMBER(AE1473),B1474&gt;AE1473,FALSE()))</f>
        <v>0</v>
      </c>
      <c r="R1474" s="8" t="n">
        <f aca="false">B1474*(1+Inputs!$B$12)</f>
        <v>0.81545386825292</v>
      </c>
      <c r="S1474" s="11" t="n">
        <f aca="false">IF(Q1474,MIN(P1474*Inputs!$B$3/(R1474-AE1473),P1474*Inputs!$B$11/R1474),0)</f>
        <v>0</v>
      </c>
      <c r="T1474" s="11" t="n">
        <f aca="false">IF(Q1474,S1474,IF(M1474,0,Y1473))</f>
        <v>0</v>
      </c>
      <c r="U1474" s="8" t="n">
        <f aca="false">IF(Q1474,AE1473,AF1473)</f>
        <v>0.847434384754863</v>
      </c>
      <c r="V1474" s="9" t="b">
        <f aca="false">AND(T1474&gt;0,D1474&lt;=U1474)</f>
        <v>0</v>
      </c>
      <c r="W1474" s="10" t="n">
        <f aca="false">IF(V1474,T1474*(AK1474-AB1474)-Inputs!$B$9-T1474*AD1474*Inputs!$B$13*(A1474-AC1474),0)</f>
        <v>0</v>
      </c>
      <c r="X1474" s="10" t="n">
        <f aca="false">P1474-IF(Q1474,Inputs!$B$9,0)+W1474</f>
        <v>892.966822134287</v>
      </c>
      <c r="Y1474" s="11" t="n">
        <f aca="false">IF(V1474,0,T1474)</f>
        <v>0</v>
      </c>
      <c r="Z1474" s="9" t="b">
        <f aca="false">AND(Y1474&gt;0,K1474)</f>
        <v>0</v>
      </c>
      <c r="AA1474" s="9" t="b">
        <f aca="false">AND(Y1474=0,J1474,ISNUMBER(L1474))</f>
        <v>0</v>
      </c>
      <c r="AB1474" s="8" t="n">
        <f aca="false">IF(Q1474,R1474,AB1473)</f>
        <v>0.866249784733642</v>
      </c>
      <c r="AC1474" s="12" t="n">
        <f aca="false">IF(Q1474,A1474,AC1473)</f>
        <v>46233</v>
      </c>
      <c r="AD1474" s="8" t="n">
        <f aca="false">IF(Q1474,B1474,AD1473)</f>
        <v>0.866076569419758</v>
      </c>
      <c r="AE1474" s="8" t="str">
        <f aca="false">IF(AA1474,L1474,"")</f>
        <v/>
      </c>
      <c r="AF1474" s="8" t="n">
        <f aca="false">U1474</f>
        <v>0.847434384754863</v>
      </c>
      <c r="AG1474" s="2" t="n">
        <f aca="false">AG1473+IF(Q1474,1,0)</f>
        <v>17</v>
      </c>
      <c r="AH1474" s="2" t="n">
        <f aca="false">AG1473</f>
        <v>17</v>
      </c>
      <c r="AI1474" s="10" t="n">
        <f aca="false">X1474+Y1474*(E1474-AB1474)-Y1474*AD1474*Inputs!$B$13*(A1474-AC1474)</f>
        <v>892.966822134287</v>
      </c>
      <c r="AJ1474" s="10" t="n">
        <v>0</v>
      </c>
      <c r="AK1474" s="8" t="n">
        <f aca="false">IF(AND(B1474&lt;=U1474,NOT(Q1474)),B1474,U1474)*(1-Inputs!$B$12)</f>
        <v>0.815127751928883</v>
      </c>
    </row>
    <row r="1475" customFormat="false" ht="15" hidden="false" customHeight="false" outlineLevel="0" collapsed="false">
      <c r="A1475" s="6" t="n">
        <v>46259</v>
      </c>
      <c r="B1475" s="7" t="n">
        <v>0.81806019507386</v>
      </c>
      <c r="C1475" s="7" t="n">
        <v>0.825908111539137</v>
      </c>
      <c r="D1475" s="7" t="n">
        <v>0.811811159554899</v>
      </c>
      <c r="E1475" s="7" t="n">
        <v>0.821589034232379</v>
      </c>
      <c r="F1475" s="8" t="n">
        <f aca="true">IF(ROW()-2&gt;=Inputs!$B$4,AVERAGE(OFFSET(E1475,1-Inputs!$B$4,0,Inputs!$B$4,1)),"")</f>
        <v>0.827200297761205</v>
      </c>
      <c r="G1475" s="8" t="n">
        <f aca="true">IF(ROW()-2&gt;=Inputs!$B$5,AVERAGE(OFFSET(E1475,1-Inputs!$B$5,0,Inputs!$B$5,1)),"")</f>
        <v>0.830496405894936</v>
      </c>
      <c r="H1475" s="8" t="n">
        <f aca="false">MAX(C1475-D1475,ABS(C1475-E1474),ABS(D1475-E1474))</f>
        <v>0.0140969519842374</v>
      </c>
      <c r="I1475" s="8" t="n">
        <f aca="true">IF(ROW()-2&lt;14,"",IF(ROW()-2=14,AVERAGE(OFFSET(H1475,-13,0,14,1)),(I1474*13+H1475)/14))</f>
        <v>0.00818788641702896</v>
      </c>
      <c r="J1475" s="9" t="b">
        <f aca="false">IF(AND(ISNUMBER(F1475),ISNUMBER(G1475),ISNUMBER(F1474),ISNUMBER(G1474)),AND(F1475&gt;G1475,F1474&lt;=G1474),FALSE())</f>
        <v>0</v>
      </c>
      <c r="K1475" s="9" t="b">
        <f aca="false">IF(AND(ISNUMBER(F1475),ISNUMBER(G1475),ISNUMBER(F1474),ISNUMBER(G1474)),AND(F1475&lt;G1475,F1474&gt;=G1474),FALSE())</f>
        <v>0</v>
      </c>
      <c r="L1475" s="8" t="n">
        <f aca="false">IF(ISNUMBER(I1475),E1475-Inputs!$B$6*I1475,"")</f>
        <v>0.805213261398322</v>
      </c>
      <c r="M1475" s="9" t="b">
        <f aca="false">AND(Y1474&gt;0,Z1474)</f>
        <v>0</v>
      </c>
      <c r="N1475" s="8" t="n">
        <f aca="false">B1475*(1-Inputs!$B$12)</f>
        <v>0.817896583034846</v>
      </c>
      <c r="O1475" s="10" t="n">
        <f aca="false">IF(M1475,Y1474*(N1475-AB1474)-Inputs!$B$9-Y1474*AD1474*Inputs!$B$13*(A1475-AC1474),0)</f>
        <v>0</v>
      </c>
      <c r="P1475" s="10" t="n">
        <f aca="false">X1474+O1475</f>
        <v>892.966822134287</v>
      </c>
      <c r="Q1475" s="9" t="b">
        <f aca="false">AND(IF(M1475,0,Y1474)=0,AA1474,IF(ISNUMBER(AE1474),B1475&gt;AE1474,FALSE()))</f>
        <v>0</v>
      </c>
      <c r="R1475" s="8" t="n">
        <f aca="false">B1475*(1+Inputs!$B$12)</f>
        <v>0.818223807112875</v>
      </c>
      <c r="S1475" s="11" t="n">
        <f aca="false">IF(Q1475,MIN(P1475*Inputs!$B$3/(R1475-AE1474),P1475*Inputs!$B$11/R1475),0)</f>
        <v>0</v>
      </c>
      <c r="T1475" s="11" t="n">
        <f aca="false">IF(Q1475,S1475,IF(M1475,0,Y1474))</f>
        <v>0</v>
      </c>
      <c r="U1475" s="8" t="n">
        <f aca="false">IF(Q1475,AE1474,AF1474)</f>
        <v>0.847434384754863</v>
      </c>
      <c r="V1475" s="9" t="b">
        <f aca="false">AND(T1475&gt;0,D1475&lt;=U1475)</f>
        <v>0</v>
      </c>
      <c r="W1475" s="10" t="n">
        <f aca="false">IF(V1475,T1475*(AK1475-AB1475)-Inputs!$B$9-T1475*AD1475*Inputs!$B$13*(A1475-AC1475),0)</f>
        <v>0</v>
      </c>
      <c r="X1475" s="10" t="n">
        <f aca="false">P1475-IF(Q1475,Inputs!$B$9,0)+W1475</f>
        <v>892.966822134287</v>
      </c>
      <c r="Y1475" s="11" t="n">
        <f aca="false">IF(V1475,0,T1475)</f>
        <v>0</v>
      </c>
      <c r="Z1475" s="9" t="b">
        <f aca="false">AND(Y1475&gt;0,K1475)</f>
        <v>0</v>
      </c>
      <c r="AA1475" s="9" t="b">
        <f aca="false">AND(Y1475=0,J1475,ISNUMBER(L1475))</f>
        <v>0</v>
      </c>
      <c r="AB1475" s="8" t="n">
        <f aca="false">IF(Q1475,R1475,AB1474)</f>
        <v>0.866249784733642</v>
      </c>
      <c r="AC1475" s="12" t="n">
        <f aca="false">IF(Q1475,A1475,AC1474)</f>
        <v>46233</v>
      </c>
      <c r="AD1475" s="8" t="n">
        <f aca="false">IF(Q1475,B1475,AD1474)</f>
        <v>0.866076569419758</v>
      </c>
      <c r="AE1475" s="8" t="str">
        <f aca="false">IF(AA1475,L1475,"")</f>
        <v/>
      </c>
      <c r="AF1475" s="8" t="n">
        <f aca="false">U1475</f>
        <v>0.847434384754863</v>
      </c>
      <c r="AG1475" s="2" t="n">
        <f aca="false">AG1474+IF(Q1475,1,0)</f>
        <v>17</v>
      </c>
      <c r="AH1475" s="2" t="n">
        <f aca="false">AG1474</f>
        <v>17</v>
      </c>
      <c r="AI1475" s="10" t="n">
        <f aca="false">X1475+Y1475*(E1475-AB1475)-Y1475*AD1475*Inputs!$B$13*(A1475-AC1475)</f>
        <v>892.966822134287</v>
      </c>
      <c r="AJ1475" s="10" t="n">
        <v>0</v>
      </c>
      <c r="AK1475" s="8" t="n">
        <f aca="false">IF(AND(B1475&lt;=U1475,NOT(Q1475)),B1475,U1475)*(1-Inputs!$B$12)</f>
        <v>0.817896583034846</v>
      </c>
    </row>
    <row r="1476" customFormat="false" ht="15" hidden="false" customHeight="false" outlineLevel="0" collapsed="false">
      <c r="A1476" s="6" t="n">
        <v>46260</v>
      </c>
      <c r="B1476" s="7" t="n">
        <v>0.821589034232379</v>
      </c>
      <c r="C1476" s="7" t="n">
        <v>0.822526416873029</v>
      </c>
      <c r="D1476" s="7" t="n">
        <v>0.815628034652208</v>
      </c>
      <c r="E1476" s="7" t="n">
        <v>0.818398061035294</v>
      </c>
      <c r="F1476" s="8" t="n">
        <f aca="true">IF(ROW()-2&gt;=Inputs!$B$4,AVERAGE(OFFSET(E1476,1-Inputs!$B$4,0,Inputs!$B$4,1)),"")</f>
        <v>0.826082303370559</v>
      </c>
      <c r="G1476" s="8" t="n">
        <f aca="true">IF(ROW()-2&gt;=Inputs!$B$5,AVERAGE(OFFSET(E1476,1-Inputs!$B$5,0,Inputs!$B$5,1)),"")</f>
        <v>0.83029253032149</v>
      </c>
      <c r="H1476" s="8" t="n">
        <f aca="false">MAX(C1476-D1476,ABS(C1476-E1475),ABS(D1476-E1475))</f>
        <v>0.00689838222082051</v>
      </c>
      <c r="I1476" s="8" t="n">
        <f aca="true">IF(ROW()-2&lt;14,"",IF(ROW()-2=14,AVERAGE(OFFSET(H1476,-13,0,14,1)),(I1475*13+H1476)/14))</f>
        <v>0.00809577897444264</v>
      </c>
      <c r="J1476" s="9" t="b">
        <f aca="false">IF(AND(ISNUMBER(F1476),ISNUMBER(G1476),ISNUMBER(F1475),ISNUMBER(G1475)),AND(F1476&gt;G1476,F1475&lt;=G1475),FALSE())</f>
        <v>0</v>
      </c>
      <c r="K1476" s="9" t="b">
        <f aca="false">IF(AND(ISNUMBER(F1476),ISNUMBER(G1476),ISNUMBER(F1475),ISNUMBER(G1475)),AND(F1476&lt;G1476,F1475&gt;=G1475),FALSE())</f>
        <v>0</v>
      </c>
      <c r="L1476" s="8" t="n">
        <f aca="false">IF(ISNUMBER(I1476),E1476-Inputs!$B$6*I1476,"")</f>
        <v>0.802206503086409</v>
      </c>
      <c r="M1476" s="9" t="b">
        <f aca="false">AND(Y1475&gt;0,Z1475)</f>
        <v>0</v>
      </c>
      <c r="N1476" s="8" t="n">
        <f aca="false">B1476*(1-Inputs!$B$12)</f>
        <v>0.821424716425533</v>
      </c>
      <c r="O1476" s="10" t="n">
        <f aca="false">IF(M1476,Y1475*(N1476-AB1475)-Inputs!$B$9-Y1475*AD1475*Inputs!$B$13*(A1476-AC1475),0)</f>
        <v>0</v>
      </c>
      <c r="P1476" s="10" t="n">
        <f aca="false">X1475+O1476</f>
        <v>892.966822134287</v>
      </c>
      <c r="Q1476" s="9" t="b">
        <f aca="false">AND(IF(M1476,0,Y1475)=0,AA1475,IF(ISNUMBER(AE1475),B1476&gt;AE1475,FALSE()))</f>
        <v>0</v>
      </c>
      <c r="R1476" s="8" t="n">
        <f aca="false">B1476*(1+Inputs!$B$12)</f>
        <v>0.821753352039226</v>
      </c>
      <c r="S1476" s="11" t="n">
        <f aca="false">IF(Q1476,MIN(P1476*Inputs!$B$3/(R1476-AE1475),P1476*Inputs!$B$11/R1476),0)</f>
        <v>0</v>
      </c>
      <c r="T1476" s="11" t="n">
        <f aca="false">IF(Q1476,S1476,IF(M1476,0,Y1475))</f>
        <v>0</v>
      </c>
      <c r="U1476" s="8" t="n">
        <f aca="false">IF(Q1476,AE1475,AF1475)</f>
        <v>0.847434384754863</v>
      </c>
      <c r="V1476" s="9" t="b">
        <f aca="false">AND(T1476&gt;0,D1476&lt;=U1476)</f>
        <v>0</v>
      </c>
      <c r="W1476" s="10" t="n">
        <f aca="false">IF(V1476,T1476*(AK1476-AB1476)-Inputs!$B$9-T1476*AD1476*Inputs!$B$13*(A1476-AC1476),0)</f>
        <v>0</v>
      </c>
      <c r="X1476" s="10" t="n">
        <f aca="false">P1476-IF(Q1476,Inputs!$B$9,0)+W1476</f>
        <v>892.966822134287</v>
      </c>
      <c r="Y1476" s="11" t="n">
        <f aca="false">IF(V1476,0,T1476)</f>
        <v>0</v>
      </c>
      <c r="Z1476" s="9" t="b">
        <f aca="false">AND(Y1476&gt;0,K1476)</f>
        <v>0</v>
      </c>
      <c r="AA1476" s="9" t="b">
        <f aca="false">AND(Y1476=0,J1476,ISNUMBER(L1476))</f>
        <v>0</v>
      </c>
      <c r="AB1476" s="8" t="n">
        <f aca="false">IF(Q1476,R1476,AB1475)</f>
        <v>0.866249784733642</v>
      </c>
      <c r="AC1476" s="12" t="n">
        <f aca="false">IF(Q1476,A1476,AC1475)</f>
        <v>46233</v>
      </c>
      <c r="AD1476" s="8" t="n">
        <f aca="false">IF(Q1476,B1476,AD1475)</f>
        <v>0.866076569419758</v>
      </c>
      <c r="AE1476" s="8" t="str">
        <f aca="false">IF(AA1476,L1476,"")</f>
        <v/>
      </c>
      <c r="AF1476" s="8" t="n">
        <f aca="false">U1476</f>
        <v>0.847434384754863</v>
      </c>
      <c r="AG1476" s="2" t="n">
        <f aca="false">AG1475+IF(Q1476,1,0)</f>
        <v>17</v>
      </c>
      <c r="AH1476" s="2" t="n">
        <f aca="false">AG1475</f>
        <v>17</v>
      </c>
      <c r="AI1476" s="10" t="n">
        <f aca="false">X1476+Y1476*(E1476-AB1476)-Y1476*AD1476*Inputs!$B$13*(A1476-AC1476)</f>
        <v>892.966822134287</v>
      </c>
      <c r="AJ1476" s="10" t="n">
        <v>0</v>
      </c>
      <c r="AK1476" s="8" t="n">
        <f aca="false">IF(AND(B1476&lt;=U1476,NOT(Q1476)),B1476,U1476)*(1-Inputs!$B$12)</f>
        <v>0.821424716425533</v>
      </c>
    </row>
    <row r="1477" customFormat="false" ht="15" hidden="false" customHeight="false" outlineLevel="0" collapsed="false">
      <c r="A1477" s="6" t="n">
        <v>46261</v>
      </c>
      <c r="B1477" s="7" t="n">
        <v>0.818398061035294</v>
      </c>
      <c r="C1477" s="7" t="n">
        <v>0.823315496084173</v>
      </c>
      <c r="D1477" s="7" t="n">
        <v>0.81289187063283</v>
      </c>
      <c r="E1477" s="7" t="n">
        <v>0.819219057801116</v>
      </c>
      <c r="F1477" s="8" t="n">
        <f aca="true">IF(ROW()-2&gt;=Inputs!$B$4,AVERAGE(OFFSET(E1477,1-Inputs!$B$4,0,Inputs!$B$4,1)),"")</f>
        <v>0.82506566887125</v>
      </c>
      <c r="G1477" s="8" t="n">
        <f aca="true">IF(ROW()-2&gt;=Inputs!$B$5,AVERAGE(OFFSET(E1477,1-Inputs!$B$5,0,Inputs!$B$5,1)),"")</f>
        <v>0.830094159260023</v>
      </c>
      <c r="H1477" s="8" t="n">
        <f aca="false">MAX(C1477-D1477,ABS(C1477-E1476),ABS(D1477-E1476))</f>
        <v>0.010423625451343</v>
      </c>
      <c r="I1477" s="8" t="n">
        <f aca="true">IF(ROW()-2&lt;14,"",IF(ROW()-2=14,AVERAGE(OFFSET(H1477,-13,0,14,1)),(I1476*13+H1477)/14))</f>
        <v>0.00826205372279266</v>
      </c>
      <c r="J1477" s="9" t="b">
        <f aca="false">IF(AND(ISNUMBER(F1477),ISNUMBER(G1477),ISNUMBER(F1476),ISNUMBER(G1476)),AND(F1477&gt;G1477,F1476&lt;=G1476),FALSE())</f>
        <v>0</v>
      </c>
      <c r="K1477" s="9" t="b">
        <f aca="false">IF(AND(ISNUMBER(F1477),ISNUMBER(G1477),ISNUMBER(F1476),ISNUMBER(G1476)),AND(F1477&lt;G1477,F1476&gt;=G1476),FALSE())</f>
        <v>0</v>
      </c>
      <c r="L1477" s="8" t="n">
        <f aca="false">IF(ISNUMBER(I1477),E1477-Inputs!$B$6*I1477,"")</f>
        <v>0.802694950355531</v>
      </c>
      <c r="M1477" s="9" t="b">
        <f aca="false">AND(Y1476&gt;0,Z1476)</f>
        <v>0</v>
      </c>
      <c r="N1477" s="8" t="n">
        <f aca="false">B1477*(1-Inputs!$B$12)</f>
        <v>0.818234381423087</v>
      </c>
      <c r="O1477" s="10" t="n">
        <f aca="false">IF(M1477,Y1476*(N1477-AB1476)-Inputs!$B$9-Y1476*AD1476*Inputs!$B$13*(A1477-AC1476),0)</f>
        <v>0</v>
      </c>
      <c r="P1477" s="10" t="n">
        <f aca="false">X1476+O1477</f>
        <v>892.966822134287</v>
      </c>
      <c r="Q1477" s="9" t="b">
        <f aca="false">AND(IF(M1477,0,Y1476)=0,AA1476,IF(ISNUMBER(AE1476),B1477&gt;AE1476,FALSE()))</f>
        <v>0</v>
      </c>
      <c r="R1477" s="8" t="n">
        <f aca="false">B1477*(1+Inputs!$B$12)</f>
        <v>0.818561740647502</v>
      </c>
      <c r="S1477" s="11" t="n">
        <f aca="false">IF(Q1477,MIN(P1477*Inputs!$B$3/(R1477-AE1476),P1477*Inputs!$B$11/R1477),0)</f>
        <v>0</v>
      </c>
      <c r="T1477" s="11" t="n">
        <f aca="false">IF(Q1477,S1477,IF(M1477,0,Y1476))</f>
        <v>0</v>
      </c>
      <c r="U1477" s="8" t="n">
        <f aca="false">IF(Q1477,AE1476,AF1476)</f>
        <v>0.847434384754863</v>
      </c>
      <c r="V1477" s="9" t="b">
        <f aca="false">AND(T1477&gt;0,D1477&lt;=U1477)</f>
        <v>0</v>
      </c>
      <c r="W1477" s="10" t="n">
        <f aca="false">IF(V1477,T1477*(AK1477-AB1477)-Inputs!$B$9-T1477*AD1477*Inputs!$B$13*(A1477-AC1477),0)</f>
        <v>0</v>
      </c>
      <c r="X1477" s="10" t="n">
        <f aca="false">P1477-IF(Q1477,Inputs!$B$9,0)+W1477</f>
        <v>892.966822134287</v>
      </c>
      <c r="Y1477" s="11" t="n">
        <f aca="false">IF(V1477,0,T1477)</f>
        <v>0</v>
      </c>
      <c r="Z1477" s="9" t="b">
        <f aca="false">AND(Y1477&gt;0,K1477)</f>
        <v>0</v>
      </c>
      <c r="AA1477" s="9" t="b">
        <f aca="false">AND(Y1477=0,J1477,ISNUMBER(L1477))</f>
        <v>0</v>
      </c>
      <c r="AB1477" s="8" t="n">
        <f aca="false">IF(Q1477,R1477,AB1476)</f>
        <v>0.866249784733642</v>
      </c>
      <c r="AC1477" s="12" t="n">
        <f aca="false">IF(Q1477,A1477,AC1476)</f>
        <v>46233</v>
      </c>
      <c r="AD1477" s="8" t="n">
        <f aca="false">IF(Q1477,B1477,AD1476)</f>
        <v>0.866076569419758</v>
      </c>
      <c r="AE1477" s="8" t="str">
        <f aca="false">IF(AA1477,L1477,"")</f>
        <v/>
      </c>
      <c r="AF1477" s="8" t="n">
        <f aca="false">U1477</f>
        <v>0.847434384754863</v>
      </c>
      <c r="AG1477" s="2" t="n">
        <f aca="false">AG1476+IF(Q1477,1,0)</f>
        <v>17</v>
      </c>
      <c r="AH1477" s="2" t="n">
        <f aca="false">AG1476</f>
        <v>17</v>
      </c>
      <c r="AI1477" s="10" t="n">
        <f aca="false">X1477+Y1477*(E1477-AB1477)-Y1477*AD1477*Inputs!$B$13*(A1477-AC1477)</f>
        <v>892.966822134287</v>
      </c>
      <c r="AJ1477" s="10" t="n">
        <v>0</v>
      </c>
      <c r="AK1477" s="8" t="n">
        <f aca="false">IF(AND(B1477&lt;=U1477,NOT(Q1477)),B1477,U1477)*(1-Inputs!$B$12)</f>
        <v>0.818234381423087</v>
      </c>
    </row>
    <row r="1478" customFormat="false" ht="15" hidden="false" customHeight="false" outlineLevel="0" collapsed="false">
      <c r="A1478" s="6" t="n">
        <v>46262</v>
      </c>
      <c r="B1478" s="7" t="n">
        <v>0.819219057801116</v>
      </c>
      <c r="C1478" s="7" t="n">
        <v>0.822456232371586</v>
      </c>
      <c r="D1478" s="7" t="n">
        <v>0.814853070658773</v>
      </c>
      <c r="E1478" s="7" t="n">
        <v>0.820777061005076</v>
      </c>
      <c r="F1478" s="8" t="n">
        <f aca="true">IF(ROW()-2&gt;=Inputs!$B$4,AVERAGE(OFFSET(E1478,1-Inputs!$B$4,0,Inputs!$B$4,1)),"")</f>
        <v>0.824229492641701</v>
      </c>
      <c r="G1478" s="8" t="n">
        <f aca="true">IF(ROW()-2&gt;=Inputs!$B$5,AVERAGE(OFFSET(E1478,1-Inputs!$B$5,0,Inputs!$B$5,1)),"")</f>
        <v>0.830227659276356</v>
      </c>
      <c r="H1478" s="8" t="n">
        <f aca="false">MAX(C1478-D1478,ABS(C1478-E1477),ABS(D1478-E1477))</f>
        <v>0.00760316171281361</v>
      </c>
      <c r="I1478" s="8" t="n">
        <f aca="true">IF(ROW()-2&lt;14,"",IF(ROW()-2=14,AVERAGE(OFFSET(H1478,-13,0,14,1)),(I1477*13+H1478)/14))</f>
        <v>0.00821499000779416</v>
      </c>
      <c r="J1478" s="9" t="b">
        <f aca="false">IF(AND(ISNUMBER(F1478),ISNUMBER(G1478),ISNUMBER(F1477),ISNUMBER(G1477)),AND(F1478&gt;G1478,F1477&lt;=G1477),FALSE())</f>
        <v>0</v>
      </c>
      <c r="K1478" s="9" t="b">
        <f aca="false">IF(AND(ISNUMBER(F1478),ISNUMBER(G1478),ISNUMBER(F1477),ISNUMBER(G1477)),AND(F1478&lt;G1478,F1477&gt;=G1477),FALSE())</f>
        <v>0</v>
      </c>
      <c r="L1478" s="8" t="n">
        <f aca="false">IF(ISNUMBER(I1478),E1478-Inputs!$B$6*I1478,"")</f>
        <v>0.804347080989487</v>
      </c>
      <c r="M1478" s="9" t="b">
        <f aca="false">AND(Y1477&gt;0,Z1477)</f>
        <v>0</v>
      </c>
      <c r="N1478" s="8" t="n">
        <f aca="false">B1478*(1-Inputs!$B$12)</f>
        <v>0.819055213989556</v>
      </c>
      <c r="O1478" s="10" t="n">
        <f aca="false">IF(M1478,Y1477*(N1478-AB1477)-Inputs!$B$9-Y1477*AD1477*Inputs!$B$13*(A1478-AC1477),0)</f>
        <v>0</v>
      </c>
      <c r="P1478" s="10" t="n">
        <f aca="false">X1477+O1478</f>
        <v>892.966822134287</v>
      </c>
      <c r="Q1478" s="9" t="b">
        <f aca="false">AND(IF(M1478,0,Y1477)=0,AA1477,IF(ISNUMBER(AE1477),B1478&gt;AE1477,FALSE()))</f>
        <v>0</v>
      </c>
      <c r="R1478" s="8" t="n">
        <f aca="false">B1478*(1+Inputs!$B$12)</f>
        <v>0.819382901612677</v>
      </c>
      <c r="S1478" s="11" t="n">
        <f aca="false">IF(Q1478,MIN(P1478*Inputs!$B$3/(R1478-AE1477),P1478*Inputs!$B$11/R1478),0)</f>
        <v>0</v>
      </c>
      <c r="T1478" s="11" t="n">
        <f aca="false">IF(Q1478,S1478,IF(M1478,0,Y1477))</f>
        <v>0</v>
      </c>
      <c r="U1478" s="8" t="n">
        <f aca="false">IF(Q1478,AE1477,AF1477)</f>
        <v>0.847434384754863</v>
      </c>
      <c r="V1478" s="9" t="b">
        <f aca="false">AND(T1478&gt;0,D1478&lt;=U1478)</f>
        <v>0</v>
      </c>
      <c r="W1478" s="10" t="n">
        <f aca="false">IF(V1478,T1478*(AK1478-AB1478)-Inputs!$B$9-T1478*AD1478*Inputs!$B$13*(A1478-AC1478),0)</f>
        <v>0</v>
      </c>
      <c r="X1478" s="10" t="n">
        <f aca="false">P1478-IF(Q1478,Inputs!$B$9,0)+W1478</f>
        <v>892.966822134287</v>
      </c>
      <c r="Y1478" s="11" t="n">
        <f aca="false">IF(V1478,0,T1478)</f>
        <v>0</v>
      </c>
      <c r="Z1478" s="9" t="b">
        <f aca="false">AND(Y1478&gt;0,K1478)</f>
        <v>0</v>
      </c>
      <c r="AA1478" s="9" t="b">
        <f aca="false">AND(Y1478=0,J1478,ISNUMBER(L1478))</f>
        <v>0</v>
      </c>
      <c r="AB1478" s="8" t="n">
        <f aca="false">IF(Q1478,R1478,AB1477)</f>
        <v>0.866249784733642</v>
      </c>
      <c r="AC1478" s="12" t="n">
        <f aca="false">IF(Q1478,A1478,AC1477)</f>
        <v>46233</v>
      </c>
      <c r="AD1478" s="8" t="n">
        <f aca="false">IF(Q1478,B1478,AD1477)</f>
        <v>0.866076569419758</v>
      </c>
      <c r="AE1478" s="8" t="str">
        <f aca="false">IF(AA1478,L1478,"")</f>
        <v/>
      </c>
      <c r="AF1478" s="8" t="n">
        <f aca="false">U1478</f>
        <v>0.847434384754863</v>
      </c>
      <c r="AG1478" s="2" t="n">
        <f aca="false">AG1477+IF(Q1478,1,0)</f>
        <v>17</v>
      </c>
      <c r="AH1478" s="2" t="n">
        <f aca="false">AG1477</f>
        <v>17</v>
      </c>
      <c r="AI1478" s="10" t="n">
        <f aca="false">X1478+Y1478*(E1478-AB1478)-Y1478*AD1478*Inputs!$B$13*(A1478-AC1478)</f>
        <v>892.966822134287</v>
      </c>
      <c r="AJ1478" s="10" t="n">
        <v>0</v>
      </c>
      <c r="AK1478" s="8" t="n">
        <f aca="false">IF(AND(B1478&lt;=U1478,NOT(Q1478)),B1478,U1478)*(1-Inputs!$B$12)</f>
        <v>0.819055213989556</v>
      </c>
    </row>
    <row r="1479" customFormat="false" ht="15" hidden="false" customHeight="false" outlineLevel="0" collapsed="false">
      <c r="A1479" s="6" t="n">
        <v>46263</v>
      </c>
      <c r="B1479" s="7" t="n">
        <v>0.820777061005076</v>
      </c>
      <c r="C1479" s="7" t="n">
        <v>0.821613681813662</v>
      </c>
      <c r="D1479" s="7" t="n">
        <v>0.817213898693862</v>
      </c>
      <c r="E1479" s="7" t="n">
        <v>0.819295897240299</v>
      </c>
      <c r="F1479" s="8" t="n">
        <f aca="true">IF(ROW()-2&gt;=Inputs!$B$4,AVERAGE(OFFSET(E1479,1-Inputs!$B$4,0,Inputs!$B$4,1)),"")</f>
        <v>0.823319287800014</v>
      </c>
      <c r="G1479" s="8" t="n">
        <f aca="true">IF(ROW()-2&gt;=Inputs!$B$5,AVERAGE(OFFSET(E1479,1-Inputs!$B$5,0,Inputs!$B$5,1)),"")</f>
        <v>0.830244040252869</v>
      </c>
      <c r="H1479" s="8" t="n">
        <f aca="false">MAX(C1479-D1479,ABS(C1479-E1478),ABS(D1479-E1478))</f>
        <v>0.00439978311979983</v>
      </c>
      <c r="I1479" s="8" t="n">
        <f aca="true">IF(ROW()-2&lt;14,"",IF(ROW()-2=14,AVERAGE(OFFSET(H1479,-13,0,14,1)),(I1478*13+H1479)/14))</f>
        <v>0.00794247523008028</v>
      </c>
      <c r="J1479" s="9" t="b">
        <f aca="false">IF(AND(ISNUMBER(F1479),ISNUMBER(G1479),ISNUMBER(F1478),ISNUMBER(G1478)),AND(F1479&gt;G1479,F1478&lt;=G1478),FALSE())</f>
        <v>0</v>
      </c>
      <c r="K1479" s="9" t="b">
        <f aca="false">IF(AND(ISNUMBER(F1479),ISNUMBER(G1479),ISNUMBER(F1478),ISNUMBER(G1478)),AND(F1479&lt;G1479,F1478&gt;=G1478),FALSE())</f>
        <v>0</v>
      </c>
      <c r="L1479" s="8" t="n">
        <f aca="false">IF(ISNUMBER(I1479),E1479-Inputs!$B$6*I1479,"")</f>
        <v>0.803410946780138</v>
      </c>
      <c r="M1479" s="9" t="b">
        <f aca="false">AND(Y1478&gt;0,Z1478)</f>
        <v>0</v>
      </c>
      <c r="N1479" s="8" t="n">
        <f aca="false">B1479*(1-Inputs!$B$12)</f>
        <v>0.820612905592875</v>
      </c>
      <c r="O1479" s="10" t="n">
        <f aca="false">IF(M1479,Y1478*(N1479-AB1478)-Inputs!$B$9-Y1478*AD1478*Inputs!$B$13*(A1479-AC1478),0)</f>
        <v>0</v>
      </c>
      <c r="P1479" s="10" t="n">
        <f aca="false">X1478+O1479</f>
        <v>892.966822134287</v>
      </c>
      <c r="Q1479" s="9" t="b">
        <f aca="false">AND(IF(M1479,0,Y1478)=0,AA1478,IF(ISNUMBER(AE1478),B1479&gt;AE1478,FALSE()))</f>
        <v>0</v>
      </c>
      <c r="R1479" s="8" t="n">
        <f aca="false">B1479*(1+Inputs!$B$12)</f>
        <v>0.820941216417277</v>
      </c>
      <c r="S1479" s="11" t="n">
        <f aca="false">IF(Q1479,MIN(P1479*Inputs!$B$3/(R1479-AE1478),P1479*Inputs!$B$11/R1479),0)</f>
        <v>0</v>
      </c>
      <c r="T1479" s="11" t="n">
        <f aca="false">IF(Q1479,S1479,IF(M1479,0,Y1478))</f>
        <v>0</v>
      </c>
      <c r="U1479" s="8" t="n">
        <f aca="false">IF(Q1479,AE1478,AF1478)</f>
        <v>0.847434384754863</v>
      </c>
      <c r="V1479" s="9" t="b">
        <f aca="false">AND(T1479&gt;0,D1479&lt;=U1479)</f>
        <v>0</v>
      </c>
      <c r="W1479" s="10" t="n">
        <f aca="false">IF(V1479,T1479*(AK1479-AB1479)-Inputs!$B$9-T1479*AD1479*Inputs!$B$13*(A1479-AC1479),0)</f>
        <v>0</v>
      </c>
      <c r="X1479" s="10" t="n">
        <f aca="false">P1479-IF(Q1479,Inputs!$B$9,0)+W1479</f>
        <v>892.966822134287</v>
      </c>
      <c r="Y1479" s="11" t="n">
        <f aca="false">IF(V1479,0,T1479)</f>
        <v>0</v>
      </c>
      <c r="Z1479" s="9" t="b">
        <f aca="false">AND(Y1479&gt;0,K1479)</f>
        <v>0</v>
      </c>
      <c r="AA1479" s="9" t="b">
        <f aca="false">AND(Y1479=0,J1479,ISNUMBER(L1479))</f>
        <v>0</v>
      </c>
      <c r="AB1479" s="8" t="n">
        <f aca="false">IF(Q1479,R1479,AB1478)</f>
        <v>0.866249784733642</v>
      </c>
      <c r="AC1479" s="12" t="n">
        <f aca="false">IF(Q1479,A1479,AC1478)</f>
        <v>46233</v>
      </c>
      <c r="AD1479" s="8" t="n">
        <f aca="false">IF(Q1479,B1479,AD1478)</f>
        <v>0.866076569419758</v>
      </c>
      <c r="AE1479" s="8" t="str">
        <f aca="false">IF(AA1479,L1479,"")</f>
        <v/>
      </c>
      <c r="AF1479" s="8" t="n">
        <f aca="false">U1479</f>
        <v>0.847434384754863</v>
      </c>
      <c r="AG1479" s="2" t="n">
        <f aca="false">AG1478+IF(Q1479,1,0)</f>
        <v>17</v>
      </c>
      <c r="AH1479" s="2" t="n">
        <f aca="false">AG1478</f>
        <v>17</v>
      </c>
      <c r="AI1479" s="10" t="n">
        <f aca="false">X1479+Y1479*(E1479-AB1479)-Y1479*AD1479*Inputs!$B$13*(A1479-AC1479)</f>
        <v>892.966822134287</v>
      </c>
      <c r="AJ1479" s="10" t="n">
        <v>0</v>
      </c>
      <c r="AK1479" s="8" t="n">
        <f aca="false">IF(AND(B1479&lt;=U1479,NOT(Q1479)),B1479,U1479)*(1-Inputs!$B$12)</f>
        <v>0.820612905592875</v>
      </c>
    </row>
    <row r="1480" customFormat="false" ht="15" hidden="false" customHeight="false" outlineLevel="0" collapsed="false">
      <c r="A1480" s="6" t="n">
        <v>46264</v>
      </c>
      <c r="B1480" s="7" t="n">
        <v>0.819295897240299</v>
      </c>
      <c r="C1480" s="7" t="n">
        <v>0.821786009424928</v>
      </c>
      <c r="D1480" s="7" t="n">
        <v>0.815717230335332</v>
      </c>
      <c r="E1480" s="7" t="n">
        <v>0.81586973193478</v>
      </c>
      <c r="F1480" s="8" t="n">
        <f aca="true">IF(ROW()-2&gt;=Inputs!$B$4,AVERAGE(OFFSET(E1480,1-Inputs!$B$4,0,Inputs!$B$4,1)),"")</f>
        <v>0.82235381160913</v>
      </c>
      <c r="G1480" s="8" t="n">
        <f aca="true">IF(ROW()-2&gt;=Inputs!$B$5,AVERAGE(OFFSET(E1480,1-Inputs!$B$5,0,Inputs!$B$5,1)),"")</f>
        <v>0.830250907051327</v>
      </c>
      <c r="H1480" s="8" t="n">
        <f aca="false">MAX(C1480-D1480,ABS(C1480-E1479),ABS(D1480-E1479))</f>
        <v>0.00606877908959624</v>
      </c>
      <c r="I1480" s="8" t="n">
        <f aca="true">IF(ROW()-2&lt;14,"",IF(ROW()-2=14,AVERAGE(OFFSET(H1480,-13,0,14,1)),(I1479*13+H1480)/14))</f>
        <v>0.00780863979147428</v>
      </c>
      <c r="J1480" s="9" t="b">
        <f aca="false">IF(AND(ISNUMBER(F1480),ISNUMBER(G1480),ISNUMBER(F1479),ISNUMBER(G1479)),AND(F1480&gt;G1480,F1479&lt;=G1479),FALSE())</f>
        <v>0</v>
      </c>
      <c r="K1480" s="9" t="b">
        <f aca="false">IF(AND(ISNUMBER(F1480),ISNUMBER(G1480),ISNUMBER(F1479),ISNUMBER(G1479)),AND(F1480&lt;G1480,F1479&gt;=G1479),FALSE())</f>
        <v>0</v>
      </c>
      <c r="L1480" s="8" t="n">
        <f aca="false">IF(ISNUMBER(I1480),E1480-Inputs!$B$6*I1480,"")</f>
        <v>0.800252452351831</v>
      </c>
      <c r="M1480" s="9" t="b">
        <f aca="false">AND(Y1479&gt;0,Z1479)</f>
        <v>0</v>
      </c>
      <c r="N1480" s="8" t="n">
        <f aca="false">B1480*(1-Inputs!$B$12)</f>
        <v>0.819132038060851</v>
      </c>
      <c r="O1480" s="10" t="n">
        <f aca="false">IF(M1480,Y1479*(N1480-AB1479)-Inputs!$B$9-Y1479*AD1479*Inputs!$B$13*(A1480-AC1479),0)</f>
        <v>0</v>
      </c>
      <c r="P1480" s="10" t="n">
        <f aca="false">X1479+O1480</f>
        <v>892.966822134287</v>
      </c>
      <c r="Q1480" s="9" t="b">
        <f aca="false">AND(IF(M1480,0,Y1479)=0,AA1479,IF(ISNUMBER(AE1479),B1480&gt;AE1479,FALSE()))</f>
        <v>0</v>
      </c>
      <c r="R1480" s="8" t="n">
        <f aca="false">B1480*(1+Inputs!$B$12)</f>
        <v>0.819459756419747</v>
      </c>
      <c r="S1480" s="11" t="n">
        <f aca="false">IF(Q1480,MIN(P1480*Inputs!$B$3/(R1480-AE1479),P1480*Inputs!$B$11/R1480),0)</f>
        <v>0</v>
      </c>
      <c r="T1480" s="11" t="n">
        <f aca="false">IF(Q1480,S1480,IF(M1480,0,Y1479))</f>
        <v>0</v>
      </c>
      <c r="U1480" s="8" t="n">
        <f aca="false">IF(Q1480,AE1479,AF1479)</f>
        <v>0.847434384754863</v>
      </c>
      <c r="V1480" s="9" t="b">
        <f aca="false">AND(T1480&gt;0,D1480&lt;=U1480)</f>
        <v>0</v>
      </c>
      <c r="W1480" s="10" t="n">
        <f aca="false">IF(V1480,T1480*(AK1480-AB1480)-Inputs!$B$9-T1480*AD1480*Inputs!$B$13*(A1480-AC1480),0)</f>
        <v>0</v>
      </c>
      <c r="X1480" s="10" t="n">
        <f aca="false">P1480-IF(Q1480,Inputs!$B$9,0)+W1480</f>
        <v>892.966822134287</v>
      </c>
      <c r="Y1480" s="11" t="n">
        <f aca="false">IF(V1480,0,T1480)</f>
        <v>0</v>
      </c>
      <c r="Z1480" s="9" t="b">
        <f aca="false">AND(Y1480&gt;0,K1480)</f>
        <v>0</v>
      </c>
      <c r="AA1480" s="9" t="b">
        <f aca="false">AND(Y1480=0,J1480,ISNUMBER(L1480))</f>
        <v>0</v>
      </c>
      <c r="AB1480" s="8" t="n">
        <f aca="false">IF(Q1480,R1480,AB1479)</f>
        <v>0.866249784733642</v>
      </c>
      <c r="AC1480" s="12" t="n">
        <f aca="false">IF(Q1480,A1480,AC1479)</f>
        <v>46233</v>
      </c>
      <c r="AD1480" s="8" t="n">
        <f aca="false">IF(Q1480,B1480,AD1479)</f>
        <v>0.866076569419758</v>
      </c>
      <c r="AE1480" s="8" t="str">
        <f aca="false">IF(AA1480,L1480,"")</f>
        <v/>
      </c>
      <c r="AF1480" s="8" t="n">
        <f aca="false">U1480</f>
        <v>0.847434384754863</v>
      </c>
      <c r="AG1480" s="2" t="n">
        <f aca="false">AG1479+IF(Q1480,1,0)</f>
        <v>17</v>
      </c>
      <c r="AH1480" s="2" t="n">
        <f aca="false">AG1479</f>
        <v>17</v>
      </c>
      <c r="AI1480" s="10" t="n">
        <f aca="false">X1480+Y1480*(E1480-AB1480)-Y1480*AD1480*Inputs!$B$13*(A1480-AC1480)</f>
        <v>892.966822134287</v>
      </c>
      <c r="AJ1480" s="10" t="n">
        <v>0</v>
      </c>
      <c r="AK1480" s="8" t="n">
        <f aca="false">IF(AND(B1480&lt;=U1480,NOT(Q1480)),B1480,U1480)*(1-Inputs!$B$12)</f>
        <v>0.819132038060851</v>
      </c>
    </row>
    <row r="1481" customFormat="false" ht="15" hidden="false" customHeight="false" outlineLevel="0" collapsed="false">
      <c r="A1481" s="6" t="n">
        <v>46265</v>
      </c>
      <c r="B1481" s="7" t="n">
        <v>0.81586973193478</v>
      </c>
      <c r="C1481" s="7" t="n">
        <v>0.829790742173297</v>
      </c>
      <c r="D1481" s="7" t="n">
        <v>0.813442915348207</v>
      </c>
      <c r="E1481" s="7" t="n">
        <v>0.827605252874755</v>
      </c>
      <c r="F1481" s="8" t="n">
        <f aca="true">IF(ROW()-2&gt;=Inputs!$B$4,AVERAGE(OFFSET(E1481,1-Inputs!$B$4,0,Inputs!$B$4,1)),"")</f>
        <v>0.822136149611324</v>
      </c>
      <c r="G1481" s="8" t="n">
        <f aca="true">IF(ROW()-2&gt;=Inputs!$B$5,AVERAGE(OFFSET(E1481,1-Inputs!$B$5,0,Inputs!$B$5,1)),"")</f>
        <v>0.830522646022399</v>
      </c>
      <c r="H1481" s="8" t="n">
        <f aca="false">MAX(C1481-D1481,ABS(C1481-E1480),ABS(D1481-E1480))</f>
        <v>0.0163478268250903</v>
      </c>
      <c r="I1481" s="8" t="n">
        <f aca="true">IF(ROW()-2&lt;14,"",IF(ROW()-2=14,AVERAGE(OFFSET(H1481,-13,0,14,1)),(I1480*13+H1481)/14))</f>
        <v>0.00841858172244685</v>
      </c>
      <c r="J1481" s="9" t="b">
        <f aca="false">IF(AND(ISNUMBER(F1481),ISNUMBER(G1481),ISNUMBER(F1480),ISNUMBER(G1480)),AND(F1481&gt;G1481,F1480&lt;=G1480),FALSE())</f>
        <v>0</v>
      </c>
      <c r="K1481" s="9" t="b">
        <f aca="false">IF(AND(ISNUMBER(F1481),ISNUMBER(G1481),ISNUMBER(F1480),ISNUMBER(G1480)),AND(F1481&lt;G1481,F1480&gt;=G1480),FALSE())</f>
        <v>0</v>
      </c>
      <c r="L1481" s="8" t="n">
        <f aca="false">IF(ISNUMBER(I1481),E1481-Inputs!$B$6*I1481,"")</f>
        <v>0.810768089429861</v>
      </c>
      <c r="M1481" s="9" t="b">
        <f aca="false">AND(Y1480&gt;0,Z1480)</f>
        <v>0</v>
      </c>
      <c r="N1481" s="8" t="n">
        <f aca="false">B1481*(1-Inputs!$B$12)</f>
        <v>0.815706557988393</v>
      </c>
      <c r="O1481" s="10" t="n">
        <f aca="false">IF(M1481,Y1480*(N1481-AB1480)-Inputs!$B$9-Y1480*AD1480*Inputs!$B$13*(A1481-AC1480),0)</f>
        <v>0</v>
      </c>
      <c r="P1481" s="10" t="n">
        <f aca="false">X1480+O1481</f>
        <v>892.966822134287</v>
      </c>
      <c r="Q1481" s="9" t="b">
        <f aca="false">AND(IF(M1481,0,Y1480)=0,AA1480,IF(ISNUMBER(AE1480),B1481&gt;AE1480,FALSE()))</f>
        <v>0</v>
      </c>
      <c r="R1481" s="8" t="n">
        <f aca="false">B1481*(1+Inputs!$B$12)</f>
        <v>0.816032905881167</v>
      </c>
      <c r="S1481" s="11" t="n">
        <f aca="false">IF(Q1481,MIN(P1481*Inputs!$B$3/(R1481-AE1480),P1481*Inputs!$B$11/R1481),0)</f>
        <v>0</v>
      </c>
      <c r="T1481" s="11" t="n">
        <f aca="false">IF(Q1481,S1481,IF(M1481,0,Y1480))</f>
        <v>0</v>
      </c>
      <c r="U1481" s="8" t="n">
        <f aca="false">IF(Q1481,AE1480,AF1480)</f>
        <v>0.847434384754863</v>
      </c>
      <c r="V1481" s="9" t="b">
        <f aca="false">AND(T1481&gt;0,D1481&lt;=U1481)</f>
        <v>0</v>
      </c>
      <c r="W1481" s="10" t="n">
        <f aca="false">IF(V1481,T1481*(AK1481-AB1481)-Inputs!$B$9-T1481*AD1481*Inputs!$B$13*(A1481-AC1481),0)</f>
        <v>0</v>
      </c>
      <c r="X1481" s="10" t="n">
        <f aca="false">P1481-IF(Q1481,Inputs!$B$9,0)+W1481</f>
        <v>892.966822134287</v>
      </c>
      <c r="Y1481" s="11" t="n">
        <f aca="false">IF(V1481,0,T1481)</f>
        <v>0</v>
      </c>
      <c r="Z1481" s="9" t="b">
        <f aca="false">AND(Y1481&gt;0,K1481)</f>
        <v>0</v>
      </c>
      <c r="AA1481" s="9" t="b">
        <f aca="false">AND(Y1481=0,J1481,ISNUMBER(L1481))</f>
        <v>0</v>
      </c>
      <c r="AB1481" s="8" t="n">
        <f aca="false">IF(Q1481,R1481,AB1480)</f>
        <v>0.866249784733642</v>
      </c>
      <c r="AC1481" s="12" t="n">
        <f aca="false">IF(Q1481,A1481,AC1480)</f>
        <v>46233</v>
      </c>
      <c r="AD1481" s="8" t="n">
        <f aca="false">IF(Q1481,B1481,AD1480)</f>
        <v>0.866076569419758</v>
      </c>
      <c r="AE1481" s="8" t="str">
        <f aca="false">IF(AA1481,L1481,"")</f>
        <v/>
      </c>
      <c r="AF1481" s="8" t="n">
        <f aca="false">U1481</f>
        <v>0.847434384754863</v>
      </c>
      <c r="AG1481" s="2" t="n">
        <f aca="false">AG1480+IF(Q1481,1,0)</f>
        <v>17</v>
      </c>
      <c r="AH1481" s="2" t="n">
        <f aca="false">AG1480</f>
        <v>17</v>
      </c>
      <c r="AI1481" s="10" t="n">
        <f aca="false">X1481+Y1481*(E1481-AB1481)-Y1481*AD1481*Inputs!$B$13*(A1481-AC1481)</f>
        <v>892.966822134287</v>
      </c>
      <c r="AJ1481" s="10" t="n">
        <v>0</v>
      </c>
      <c r="AK1481" s="8" t="n">
        <f aca="false">IF(AND(B1481&lt;=U1481,NOT(Q1481)),B1481,U1481)*(1-Inputs!$B$12)</f>
        <v>0.815706557988393</v>
      </c>
    </row>
    <row r="1482" customFormat="false" ht="15" hidden="false" customHeight="false" outlineLevel="0" collapsed="false">
      <c r="A1482" s="6" t="n">
        <v>46266</v>
      </c>
      <c r="B1482" s="7" t="n">
        <v>0.827605252874755</v>
      </c>
      <c r="C1482" s="7" t="n">
        <v>0.831813172210582</v>
      </c>
      <c r="D1482" s="7" t="n">
        <v>0.821937518054056</v>
      </c>
      <c r="E1482" s="7" t="n">
        <v>0.826167743244048</v>
      </c>
      <c r="F1482" s="8" t="n">
        <f aca="true">IF(ROW()-2&gt;=Inputs!$B$4,AVERAGE(OFFSET(E1482,1-Inputs!$B$4,0,Inputs!$B$4,1)),"")</f>
        <v>0.8217387333619</v>
      </c>
      <c r="G1482" s="8" t="n">
        <f aca="true">IF(ROW()-2&gt;=Inputs!$B$5,AVERAGE(OFFSET(E1482,1-Inputs!$B$5,0,Inputs!$B$5,1)),"")</f>
        <v>0.830798466506582</v>
      </c>
      <c r="H1482" s="8" t="n">
        <f aca="false">MAX(C1482-D1482,ABS(C1482-E1481),ABS(D1482-E1481))</f>
        <v>0.00987565415652569</v>
      </c>
      <c r="I1482" s="8" t="n">
        <f aca="true">IF(ROW()-2&lt;14,"",IF(ROW()-2=14,AVERAGE(OFFSET(H1482,-13,0,14,1)),(I1481*13+H1482)/14))</f>
        <v>0.00852265832488105</v>
      </c>
      <c r="J1482" s="9" t="b">
        <f aca="false">IF(AND(ISNUMBER(F1482),ISNUMBER(G1482),ISNUMBER(F1481),ISNUMBER(G1481)),AND(F1482&gt;G1482,F1481&lt;=G1481),FALSE())</f>
        <v>0</v>
      </c>
      <c r="K1482" s="9" t="b">
        <f aca="false">IF(AND(ISNUMBER(F1482),ISNUMBER(G1482),ISNUMBER(F1481),ISNUMBER(G1481)),AND(F1482&lt;G1482,F1481&gt;=G1481),FALSE())</f>
        <v>0</v>
      </c>
      <c r="L1482" s="8" t="n">
        <f aca="false">IF(ISNUMBER(I1482),E1482-Inputs!$B$6*I1482,"")</f>
        <v>0.809122426594286</v>
      </c>
      <c r="M1482" s="9" t="b">
        <f aca="false">AND(Y1481&gt;0,Z1481)</f>
        <v>0</v>
      </c>
      <c r="N1482" s="8" t="n">
        <f aca="false">B1482*(1-Inputs!$B$12)</f>
        <v>0.82743973182418</v>
      </c>
      <c r="O1482" s="10" t="n">
        <f aca="false">IF(M1482,Y1481*(N1482-AB1481)-Inputs!$B$9-Y1481*AD1481*Inputs!$B$13*(A1482-AC1481),0)</f>
        <v>0</v>
      </c>
      <c r="P1482" s="10" t="n">
        <f aca="false">X1481+O1482</f>
        <v>892.966822134287</v>
      </c>
      <c r="Q1482" s="9" t="b">
        <f aca="false">AND(IF(M1482,0,Y1481)=0,AA1481,IF(ISNUMBER(AE1481),B1482&gt;AE1481,FALSE()))</f>
        <v>0</v>
      </c>
      <c r="R1482" s="8" t="n">
        <f aca="false">B1482*(1+Inputs!$B$12)</f>
        <v>0.82777077392533</v>
      </c>
      <c r="S1482" s="11" t="n">
        <f aca="false">IF(Q1482,MIN(P1482*Inputs!$B$3/(R1482-AE1481),P1482*Inputs!$B$11/R1482),0)</f>
        <v>0</v>
      </c>
      <c r="T1482" s="11" t="n">
        <f aca="false">IF(Q1482,S1482,IF(M1482,0,Y1481))</f>
        <v>0</v>
      </c>
      <c r="U1482" s="8" t="n">
        <f aca="false">IF(Q1482,AE1481,AF1481)</f>
        <v>0.847434384754863</v>
      </c>
      <c r="V1482" s="9" t="b">
        <f aca="false">AND(T1482&gt;0,D1482&lt;=U1482)</f>
        <v>0</v>
      </c>
      <c r="W1482" s="10" t="n">
        <f aca="false">IF(V1482,T1482*(AK1482-AB1482)-Inputs!$B$9-T1482*AD1482*Inputs!$B$13*(A1482-AC1482),0)</f>
        <v>0</v>
      </c>
      <c r="X1482" s="10" t="n">
        <f aca="false">P1482-IF(Q1482,Inputs!$B$9,0)+W1482</f>
        <v>892.966822134287</v>
      </c>
      <c r="Y1482" s="11" t="n">
        <f aca="false">IF(V1482,0,T1482)</f>
        <v>0</v>
      </c>
      <c r="Z1482" s="9" t="b">
        <f aca="false">AND(Y1482&gt;0,K1482)</f>
        <v>0</v>
      </c>
      <c r="AA1482" s="9" t="b">
        <f aca="false">AND(Y1482=0,J1482,ISNUMBER(L1482))</f>
        <v>0</v>
      </c>
      <c r="AB1482" s="8" t="n">
        <f aca="false">IF(Q1482,R1482,AB1481)</f>
        <v>0.866249784733642</v>
      </c>
      <c r="AC1482" s="12" t="n">
        <f aca="false">IF(Q1482,A1482,AC1481)</f>
        <v>46233</v>
      </c>
      <c r="AD1482" s="8" t="n">
        <f aca="false">IF(Q1482,B1482,AD1481)</f>
        <v>0.866076569419758</v>
      </c>
      <c r="AE1482" s="8" t="str">
        <f aca="false">IF(AA1482,L1482,"")</f>
        <v/>
      </c>
      <c r="AF1482" s="8" t="n">
        <f aca="false">U1482</f>
        <v>0.847434384754863</v>
      </c>
      <c r="AG1482" s="2" t="n">
        <f aca="false">AG1481+IF(Q1482,1,0)</f>
        <v>17</v>
      </c>
      <c r="AH1482" s="2" t="n">
        <f aca="false">AG1481</f>
        <v>17</v>
      </c>
      <c r="AI1482" s="10" t="n">
        <f aca="false">X1482+Y1482*(E1482-AB1482)-Y1482*AD1482*Inputs!$B$13*(A1482-AC1482)</f>
        <v>892.966822134287</v>
      </c>
      <c r="AJ1482" s="10" t="n">
        <v>0</v>
      </c>
      <c r="AK1482" s="8" t="n">
        <f aca="false">IF(AND(B1482&lt;=U1482,NOT(Q1482)),B1482,U1482)*(1-Inputs!$B$12)</f>
        <v>0.82743973182418</v>
      </c>
    </row>
    <row r="1483" customFormat="false" ht="15" hidden="false" customHeight="false" outlineLevel="0" collapsed="false">
      <c r="A1483" s="6" t="n">
        <v>46267</v>
      </c>
      <c r="B1483" s="7" t="n">
        <v>0.826167743244048</v>
      </c>
      <c r="C1483" s="7" t="n">
        <v>0.826901488877111</v>
      </c>
      <c r="D1483" s="7" t="n">
        <v>0.819034837058362</v>
      </c>
      <c r="E1483" s="7" t="n">
        <v>0.821583920552875</v>
      </c>
      <c r="F1483" s="8" t="n">
        <f aca="true">IF(ROW()-2&gt;=Inputs!$B$4,AVERAGE(OFFSET(E1483,1-Inputs!$B$4,0,Inputs!$B$4,1)),"")</f>
        <v>0.821114131612865</v>
      </c>
      <c r="G1483" s="8" t="n">
        <f aca="true">IF(ROW()-2&gt;=Inputs!$B$5,AVERAGE(OFFSET(E1483,1-Inputs!$B$5,0,Inputs!$B$5,1)),"")</f>
        <v>0.831106318600069</v>
      </c>
      <c r="H1483" s="8" t="n">
        <f aca="false">MAX(C1483-D1483,ABS(C1483-E1482),ABS(D1483-E1482))</f>
        <v>0.00786665181874935</v>
      </c>
      <c r="I1483" s="8" t="n">
        <f aca="true">IF(ROW()-2&lt;14,"",IF(ROW()-2=14,AVERAGE(OFFSET(H1483,-13,0,14,1)),(I1482*13+H1483)/14))</f>
        <v>0.00847580071730022</v>
      </c>
      <c r="J1483" s="9" t="b">
        <f aca="false">IF(AND(ISNUMBER(F1483),ISNUMBER(G1483),ISNUMBER(F1482),ISNUMBER(G1482)),AND(F1483&gt;G1483,F1482&lt;=G1482),FALSE())</f>
        <v>0</v>
      </c>
      <c r="K1483" s="9" t="b">
        <f aca="false">IF(AND(ISNUMBER(F1483),ISNUMBER(G1483),ISNUMBER(F1482),ISNUMBER(G1482)),AND(F1483&lt;G1483,F1482&gt;=G1482),FALSE())</f>
        <v>0</v>
      </c>
      <c r="L1483" s="8" t="n">
        <f aca="false">IF(ISNUMBER(I1483),E1483-Inputs!$B$6*I1483,"")</f>
        <v>0.804632319118275</v>
      </c>
      <c r="M1483" s="9" t="b">
        <f aca="false">AND(Y1482&gt;0,Z1482)</f>
        <v>0</v>
      </c>
      <c r="N1483" s="8" t="n">
        <f aca="false">B1483*(1-Inputs!$B$12)</f>
        <v>0.826002509695399</v>
      </c>
      <c r="O1483" s="10" t="n">
        <f aca="false">IF(M1483,Y1482*(N1483-AB1482)-Inputs!$B$9-Y1482*AD1482*Inputs!$B$13*(A1483-AC1482),0)</f>
        <v>0</v>
      </c>
      <c r="P1483" s="10" t="n">
        <f aca="false">X1482+O1483</f>
        <v>892.966822134287</v>
      </c>
      <c r="Q1483" s="9" t="b">
        <f aca="false">AND(IF(M1483,0,Y1482)=0,AA1482,IF(ISNUMBER(AE1482),B1483&gt;AE1482,FALSE()))</f>
        <v>0</v>
      </c>
      <c r="R1483" s="8" t="n">
        <f aca="false">B1483*(1+Inputs!$B$12)</f>
        <v>0.826332976792697</v>
      </c>
      <c r="S1483" s="11" t="n">
        <f aca="false">IF(Q1483,MIN(P1483*Inputs!$B$3/(R1483-AE1482),P1483*Inputs!$B$11/R1483),0)</f>
        <v>0</v>
      </c>
      <c r="T1483" s="11" t="n">
        <f aca="false">IF(Q1483,S1483,IF(M1483,0,Y1482))</f>
        <v>0</v>
      </c>
      <c r="U1483" s="8" t="n">
        <f aca="false">IF(Q1483,AE1482,AF1482)</f>
        <v>0.847434384754863</v>
      </c>
      <c r="V1483" s="9" t="b">
        <f aca="false">AND(T1483&gt;0,D1483&lt;=U1483)</f>
        <v>0</v>
      </c>
      <c r="W1483" s="10" t="n">
        <f aca="false">IF(V1483,T1483*(AK1483-AB1483)-Inputs!$B$9-T1483*AD1483*Inputs!$B$13*(A1483-AC1483),0)</f>
        <v>0</v>
      </c>
      <c r="X1483" s="10" t="n">
        <f aca="false">P1483-IF(Q1483,Inputs!$B$9,0)+W1483</f>
        <v>892.966822134287</v>
      </c>
      <c r="Y1483" s="11" t="n">
        <f aca="false">IF(V1483,0,T1483)</f>
        <v>0</v>
      </c>
      <c r="Z1483" s="9" t="b">
        <f aca="false">AND(Y1483&gt;0,K1483)</f>
        <v>0</v>
      </c>
      <c r="AA1483" s="9" t="b">
        <f aca="false">AND(Y1483=0,J1483,ISNUMBER(L1483))</f>
        <v>0</v>
      </c>
      <c r="AB1483" s="8" t="n">
        <f aca="false">IF(Q1483,R1483,AB1482)</f>
        <v>0.866249784733642</v>
      </c>
      <c r="AC1483" s="12" t="n">
        <f aca="false">IF(Q1483,A1483,AC1482)</f>
        <v>46233</v>
      </c>
      <c r="AD1483" s="8" t="n">
        <f aca="false">IF(Q1483,B1483,AD1482)</f>
        <v>0.866076569419758</v>
      </c>
      <c r="AE1483" s="8" t="str">
        <f aca="false">IF(AA1483,L1483,"")</f>
        <v/>
      </c>
      <c r="AF1483" s="8" t="n">
        <f aca="false">U1483</f>
        <v>0.847434384754863</v>
      </c>
      <c r="AG1483" s="2" t="n">
        <f aca="false">AG1482+IF(Q1483,1,0)</f>
        <v>17</v>
      </c>
      <c r="AH1483" s="2" t="n">
        <f aca="false">AG1482</f>
        <v>17</v>
      </c>
      <c r="AI1483" s="10" t="n">
        <f aca="false">X1483+Y1483*(E1483-AB1483)-Y1483*AD1483*Inputs!$B$13*(A1483-AC1483)</f>
        <v>892.966822134287</v>
      </c>
      <c r="AJ1483" s="10" t="n">
        <v>0</v>
      </c>
      <c r="AK1483" s="8" t="n">
        <f aca="false">IF(AND(B1483&lt;=U1483,NOT(Q1483)),B1483,U1483)*(1-Inputs!$B$12)</f>
        <v>0.826002509695399</v>
      </c>
    </row>
    <row r="1484" customFormat="false" ht="15" hidden="false" customHeight="false" outlineLevel="0" collapsed="false">
      <c r="A1484" s="6" t="n">
        <v>46268</v>
      </c>
      <c r="B1484" s="7" t="n">
        <v>0.821583920552875</v>
      </c>
      <c r="C1484" s="7" t="n">
        <v>0.824235303735066</v>
      </c>
      <c r="D1484" s="7" t="n">
        <v>0.820925959111202</v>
      </c>
      <c r="E1484" s="7" t="n">
        <v>0.824226373673709</v>
      </c>
      <c r="F1484" s="8" t="n">
        <f aca="true">IF(ROW()-2&gt;=Inputs!$B$4,AVERAGE(OFFSET(E1484,1-Inputs!$B$4,0,Inputs!$B$4,1)),"")</f>
        <v>0.8206972937158</v>
      </c>
      <c r="G1484" s="8" t="n">
        <f aca="true">IF(ROW()-2&gt;=Inputs!$B$5,AVERAGE(OFFSET(E1484,1-Inputs!$B$5,0,Inputs!$B$5,1)),"")</f>
        <v>0.831572052501534</v>
      </c>
      <c r="H1484" s="8" t="n">
        <f aca="false">MAX(C1484-D1484,ABS(C1484-E1483),ABS(D1484-E1483))</f>
        <v>0.00330934462386356</v>
      </c>
      <c r="I1484" s="8" t="n">
        <f aca="true">IF(ROW()-2&lt;14,"",IF(ROW()-2=14,AVERAGE(OFFSET(H1484,-13,0,14,1)),(I1483*13+H1484)/14))</f>
        <v>0.0081067681391976</v>
      </c>
      <c r="J1484" s="9" t="b">
        <f aca="false">IF(AND(ISNUMBER(F1484),ISNUMBER(G1484),ISNUMBER(F1483),ISNUMBER(G1483)),AND(F1484&gt;G1484,F1483&lt;=G1483),FALSE())</f>
        <v>0</v>
      </c>
      <c r="K1484" s="9" t="b">
        <f aca="false">IF(AND(ISNUMBER(F1484),ISNUMBER(G1484),ISNUMBER(F1483),ISNUMBER(G1483)),AND(F1484&lt;G1484,F1483&gt;=G1483),FALSE())</f>
        <v>0</v>
      </c>
      <c r="L1484" s="8" t="n">
        <f aca="false">IF(ISNUMBER(I1484),E1484-Inputs!$B$6*I1484,"")</f>
        <v>0.808012837395313</v>
      </c>
      <c r="M1484" s="9" t="b">
        <f aca="false">AND(Y1483&gt;0,Z1483)</f>
        <v>0</v>
      </c>
      <c r="N1484" s="8" t="n">
        <f aca="false">B1484*(1-Inputs!$B$12)</f>
        <v>0.821419603768765</v>
      </c>
      <c r="O1484" s="10" t="n">
        <f aca="false">IF(M1484,Y1483*(N1484-AB1483)-Inputs!$B$9-Y1483*AD1483*Inputs!$B$13*(A1484-AC1483),0)</f>
        <v>0</v>
      </c>
      <c r="P1484" s="10" t="n">
        <f aca="false">X1483+O1484</f>
        <v>892.966822134287</v>
      </c>
      <c r="Q1484" s="9" t="b">
        <f aca="false">AND(IF(M1484,0,Y1483)=0,AA1483,IF(ISNUMBER(AE1483),B1484&gt;AE1483,FALSE()))</f>
        <v>0</v>
      </c>
      <c r="R1484" s="8" t="n">
        <f aca="false">B1484*(1+Inputs!$B$12)</f>
        <v>0.821748237336986</v>
      </c>
      <c r="S1484" s="11" t="n">
        <f aca="false">IF(Q1484,MIN(P1484*Inputs!$B$3/(R1484-AE1483),P1484*Inputs!$B$11/R1484),0)</f>
        <v>0</v>
      </c>
      <c r="T1484" s="11" t="n">
        <f aca="false">IF(Q1484,S1484,IF(M1484,0,Y1483))</f>
        <v>0</v>
      </c>
      <c r="U1484" s="8" t="n">
        <f aca="false">IF(Q1484,AE1483,AF1483)</f>
        <v>0.847434384754863</v>
      </c>
      <c r="V1484" s="9" t="b">
        <f aca="false">AND(T1484&gt;0,D1484&lt;=U1484)</f>
        <v>0</v>
      </c>
      <c r="W1484" s="10" t="n">
        <f aca="false">IF(V1484,T1484*(AK1484-AB1484)-Inputs!$B$9-T1484*AD1484*Inputs!$B$13*(A1484-AC1484),0)</f>
        <v>0</v>
      </c>
      <c r="X1484" s="10" t="n">
        <f aca="false">P1484-IF(Q1484,Inputs!$B$9,0)+W1484</f>
        <v>892.966822134287</v>
      </c>
      <c r="Y1484" s="11" t="n">
        <f aca="false">IF(V1484,0,T1484)</f>
        <v>0</v>
      </c>
      <c r="Z1484" s="9" t="b">
        <f aca="false">AND(Y1484&gt;0,K1484)</f>
        <v>0</v>
      </c>
      <c r="AA1484" s="9" t="b">
        <f aca="false">AND(Y1484=0,J1484,ISNUMBER(L1484))</f>
        <v>0</v>
      </c>
      <c r="AB1484" s="8" t="n">
        <f aca="false">IF(Q1484,R1484,AB1483)</f>
        <v>0.866249784733642</v>
      </c>
      <c r="AC1484" s="12" t="n">
        <f aca="false">IF(Q1484,A1484,AC1483)</f>
        <v>46233</v>
      </c>
      <c r="AD1484" s="8" t="n">
        <f aca="false">IF(Q1484,B1484,AD1483)</f>
        <v>0.866076569419758</v>
      </c>
      <c r="AE1484" s="8" t="str">
        <f aca="false">IF(AA1484,L1484,"")</f>
        <v/>
      </c>
      <c r="AF1484" s="8" t="n">
        <f aca="false">U1484</f>
        <v>0.847434384754863</v>
      </c>
      <c r="AG1484" s="2" t="n">
        <f aca="false">AG1483+IF(Q1484,1,0)</f>
        <v>17</v>
      </c>
      <c r="AH1484" s="2" t="n">
        <f aca="false">AG1483</f>
        <v>17</v>
      </c>
      <c r="AI1484" s="10" t="n">
        <f aca="false">X1484+Y1484*(E1484-AB1484)-Y1484*AD1484*Inputs!$B$13*(A1484-AC1484)</f>
        <v>892.966822134287</v>
      </c>
      <c r="AJ1484" s="10" t="n">
        <v>0</v>
      </c>
      <c r="AK1484" s="8" t="n">
        <f aca="false">IF(AND(B1484&lt;=U1484,NOT(Q1484)),B1484,U1484)*(1-Inputs!$B$12)</f>
        <v>0.821419603768765</v>
      </c>
    </row>
    <row r="1485" customFormat="false" ht="15" hidden="false" customHeight="false" outlineLevel="0" collapsed="false">
      <c r="A1485" s="6" t="n">
        <v>46269</v>
      </c>
      <c r="B1485" s="7" t="n">
        <v>0.824226373673709</v>
      </c>
      <c r="C1485" s="7" t="n">
        <v>0.833639298915062</v>
      </c>
      <c r="D1485" s="7" t="n">
        <v>0.820010857627906</v>
      </c>
      <c r="E1485" s="7" t="n">
        <v>0.831303744907493</v>
      </c>
      <c r="F1485" s="8" t="n">
        <f aca="true">IF(ROW()-2&gt;=Inputs!$B$4,AVERAGE(OFFSET(E1485,1-Inputs!$B$4,0,Inputs!$B$4,1)),"")</f>
        <v>0.821038015556022</v>
      </c>
      <c r="G1485" s="8" t="n">
        <f aca="true">IF(ROW()-2&gt;=Inputs!$B$5,AVERAGE(OFFSET(E1485,1-Inputs!$B$5,0,Inputs!$B$5,1)),"")</f>
        <v>0.832059932854877</v>
      </c>
      <c r="H1485" s="8" t="n">
        <f aca="false">MAX(C1485-D1485,ABS(C1485-E1484),ABS(D1485-E1484))</f>
        <v>0.0136284412871561</v>
      </c>
      <c r="I1485" s="8" t="n">
        <f aca="true">IF(ROW()-2&lt;14,"",IF(ROW()-2=14,AVERAGE(OFFSET(H1485,-13,0,14,1)),(I1484*13+H1485)/14))</f>
        <v>0.00850117336405178</v>
      </c>
      <c r="J1485" s="9" t="b">
        <f aca="false">IF(AND(ISNUMBER(F1485),ISNUMBER(G1485),ISNUMBER(F1484),ISNUMBER(G1484)),AND(F1485&gt;G1485,F1484&lt;=G1484),FALSE())</f>
        <v>0</v>
      </c>
      <c r="K1485" s="9" t="b">
        <f aca="false">IF(AND(ISNUMBER(F1485),ISNUMBER(G1485),ISNUMBER(F1484),ISNUMBER(G1484)),AND(F1485&lt;G1485,F1484&gt;=G1484),FALSE())</f>
        <v>0</v>
      </c>
      <c r="L1485" s="8" t="n">
        <f aca="false">IF(ISNUMBER(I1485),E1485-Inputs!$B$6*I1485,"")</f>
        <v>0.81430139817939</v>
      </c>
      <c r="M1485" s="9" t="b">
        <f aca="false">AND(Y1484&gt;0,Z1484)</f>
        <v>0</v>
      </c>
      <c r="N1485" s="8" t="n">
        <f aca="false">B1485*(1-Inputs!$B$12)</f>
        <v>0.824061528398974</v>
      </c>
      <c r="O1485" s="10" t="n">
        <f aca="false">IF(M1485,Y1484*(N1485-AB1484)-Inputs!$B$9-Y1484*AD1484*Inputs!$B$13*(A1485-AC1484),0)</f>
        <v>0</v>
      </c>
      <c r="P1485" s="10" t="n">
        <f aca="false">X1484+O1485</f>
        <v>892.966822134287</v>
      </c>
      <c r="Q1485" s="9" t="b">
        <f aca="false">AND(IF(M1485,0,Y1484)=0,AA1484,IF(ISNUMBER(AE1484),B1485&gt;AE1484,FALSE()))</f>
        <v>0</v>
      </c>
      <c r="R1485" s="8" t="n">
        <f aca="false">B1485*(1+Inputs!$B$12)</f>
        <v>0.824391218948443</v>
      </c>
      <c r="S1485" s="11" t="n">
        <f aca="false">IF(Q1485,MIN(P1485*Inputs!$B$3/(R1485-AE1484),P1485*Inputs!$B$11/R1485),0)</f>
        <v>0</v>
      </c>
      <c r="T1485" s="11" t="n">
        <f aca="false">IF(Q1485,S1485,IF(M1485,0,Y1484))</f>
        <v>0</v>
      </c>
      <c r="U1485" s="8" t="n">
        <f aca="false">IF(Q1485,AE1484,AF1484)</f>
        <v>0.847434384754863</v>
      </c>
      <c r="V1485" s="9" t="b">
        <f aca="false">AND(T1485&gt;0,D1485&lt;=U1485)</f>
        <v>0</v>
      </c>
      <c r="W1485" s="10" t="n">
        <f aca="false">IF(V1485,T1485*(AK1485-AB1485)-Inputs!$B$9-T1485*AD1485*Inputs!$B$13*(A1485-AC1485),0)</f>
        <v>0</v>
      </c>
      <c r="X1485" s="10" t="n">
        <f aca="false">P1485-IF(Q1485,Inputs!$B$9,0)+W1485</f>
        <v>892.966822134287</v>
      </c>
      <c r="Y1485" s="11" t="n">
        <f aca="false">IF(V1485,0,T1485)</f>
        <v>0</v>
      </c>
      <c r="Z1485" s="9" t="b">
        <f aca="false">AND(Y1485&gt;0,K1485)</f>
        <v>0</v>
      </c>
      <c r="AA1485" s="9" t="b">
        <f aca="false">AND(Y1485=0,J1485,ISNUMBER(L1485))</f>
        <v>0</v>
      </c>
      <c r="AB1485" s="8" t="n">
        <f aca="false">IF(Q1485,R1485,AB1484)</f>
        <v>0.866249784733642</v>
      </c>
      <c r="AC1485" s="12" t="n">
        <f aca="false">IF(Q1485,A1485,AC1484)</f>
        <v>46233</v>
      </c>
      <c r="AD1485" s="8" t="n">
        <f aca="false">IF(Q1485,B1485,AD1484)</f>
        <v>0.866076569419758</v>
      </c>
      <c r="AE1485" s="8" t="str">
        <f aca="false">IF(AA1485,L1485,"")</f>
        <v/>
      </c>
      <c r="AF1485" s="8" t="n">
        <f aca="false">U1485</f>
        <v>0.847434384754863</v>
      </c>
      <c r="AG1485" s="2" t="n">
        <f aca="false">AG1484+IF(Q1485,1,0)</f>
        <v>17</v>
      </c>
      <c r="AH1485" s="2" t="n">
        <f aca="false">AG1484</f>
        <v>17</v>
      </c>
      <c r="AI1485" s="10" t="n">
        <f aca="false">X1485+Y1485*(E1485-AB1485)-Y1485*AD1485*Inputs!$B$13*(A1485-AC1485)</f>
        <v>892.966822134287</v>
      </c>
      <c r="AJ1485" s="10" t="n">
        <v>0</v>
      </c>
      <c r="AK1485" s="8" t="n">
        <f aca="false">IF(AND(B1485&lt;=U1485,NOT(Q1485)),B1485,U1485)*(1-Inputs!$B$12)</f>
        <v>0.824061528398974</v>
      </c>
    </row>
    <row r="1486" customFormat="false" ht="15" hidden="false" customHeight="false" outlineLevel="0" collapsed="false">
      <c r="A1486" s="6" t="n">
        <v>46270</v>
      </c>
      <c r="B1486" s="7" t="n">
        <v>0.831303744907493</v>
      </c>
      <c r="C1486" s="7" t="n">
        <v>0.835532155492632</v>
      </c>
      <c r="D1486" s="7" t="n">
        <v>0.829618945765143</v>
      </c>
      <c r="E1486" s="7" t="n">
        <v>0.833405055468504</v>
      </c>
      <c r="F1486" s="8" t="n">
        <f aca="true">IF(ROW()-2&gt;=Inputs!$B$4,AVERAGE(OFFSET(E1486,1-Inputs!$B$4,0,Inputs!$B$4,1)),"")</f>
        <v>0.821381087786691</v>
      </c>
      <c r="G1486" s="8" t="n">
        <f aca="true">IF(ROW()-2&gt;=Inputs!$B$5,AVERAGE(OFFSET(E1486,1-Inputs!$B$5,0,Inputs!$B$5,1)),"")</f>
        <v>0.832549976714183</v>
      </c>
      <c r="H1486" s="8" t="n">
        <f aca="false">MAX(C1486-D1486,ABS(C1486-E1485),ABS(D1486-E1485))</f>
        <v>0.00591320972748843</v>
      </c>
      <c r="I1486" s="8" t="n">
        <f aca="true">IF(ROW()-2&lt;14,"",IF(ROW()-2=14,AVERAGE(OFFSET(H1486,-13,0,14,1)),(I1485*13+H1486)/14))</f>
        <v>0.00831631881858297</v>
      </c>
      <c r="J1486" s="9" t="b">
        <f aca="false">IF(AND(ISNUMBER(F1486),ISNUMBER(G1486),ISNUMBER(F1485),ISNUMBER(G1485)),AND(F1486&gt;G1486,F1485&lt;=G1485),FALSE())</f>
        <v>0</v>
      </c>
      <c r="K1486" s="9" t="b">
        <f aca="false">IF(AND(ISNUMBER(F1486),ISNUMBER(G1486),ISNUMBER(F1485),ISNUMBER(G1485)),AND(F1486&lt;G1486,F1485&gt;=G1485),FALSE())</f>
        <v>0</v>
      </c>
      <c r="L1486" s="8" t="n">
        <f aca="false">IF(ISNUMBER(I1486),E1486-Inputs!$B$6*I1486,"")</f>
        <v>0.816772417831339</v>
      </c>
      <c r="M1486" s="9" t="b">
        <f aca="false">AND(Y1485&gt;0,Z1485)</f>
        <v>0</v>
      </c>
      <c r="N1486" s="8" t="n">
        <f aca="false">B1486*(1-Inputs!$B$12)</f>
        <v>0.831137484158512</v>
      </c>
      <c r="O1486" s="10" t="n">
        <f aca="false">IF(M1486,Y1485*(N1486-AB1485)-Inputs!$B$9-Y1485*AD1485*Inputs!$B$13*(A1486-AC1485),0)</f>
        <v>0</v>
      </c>
      <c r="P1486" s="10" t="n">
        <f aca="false">X1485+O1486</f>
        <v>892.966822134287</v>
      </c>
      <c r="Q1486" s="9" t="b">
        <f aca="false">AND(IF(M1486,0,Y1485)=0,AA1485,IF(ISNUMBER(AE1485),B1486&gt;AE1485,FALSE()))</f>
        <v>0</v>
      </c>
      <c r="R1486" s="8" t="n">
        <f aca="false">B1486*(1+Inputs!$B$12)</f>
        <v>0.831470005656475</v>
      </c>
      <c r="S1486" s="11" t="n">
        <f aca="false">IF(Q1486,MIN(P1486*Inputs!$B$3/(R1486-AE1485),P1486*Inputs!$B$11/R1486),0)</f>
        <v>0</v>
      </c>
      <c r="T1486" s="11" t="n">
        <f aca="false">IF(Q1486,S1486,IF(M1486,0,Y1485))</f>
        <v>0</v>
      </c>
      <c r="U1486" s="8" t="n">
        <f aca="false">IF(Q1486,AE1485,AF1485)</f>
        <v>0.847434384754863</v>
      </c>
      <c r="V1486" s="9" t="b">
        <f aca="false">AND(T1486&gt;0,D1486&lt;=U1486)</f>
        <v>0</v>
      </c>
      <c r="W1486" s="10" t="n">
        <f aca="false">IF(V1486,T1486*(AK1486-AB1486)-Inputs!$B$9-T1486*AD1486*Inputs!$B$13*(A1486-AC1486),0)</f>
        <v>0</v>
      </c>
      <c r="X1486" s="10" t="n">
        <f aca="false">P1486-IF(Q1486,Inputs!$B$9,0)+W1486</f>
        <v>892.966822134287</v>
      </c>
      <c r="Y1486" s="11" t="n">
        <f aca="false">IF(V1486,0,T1486)</f>
        <v>0</v>
      </c>
      <c r="Z1486" s="9" t="b">
        <f aca="false">AND(Y1486&gt;0,K1486)</f>
        <v>0</v>
      </c>
      <c r="AA1486" s="9" t="b">
        <f aca="false">AND(Y1486=0,J1486,ISNUMBER(L1486))</f>
        <v>0</v>
      </c>
      <c r="AB1486" s="8" t="n">
        <f aca="false">IF(Q1486,R1486,AB1485)</f>
        <v>0.866249784733642</v>
      </c>
      <c r="AC1486" s="12" t="n">
        <f aca="false">IF(Q1486,A1486,AC1485)</f>
        <v>46233</v>
      </c>
      <c r="AD1486" s="8" t="n">
        <f aca="false">IF(Q1486,B1486,AD1485)</f>
        <v>0.866076569419758</v>
      </c>
      <c r="AE1486" s="8" t="str">
        <f aca="false">IF(AA1486,L1486,"")</f>
        <v/>
      </c>
      <c r="AF1486" s="8" t="n">
        <f aca="false">U1486</f>
        <v>0.847434384754863</v>
      </c>
      <c r="AG1486" s="2" t="n">
        <f aca="false">AG1485+IF(Q1486,1,0)</f>
        <v>17</v>
      </c>
      <c r="AH1486" s="2" t="n">
        <f aca="false">AG1485</f>
        <v>17</v>
      </c>
      <c r="AI1486" s="10" t="n">
        <f aca="false">X1486+Y1486*(E1486-AB1486)-Y1486*AD1486*Inputs!$B$13*(A1486-AC1486)</f>
        <v>892.966822134287</v>
      </c>
      <c r="AJ1486" s="10" t="n">
        <v>0</v>
      </c>
      <c r="AK1486" s="8" t="n">
        <f aca="false">IF(AND(B1486&lt;=U1486,NOT(Q1486)),B1486,U1486)*(1-Inputs!$B$12)</f>
        <v>0.831137484158512</v>
      </c>
    </row>
    <row r="1487" customFormat="false" ht="15" hidden="false" customHeight="false" outlineLevel="0" collapsed="false">
      <c r="A1487" s="6" t="n">
        <v>46271</v>
      </c>
      <c r="B1487" s="7" t="n">
        <v>0.833405055468504</v>
      </c>
      <c r="C1487" s="7" t="n">
        <v>0.835610729309209</v>
      </c>
      <c r="D1487" s="7" t="n">
        <v>0.824734279215314</v>
      </c>
      <c r="E1487" s="7" t="n">
        <v>0.825894122002166</v>
      </c>
      <c r="F1487" s="8" t="n">
        <f aca="true">IF(ROW()-2&gt;=Inputs!$B$4,AVERAGE(OFFSET(E1487,1-Inputs!$B$4,0,Inputs!$B$4,1)),"")</f>
        <v>0.821513913049055</v>
      </c>
      <c r="G1487" s="8" t="n">
        <f aca="true">IF(ROW()-2&gt;=Inputs!$B$5,AVERAGE(OFFSET(E1487,1-Inputs!$B$5,0,Inputs!$B$5,1)),"")</f>
        <v>0.832878318857998</v>
      </c>
      <c r="H1487" s="8" t="n">
        <f aca="false">MAX(C1487-D1487,ABS(C1487-E1486),ABS(D1487-E1486))</f>
        <v>0.0108764500938952</v>
      </c>
      <c r="I1487" s="8" t="n">
        <f aca="true">IF(ROW()-2&lt;14,"",IF(ROW()-2=14,AVERAGE(OFFSET(H1487,-13,0,14,1)),(I1486*13+H1487)/14))</f>
        <v>0.00849918533824813</v>
      </c>
      <c r="J1487" s="9" t="b">
        <f aca="false">IF(AND(ISNUMBER(F1487),ISNUMBER(G1487),ISNUMBER(F1486),ISNUMBER(G1486)),AND(F1487&gt;G1487,F1486&lt;=G1486),FALSE())</f>
        <v>0</v>
      </c>
      <c r="K1487" s="9" t="b">
        <f aca="false">IF(AND(ISNUMBER(F1487),ISNUMBER(G1487),ISNUMBER(F1486),ISNUMBER(G1486)),AND(F1487&lt;G1487,F1486&gt;=G1486),FALSE())</f>
        <v>0</v>
      </c>
      <c r="L1487" s="8" t="n">
        <f aca="false">IF(ISNUMBER(I1487),E1487-Inputs!$B$6*I1487,"")</f>
        <v>0.80889575132567</v>
      </c>
      <c r="M1487" s="9" t="b">
        <f aca="false">AND(Y1486&gt;0,Z1486)</f>
        <v>0</v>
      </c>
      <c r="N1487" s="8" t="n">
        <f aca="false">B1487*(1-Inputs!$B$12)</f>
        <v>0.833238374457411</v>
      </c>
      <c r="O1487" s="10" t="n">
        <f aca="false">IF(M1487,Y1486*(N1487-AB1486)-Inputs!$B$9-Y1486*AD1486*Inputs!$B$13*(A1487-AC1486),0)</f>
        <v>0</v>
      </c>
      <c r="P1487" s="10" t="n">
        <f aca="false">X1486+O1487</f>
        <v>892.966822134287</v>
      </c>
      <c r="Q1487" s="9" t="b">
        <f aca="false">AND(IF(M1487,0,Y1486)=0,AA1486,IF(ISNUMBER(AE1486),B1487&gt;AE1486,FALSE()))</f>
        <v>0</v>
      </c>
      <c r="R1487" s="8" t="n">
        <f aca="false">B1487*(1+Inputs!$B$12)</f>
        <v>0.833571736479598</v>
      </c>
      <c r="S1487" s="11" t="n">
        <f aca="false">IF(Q1487,MIN(P1487*Inputs!$B$3/(R1487-AE1486),P1487*Inputs!$B$11/R1487),0)</f>
        <v>0</v>
      </c>
      <c r="T1487" s="11" t="n">
        <f aca="false">IF(Q1487,S1487,IF(M1487,0,Y1486))</f>
        <v>0</v>
      </c>
      <c r="U1487" s="8" t="n">
        <f aca="false">IF(Q1487,AE1486,AF1486)</f>
        <v>0.847434384754863</v>
      </c>
      <c r="V1487" s="9" t="b">
        <f aca="false">AND(T1487&gt;0,D1487&lt;=U1487)</f>
        <v>0</v>
      </c>
      <c r="W1487" s="10" t="n">
        <f aca="false">IF(V1487,T1487*(AK1487-AB1487)-Inputs!$B$9-T1487*AD1487*Inputs!$B$13*(A1487-AC1487),0)</f>
        <v>0</v>
      </c>
      <c r="X1487" s="10" t="n">
        <f aca="false">P1487-IF(Q1487,Inputs!$B$9,0)+W1487</f>
        <v>892.966822134287</v>
      </c>
      <c r="Y1487" s="11" t="n">
        <f aca="false">IF(V1487,0,T1487)</f>
        <v>0</v>
      </c>
      <c r="Z1487" s="9" t="b">
        <f aca="false">AND(Y1487&gt;0,K1487)</f>
        <v>0</v>
      </c>
      <c r="AA1487" s="9" t="b">
        <f aca="false">AND(Y1487=0,J1487,ISNUMBER(L1487))</f>
        <v>0</v>
      </c>
      <c r="AB1487" s="8" t="n">
        <f aca="false">IF(Q1487,R1487,AB1486)</f>
        <v>0.866249784733642</v>
      </c>
      <c r="AC1487" s="12" t="n">
        <f aca="false">IF(Q1487,A1487,AC1486)</f>
        <v>46233</v>
      </c>
      <c r="AD1487" s="8" t="n">
        <f aca="false">IF(Q1487,B1487,AD1486)</f>
        <v>0.866076569419758</v>
      </c>
      <c r="AE1487" s="8" t="str">
        <f aca="false">IF(AA1487,L1487,"")</f>
        <v/>
      </c>
      <c r="AF1487" s="8" t="n">
        <f aca="false">U1487</f>
        <v>0.847434384754863</v>
      </c>
      <c r="AG1487" s="2" t="n">
        <f aca="false">AG1486+IF(Q1487,1,0)</f>
        <v>17</v>
      </c>
      <c r="AH1487" s="2" t="n">
        <f aca="false">AG1486</f>
        <v>17</v>
      </c>
      <c r="AI1487" s="10" t="n">
        <f aca="false">X1487+Y1487*(E1487-AB1487)-Y1487*AD1487*Inputs!$B$13*(A1487-AC1487)</f>
        <v>892.966822134287</v>
      </c>
      <c r="AJ1487" s="10" t="n">
        <v>0</v>
      </c>
      <c r="AK1487" s="8" t="n">
        <f aca="false">IF(AND(B1487&lt;=U1487,NOT(Q1487)),B1487,U1487)*(1-Inputs!$B$12)</f>
        <v>0.833238374457411</v>
      </c>
    </row>
    <row r="1488" customFormat="false" ht="15" hidden="false" customHeight="false" outlineLevel="0" collapsed="false">
      <c r="A1488" s="6" t="n">
        <v>46272</v>
      </c>
      <c r="B1488" s="7" t="n">
        <v>0.825894122002166</v>
      </c>
      <c r="C1488" s="7" t="n">
        <v>0.82762924688139</v>
      </c>
      <c r="D1488" s="7" t="n">
        <v>0.825075627233727</v>
      </c>
      <c r="E1488" s="7" t="n">
        <v>0.826023706170574</v>
      </c>
      <c r="F1488" s="8" t="n">
        <f aca="true">IF(ROW()-2&gt;=Inputs!$B$4,AVERAGE(OFFSET(E1488,1-Inputs!$B$4,0,Inputs!$B$4,1)),"")</f>
        <v>0.821915748990693</v>
      </c>
      <c r="G1488" s="8" t="n">
        <f aca="true">IF(ROW()-2&gt;=Inputs!$B$5,AVERAGE(OFFSET(E1488,1-Inputs!$B$5,0,Inputs!$B$5,1)),"")</f>
        <v>0.833173917020378</v>
      </c>
      <c r="H1488" s="8" t="n">
        <f aca="false">MAX(C1488-D1488,ABS(C1488-E1487),ABS(D1488-E1487))</f>
        <v>0.00255361964766276</v>
      </c>
      <c r="I1488" s="8" t="n">
        <f aca="true">IF(ROW()-2&lt;14,"",IF(ROW()-2=14,AVERAGE(OFFSET(H1488,-13,0,14,1)),(I1487*13+H1488)/14))</f>
        <v>0.00807450207463488</v>
      </c>
      <c r="J1488" s="9" t="b">
        <f aca="false">IF(AND(ISNUMBER(F1488),ISNUMBER(G1488),ISNUMBER(F1487),ISNUMBER(G1487)),AND(F1488&gt;G1488,F1487&lt;=G1487),FALSE())</f>
        <v>0</v>
      </c>
      <c r="K1488" s="9" t="b">
        <f aca="false">IF(AND(ISNUMBER(F1488),ISNUMBER(G1488),ISNUMBER(F1487),ISNUMBER(G1487)),AND(F1488&lt;G1488,F1487&gt;=G1487),FALSE())</f>
        <v>0</v>
      </c>
      <c r="L1488" s="8" t="n">
        <f aca="false">IF(ISNUMBER(I1488),E1488-Inputs!$B$6*I1488,"")</f>
        <v>0.809874702021304</v>
      </c>
      <c r="M1488" s="9" t="b">
        <f aca="false">AND(Y1487&gt;0,Z1487)</f>
        <v>0</v>
      </c>
      <c r="N1488" s="8" t="n">
        <f aca="false">B1488*(1-Inputs!$B$12)</f>
        <v>0.825728943177766</v>
      </c>
      <c r="O1488" s="10" t="n">
        <f aca="false">IF(M1488,Y1487*(N1488-AB1487)-Inputs!$B$9-Y1487*AD1487*Inputs!$B$13*(A1488-AC1487),0)</f>
        <v>0</v>
      </c>
      <c r="P1488" s="10" t="n">
        <f aca="false">X1487+O1488</f>
        <v>892.966822134287</v>
      </c>
      <c r="Q1488" s="9" t="b">
        <f aca="false">AND(IF(M1488,0,Y1487)=0,AA1487,IF(ISNUMBER(AE1487),B1488&gt;AE1487,FALSE()))</f>
        <v>0</v>
      </c>
      <c r="R1488" s="8" t="n">
        <f aca="false">B1488*(1+Inputs!$B$12)</f>
        <v>0.826059300826566</v>
      </c>
      <c r="S1488" s="11" t="n">
        <f aca="false">IF(Q1488,MIN(P1488*Inputs!$B$3/(R1488-AE1487),P1488*Inputs!$B$11/R1488),0)</f>
        <v>0</v>
      </c>
      <c r="T1488" s="11" t="n">
        <f aca="false">IF(Q1488,S1488,IF(M1488,0,Y1487))</f>
        <v>0</v>
      </c>
      <c r="U1488" s="8" t="n">
        <f aca="false">IF(Q1488,AE1487,AF1487)</f>
        <v>0.847434384754863</v>
      </c>
      <c r="V1488" s="9" t="b">
        <f aca="false">AND(T1488&gt;0,D1488&lt;=U1488)</f>
        <v>0</v>
      </c>
      <c r="W1488" s="10" t="n">
        <f aca="false">IF(V1488,T1488*(AK1488-AB1488)-Inputs!$B$9-T1488*AD1488*Inputs!$B$13*(A1488-AC1488),0)</f>
        <v>0</v>
      </c>
      <c r="X1488" s="10" t="n">
        <f aca="false">P1488-IF(Q1488,Inputs!$B$9,0)+W1488</f>
        <v>892.966822134287</v>
      </c>
      <c r="Y1488" s="11" t="n">
        <f aca="false">IF(V1488,0,T1488)</f>
        <v>0</v>
      </c>
      <c r="Z1488" s="9" t="b">
        <f aca="false">AND(Y1488&gt;0,K1488)</f>
        <v>0</v>
      </c>
      <c r="AA1488" s="9" t="b">
        <f aca="false">AND(Y1488=0,J1488,ISNUMBER(L1488))</f>
        <v>0</v>
      </c>
      <c r="AB1488" s="8" t="n">
        <f aca="false">IF(Q1488,R1488,AB1487)</f>
        <v>0.866249784733642</v>
      </c>
      <c r="AC1488" s="12" t="n">
        <f aca="false">IF(Q1488,A1488,AC1487)</f>
        <v>46233</v>
      </c>
      <c r="AD1488" s="8" t="n">
        <f aca="false">IF(Q1488,B1488,AD1487)</f>
        <v>0.866076569419758</v>
      </c>
      <c r="AE1488" s="8" t="str">
        <f aca="false">IF(AA1488,L1488,"")</f>
        <v/>
      </c>
      <c r="AF1488" s="8" t="n">
        <f aca="false">U1488</f>
        <v>0.847434384754863</v>
      </c>
      <c r="AG1488" s="2" t="n">
        <f aca="false">AG1487+IF(Q1488,1,0)</f>
        <v>17</v>
      </c>
      <c r="AH1488" s="2" t="n">
        <f aca="false">AG1487</f>
        <v>17</v>
      </c>
      <c r="AI1488" s="10" t="n">
        <f aca="false">X1488+Y1488*(E1488-AB1488)-Y1488*AD1488*Inputs!$B$13*(A1488-AC1488)</f>
        <v>892.966822134287</v>
      </c>
      <c r="AJ1488" s="10" t="n">
        <v>0</v>
      </c>
      <c r="AK1488" s="8" t="n">
        <f aca="false">IF(AND(B1488&lt;=U1488,NOT(Q1488)),B1488,U1488)*(1-Inputs!$B$12)</f>
        <v>0.825728943177766</v>
      </c>
    </row>
    <row r="1489" customFormat="false" ht="15" hidden="false" customHeight="false" outlineLevel="0" collapsed="false">
      <c r="A1489" s="6" t="n">
        <v>46273</v>
      </c>
      <c r="B1489" s="7" t="n">
        <v>0.826023706170574</v>
      </c>
      <c r="C1489" s="7" t="n">
        <v>0.832219284214629</v>
      </c>
      <c r="D1489" s="7" t="n">
        <v>0.825824228355314</v>
      </c>
      <c r="E1489" s="7" t="n">
        <v>0.829262596090686</v>
      </c>
      <c r="F1489" s="8" t="n">
        <f aca="true">IF(ROW()-2&gt;=Inputs!$B$4,AVERAGE(OFFSET(E1489,1-Inputs!$B$4,0,Inputs!$B$4,1)),"")</f>
        <v>0.822596226469426</v>
      </c>
      <c r="G1489" s="8" t="n">
        <f aca="true">IF(ROW()-2&gt;=Inputs!$B$5,AVERAGE(OFFSET(E1489,1-Inputs!$B$5,0,Inputs!$B$5,1)),"")</f>
        <v>0.833452383613319</v>
      </c>
      <c r="H1489" s="8" t="n">
        <f aca="false">MAX(C1489-D1489,ABS(C1489-E1488),ABS(D1489-E1488))</f>
        <v>0.00639505585931521</v>
      </c>
      <c r="I1489" s="8" t="n">
        <f aca="true">IF(ROW()-2&lt;14,"",IF(ROW()-2=14,AVERAGE(OFFSET(H1489,-13,0,14,1)),(I1488*13+H1489)/14))</f>
        <v>0.00795454163068348</v>
      </c>
      <c r="J1489" s="9" t="b">
        <f aca="false">IF(AND(ISNUMBER(F1489),ISNUMBER(G1489),ISNUMBER(F1488),ISNUMBER(G1488)),AND(F1489&gt;G1489,F1488&lt;=G1488),FALSE())</f>
        <v>0</v>
      </c>
      <c r="K1489" s="9" t="b">
        <f aca="false">IF(AND(ISNUMBER(F1489),ISNUMBER(G1489),ISNUMBER(F1488),ISNUMBER(G1488)),AND(F1489&lt;G1489,F1488&gt;=G1488),FALSE())</f>
        <v>0</v>
      </c>
      <c r="L1489" s="8" t="n">
        <f aca="false">IF(ISNUMBER(I1489),E1489-Inputs!$B$6*I1489,"")</f>
        <v>0.813353512829319</v>
      </c>
      <c r="M1489" s="9" t="b">
        <f aca="false">AND(Y1488&gt;0,Z1488)</f>
        <v>0</v>
      </c>
      <c r="N1489" s="8" t="n">
        <f aca="false">B1489*(1-Inputs!$B$12)</f>
        <v>0.82585850142934</v>
      </c>
      <c r="O1489" s="10" t="n">
        <f aca="false">IF(M1489,Y1488*(N1489-AB1488)-Inputs!$B$9-Y1488*AD1488*Inputs!$B$13*(A1489-AC1488),0)</f>
        <v>0</v>
      </c>
      <c r="P1489" s="10" t="n">
        <f aca="false">X1488+O1489</f>
        <v>892.966822134287</v>
      </c>
      <c r="Q1489" s="9" t="b">
        <f aca="false">AND(IF(M1489,0,Y1488)=0,AA1488,IF(ISNUMBER(AE1488),B1489&gt;AE1488,FALSE()))</f>
        <v>0</v>
      </c>
      <c r="R1489" s="8" t="n">
        <f aca="false">B1489*(1+Inputs!$B$12)</f>
        <v>0.826188910911808</v>
      </c>
      <c r="S1489" s="11" t="n">
        <f aca="false">IF(Q1489,MIN(P1489*Inputs!$B$3/(R1489-AE1488),P1489*Inputs!$B$11/R1489),0)</f>
        <v>0</v>
      </c>
      <c r="T1489" s="11" t="n">
        <f aca="false">IF(Q1489,S1489,IF(M1489,0,Y1488))</f>
        <v>0</v>
      </c>
      <c r="U1489" s="8" t="n">
        <f aca="false">IF(Q1489,AE1488,AF1488)</f>
        <v>0.847434384754863</v>
      </c>
      <c r="V1489" s="9" t="b">
        <f aca="false">AND(T1489&gt;0,D1489&lt;=U1489)</f>
        <v>0</v>
      </c>
      <c r="W1489" s="10" t="n">
        <f aca="false">IF(V1489,T1489*(AK1489-AB1489)-Inputs!$B$9-T1489*AD1489*Inputs!$B$13*(A1489-AC1489),0)</f>
        <v>0</v>
      </c>
      <c r="X1489" s="10" t="n">
        <f aca="false">P1489-IF(Q1489,Inputs!$B$9,0)+W1489</f>
        <v>892.966822134287</v>
      </c>
      <c r="Y1489" s="11" t="n">
        <f aca="false">IF(V1489,0,T1489)</f>
        <v>0</v>
      </c>
      <c r="Z1489" s="9" t="b">
        <f aca="false">AND(Y1489&gt;0,K1489)</f>
        <v>0</v>
      </c>
      <c r="AA1489" s="9" t="b">
        <f aca="false">AND(Y1489=0,J1489,ISNUMBER(L1489))</f>
        <v>0</v>
      </c>
      <c r="AB1489" s="8" t="n">
        <f aca="false">IF(Q1489,R1489,AB1488)</f>
        <v>0.866249784733642</v>
      </c>
      <c r="AC1489" s="12" t="n">
        <f aca="false">IF(Q1489,A1489,AC1488)</f>
        <v>46233</v>
      </c>
      <c r="AD1489" s="8" t="n">
        <f aca="false">IF(Q1489,B1489,AD1488)</f>
        <v>0.866076569419758</v>
      </c>
      <c r="AE1489" s="8" t="str">
        <f aca="false">IF(AA1489,L1489,"")</f>
        <v/>
      </c>
      <c r="AF1489" s="8" t="n">
        <f aca="false">U1489</f>
        <v>0.847434384754863</v>
      </c>
      <c r="AG1489" s="2" t="n">
        <f aca="false">AG1488+IF(Q1489,1,0)</f>
        <v>17</v>
      </c>
      <c r="AH1489" s="2" t="n">
        <f aca="false">AG1488</f>
        <v>17</v>
      </c>
      <c r="AI1489" s="10" t="n">
        <f aca="false">X1489+Y1489*(E1489-AB1489)-Y1489*AD1489*Inputs!$B$13*(A1489-AC1489)</f>
        <v>892.966822134287</v>
      </c>
      <c r="AJ1489" s="10" t="n">
        <v>0</v>
      </c>
      <c r="AK1489" s="8" t="n">
        <f aca="false">IF(AND(B1489&lt;=U1489,NOT(Q1489)),B1489,U1489)*(1-Inputs!$B$12)</f>
        <v>0.82585850142934</v>
      </c>
    </row>
    <row r="1490" customFormat="false" ht="15" hidden="false" customHeight="false" outlineLevel="0" collapsed="false">
      <c r="A1490" s="6" t="n">
        <v>46274</v>
      </c>
      <c r="B1490" s="7" t="n">
        <v>0.829262596090686</v>
      </c>
      <c r="C1490" s="7" t="n">
        <v>0.830307159982189</v>
      </c>
      <c r="D1490" s="7" t="n">
        <v>0.824497472282342</v>
      </c>
      <c r="E1490" s="7" t="n">
        <v>0.828928997481193</v>
      </c>
      <c r="F1490" s="8" t="n">
        <f aca="true">IF(ROW()-2&gt;=Inputs!$B$4,AVERAGE(OFFSET(E1490,1-Inputs!$B$4,0,Inputs!$B$4,1)),"")</f>
        <v>0.823163913303916</v>
      </c>
      <c r="G1490" s="8" t="n">
        <f aca="true">IF(ROW()-2&gt;=Inputs!$B$5,AVERAGE(OFFSET(E1490,1-Inputs!$B$5,0,Inputs!$B$5,1)),"")</f>
        <v>0.833636872570103</v>
      </c>
      <c r="H1490" s="8" t="n">
        <f aca="false">MAX(C1490-D1490,ABS(C1490-E1489),ABS(D1490-E1489))</f>
        <v>0.0058096876998468</v>
      </c>
      <c r="I1490" s="8" t="n">
        <f aca="true">IF(ROW()-2&lt;14,"",IF(ROW()-2=14,AVERAGE(OFFSET(H1490,-13,0,14,1)),(I1489*13+H1490)/14))</f>
        <v>0.00780133777848086</v>
      </c>
      <c r="J1490" s="9" t="b">
        <f aca="false">IF(AND(ISNUMBER(F1490),ISNUMBER(G1490),ISNUMBER(F1489),ISNUMBER(G1489)),AND(F1490&gt;G1490,F1489&lt;=G1489),FALSE())</f>
        <v>0</v>
      </c>
      <c r="K1490" s="9" t="b">
        <f aca="false">IF(AND(ISNUMBER(F1490),ISNUMBER(G1490),ISNUMBER(F1489),ISNUMBER(G1489)),AND(F1490&lt;G1490,F1489&gt;=G1489),FALSE())</f>
        <v>0</v>
      </c>
      <c r="L1490" s="8" t="n">
        <f aca="false">IF(ISNUMBER(I1490),E1490-Inputs!$B$6*I1490,"")</f>
        <v>0.813326321924231</v>
      </c>
      <c r="M1490" s="9" t="b">
        <f aca="false">AND(Y1489&gt;0,Z1489)</f>
        <v>0</v>
      </c>
      <c r="N1490" s="8" t="n">
        <f aca="false">B1490*(1-Inputs!$B$12)</f>
        <v>0.829096743571468</v>
      </c>
      <c r="O1490" s="10" t="n">
        <f aca="false">IF(M1490,Y1489*(N1490-AB1489)-Inputs!$B$9-Y1489*AD1489*Inputs!$B$13*(A1490-AC1489),0)</f>
        <v>0</v>
      </c>
      <c r="P1490" s="10" t="n">
        <f aca="false">X1489+O1490</f>
        <v>892.966822134287</v>
      </c>
      <c r="Q1490" s="9" t="b">
        <f aca="false">AND(IF(M1490,0,Y1489)=0,AA1489,IF(ISNUMBER(AE1489),B1490&gt;AE1489,FALSE()))</f>
        <v>0</v>
      </c>
      <c r="R1490" s="8" t="n">
        <f aca="false">B1490*(1+Inputs!$B$12)</f>
        <v>0.829428448609904</v>
      </c>
      <c r="S1490" s="11" t="n">
        <f aca="false">IF(Q1490,MIN(P1490*Inputs!$B$3/(R1490-AE1489),P1490*Inputs!$B$11/R1490),0)</f>
        <v>0</v>
      </c>
      <c r="T1490" s="11" t="n">
        <f aca="false">IF(Q1490,S1490,IF(M1490,0,Y1489))</f>
        <v>0</v>
      </c>
      <c r="U1490" s="8" t="n">
        <f aca="false">IF(Q1490,AE1489,AF1489)</f>
        <v>0.847434384754863</v>
      </c>
      <c r="V1490" s="9" t="b">
        <f aca="false">AND(T1490&gt;0,D1490&lt;=U1490)</f>
        <v>0</v>
      </c>
      <c r="W1490" s="10" t="n">
        <f aca="false">IF(V1490,T1490*(AK1490-AB1490)-Inputs!$B$9-T1490*AD1490*Inputs!$B$13*(A1490-AC1490),0)</f>
        <v>0</v>
      </c>
      <c r="X1490" s="10" t="n">
        <f aca="false">P1490-IF(Q1490,Inputs!$B$9,0)+W1490</f>
        <v>892.966822134287</v>
      </c>
      <c r="Y1490" s="11" t="n">
        <f aca="false">IF(V1490,0,T1490)</f>
        <v>0</v>
      </c>
      <c r="Z1490" s="9" t="b">
        <f aca="false">AND(Y1490&gt;0,K1490)</f>
        <v>0</v>
      </c>
      <c r="AA1490" s="9" t="b">
        <f aca="false">AND(Y1490=0,J1490,ISNUMBER(L1490))</f>
        <v>0</v>
      </c>
      <c r="AB1490" s="8" t="n">
        <f aca="false">IF(Q1490,R1490,AB1489)</f>
        <v>0.866249784733642</v>
      </c>
      <c r="AC1490" s="12" t="n">
        <f aca="false">IF(Q1490,A1490,AC1489)</f>
        <v>46233</v>
      </c>
      <c r="AD1490" s="8" t="n">
        <f aca="false">IF(Q1490,B1490,AD1489)</f>
        <v>0.866076569419758</v>
      </c>
      <c r="AE1490" s="8" t="str">
        <f aca="false">IF(AA1490,L1490,"")</f>
        <v/>
      </c>
      <c r="AF1490" s="8" t="n">
        <f aca="false">U1490</f>
        <v>0.847434384754863</v>
      </c>
      <c r="AG1490" s="2" t="n">
        <f aca="false">AG1489+IF(Q1490,1,0)</f>
        <v>17</v>
      </c>
      <c r="AH1490" s="2" t="n">
        <f aca="false">AG1489</f>
        <v>17</v>
      </c>
      <c r="AI1490" s="10" t="n">
        <f aca="false">X1490+Y1490*(E1490-AB1490)-Y1490*AD1490*Inputs!$B$13*(A1490-AC1490)</f>
        <v>892.966822134287</v>
      </c>
      <c r="AJ1490" s="10" t="n">
        <v>0</v>
      </c>
      <c r="AK1490" s="8" t="n">
        <f aca="false">IF(AND(B1490&lt;=U1490,NOT(Q1490)),B1490,U1490)*(1-Inputs!$B$12)</f>
        <v>0.829096743571468</v>
      </c>
    </row>
    <row r="1491" customFormat="false" ht="15" hidden="false" customHeight="false" outlineLevel="0" collapsed="false">
      <c r="A1491" s="6" t="n">
        <v>46275</v>
      </c>
      <c r="B1491" s="7" t="n">
        <v>0.828928997481193</v>
      </c>
      <c r="C1491" s="7" t="n">
        <v>0.833856578938296</v>
      </c>
      <c r="D1491" s="7" t="n">
        <v>0.828291642169706</v>
      </c>
      <c r="E1491" s="7" t="n">
        <v>0.831501870940432</v>
      </c>
      <c r="F1491" s="8" t="n">
        <f aca="true">IF(ROW()-2&gt;=Inputs!$B$4,AVERAGE(OFFSET(E1491,1-Inputs!$B$4,0,Inputs!$B$4,1)),"")</f>
        <v>0.823766276316129</v>
      </c>
      <c r="G1491" s="8" t="n">
        <f aca="true">IF(ROW()-2&gt;=Inputs!$B$5,AVERAGE(OFFSET(E1491,1-Inputs!$B$5,0,Inputs!$B$5,1)),"")</f>
        <v>0.833700964856069</v>
      </c>
      <c r="H1491" s="8" t="n">
        <f aca="false">MAX(C1491-D1491,ABS(C1491-E1490),ABS(D1491-E1490))</f>
        <v>0.00556493676859005</v>
      </c>
      <c r="I1491" s="8" t="n">
        <f aca="true">IF(ROW()-2&lt;14,"",IF(ROW()-2=14,AVERAGE(OFFSET(H1491,-13,0,14,1)),(I1490*13+H1491)/14))</f>
        <v>0.00764159484920294</v>
      </c>
      <c r="J1491" s="9" t="b">
        <f aca="false">IF(AND(ISNUMBER(F1491),ISNUMBER(G1491),ISNUMBER(F1490),ISNUMBER(G1490)),AND(F1491&gt;G1491,F1490&lt;=G1490),FALSE())</f>
        <v>0</v>
      </c>
      <c r="K1491" s="9" t="b">
        <f aca="false">IF(AND(ISNUMBER(F1491),ISNUMBER(G1491),ISNUMBER(F1490),ISNUMBER(G1490)),AND(F1491&lt;G1491,F1490&gt;=G1490),FALSE())</f>
        <v>0</v>
      </c>
      <c r="L1491" s="8" t="n">
        <f aca="false">IF(ISNUMBER(I1491),E1491-Inputs!$B$6*I1491,"")</f>
        <v>0.816218681242026</v>
      </c>
      <c r="M1491" s="9" t="b">
        <f aca="false">AND(Y1490&gt;0,Z1490)</f>
        <v>0</v>
      </c>
      <c r="N1491" s="8" t="n">
        <f aca="false">B1491*(1-Inputs!$B$12)</f>
        <v>0.828763211681697</v>
      </c>
      <c r="O1491" s="10" t="n">
        <f aca="false">IF(M1491,Y1490*(N1491-AB1490)-Inputs!$B$9-Y1490*AD1490*Inputs!$B$13*(A1491-AC1490),0)</f>
        <v>0</v>
      </c>
      <c r="P1491" s="10" t="n">
        <f aca="false">X1490+O1491</f>
        <v>892.966822134287</v>
      </c>
      <c r="Q1491" s="9" t="b">
        <f aca="false">AND(IF(M1491,0,Y1490)=0,AA1490,IF(ISNUMBER(AE1490),B1491&gt;AE1490,FALSE()))</f>
        <v>0</v>
      </c>
      <c r="R1491" s="8" t="n">
        <f aca="false">B1491*(1+Inputs!$B$12)</f>
        <v>0.829094783280689</v>
      </c>
      <c r="S1491" s="11" t="n">
        <f aca="false">IF(Q1491,MIN(P1491*Inputs!$B$3/(R1491-AE1490),P1491*Inputs!$B$11/R1491),0)</f>
        <v>0</v>
      </c>
      <c r="T1491" s="11" t="n">
        <f aca="false">IF(Q1491,S1491,IF(M1491,0,Y1490))</f>
        <v>0</v>
      </c>
      <c r="U1491" s="8" t="n">
        <f aca="false">IF(Q1491,AE1490,AF1490)</f>
        <v>0.847434384754863</v>
      </c>
      <c r="V1491" s="9" t="b">
        <f aca="false">AND(T1491&gt;0,D1491&lt;=U1491)</f>
        <v>0</v>
      </c>
      <c r="W1491" s="10" t="n">
        <f aca="false">IF(V1491,T1491*(AK1491-AB1491)-Inputs!$B$9-T1491*AD1491*Inputs!$B$13*(A1491-AC1491),0)</f>
        <v>0</v>
      </c>
      <c r="X1491" s="10" t="n">
        <f aca="false">P1491-IF(Q1491,Inputs!$B$9,0)+W1491</f>
        <v>892.966822134287</v>
      </c>
      <c r="Y1491" s="11" t="n">
        <f aca="false">IF(V1491,0,T1491)</f>
        <v>0</v>
      </c>
      <c r="Z1491" s="9" t="b">
        <f aca="false">AND(Y1491&gt;0,K1491)</f>
        <v>0</v>
      </c>
      <c r="AA1491" s="9" t="b">
        <f aca="false">AND(Y1491=0,J1491,ISNUMBER(L1491))</f>
        <v>0</v>
      </c>
      <c r="AB1491" s="8" t="n">
        <f aca="false">IF(Q1491,R1491,AB1490)</f>
        <v>0.866249784733642</v>
      </c>
      <c r="AC1491" s="12" t="n">
        <f aca="false">IF(Q1491,A1491,AC1490)</f>
        <v>46233</v>
      </c>
      <c r="AD1491" s="8" t="n">
        <f aca="false">IF(Q1491,B1491,AD1490)</f>
        <v>0.866076569419758</v>
      </c>
      <c r="AE1491" s="8" t="str">
        <f aca="false">IF(AA1491,L1491,"")</f>
        <v/>
      </c>
      <c r="AF1491" s="8" t="n">
        <f aca="false">U1491</f>
        <v>0.847434384754863</v>
      </c>
      <c r="AG1491" s="2" t="n">
        <f aca="false">AG1490+IF(Q1491,1,0)</f>
        <v>17</v>
      </c>
      <c r="AH1491" s="2" t="n">
        <f aca="false">AG1490</f>
        <v>17</v>
      </c>
      <c r="AI1491" s="10" t="n">
        <f aca="false">X1491+Y1491*(E1491-AB1491)-Y1491*AD1491*Inputs!$B$13*(A1491-AC1491)</f>
        <v>892.966822134287</v>
      </c>
      <c r="AJ1491" s="10" t="n">
        <v>0</v>
      </c>
      <c r="AK1491" s="8" t="n">
        <f aca="false">IF(AND(B1491&lt;=U1491,NOT(Q1491)),B1491,U1491)*(1-Inputs!$B$12)</f>
        <v>0.828763211681697</v>
      </c>
    </row>
    <row r="1492" customFormat="false" ht="15" hidden="false" customHeight="false" outlineLevel="0" collapsed="false">
      <c r="A1492" s="6" t="n">
        <v>46276</v>
      </c>
      <c r="B1492" s="7" t="n">
        <v>0.831501870940432</v>
      </c>
      <c r="C1492" s="7" t="n">
        <v>0.836570264846603</v>
      </c>
      <c r="D1492" s="7" t="n">
        <v>0.828302980539732</v>
      </c>
      <c r="E1492" s="7" t="n">
        <v>0.830569499667914</v>
      </c>
      <c r="F1492" s="8" t="n">
        <f aca="true">IF(ROW()-2&gt;=Inputs!$B$4,AVERAGE(OFFSET(E1492,1-Inputs!$B$4,0,Inputs!$B$4,1)),"")</f>
        <v>0.824248636574403</v>
      </c>
      <c r="G1492" s="8" t="n">
        <f aca="true">IF(ROW()-2&gt;=Inputs!$B$5,AVERAGE(OFFSET(E1492,1-Inputs!$B$5,0,Inputs!$B$5,1)),"")</f>
        <v>0.833516532567146</v>
      </c>
      <c r="H1492" s="8" t="n">
        <f aca="false">MAX(C1492-D1492,ABS(C1492-E1491),ABS(D1492-E1491))</f>
        <v>0.00826728430687085</v>
      </c>
      <c r="I1492" s="8" t="n">
        <f aca="true">IF(ROW()-2&lt;14,"",IF(ROW()-2=14,AVERAGE(OFFSET(H1492,-13,0,14,1)),(I1491*13+H1492)/14))</f>
        <v>0.00768628695332208</v>
      </c>
      <c r="J1492" s="9" t="b">
        <f aca="false">IF(AND(ISNUMBER(F1492),ISNUMBER(G1492),ISNUMBER(F1491),ISNUMBER(G1491)),AND(F1492&gt;G1492,F1491&lt;=G1491),FALSE())</f>
        <v>0</v>
      </c>
      <c r="K1492" s="9" t="b">
        <f aca="false">IF(AND(ISNUMBER(F1492),ISNUMBER(G1492),ISNUMBER(F1491),ISNUMBER(G1491)),AND(F1492&lt;G1492,F1491&gt;=G1491),FALSE())</f>
        <v>0</v>
      </c>
      <c r="L1492" s="8" t="n">
        <f aca="false">IF(ISNUMBER(I1492),E1492-Inputs!$B$6*I1492,"")</f>
        <v>0.815196925761269</v>
      </c>
      <c r="M1492" s="9" t="b">
        <f aca="false">AND(Y1491&gt;0,Z1491)</f>
        <v>0</v>
      </c>
      <c r="N1492" s="8" t="n">
        <f aca="false">B1492*(1-Inputs!$B$12)</f>
        <v>0.831335570566244</v>
      </c>
      <c r="O1492" s="10" t="n">
        <f aca="false">IF(M1492,Y1491*(N1492-AB1491)-Inputs!$B$9-Y1491*AD1491*Inputs!$B$13*(A1492-AC1491),0)</f>
        <v>0</v>
      </c>
      <c r="P1492" s="10" t="n">
        <f aca="false">X1491+O1492</f>
        <v>892.966822134287</v>
      </c>
      <c r="Q1492" s="9" t="b">
        <f aca="false">AND(IF(M1492,0,Y1491)=0,AA1491,IF(ISNUMBER(AE1491),B1492&gt;AE1491,FALSE()))</f>
        <v>0</v>
      </c>
      <c r="R1492" s="8" t="n">
        <f aca="false">B1492*(1+Inputs!$B$12)</f>
        <v>0.83166817131462</v>
      </c>
      <c r="S1492" s="11" t="n">
        <f aca="false">IF(Q1492,MIN(P1492*Inputs!$B$3/(R1492-AE1491),P1492*Inputs!$B$11/R1492),0)</f>
        <v>0</v>
      </c>
      <c r="T1492" s="11" t="n">
        <f aca="false">IF(Q1492,S1492,IF(M1492,0,Y1491))</f>
        <v>0</v>
      </c>
      <c r="U1492" s="8" t="n">
        <f aca="false">IF(Q1492,AE1491,AF1491)</f>
        <v>0.847434384754863</v>
      </c>
      <c r="V1492" s="9" t="b">
        <f aca="false">AND(T1492&gt;0,D1492&lt;=U1492)</f>
        <v>0</v>
      </c>
      <c r="W1492" s="10" t="n">
        <f aca="false">IF(V1492,T1492*(AK1492-AB1492)-Inputs!$B$9-T1492*AD1492*Inputs!$B$13*(A1492-AC1492),0)</f>
        <v>0</v>
      </c>
      <c r="X1492" s="10" t="n">
        <f aca="false">P1492-IF(Q1492,Inputs!$B$9,0)+W1492</f>
        <v>892.966822134287</v>
      </c>
      <c r="Y1492" s="11" t="n">
        <f aca="false">IF(V1492,0,T1492)</f>
        <v>0</v>
      </c>
      <c r="Z1492" s="9" t="b">
        <f aca="false">AND(Y1492&gt;0,K1492)</f>
        <v>0</v>
      </c>
      <c r="AA1492" s="9" t="b">
        <f aca="false">AND(Y1492=0,J1492,ISNUMBER(L1492))</f>
        <v>0</v>
      </c>
      <c r="AB1492" s="8" t="n">
        <f aca="false">IF(Q1492,R1492,AB1491)</f>
        <v>0.866249784733642</v>
      </c>
      <c r="AC1492" s="12" t="n">
        <f aca="false">IF(Q1492,A1492,AC1491)</f>
        <v>46233</v>
      </c>
      <c r="AD1492" s="8" t="n">
        <f aca="false">IF(Q1492,B1492,AD1491)</f>
        <v>0.866076569419758</v>
      </c>
      <c r="AE1492" s="8" t="str">
        <f aca="false">IF(AA1492,L1492,"")</f>
        <v/>
      </c>
      <c r="AF1492" s="8" t="n">
        <f aca="false">U1492</f>
        <v>0.847434384754863</v>
      </c>
      <c r="AG1492" s="2" t="n">
        <f aca="false">AG1491+IF(Q1492,1,0)</f>
        <v>17</v>
      </c>
      <c r="AH1492" s="2" t="n">
        <f aca="false">AG1491</f>
        <v>17</v>
      </c>
      <c r="AI1492" s="10" t="n">
        <f aca="false">X1492+Y1492*(E1492-AB1492)-Y1492*AD1492*Inputs!$B$13*(A1492-AC1492)</f>
        <v>892.966822134287</v>
      </c>
      <c r="AJ1492" s="10" t="n">
        <v>0</v>
      </c>
      <c r="AK1492" s="8" t="n">
        <f aca="false">IF(AND(B1492&lt;=U1492,NOT(Q1492)),B1492,U1492)*(1-Inputs!$B$12)</f>
        <v>0.831335570566244</v>
      </c>
    </row>
    <row r="1493" customFormat="false" ht="15" hidden="false" customHeight="false" outlineLevel="0" collapsed="false">
      <c r="A1493" s="6" t="n">
        <v>46277</v>
      </c>
      <c r="B1493" s="7" t="n">
        <v>0.830569499667914</v>
      </c>
      <c r="C1493" s="7" t="n">
        <v>0.830708004025823</v>
      </c>
      <c r="D1493" s="7" t="n">
        <v>0.82500906267269</v>
      </c>
      <c r="E1493" s="7" t="n">
        <v>0.826326651275124</v>
      </c>
      <c r="F1493" s="8" t="n">
        <f aca="true">IF(ROW()-2&gt;=Inputs!$B$4,AVERAGE(OFFSET(E1493,1-Inputs!$B$4,0,Inputs!$B$4,1)),"")</f>
        <v>0.824800428633614</v>
      </c>
      <c r="G1493" s="8" t="n">
        <f aca="true">IF(ROW()-2&gt;=Inputs!$B$5,AVERAGE(OFFSET(E1493,1-Inputs!$B$5,0,Inputs!$B$5,1)),"")</f>
        <v>0.833212303210617</v>
      </c>
      <c r="H1493" s="8" t="n">
        <f aca="false">MAX(C1493-D1493,ABS(C1493-E1492),ABS(D1493-E1492))</f>
        <v>0.00569894135313231</v>
      </c>
      <c r="I1493" s="8" t="n">
        <f aca="true">IF(ROW()-2&lt;14,"",IF(ROW()-2=14,AVERAGE(OFFSET(H1493,-13,0,14,1)),(I1492*13+H1493)/14))</f>
        <v>0.00754433369616567</v>
      </c>
      <c r="J1493" s="9" t="b">
        <f aca="false">IF(AND(ISNUMBER(F1493),ISNUMBER(G1493),ISNUMBER(F1492),ISNUMBER(G1492)),AND(F1493&gt;G1493,F1492&lt;=G1492),FALSE())</f>
        <v>0</v>
      </c>
      <c r="K1493" s="9" t="b">
        <f aca="false">IF(AND(ISNUMBER(F1493),ISNUMBER(G1493),ISNUMBER(F1492),ISNUMBER(G1492)),AND(F1493&lt;G1493,F1492&gt;=G1492),FALSE())</f>
        <v>0</v>
      </c>
      <c r="L1493" s="8" t="n">
        <f aca="false">IF(ISNUMBER(I1493),E1493-Inputs!$B$6*I1493,"")</f>
        <v>0.811237983882792</v>
      </c>
      <c r="M1493" s="9" t="b">
        <f aca="false">AND(Y1492&gt;0,Z1492)</f>
        <v>0</v>
      </c>
      <c r="N1493" s="8" t="n">
        <f aca="false">B1493*(1-Inputs!$B$12)</f>
        <v>0.83040338576798</v>
      </c>
      <c r="O1493" s="10" t="n">
        <f aca="false">IF(M1493,Y1492*(N1493-AB1492)-Inputs!$B$9-Y1492*AD1492*Inputs!$B$13*(A1493-AC1492),0)</f>
        <v>0</v>
      </c>
      <c r="P1493" s="10" t="n">
        <f aca="false">X1492+O1493</f>
        <v>892.966822134287</v>
      </c>
      <c r="Q1493" s="9" t="b">
        <f aca="false">AND(IF(M1493,0,Y1492)=0,AA1492,IF(ISNUMBER(AE1492),B1493&gt;AE1492,FALSE()))</f>
        <v>0</v>
      </c>
      <c r="R1493" s="8" t="n">
        <f aca="false">B1493*(1+Inputs!$B$12)</f>
        <v>0.830735613567847</v>
      </c>
      <c r="S1493" s="11" t="n">
        <f aca="false">IF(Q1493,MIN(P1493*Inputs!$B$3/(R1493-AE1492),P1493*Inputs!$B$11/R1493),0)</f>
        <v>0</v>
      </c>
      <c r="T1493" s="11" t="n">
        <f aca="false">IF(Q1493,S1493,IF(M1493,0,Y1492))</f>
        <v>0</v>
      </c>
      <c r="U1493" s="8" t="n">
        <f aca="false">IF(Q1493,AE1492,AF1492)</f>
        <v>0.847434384754863</v>
      </c>
      <c r="V1493" s="9" t="b">
        <f aca="false">AND(T1493&gt;0,D1493&lt;=U1493)</f>
        <v>0</v>
      </c>
      <c r="W1493" s="10" t="n">
        <f aca="false">IF(V1493,T1493*(AK1493-AB1493)-Inputs!$B$9-T1493*AD1493*Inputs!$B$13*(A1493-AC1493),0)</f>
        <v>0</v>
      </c>
      <c r="X1493" s="10" t="n">
        <f aca="false">P1493-IF(Q1493,Inputs!$B$9,0)+W1493</f>
        <v>892.966822134287</v>
      </c>
      <c r="Y1493" s="11" t="n">
        <f aca="false">IF(V1493,0,T1493)</f>
        <v>0</v>
      </c>
      <c r="Z1493" s="9" t="b">
        <f aca="false">AND(Y1493&gt;0,K1493)</f>
        <v>0</v>
      </c>
      <c r="AA1493" s="9" t="b">
        <f aca="false">AND(Y1493=0,J1493,ISNUMBER(L1493))</f>
        <v>0</v>
      </c>
      <c r="AB1493" s="8" t="n">
        <f aca="false">IF(Q1493,R1493,AB1492)</f>
        <v>0.866249784733642</v>
      </c>
      <c r="AC1493" s="12" t="n">
        <f aca="false">IF(Q1493,A1493,AC1492)</f>
        <v>46233</v>
      </c>
      <c r="AD1493" s="8" t="n">
        <f aca="false">IF(Q1493,B1493,AD1492)</f>
        <v>0.866076569419758</v>
      </c>
      <c r="AE1493" s="8" t="str">
        <f aca="false">IF(AA1493,L1493,"")</f>
        <v/>
      </c>
      <c r="AF1493" s="8" t="n">
        <f aca="false">U1493</f>
        <v>0.847434384754863</v>
      </c>
      <c r="AG1493" s="2" t="n">
        <f aca="false">AG1492+IF(Q1493,1,0)</f>
        <v>17</v>
      </c>
      <c r="AH1493" s="2" t="n">
        <f aca="false">AG1492</f>
        <v>17</v>
      </c>
      <c r="AI1493" s="10" t="n">
        <f aca="false">X1493+Y1493*(E1493-AB1493)-Y1493*AD1493*Inputs!$B$13*(A1493-AC1493)</f>
        <v>892.966822134287</v>
      </c>
      <c r="AJ1493" s="10" t="n">
        <v>0</v>
      </c>
      <c r="AK1493" s="8" t="n">
        <f aca="false">IF(AND(B1493&lt;=U1493,NOT(Q1493)),B1493,U1493)*(1-Inputs!$B$12)</f>
        <v>0.83040338576798</v>
      </c>
    </row>
    <row r="1494" customFormat="false" ht="15" hidden="false" customHeight="false" outlineLevel="0" collapsed="false">
      <c r="A1494" s="6" t="n">
        <v>46278</v>
      </c>
      <c r="B1494" s="7" t="n">
        <v>0.826326651275124</v>
      </c>
      <c r="C1494" s="7" t="n">
        <v>0.828338151309489</v>
      </c>
      <c r="D1494" s="7" t="n">
        <v>0.814443155874721</v>
      </c>
      <c r="E1494" s="7" t="n">
        <v>0.817757198787825</v>
      </c>
      <c r="F1494" s="8" t="n">
        <f aca="true">IF(ROW()-2&gt;=Inputs!$B$4,AVERAGE(OFFSET(E1494,1-Inputs!$B$4,0,Inputs!$B$4,1)),"")</f>
        <v>0.824785278819312</v>
      </c>
      <c r="G1494" s="8" t="n">
        <f aca="true">IF(ROW()-2&gt;=Inputs!$B$5,AVERAGE(OFFSET(E1494,1-Inputs!$B$5,0,Inputs!$B$5,1)),"")</f>
        <v>0.832569981855414</v>
      </c>
      <c r="H1494" s="8" t="n">
        <f aca="false">MAX(C1494-D1494,ABS(C1494-E1493),ABS(D1494-E1493))</f>
        <v>0.0138949954347684</v>
      </c>
      <c r="I1494" s="8" t="n">
        <f aca="true">IF(ROW()-2&lt;14,"",IF(ROW()-2=14,AVERAGE(OFFSET(H1494,-13,0,14,1)),(I1493*13+H1494)/14))</f>
        <v>0.00799795239178015</v>
      </c>
      <c r="J1494" s="9" t="b">
        <f aca="false">IF(AND(ISNUMBER(F1494),ISNUMBER(G1494),ISNUMBER(F1493),ISNUMBER(G1493)),AND(F1494&gt;G1494,F1493&lt;=G1493),FALSE())</f>
        <v>0</v>
      </c>
      <c r="K1494" s="9" t="b">
        <f aca="false">IF(AND(ISNUMBER(F1494),ISNUMBER(G1494),ISNUMBER(F1493),ISNUMBER(G1493)),AND(F1494&lt;G1494,F1493&gt;=G1493),FALSE())</f>
        <v>0</v>
      </c>
      <c r="L1494" s="8" t="n">
        <f aca="false">IF(ISNUMBER(I1494),E1494-Inputs!$B$6*I1494,"")</f>
        <v>0.801761294004265</v>
      </c>
      <c r="M1494" s="9" t="b">
        <f aca="false">AND(Y1493&gt;0,Z1493)</f>
        <v>0</v>
      </c>
      <c r="N1494" s="8" t="n">
        <f aca="false">B1494*(1-Inputs!$B$12)</f>
        <v>0.826161385944869</v>
      </c>
      <c r="O1494" s="10" t="n">
        <f aca="false">IF(M1494,Y1493*(N1494-AB1493)-Inputs!$B$9-Y1493*AD1493*Inputs!$B$13*(A1494-AC1493),0)</f>
        <v>0</v>
      </c>
      <c r="P1494" s="10" t="n">
        <f aca="false">X1493+O1494</f>
        <v>892.966822134287</v>
      </c>
      <c r="Q1494" s="9" t="b">
        <f aca="false">AND(IF(M1494,0,Y1493)=0,AA1493,IF(ISNUMBER(AE1493),B1494&gt;AE1493,FALSE()))</f>
        <v>0</v>
      </c>
      <c r="R1494" s="8" t="n">
        <f aca="false">B1494*(1+Inputs!$B$12)</f>
        <v>0.826491916605379</v>
      </c>
      <c r="S1494" s="11" t="n">
        <f aca="false">IF(Q1494,MIN(P1494*Inputs!$B$3/(R1494-AE1493),P1494*Inputs!$B$11/R1494),0)</f>
        <v>0</v>
      </c>
      <c r="T1494" s="11" t="n">
        <f aca="false">IF(Q1494,S1494,IF(M1494,0,Y1493))</f>
        <v>0</v>
      </c>
      <c r="U1494" s="8" t="n">
        <f aca="false">IF(Q1494,AE1493,AF1493)</f>
        <v>0.847434384754863</v>
      </c>
      <c r="V1494" s="9" t="b">
        <f aca="false">AND(T1494&gt;0,D1494&lt;=U1494)</f>
        <v>0</v>
      </c>
      <c r="W1494" s="10" t="n">
        <f aca="false">IF(V1494,T1494*(AK1494-AB1494)-Inputs!$B$9-T1494*AD1494*Inputs!$B$13*(A1494-AC1494),0)</f>
        <v>0</v>
      </c>
      <c r="X1494" s="10" t="n">
        <f aca="false">P1494-IF(Q1494,Inputs!$B$9,0)+W1494</f>
        <v>892.966822134287</v>
      </c>
      <c r="Y1494" s="11" t="n">
        <f aca="false">IF(V1494,0,T1494)</f>
        <v>0</v>
      </c>
      <c r="Z1494" s="9" t="b">
        <f aca="false">AND(Y1494&gt;0,K1494)</f>
        <v>0</v>
      </c>
      <c r="AA1494" s="9" t="b">
        <f aca="false">AND(Y1494=0,J1494,ISNUMBER(L1494))</f>
        <v>0</v>
      </c>
      <c r="AB1494" s="8" t="n">
        <f aca="false">IF(Q1494,R1494,AB1493)</f>
        <v>0.866249784733642</v>
      </c>
      <c r="AC1494" s="12" t="n">
        <f aca="false">IF(Q1494,A1494,AC1493)</f>
        <v>46233</v>
      </c>
      <c r="AD1494" s="8" t="n">
        <f aca="false">IF(Q1494,B1494,AD1493)</f>
        <v>0.866076569419758</v>
      </c>
      <c r="AE1494" s="8" t="str">
        <f aca="false">IF(AA1494,L1494,"")</f>
        <v/>
      </c>
      <c r="AF1494" s="8" t="n">
        <f aca="false">U1494</f>
        <v>0.847434384754863</v>
      </c>
      <c r="AG1494" s="2" t="n">
        <f aca="false">AG1493+IF(Q1494,1,0)</f>
        <v>17</v>
      </c>
      <c r="AH1494" s="2" t="n">
        <f aca="false">AG1493</f>
        <v>17</v>
      </c>
      <c r="AI1494" s="10" t="n">
        <f aca="false">X1494+Y1494*(E1494-AB1494)-Y1494*AD1494*Inputs!$B$13*(A1494-AC1494)</f>
        <v>892.966822134287</v>
      </c>
      <c r="AJ1494" s="10" t="n">
        <v>0</v>
      </c>
      <c r="AK1494" s="8" t="n">
        <f aca="false">IF(AND(B1494&lt;=U1494,NOT(Q1494)),B1494,U1494)*(1-Inputs!$B$12)</f>
        <v>0.826161385944869</v>
      </c>
    </row>
    <row r="1495" customFormat="false" ht="15" hidden="false" customHeight="false" outlineLevel="0" collapsed="false">
      <c r="A1495" s="6" t="n">
        <v>46279</v>
      </c>
      <c r="B1495" s="7" t="n">
        <v>0.817757198787825</v>
      </c>
      <c r="C1495" s="7" t="n">
        <v>0.819329542965885</v>
      </c>
      <c r="D1495" s="7" t="n">
        <v>0.804721337798361</v>
      </c>
      <c r="E1495" s="7" t="n">
        <v>0.807592617409741</v>
      </c>
      <c r="F1495" s="8" t="n">
        <f aca="true">IF(ROW()-2&gt;=Inputs!$B$4,AVERAGE(OFFSET(E1495,1-Inputs!$B$4,0,Inputs!$B$4,1)),"")</f>
        <v>0.82408545797818</v>
      </c>
      <c r="G1495" s="8" t="n">
        <f aca="true">IF(ROW()-2&gt;=Inputs!$B$5,AVERAGE(OFFSET(E1495,1-Inputs!$B$5,0,Inputs!$B$5,1)),"")</f>
        <v>0.831679271995696</v>
      </c>
      <c r="H1495" s="8" t="n">
        <f aca="false">MAX(C1495-D1495,ABS(C1495-E1494),ABS(D1495-E1494))</f>
        <v>0.0146082051675238</v>
      </c>
      <c r="I1495" s="8" t="n">
        <f aca="true">IF(ROW()-2&lt;14,"",IF(ROW()-2=14,AVERAGE(OFFSET(H1495,-13,0,14,1)),(I1494*13+H1495)/14))</f>
        <v>0.00847011330433327</v>
      </c>
      <c r="J1495" s="9" t="b">
        <f aca="false">IF(AND(ISNUMBER(F1495),ISNUMBER(G1495),ISNUMBER(F1494),ISNUMBER(G1494)),AND(F1495&gt;G1495,F1494&lt;=G1494),FALSE())</f>
        <v>0</v>
      </c>
      <c r="K1495" s="9" t="b">
        <f aca="false">IF(AND(ISNUMBER(F1495),ISNUMBER(G1495),ISNUMBER(F1494),ISNUMBER(G1494)),AND(F1495&lt;G1495,F1494&gt;=G1494),FALSE())</f>
        <v>0</v>
      </c>
      <c r="L1495" s="8" t="n">
        <f aca="false">IF(ISNUMBER(I1495),E1495-Inputs!$B$6*I1495,"")</f>
        <v>0.790652390801075</v>
      </c>
      <c r="M1495" s="9" t="b">
        <f aca="false">AND(Y1494&gt;0,Z1494)</f>
        <v>0</v>
      </c>
      <c r="N1495" s="8" t="n">
        <f aca="false">B1495*(1-Inputs!$B$12)</f>
        <v>0.817593647348068</v>
      </c>
      <c r="O1495" s="10" t="n">
        <f aca="false">IF(M1495,Y1494*(N1495-AB1494)-Inputs!$B$9-Y1494*AD1494*Inputs!$B$13*(A1495-AC1494),0)</f>
        <v>0</v>
      </c>
      <c r="P1495" s="10" t="n">
        <f aca="false">X1494+O1495</f>
        <v>892.966822134287</v>
      </c>
      <c r="Q1495" s="9" t="b">
        <f aca="false">AND(IF(M1495,0,Y1494)=0,AA1494,IF(ISNUMBER(AE1494),B1495&gt;AE1494,FALSE()))</f>
        <v>0</v>
      </c>
      <c r="R1495" s="8" t="n">
        <f aca="false">B1495*(1+Inputs!$B$12)</f>
        <v>0.817920750227583</v>
      </c>
      <c r="S1495" s="11" t="n">
        <f aca="false">IF(Q1495,MIN(P1495*Inputs!$B$3/(R1495-AE1494),P1495*Inputs!$B$11/R1495),0)</f>
        <v>0</v>
      </c>
      <c r="T1495" s="11" t="n">
        <f aca="false">IF(Q1495,S1495,IF(M1495,0,Y1494))</f>
        <v>0</v>
      </c>
      <c r="U1495" s="8" t="n">
        <f aca="false">IF(Q1495,AE1494,AF1494)</f>
        <v>0.847434384754863</v>
      </c>
      <c r="V1495" s="9" t="b">
        <f aca="false">AND(T1495&gt;0,D1495&lt;=U1495)</f>
        <v>0</v>
      </c>
      <c r="W1495" s="10" t="n">
        <f aca="false">IF(V1495,T1495*(AK1495-AB1495)-Inputs!$B$9-T1495*AD1495*Inputs!$B$13*(A1495-AC1495),0)</f>
        <v>0</v>
      </c>
      <c r="X1495" s="10" t="n">
        <f aca="false">P1495-IF(Q1495,Inputs!$B$9,0)+W1495</f>
        <v>892.966822134287</v>
      </c>
      <c r="Y1495" s="11" t="n">
        <f aca="false">IF(V1495,0,T1495)</f>
        <v>0</v>
      </c>
      <c r="Z1495" s="9" t="b">
        <f aca="false">AND(Y1495&gt;0,K1495)</f>
        <v>0</v>
      </c>
      <c r="AA1495" s="9" t="b">
        <f aca="false">AND(Y1495=0,J1495,ISNUMBER(L1495))</f>
        <v>0</v>
      </c>
      <c r="AB1495" s="8" t="n">
        <f aca="false">IF(Q1495,R1495,AB1494)</f>
        <v>0.866249784733642</v>
      </c>
      <c r="AC1495" s="12" t="n">
        <f aca="false">IF(Q1495,A1495,AC1494)</f>
        <v>46233</v>
      </c>
      <c r="AD1495" s="8" t="n">
        <f aca="false">IF(Q1495,B1495,AD1494)</f>
        <v>0.866076569419758</v>
      </c>
      <c r="AE1495" s="8" t="str">
        <f aca="false">IF(AA1495,L1495,"")</f>
        <v/>
      </c>
      <c r="AF1495" s="8" t="n">
        <f aca="false">U1495</f>
        <v>0.847434384754863</v>
      </c>
      <c r="AG1495" s="2" t="n">
        <f aca="false">AG1494+IF(Q1495,1,0)</f>
        <v>17</v>
      </c>
      <c r="AH1495" s="2" t="n">
        <f aca="false">AG1494</f>
        <v>17</v>
      </c>
      <c r="AI1495" s="10" t="n">
        <f aca="false">X1495+Y1495*(E1495-AB1495)-Y1495*AD1495*Inputs!$B$13*(A1495-AC1495)</f>
        <v>892.966822134287</v>
      </c>
      <c r="AJ1495" s="10" t="n">
        <v>0</v>
      </c>
      <c r="AK1495" s="8" t="n">
        <f aca="false">IF(AND(B1495&lt;=U1495,NOT(Q1495)),B1495,U1495)*(1-Inputs!$B$12)</f>
        <v>0.817593647348068</v>
      </c>
    </row>
    <row r="1496" customFormat="false" ht="15" hidden="false" customHeight="false" outlineLevel="0" collapsed="false">
      <c r="A1496" s="6" t="n">
        <v>46280</v>
      </c>
      <c r="B1496" s="7" t="n">
        <v>0.807592617409741</v>
      </c>
      <c r="C1496" s="7" t="n">
        <v>0.807930601106833</v>
      </c>
      <c r="D1496" s="7" t="n">
        <v>0.804916213802252</v>
      </c>
      <c r="E1496" s="7" t="n">
        <v>0.805047595319422</v>
      </c>
      <c r="F1496" s="8" t="n">
        <f aca="true">IF(ROW()-2&gt;=Inputs!$B$4,AVERAGE(OFFSET(E1496,1-Inputs!$B$4,0,Inputs!$B$4,1)),"")</f>
        <v>0.823417934692386</v>
      </c>
      <c r="G1496" s="8" t="n">
        <f aca="true">IF(ROW()-2&gt;=Inputs!$B$5,AVERAGE(OFFSET(E1496,1-Inputs!$B$5,0,Inputs!$B$5,1)),"")</f>
        <v>0.830593105179085</v>
      </c>
      <c r="H1496" s="8" t="n">
        <f aca="false">MAX(C1496-D1496,ABS(C1496-E1495),ABS(D1496-E1495))</f>
        <v>0.00301438730458081</v>
      </c>
      <c r="I1496" s="8" t="n">
        <f aca="true">IF(ROW()-2&lt;14,"",IF(ROW()-2=14,AVERAGE(OFFSET(H1496,-13,0,14,1)),(I1495*13+H1496)/14))</f>
        <v>0.00808041859006523</v>
      </c>
      <c r="J1496" s="9" t="b">
        <f aca="false">IF(AND(ISNUMBER(F1496),ISNUMBER(G1496),ISNUMBER(F1495),ISNUMBER(G1495)),AND(F1496&gt;G1496,F1495&lt;=G1495),FALSE())</f>
        <v>0</v>
      </c>
      <c r="K1496" s="9" t="b">
        <f aca="false">IF(AND(ISNUMBER(F1496),ISNUMBER(G1496),ISNUMBER(F1495),ISNUMBER(G1495)),AND(F1496&lt;G1496,F1495&gt;=G1495),FALSE())</f>
        <v>0</v>
      </c>
      <c r="L1496" s="8" t="n">
        <f aca="false">IF(ISNUMBER(I1496),E1496-Inputs!$B$6*I1496,"")</f>
        <v>0.788886758139291</v>
      </c>
      <c r="M1496" s="9" t="b">
        <f aca="false">AND(Y1495&gt;0,Z1495)</f>
        <v>0</v>
      </c>
      <c r="N1496" s="8" t="n">
        <f aca="false">B1496*(1-Inputs!$B$12)</f>
        <v>0.807431098886259</v>
      </c>
      <c r="O1496" s="10" t="n">
        <f aca="false">IF(M1496,Y1495*(N1496-AB1495)-Inputs!$B$9-Y1495*AD1495*Inputs!$B$13*(A1496-AC1495),0)</f>
        <v>0</v>
      </c>
      <c r="P1496" s="10" t="n">
        <f aca="false">X1495+O1496</f>
        <v>892.966822134287</v>
      </c>
      <c r="Q1496" s="9" t="b">
        <f aca="false">AND(IF(M1496,0,Y1495)=0,AA1495,IF(ISNUMBER(AE1495),B1496&gt;AE1495,FALSE()))</f>
        <v>0</v>
      </c>
      <c r="R1496" s="8" t="n">
        <f aca="false">B1496*(1+Inputs!$B$12)</f>
        <v>0.807754135933223</v>
      </c>
      <c r="S1496" s="11" t="n">
        <f aca="false">IF(Q1496,MIN(P1496*Inputs!$B$3/(R1496-AE1495),P1496*Inputs!$B$11/R1496),0)</f>
        <v>0</v>
      </c>
      <c r="T1496" s="11" t="n">
        <f aca="false">IF(Q1496,S1496,IF(M1496,0,Y1495))</f>
        <v>0</v>
      </c>
      <c r="U1496" s="8" t="n">
        <f aca="false">IF(Q1496,AE1495,AF1495)</f>
        <v>0.847434384754863</v>
      </c>
      <c r="V1496" s="9" t="b">
        <f aca="false">AND(T1496&gt;0,D1496&lt;=U1496)</f>
        <v>0</v>
      </c>
      <c r="W1496" s="10" t="n">
        <f aca="false">IF(V1496,T1496*(AK1496-AB1496)-Inputs!$B$9-T1496*AD1496*Inputs!$B$13*(A1496-AC1496),0)</f>
        <v>0</v>
      </c>
      <c r="X1496" s="10" t="n">
        <f aca="false">P1496-IF(Q1496,Inputs!$B$9,0)+W1496</f>
        <v>892.966822134287</v>
      </c>
      <c r="Y1496" s="11" t="n">
        <f aca="false">IF(V1496,0,T1496)</f>
        <v>0</v>
      </c>
      <c r="Z1496" s="9" t="b">
        <f aca="false">AND(Y1496&gt;0,K1496)</f>
        <v>0</v>
      </c>
      <c r="AA1496" s="9" t="b">
        <f aca="false">AND(Y1496=0,J1496,ISNUMBER(L1496))</f>
        <v>0</v>
      </c>
      <c r="AB1496" s="8" t="n">
        <f aca="false">IF(Q1496,R1496,AB1495)</f>
        <v>0.866249784733642</v>
      </c>
      <c r="AC1496" s="12" t="n">
        <f aca="false">IF(Q1496,A1496,AC1495)</f>
        <v>46233</v>
      </c>
      <c r="AD1496" s="8" t="n">
        <f aca="false">IF(Q1496,B1496,AD1495)</f>
        <v>0.866076569419758</v>
      </c>
      <c r="AE1496" s="8" t="str">
        <f aca="false">IF(AA1496,L1496,"")</f>
        <v/>
      </c>
      <c r="AF1496" s="8" t="n">
        <f aca="false">U1496</f>
        <v>0.847434384754863</v>
      </c>
      <c r="AG1496" s="2" t="n">
        <f aca="false">AG1495+IF(Q1496,1,0)</f>
        <v>17</v>
      </c>
      <c r="AH1496" s="2" t="n">
        <f aca="false">AG1495</f>
        <v>17</v>
      </c>
      <c r="AI1496" s="10" t="n">
        <f aca="false">X1496+Y1496*(E1496-AB1496)-Y1496*AD1496*Inputs!$B$13*(A1496-AC1496)</f>
        <v>892.966822134287</v>
      </c>
      <c r="AJ1496" s="10" t="n">
        <v>0</v>
      </c>
      <c r="AK1496" s="8" t="n">
        <f aca="false">IF(AND(B1496&lt;=U1496,NOT(Q1496)),B1496,U1496)*(1-Inputs!$B$12)</f>
        <v>0.807431098886259</v>
      </c>
    </row>
    <row r="1497" customFormat="false" ht="15" hidden="false" customHeight="false" outlineLevel="0" collapsed="false">
      <c r="A1497" s="6" t="n">
        <v>46281</v>
      </c>
      <c r="B1497" s="7" t="n">
        <v>0.805047595319422</v>
      </c>
      <c r="C1497" s="7" t="n">
        <v>0.805397212988077</v>
      </c>
      <c r="D1497" s="7" t="n">
        <v>0.799291707262028</v>
      </c>
      <c r="E1497" s="7" t="n">
        <v>0.801309959153597</v>
      </c>
      <c r="F1497" s="8" t="n">
        <f aca="true">IF(ROW()-2&gt;=Inputs!$B$4,AVERAGE(OFFSET(E1497,1-Inputs!$B$4,0,Inputs!$B$4,1)),"")</f>
        <v>0.822522479760011</v>
      </c>
      <c r="G1497" s="8" t="n">
        <f aca="true">IF(ROW()-2&gt;=Inputs!$B$5,AVERAGE(OFFSET(E1497,1-Inputs!$B$5,0,Inputs!$B$5,1)),"")</f>
        <v>0.829331822306643</v>
      </c>
      <c r="H1497" s="8" t="n">
        <f aca="false">MAX(C1497-D1497,ABS(C1497-E1496),ABS(D1497-E1496))</f>
        <v>0.00610550572604929</v>
      </c>
      <c r="I1497" s="8" t="n">
        <f aca="true">IF(ROW()-2&lt;14,"",IF(ROW()-2=14,AVERAGE(OFFSET(H1497,-13,0,14,1)),(I1496*13+H1497)/14))</f>
        <v>0.00793935338549267</v>
      </c>
      <c r="J1497" s="9" t="b">
        <f aca="false">IF(AND(ISNUMBER(F1497),ISNUMBER(G1497),ISNUMBER(F1496),ISNUMBER(G1496)),AND(F1497&gt;G1497,F1496&lt;=G1496),FALSE())</f>
        <v>0</v>
      </c>
      <c r="K1497" s="9" t="b">
        <f aca="false">IF(AND(ISNUMBER(F1497),ISNUMBER(G1497),ISNUMBER(F1496),ISNUMBER(G1496)),AND(F1497&lt;G1497,F1496&gt;=G1496),FALSE())</f>
        <v>0</v>
      </c>
      <c r="L1497" s="8" t="n">
        <f aca="false">IF(ISNUMBER(I1497),E1497-Inputs!$B$6*I1497,"")</f>
        <v>0.785431252382612</v>
      </c>
      <c r="M1497" s="9" t="b">
        <f aca="false">AND(Y1496&gt;0,Z1496)</f>
        <v>0</v>
      </c>
      <c r="N1497" s="8" t="n">
        <f aca="false">B1497*(1-Inputs!$B$12)</f>
        <v>0.804886585800358</v>
      </c>
      <c r="O1497" s="10" t="n">
        <f aca="false">IF(M1497,Y1496*(N1497-AB1496)-Inputs!$B$9-Y1496*AD1496*Inputs!$B$13*(A1497-AC1496),0)</f>
        <v>0</v>
      </c>
      <c r="P1497" s="10" t="n">
        <f aca="false">X1496+O1497</f>
        <v>892.966822134287</v>
      </c>
      <c r="Q1497" s="9" t="b">
        <f aca="false">AND(IF(M1497,0,Y1496)=0,AA1496,IF(ISNUMBER(AE1496),B1497&gt;AE1496,FALSE()))</f>
        <v>0</v>
      </c>
      <c r="R1497" s="8" t="n">
        <f aca="false">B1497*(1+Inputs!$B$12)</f>
        <v>0.805208604838486</v>
      </c>
      <c r="S1497" s="11" t="n">
        <f aca="false">IF(Q1497,MIN(P1497*Inputs!$B$3/(R1497-AE1496),P1497*Inputs!$B$11/R1497),0)</f>
        <v>0</v>
      </c>
      <c r="T1497" s="11" t="n">
        <f aca="false">IF(Q1497,S1497,IF(M1497,0,Y1496))</f>
        <v>0</v>
      </c>
      <c r="U1497" s="8" t="n">
        <f aca="false">IF(Q1497,AE1496,AF1496)</f>
        <v>0.847434384754863</v>
      </c>
      <c r="V1497" s="9" t="b">
        <f aca="false">AND(T1497&gt;0,D1497&lt;=U1497)</f>
        <v>0</v>
      </c>
      <c r="W1497" s="10" t="n">
        <f aca="false">IF(V1497,T1497*(AK1497-AB1497)-Inputs!$B$9-T1497*AD1497*Inputs!$B$13*(A1497-AC1497),0)</f>
        <v>0</v>
      </c>
      <c r="X1497" s="10" t="n">
        <f aca="false">P1497-IF(Q1497,Inputs!$B$9,0)+W1497</f>
        <v>892.966822134287</v>
      </c>
      <c r="Y1497" s="11" t="n">
        <f aca="false">IF(V1497,0,T1497)</f>
        <v>0</v>
      </c>
      <c r="Z1497" s="9" t="b">
        <f aca="false">AND(Y1497&gt;0,K1497)</f>
        <v>0</v>
      </c>
      <c r="AA1497" s="9" t="b">
        <f aca="false">AND(Y1497=0,J1497,ISNUMBER(L1497))</f>
        <v>0</v>
      </c>
      <c r="AB1497" s="8" t="n">
        <f aca="false">IF(Q1497,R1497,AB1496)</f>
        <v>0.866249784733642</v>
      </c>
      <c r="AC1497" s="12" t="n">
        <f aca="false">IF(Q1497,A1497,AC1496)</f>
        <v>46233</v>
      </c>
      <c r="AD1497" s="8" t="n">
        <f aca="false">IF(Q1497,B1497,AD1496)</f>
        <v>0.866076569419758</v>
      </c>
      <c r="AE1497" s="8" t="str">
        <f aca="false">IF(AA1497,L1497,"")</f>
        <v/>
      </c>
      <c r="AF1497" s="8" t="n">
        <f aca="false">U1497</f>
        <v>0.847434384754863</v>
      </c>
      <c r="AG1497" s="2" t="n">
        <f aca="false">AG1496+IF(Q1497,1,0)</f>
        <v>17</v>
      </c>
      <c r="AH1497" s="2" t="n">
        <f aca="false">AG1496</f>
        <v>17</v>
      </c>
      <c r="AI1497" s="10" t="n">
        <f aca="false">X1497+Y1497*(E1497-AB1497)-Y1497*AD1497*Inputs!$B$13*(A1497-AC1497)</f>
        <v>892.966822134287</v>
      </c>
      <c r="AJ1497" s="10" t="n">
        <v>0</v>
      </c>
      <c r="AK1497" s="8" t="n">
        <f aca="false">IF(AND(B1497&lt;=U1497,NOT(Q1497)),B1497,U1497)*(1-Inputs!$B$12)</f>
        <v>0.804886585800358</v>
      </c>
    </row>
    <row r="1498" customFormat="false" ht="15" hidden="false" customHeight="false" outlineLevel="0" collapsed="false">
      <c r="A1498" s="6" t="n">
        <v>46282</v>
      </c>
      <c r="B1498" s="7" t="n">
        <v>0.801309959153597</v>
      </c>
      <c r="C1498" s="7" t="n">
        <v>0.807394799020883</v>
      </c>
      <c r="D1498" s="7" t="n">
        <v>0.79300331323547</v>
      </c>
      <c r="E1498" s="7" t="n">
        <v>0.794019536432512</v>
      </c>
      <c r="F1498" s="8" t="n">
        <f aca="true">IF(ROW()-2&gt;=Inputs!$B$4,AVERAGE(OFFSET(E1498,1-Inputs!$B$4,0,Inputs!$B$4,1)),"")</f>
        <v>0.821184603531383</v>
      </c>
      <c r="G1498" s="8" t="n">
        <f aca="true">IF(ROW()-2&gt;=Inputs!$B$5,AVERAGE(OFFSET(E1498,1-Inputs!$B$5,0,Inputs!$B$5,1)),"")</f>
        <v>0.827890681646898</v>
      </c>
      <c r="H1498" s="8" t="n">
        <f aca="false">MAX(C1498-D1498,ABS(C1498-E1497),ABS(D1498-E1497))</f>
        <v>0.0143914857854132</v>
      </c>
      <c r="I1498" s="8" t="n">
        <f aca="true">IF(ROW()-2&lt;14,"",IF(ROW()-2=14,AVERAGE(OFFSET(H1498,-13,0,14,1)),(I1497*13+H1498)/14))</f>
        <v>0.00840021998548699</v>
      </c>
      <c r="J1498" s="9" t="b">
        <f aca="false">IF(AND(ISNUMBER(F1498),ISNUMBER(G1498),ISNUMBER(F1497),ISNUMBER(G1497)),AND(F1498&gt;G1498,F1497&lt;=G1497),FALSE())</f>
        <v>0</v>
      </c>
      <c r="K1498" s="9" t="b">
        <f aca="false">IF(AND(ISNUMBER(F1498),ISNUMBER(G1498),ISNUMBER(F1497),ISNUMBER(G1497)),AND(F1498&lt;G1498,F1497&gt;=G1497),FALSE())</f>
        <v>0</v>
      </c>
      <c r="L1498" s="8" t="n">
        <f aca="false">IF(ISNUMBER(I1498),E1498-Inputs!$B$6*I1498,"")</f>
        <v>0.777219096461538</v>
      </c>
      <c r="M1498" s="9" t="b">
        <f aca="false">AND(Y1497&gt;0,Z1497)</f>
        <v>0</v>
      </c>
      <c r="N1498" s="8" t="n">
        <f aca="false">B1498*(1-Inputs!$B$12)</f>
        <v>0.801149697161767</v>
      </c>
      <c r="O1498" s="10" t="n">
        <f aca="false">IF(M1498,Y1497*(N1498-AB1497)-Inputs!$B$9-Y1497*AD1497*Inputs!$B$13*(A1498-AC1497),0)</f>
        <v>0</v>
      </c>
      <c r="P1498" s="10" t="n">
        <f aca="false">X1497+O1498</f>
        <v>892.966822134287</v>
      </c>
      <c r="Q1498" s="9" t="b">
        <f aca="false">AND(IF(M1498,0,Y1497)=0,AA1497,IF(ISNUMBER(AE1497),B1498&gt;AE1497,FALSE()))</f>
        <v>0</v>
      </c>
      <c r="R1498" s="8" t="n">
        <f aca="false">B1498*(1+Inputs!$B$12)</f>
        <v>0.801470221145428</v>
      </c>
      <c r="S1498" s="11" t="n">
        <f aca="false">IF(Q1498,MIN(P1498*Inputs!$B$3/(R1498-AE1497),P1498*Inputs!$B$11/R1498),0)</f>
        <v>0</v>
      </c>
      <c r="T1498" s="11" t="n">
        <f aca="false">IF(Q1498,S1498,IF(M1498,0,Y1497))</f>
        <v>0</v>
      </c>
      <c r="U1498" s="8" t="n">
        <f aca="false">IF(Q1498,AE1497,AF1497)</f>
        <v>0.847434384754863</v>
      </c>
      <c r="V1498" s="9" t="b">
        <f aca="false">AND(T1498&gt;0,D1498&lt;=U1498)</f>
        <v>0</v>
      </c>
      <c r="W1498" s="10" t="n">
        <f aca="false">IF(V1498,T1498*(AK1498-AB1498)-Inputs!$B$9-T1498*AD1498*Inputs!$B$13*(A1498-AC1498),0)</f>
        <v>0</v>
      </c>
      <c r="X1498" s="10" t="n">
        <f aca="false">P1498-IF(Q1498,Inputs!$B$9,0)+W1498</f>
        <v>892.966822134287</v>
      </c>
      <c r="Y1498" s="11" t="n">
        <f aca="false">IF(V1498,0,T1498)</f>
        <v>0</v>
      </c>
      <c r="Z1498" s="9" t="b">
        <f aca="false">AND(Y1498&gt;0,K1498)</f>
        <v>0</v>
      </c>
      <c r="AA1498" s="9" t="b">
        <f aca="false">AND(Y1498=0,J1498,ISNUMBER(L1498))</f>
        <v>0</v>
      </c>
      <c r="AB1498" s="8" t="n">
        <f aca="false">IF(Q1498,R1498,AB1497)</f>
        <v>0.866249784733642</v>
      </c>
      <c r="AC1498" s="12" t="n">
        <f aca="false">IF(Q1498,A1498,AC1497)</f>
        <v>46233</v>
      </c>
      <c r="AD1498" s="8" t="n">
        <f aca="false">IF(Q1498,B1498,AD1497)</f>
        <v>0.866076569419758</v>
      </c>
      <c r="AE1498" s="8" t="str">
        <f aca="false">IF(AA1498,L1498,"")</f>
        <v/>
      </c>
      <c r="AF1498" s="8" t="n">
        <f aca="false">U1498</f>
        <v>0.847434384754863</v>
      </c>
      <c r="AG1498" s="2" t="n">
        <f aca="false">AG1497+IF(Q1498,1,0)</f>
        <v>17</v>
      </c>
      <c r="AH1498" s="2" t="n">
        <f aca="false">AG1497</f>
        <v>17</v>
      </c>
      <c r="AI1498" s="10" t="n">
        <f aca="false">X1498+Y1498*(E1498-AB1498)-Y1498*AD1498*Inputs!$B$13*(A1498-AC1498)</f>
        <v>892.966822134287</v>
      </c>
      <c r="AJ1498" s="10" t="n">
        <v>0</v>
      </c>
      <c r="AK1498" s="8" t="n">
        <f aca="false">IF(AND(B1498&lt;=U1498,NOT(Q1498)),B1498,U1498)*(1-Inputs!$B$12)</f>
        <v>0.801149697161767</v>
      </c>
    </row>
    <row r="1499" customFormat="false" ht="15" hidden="false" customHeight="false" outlineLevel="0" collapsed="false">
      <c r="A1499" s="6" t="n">
        <v>46283</v>
      </c>
      <c r="B1499" s="7" t="n">
        <v>0.794019536432512</v>
      </c>
      <c r="C1499" s="7" t="n">
        <v>0.800259394980104</v>
      </c>
      <c r="D1499" s="7" t="n">
        <v>0.792218031789367</v>
      </c>
      <c r="E1499" s="7" t="n">
        <v>0.795407292057895</v>
      </c>
      <c r="F1499" s="8" t="n">
        <f aca="true">IF(ROW()-2&gt;=Inputs!$B$4,AVERAGE(OFFSET(E1499,1-Inputs!$B$4,0,Inputs!$B$4,1)),"")</f>
        <v>0.819990173272262</v>
      </c>
      <c r="G1499" s="8" t="n">
        <f aca="true">IF(ROW()-2&gt;=Inputs!$B$5,AVERAGE(OFFSET(E1499,1-Inputs!$B$5,0,Inputs!$B$5,1)),"")</f>
        <v>0.82650742878559</v>
      </c>
      <c r="H1499" s="8" t="n">
        <f aca="false">MAX(C1499-D1499,ABS(C1499-E1498),ABS(D1499-E1498))</f>
        <v>0.00804136319073734</v>
      </c>
      <c r="I1499" s="8" t="n">
        <f aca="true">IF(ROW()-2&lt;14,"",IF(ROW()-2=14,AVERAGE(OFFSET(H1499,-13,0,14,1)),(I1498*13+H1499)/14))</f>
        <v>0.00837458735729058</v>
      </c>
      <c r="J1499" s="9" t="b">
        <f aca="false">IF(AND(ISNUMBER(F1499),ISNUMBER(G1499),ISNUMBER(F1498),ISNUMBER(G1498)),AND(F1499&gt;G1499,F1498&lt;=G1498),FALSE())</f>
        <v>0</v>
      </c>
      <c r="K1499" s="9" t="b">
        <f aca="false">IF(AND(ISNUMBER(F1499),ISNUMBER(G1499),ISNUMBER(F1498),ISNUMBER(G1498)),AND(F1499&lt;G1499,F1498&gt;=G1498),FALSE())</f>
        <v>0</v>
      </c>
      <c r="L1499" s="8" t="n">
        <f aca="false">IF(ISNUMBER(I1499),E1499-Inputs!$B$6*I1499,"")</f>
        <v>0.778658117343314</v>
      </c>
      <c r="M1499" s="9" t="b">
        <f aca="false">AND(Y1498&gt;0,Z1498)</f>
        <v>0</v>
      </c>
      <c r="N1499" s="8" t="n">
        <f aca="false">B1499*(1-Inputs!$B$12)</f>
        <v>0.793860732525226</v>
      </c>
      <c r="O1499" s="10" t="n">
        <f aca="false">IF(M1499,Y1498*(N1499-AB1498)-Inputs!$B$9-Y1498*AD1498*Inputs!$B$13*(A1499-AC1498),0)</f>
        <v>0</v>
      </c>
      <c r="P1499" s="10" t="n">
        <f aca="false">X1498+O1499</f>
        <v>892.966822134287</v>
      </c>
      <c r="Q1499" s="9" t="b">
        <f aca="false">AND(IF(M1499,0,Y1498)=0,AA1498,IF(ISNUMBER(AE1498),B1499&gt;AE1498,FALSE()))</f>
        <v>0</v>
      </c>
      <c r="R1499" s="8" t="n">
        <f aca="false">B1499*(1+Inputs!$B$12)</f>
        <v>0.794178340339799</v>
      </c>
      <c r="S1499" s="11" t="n">
        <f aca="false">IF(Q1499,MIN(P1499*Inputs!$B$3/(R1499-AE1498),P1499*Inputs!$B$11/R1499),0)</f>
        <v>0</v>
      </c>
      <c r="T1499" s="11" t="n">
        <f aca="false">IF(Q1499,S1499,IF(M1499,0,Y1498))</f>
        <v>0</v>
      </c>
      <c r="U1499" s="8" t="n">
        <f aca="false">IF(Q1499,AE1498,AF1498)</f>
        <v>0.847434384754863</v>
      </c>
      <c r="V1499" s="9" t="b">
        <f aca="false">AND(T1499&gt;0,D1499&lt;=U1499)</f>
        <v>0</v>
      </c>
      <c r="W1499" s="10" t="n">
        <f aca="false">IF(V1499,T1499*(AK1499-AB1499)-Inputs!$B$9-T1499*AD1499*Inputs!$B$13*(A1499-AC1499),0)</f>
        <v>0</v>
      </c>
      <c r="X1499" s="10" t="n">
        <f aca="false">P1499-IF(Q1499,Inputs!$B$9,0)+W1499</f>
        <v>892.966822134287</v>
      </c>
      <c r="Y1499" s="11" t="n">
        <f aca="false">IF(V1499,0,T1499)</f>
        <v>0</v>
      </c>
      <c r="Z1499" s="9" t="b">
        <f aca="false">AND(Y1499&gt;0,K1499)</f>
        <v>0</v>
      </c>
      <c r="AA1499" s="9" t="b">
        <f aca="false">AND(Y1499=0,J1499,ISNUMBER(L1499))</f>
        <v>0</v>
      </c>
      <c r="AB1499" s="8" t="n">
        <f aca="false">IF(Q1499,R1499,AB1498)</f>
        <v>0.866249784733642</v>
      </c>
      <c r="AC1499" s="12" t="n">
        <f aca="false">IF(Q1499,A1499,AC1498)</f>
        <v>46233</v>
      </c>
      <c r="AD1499" s="8" t="n">
        <f aca="false">IF(Q1499,B1499,AD1498)</f>
        <v>0.866076569419758</v>
      </c>
      <c r="AE1499" s="8" t="str">
        <f aca="false">IF(AA1499,L1499,"")</f>
        <v/>
      </c>
      <c r="AF1499" s="8" t="n">
        <f aca="false">U1499</f>
        <v>0.847434384754863</v>
      </c>
      <c r="AG1499" s="2" t="n">
        <f aca="false">AG1498+IF(Q1499,1,0)</f>
        <v>17</v>
      </c>
      <c r="AH1499" s="2" t="n">
        <f aca="false">AG1498</f>
        <v>17</v>
      </c>
      <c r="AI1499" s="10" t="n">
        <f aca="false">X1499+Y1499*(E1499-AB1499)-Y1499*AD1499*Inputs!$B$13*(A1499-AC1499)</f>
        <v>892.966822134287</v>
      </c>
      <c r="AJ1499" s="10" t="n">
        <v>0</v>
      </c>
      <c r="AK1499" s="8" t="n">
        <f aca="false">IF(AND(B1499&lt;=U1499,NOT(Q1499)),B1499,U1499)*(1-Inputs!$B$12)</f>
        <v>0.793860732525226</v>
      </c>
    </row>
    <row r="1500" customFormat="false" ht="15" hidden="false" customHeight="false" outlineLevel="0" collapsed="false">
      <c r="A1500" s="6" t="n">
        <v>46284</v>
      </c>
      <c r="B1500" s="7" t="n">
        <v>0.795407292057895</v>
      </c>
      <c r="C1500" s="7" t="n">
        <v>0.801759869625527</v>
      </c>
      <c r="D1500" s="7" t="n">
        <v>0.791069233921204</v>
      </c>
      <c r="E1500" s="7" t="n">
        <v>0.795240756825267</v>
      </c>
      <c r="F1500" s="8" t="n">
        <f aca="true">IF(ROW()-2&gt;=Inputs!$B$4,AVERAGE(OFFSET(E1500,1-Inputs!$B$4,0,Inputs!$B$4,1)),"")</f>
        <v>0.818958724516787</v>
      </c>
      <c r="G1500" s="8" t="n">
        <f aca="true">IF(ROW()-2&gt;=Inputs!$B$5,AVERAGE(OFFSET(E1500,1-Inputs!$B$5,0,Inputs!$B$5,1)),"")</f>
        <v>0.825157649938744</v>
      </c>
      <c r="H1500" s="8" t="n">
        <f aca="false">MAX(C1500-D1500,ABS(C1500-E1499),ABS(D1500-E1499))</f>
        <v>0.0106906357043234</v>
      </c>
      <c r="I1500" s="8" t="n">
        <f aca="true">IF(ROW()-2&lt;14,"",IF(ROW()-2=14,AVERAGE(OFFSET(H1500,-13,0,14,1)),(I1499*13+H1500)/14))</f>
        <v>0.00854001938207864</v>
      </c>
      <c r="J1500" s="9" t="b">
        <f aca="false">IF(AND(ISNUMBER(F1500),ISNUMBER(G1500),ISNUMBER(F1499),ISNUMBER(G1499)),AND(F1500&gt;G1500,F1499&lt;=G1499),FALSE())</f>
        <v>0</v>
      </c>
      <c r="K1500" s="9" t="b">
        <f aca="false">IF(AND(ISNUMBER(F1500),ISNUMBER(G1500),ISNUMBER(F1499),ISNUMBER(G1499)),AND(F1500&lt;G1500,F1499&gt;=G1499),FALSE())</f>
        <v>0</v>
      </c>
      <c r="L1500" s="8" t="n">
        <f aca="false">IF(ISNUMBER(I1500),E1500-Inputs!$B$6*I1500,"")</f>
        <v>0.77816071806111</v>
      </c>
      <c r="M1500" s="9" t="b">
        <f aca="false">AND(Y1499&gt;0,Z1499)</f>
        <v>0</v>
      </c>
      <c r="N1500" s="8" t="n">
        <f aca="false">B1500*(1-Inputs!$B$12)</f>
        <v>0.795248210599484</v>
      </c>
      <c r="O1500" s="10" t="n">
        <f aca="false">IF(M1500,Y1499*(N1500-AB1499)-Inputs!$B$9-Y1499*AD1499*Inputs!$B$13*(A1500-AC1499),0)</f>
        <v>0</v>
      </c>
      <c r="P1500" s="10" t="n">
        <f aca="false">X1499+O1500</f>
        <v>892.966822134287</v>
      </c>
      <c r="Q1500" s="9" t="b">
        <f aca="false">AND(IF(M1500,0,Y1499)=0,AA1499,IF(ISNUMBER(AE1499),B1500&gt;AE1499,FALSE()))</f>
        <v>0</v>
      </c>
      <c r="R1500" s="8" t="n">
        <f aca="false">B1500*(1+Inputs!$B$12)</f>
        <v>0.795566373516307</v>
      </c>
      <c r="S1500" s="11" t="n">
        <f aca="false">IF(Q1500,MIN(P1500*Inputs!$B$3/(R1500-AE1499),P1500*Inputs!$B$11/R1500),0)</f>
        <v>0</v>
      </c>
      <c r="T1500" s="11" t="n">
        <f aca="false">IF(Q1500,S1500,IF(M1500,0,Y1499))</f>
        <v>0</v>
      </c>
      <c r="U1500" s="8" t="n">
        <f aca="false">IF(Q1500,AE1499,AF1499)</f>
        <v>0.847434384754863</v>
      </c>
      <c r="V1500" s="9" t="b">
        <f aca="false">AND(T1500&gt;0,D1500&lt;=U1500)</f>
        <v>0</v>
      </c>
      <c r="W1500" s="10" t="n">
        <f aca="false">IF(V1500,T1500*(AK1500-AB1500)-Inputs!$B$9-T1500*AD1500*Inputs!$B$13*(A1500-AC1500),0)</f>
        <v>0</v>
      </c>
      <c r="X1500" s="10" t="n">
        <f aca="false">P1500-IF(Q1500,Inputs!$B$9,0)+W1500</f>
        <v>892.966822134287</v>
      </c>
      <c r="Y1500" s="11" t="n">
        <f aca="false">IF(V1500,0,T1500)</f>
        <v>0</v>
      </c>
      <c r="Z1500" s="9" t="b">
        <f aca="false">AND(Y1500&gt;0,K1500)</f>
        <v>0</v>
      </c>
      <c r="AA1500" s="9" t="b">
        <f aca="false">AND(Y1500=0,J1500,ISNUMBER(L1500))</f>
        <v>0</v>
      </c>
      <c r="AB1500" s="8" t="n">
        <f aca="false">IF(Q1500,R1500,AB1499)</f>
        <v>0.866249784733642</v>
      </c>
      <c r="AC1500" s="12" t="n">
        <f aca="false">IF(Q1500,A1500,AC1499)</f>
        <v>46233</v>
      </c>
      <c r="AD1500" s="8" t="n">
        <f aca="false">IF(Q1500,B1500,AD1499)</f>
        <v>0.866076569419758</v>
      </c>
      <c r="AE1500" s="8" t="str">
        <f aca="false">IF(AA1500,L1500,"")</f>
        <v/>
      </c>
      <c r="AF1500" s="8" t="n">
        <f aca="false">U1500</f>
        <v>0.847434384754863</v>
      </c>
      <c r="AG1500" s="2" t="n">
        <f aca="false">AG1499+IF(Q1500,1,0)</f>
        <v>17</v>
      </c>
      <c r="AH1500" s="2" t="n">
        <f aca="false">AG1499</f>
        <v>17</v>
      </c>
      <c r="AI1500" s="10" t="n">
        <f aca="false">X1500+Y1500*(E1500-AB1500)-Y1500*AD1500*Inputs!$B$13*(A1500-AC1500)</f>
        <v>892.966822134287</v>
      </c>
      <c r="AJ1500" s="10" t="n">
        <v>0</v>
      </c>
      <c r="AK1500" s="8" t="n">
        <f aca="false">IF(AND(B1500&lt;=U1500,NOT(Q1500)),B1500,U1500)*(1-Inputs!$B$12)</f>
        <v>0.795248210599484</v>
      </c>
    </row>
    <row r="1501" customFormat="false" ht="15" hidden="false" customHeight="false" outlineLevel="0" collapsed="false">
      <c r="A1501" s="6" t="n">
        <v>46285</v>
      </c>
      <c r="B1501" s="7" t="n">
        <v>0.795240756825267</v>
      </c>
      <c r="C1501" s="7" t="n">
        <v>0.797915626316957</v>
      </c>
      <c r="D1501" s="7" t="n">
        <v>0.790483150403839</v>
      </c>
      <c r="E1501" s="7" t="n">
        <v>0.790532288504717</v>
      </c>
      <c r="F1501" s="8" t="n">
        <f aca="true">IF(ROW()-2&gt;=Inputs!$B$4,AVERAGE(OFFSET(E1501,1-Inputs!$B$4,0,Inputs!$B$4,1)),"")</f>
        <v>0.817105076298285</v>
      </c>
      <c r="G1501" s="8" t="n">
        <f aca="true">IF(ROW()-2&gt;=Inputs!$B$5,AVERAGE(OFFSET(E1501,1-Inputs!$B$5,0,Inputs!$B$5,1)),"")</f>
        <v>0.823888758448788</v>
      </c>
      <c r="H1501" s="8" t="n">
        <f aca="false">MAX(C1501-D1501,ABS(C1501-E1500),ABS(D1501-E1500))</f>
        <v>0.00743247591311813</v>
      </c>
      <c r="I1501" s="8" t="n">
        <f aca="true">IF(ROW()-2&lt;14,"",IF(ROW()-2=14,AVERAGE(OFFSET(H1501,-13,0,14,1)),(I1500*13+H1501)/14))</f>
        <v>0.00846090913429575</v>
      </c>
      <c r="J1501" s="9" t="b">
        <f aca="false">IF(AND(ISNUMBER(F1501),ISNUMBER(G1501),ISNUMBER(F1500),ISNUMBER(G1500)),AND(F1501&gt;G1501,F1500&lt;=G1500),FALSE())</f>
        <v>0</v>
      </c>
      <c r="K1501" s="9" t="b">
        <f aca="false">IF(AND(ISNUMBER(F1501),ISNUMBER(G1501),ISNUMBER(F1500),ISNUMBER(G1500)),AND(F1501&lt;G1501,F1500&gt;=G1500),FALSE())</f>
        <v>0</v>
      </c>
      <c r="L1501" s="8" t="n">
        <f aca="false">IF(ISNUMBER(I1501),E1501-Inputs!$B$6*I1501,"")</f>
        <v>0.773610470236125</v>
      </c>
      <c r="M1501" s="9" t="b">
        <f aca="false">AND(Y1500&gt;0,Z1500)</f>
        <v>0</v>
      </c>
      <c r="N1501" s="8" t="n">
        <f aca="false">B1501*(1-Inputs!$B$12)</f>
        <v>0.795081708673902</v>
      </c>
      <c r="O1501" s="10" t="n">
        <f aca="false">IF(M1501,Y1500*(N1501-AB1500)-Inputs!$B$9-Y1500*AD1500*Inputs!$B$13*(A1501-AC1500),0)</f>
        <v>0</v>
      </c>
      <c r="P1501" s="10" t="n">
        <f aca="false">X1500+O1501</f>
        <v>892.966822134287</v>
      </c>
      <c r="Q1501" s="9" t="b">
        <f aca="false">AND(IF(M1501,0,Y1500)=0,AA1500,IF(ISNUMBER(AE1500),B1501&gt;AE1500,FALSE()))</f>
        <v>0</v>
      </c>
      <c r="R1501" s="8" t="n">
        <f aca="false">B1501*(1+Inputs!$B$12)</f>
        <v>0.795399804976632</v>
      </c>
      <c r="S1501" s="11" t="n">
        <f aca="false">IF(Q1501,MIN(P1501*Inputs!$B$3/(R1501-AE1500),P1501*Inputs!$B$11/R1501),0)</f>
        <v>0</v>
      </c>
      <c r="T1501" s="11" t="n">
        <f aca="false">IF(Q1501,S1501,IF(M1501,0,Y1500))</f>
        <v>0</v>
      </c>
      <c r="U1501" s="8" t="n">
        <f aca="false">IF(Q1501,AE1500,AF1500)</f>
        <v>0.847434384754863</v>
      </c>
      <c r="V1501" s="9" t="b">
        <f aca="false">AND(T1501&gt;0,D1501&lt;=U1501)</f>
        <v>0</v>
      </c>
      <c r="W1501" s="10" t="n">
        <f aca="false">IF(V1501,T1501*(AK1501-AB1501)-Inputs!$B$9-T1501*AD1501*Inputs!$B$13*(A1501-AC1501),0)</f>
        <v>0</v>
      </c>
      <c r="X1501" s="10" t="n">
        <f aca="false">P1501-IF(Q1501,Inputs!$B$9,0)+W1501</f>
        <v>892.966822134287</v>
      </c>
      <c r="Y1501" s="11" t="n">
        <f aca="false">IF(V1501,0,T1501)</f>
        <v>0</v>
      </c>
      <c r="Z1501" s="9" t="b">
        <f aca="false">AND(Y1501&gt;0,K1501)</f>
        <v>0</v>
      </c>
      <c r="AA1501" s="9" t="b">
        <f aca="false">AND(Y1501=0,J1501,ISNUMBER(L1501))</f>
        <v>0</v>
      </c>
      <c r="AB1501" s="8" t="n">
        <f aca="false">IF(Q1501,R1501,AB1500)</f>
        <v>0.866249784733642</v>
      </c>
      <c r="AC1501" s="12" t="n">
        <f aca="false">IF(Q1501,A1501,AC1500)</f>
        <v>46233</v>
      </c>
      <c r="AD1501" s="8" t="n">
        <f aca="false">IF(Q1501,B1501,AD1500)</f>
        <v>0.866076569419758</v>
      </c>
      <c r="AE1501" s="8" t="str">
        <f aca="false">IF(AA1501,L1501,"")</f>
        <v/>
      </c>
      <c r="AF1501" s="8" t="n">
        <f aca="false">U1501</f>
        <v>0.847434384754863</v>
      </c>
      <c r="AG1501" s="2" t="n">
        <f aca="false">AG1500+IF(Q1501,1,0)</f>
        <v>17</v>
      </c>
      <c r="AH1501" s="2" t="n">
        <f aca="false">AG1500</f>
        <v>17</v>
      </c>
      <c r="AI1501" s="10" t="n">
        <f aca="false">X1501+Y1501*(E1501-AB1501)-Y1501*AD1501*Inputs!$B$13*(A1501-AC1501)</f>
        <v>892.966822134287</v>
      </c>
      <c r="AJ1501" s="10" t="n">
        <v>0</v>
      </c>
      <c r="AK1501" s="8" t="n">
        <f aca="false">IF(AND(B1501&lt;=U1501,NOT(Q1501)),B1501,U1501)*(1-Inputs!$B$12)</f>
        <v>0.795081708673902</v>
      </c>
    </row>
    <row r="1502" customFormat="false" ht="15" hidden="false" customHeight="false" outlineLevel="0" collapsed="false">
      <c r="A1502" s="6" t="n">
        <v>46286</v>
      </c>
      <c r="B1502" s="7" t="n">
        <v>0.790532288504717</v>
      </c>
      <c r="C1502" s="7" t="n">
        <v>0.792472081446307</v>
      </c>
      <c r="D1502" s="7" t="n">
        <v>0.786087308189861</v>
      </c>
      <c r="E1502" s="7" t="n">
        <v>0.786505288514458</v>
      </c>
      <c r="F1502" s="8" t="n">
        <f aca="true">IF(ROW()-2&gt;=Inputs!$B$4,AVERAGE(OFFSET(E1502,1-Inputs!$B$4,0,Inputs!$B$4,1)),"")</f>
        <v>0.815121953561805</v>
      </c>
      <c r="G1502" s="8" t="n">
        <f aca="true">IF(ROW()-2&gt;=Inputs!$B$5,AVERAGE(OFFSET(E1502,1-Inputs!$B$5,0,Inputs!$B$5,1)),"")</f>
        <v>0.822463565954193</v>
      </c>
      <c r="H1502" s="8" t="n">
        <f aca="false">MAX(C1502-D1502,ABS(C1502-E1501),ABS(D1502-E1501))</f>
        <v>0.00638477325644637</v>
      </c>
      <c r="I1502" s="8" t="n">
        <f aca="true">IF(ROW()-2&lt;14,"",IF(ROW()-2=14,AVERAGE(OFFSET(H1502,-13,0,14,1)),(I1501*13+H1502)/14))</f>
        <v>0.00831261371444936</v>
      </c>
      <c r="J1502" s="9" t="b">
        <f aca="false">IF(AND(ISNUMBER(F1502),ISNUMBER(G1502),ISNUMBER(F1501),ISNUMBER(G1501)),AND(F1502&gt;G1502,F1501&lt;=G1501),FALSE())</f>
        <v>0</v>
      </c>
      <c r="K1502" s="9" t="b">
        <f aca="false">IF(AND(ISNUMBER(F1502),ISNUMBER(G1502),ISNUMBER(F1501),ISNUMBER(G1501)),AND(F1502&lt;G1502,F1501&gt;=G1501),FALSE())</f>
        <v>0</v>
      </c>
      <c r="L1502" s="8" t="n">
        <f aca="false">IF(ISNUMBER(I1502),E1502-Inputs!$B$6*I1502,"")</f>
        <v>0.769880061085559</v>
      </c>
      <c r="M1502" s="9" t="b">
        <f aca="false">AND(Y1501&gt;0,Z1501)</f>
        <v>0</v>
      </c>
      <c r="N1502" s="8" t="n">
        <f aca="false">B1502*(1-Inputs!$B$12)</f>
        <v>0.790374182047016</v>
      </c>
      <c r="O1502" s="10" t="n">
        <f aca="false">IF(M1502,Y1501*(N1502-AB1501)-Inputs!$B$9-Y1501*AD1501*Inputs!$B$13*(A1502-AC1501),0)</f>
        <v>0</v>
      </c>
      <c r="P1502" s="10" t="n">
        <f aca="false">X1501+O1502</f>
        <v>892.966822134287</v>
      </c>
      <c r="Q1502" s="9" t="b">
        <f aca="false">AND(IF(M1502,0,Y1501)=0,AA1501,IF(ISNUMBER(AE1501),B1502&gt;AE1501,FALSE()))</f>
        <v>0</v>
      </c>
      <c r="R1502" s="8" t="n">
        <f aca="false">B1502*(1+Inputs!$B$12)</f>
        <v>0.790690394962418</v>
      </c>
      <c r="S1502" s="11" t="n">
        <f aca="false">IF(Q1502,MIN(P1502*Inputs!$B$3/(R1502-AE1501),P1502*Inputs!$B$11/R1502),0)</f>
        <v>0</v>
      </c>
      <c r="T1502" s="11" t="n">
        <f aca="false">IF(Q1502,S1502,IF(M1502,0,Y1501))</f>
        <v>0</v>
      </c>
      <c r="U1502" s="8" t="n">
        <f aca="false">IF(Q1502,AE1501,AF1501)</f>
        <v>0.847434384754863</v>
      </c>
      <c r="V1502" s="9" t="b">
        <f aca="false">AND(T1502&gt;0,D1502&lt;=U1502)</f>
        <v>0</v>
      </c>
      <c r="W1502" s="10" t="n">
        <f aca="false">IF(V1502,T1502*(AK1502-AB1502)-Inputs!$B$9-T1502*AD1502*Inputs!$B$13*(A1502-AC1502),0)</f>
        <v>0</v>
      </c>
      <c r="X1502" s="10" t="n">
        <f aca="false">P1502-IF(Q1502,Inputs!$B$9,0)+W1502</f>
        <v>892.966822134287</v>
      </c>
      <c r="Y1502" s="11" t="n">
        <f aca="false">IF(V1502,0,T1502)</f>
        <v>0</v>
      </c>
      <c r="Z1502" s="9" t="b">
        <f aca="false">AND(Y1502&gt;0,K1502)</f>
        <v>0</v>
      </c>
      <c r="AA1502" s="9" t="b">
        <f aca="false">AND(Y1502=0,J1502,ISNUMBER(L1502))</f>
        <v>0</v>
      </c>
      <c r="AB1502" s="8" t="n">
        <f aca="false">IF(Q1502,R1502,AB1501)</f>
        <v>0.866249784733642</v>
      </c>
      <c r="AC1502" s="12" t="n">
        <f aca="false">IF(Q1502,A1502,AC1501)</f>
        <v>46233</v>
      </c>
      <c r="AD1502" s="8" t="n">
        <f aca="false">IF(Q1502,B1502,AD1501)</f>
        <v>0.866076569419758</v>
      </c>
      <c r="AE1502" s="8" t="str">
        <f aca="false">IF(AA1502,L1502,"")</f>
        <v/>
      </c>
      <c r="AF1502" s="8" t="n">
        <f aca="false">U1502</f>
        <v>0.847434384754863</v>
      </c>
      <c r="AG1502" s="2" t="n">
        <f aca="false">AG1501+IF(Q1502,1,0)</f>
        <v>17</v>
      </c>
      <c r="AH1502" s="2" t="n">
        <f aca="false">AG1501</f>
        <v>17</v>
      </c>
      <c r="AI1502" s="10" t="n">
        <f aca="false">X1502+Y1502*(E1502-AB1502)-Y1502*AD1502*Inputs!$B$13*(A1502-AC1502)</f>
        <v>892.966822134287</v>
      </c>
      <c r="AJ1502" s="10" t="n">
        <f aca="false">IF(Y1502&gt;0,Y1502*(E1502*(1-Inputs!$B$12)-AB1502)-Inputs!$B$9-Y1502*AD1502*Inputs!$B$13*(A1502-AC1502),0)</f>
        <v>0</v>
      </c>
      <c r="AK1502" s="8" t="n">
        <f aca="false">IF(AND(B1502&lt;=U1502,NOT(Q1502)),B1502,U1502)*(1-Inputs!$B$12)</f>
        <v>0.790374182047016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4"/>
    <col collapsed="false" customWidth="true" hidden="false" outlineLevel="0" max="7" min="4" style="0" width="12"/>
    <col collapsed="false" customWidth="true" hidden="false" outlineLevel="0" max="8" min="8" style="0" width="40"/>
    <col collapsed="false" customWidth="true" hidden="false" outlineLevel="0" max="11" min="9" style="0" width="13"/>
    <col collapsed="false" customWidth="true" hidden="false" outlineLevel="0" max="12" min="12" style="0" width="9"/>
  </cols>
  <sheetData>
    <row r="1" customFormat="false" ht="26.85" hidden="false" customHeight="false" outlineLevel="0" collapsed="false">
      <c r="A1" s="13" t="s">
        <v>63</v>
      </c>
      <c r="B1" s="13" t="s">
        <v>64</v>
      </c>
      <c r="C1" s="13" t="s">
        <v>65</v>
      </c>
      <c r="D1" s="13" t="s">
        <v>66</v>
      </c>
      <c r="E1" s="13" t="s">
        <v>67</v>
      </c>
      <c r="F1" s="13" t="s">
        <v>68</v>
      </c>
      <c r="G1" s="13" t="s">
        <v>69</v>
      </c>
      <c r="H1" s="13" t="s">
        <v>70</v>
      </c>
      <c r="I1" s="13" t="s">
        <v>71</v>
      </c>
      <c r="J1" s="13" t="s">
        <v>72</v>
      </c>
      <c r="K1" s="13" t="s">
        <v>73</v>
      </c>
      <c r="L1" s="13" t="s">
        <v>74</v>
      </c>
    </row>
    <row r="2" customFormat="false" ht="15" hidden="false" customHeight="false" outlineLevel="0" collapsed="false">
      <c r="A2" s="0" t="n">
        <v>1</v>
      </c>
      <c r="B2" s="6" t="n">
        <v>44890</v>
      </c>
      <c r="C2" s="14" t="n">
        <f aca="false">INDEX(Calc!$A$3:$A$1502,MATCH(1,Calc!$AG$3:$AG$1502,0))</f>
        <v>44890</v>
      </c>
      <c r="D2" s="7" t="n">
        <v>0.861976658644412</v>
      </c>
      <c r="E2" s="15" t="n">
        <f aca="false">INDEX(Calc!$R$3:$R$1502,MATCH(1,Calc!$AG$3:$AG$1502,0))</f>
        <v>0.861976658644412</v>
      </c>
      <c r="F2" s="16" t="n">
        <v>515.951204214585</v>
      </c>
      <c r="G2" s="17" t="n">
        <f aca="false">INDEX(Calc!$S$3:$S$1502,MATCH(1,Calc!$AG$3:$AG$1502,0))</f>
        <v>515.951204214585</v>
      </c>
      <c r="H2" s="18" t="s">
        <v>75</v>
      </c>
      <c r="I2" s="19" t="n">
        <v>29.927372</v>
      </c>
      <c r="J2" s="20" t="n">
        <f aca="false">SUMIF(Calc!$AH$3:$AH$1502,1,Calc!$O$3:$O$1502)+SUMIF(Calc!$AG$3:$AG$1502,1,Calc!$W$3:$W$1502)+SUMIF(Calc!$AG$3:$AG$1502,1,Calc!$AJ$3:$AJ$1502)-Inputs!$B$9</f>
        <v>29.9273715976048</v>
      </c>
      <c r="K2" s="21" t="n">
        <f aca="false">J2-I2</f>
        <v>-4.02395187393267E-007</v>
      </c>
      <c r="L2" s="5" t="b">
        <f aca="false">AND(ABS(K2)&lt;0.005,C2=B2,ABS(E2-D2)&lt;0.0000001,ABS(G2-F2)&lt;0.0001)</f>
        <v>1</v>
      </c>
    </row>
    <row r="3" customFormat="false" ht="15" hidden="false" customHeight="false" outlineLevel="0" collapsed="false">
      <c r="A3" s="0" t="n">
        <v>2</v>
      </c>
      <c r="B3" s="6" t="n">
        <v>45034</v>
      </c>
      <c r="C3" s="14" t="n">
        <f aca="false">INDEX(Calc!$A$3:$A$1502,MATCH(2,Calc!$AG$3:$AG$1502,0))</f>
        <v>45034</v>
      </c>
      <c r="D3" s="7" t="n">
        <v>0.95824964655134</v>
      </c>
      <c r="E3" s="15" t="n">
        <f aca="false">INDEX(Calc!$R$3:$R$1502,MATCH(2,Calc!$AG$3:$AG$1502,0))</f>
        <v>0.95824964655134</v>
      </c>
      <c r="F3" s="16" t="n">
        <v>516.99069050491</v>
      </c>
      <c r="G3" s="17" t="n">
        <f aca="false">INDEX(Calc!$S$3:$S$1502,MATCH(2,Calc!$AG$3:$AG$1502,0))</f>
        <v>516.99069050491</v>
      </c>
      <c r="H3" s="18" t="s">
        <v>45</v>
      </c>
      <c r="I3" s="19" t="n">
        <v>-13.542965</v>
      </c>
      <c r="J3" s="20" t="n">
        <f aca="false">SUMIF(Calc!$AH$3:$AH$1502,2,Calc!$O$3:$O$1502)+SUMIF(Calc!$AG$3:$AG$1502,2,Calc!$W$3:$W$1502)+SUMIF(Calc!$AG$3:$AG$1502,2,Calc!$AJ$3:$AJ$1502)-Inputs!$B$9</f>
        <v>-13.5429649175086</v>
      </c>
      <c r="K3" s="21" t="n">
        <f aca="false">J3-I3</f>
        <v>8.24913666264138E-008</v>
      </c>
      <c r="L3" s="5" t="b">
        <f aca="false">AND(ABS(K3)&lt;0.005,C3=B3,ABS(E3-D3)&lt;0.0000001,ABS(G3-F3)&lt;0.0001)</f>
        <v>1</v>
      </c>
    </row>
    <row r="4" customFormat="false" ht="15" hidden="false" customHeight="false" outlineLevel="0" collapsed="false">
      <c r="A4" s="0" t="n">
        <v>3</v>
      </c>
      <c r="B4" s="6" t="n">
        <v>45226</v>
      </c>
      <c r="C4" s="14" t="n">
        <f aca="false">INDEX(Calc!$A$3:$A$1502,MATCH(3,Calc!$AG$3:$AG$1502,0))</f>
        <v>45226</v>
      </c>
      <c r="D4" s="7" t="n">
        <v>0.787286484836172</v>
      </c>
      <c r="E4" s="15" t="n">
        <f aca="false">INDEX(Calc!$R$3:$R$1502,MATCH(3,Calc!$AG$3:$AG$1502,0))</f>
        <v>0.787286484836172</v>
      </c>
      <c r="F4" s="16" t="n">
        <v>664.118972006065</v>
      </c>
      <c r="G4" s="17" t="n">
        <f aca="false">INDEX(Calc!$S$3:$S$1502,MATCH(3,Calc!$AG$3:$AG$1502,0))</f>
        <v>664.118972006065</v>
      </c>
      <c r="H4" s="18" t="s">
        <v>75</v>
      </c>
      <c r="I4" s="19" t="n">
        <v>33.971256</v>
      </c>
      <c r="J4" s="20" t="n">
        <f aca="false">SUMIF(Calc!$AH$3:$AH$1502,3,Calc!$O$3:$O$1502)+SUMIF(Calc!$AG$3:$AG$1502,3,Calc!$W$3:$W$1502)+SUMIF(Calc!$AG$3:$AG$1502,3,Calc!$AJ$3:$AJ$1502)-Inputs!$B$9</f>
        <v>33.9712557151779</v>
      </c>
      <c r="K4" s="21" t="n">
        <f aca="false">J4-I4</f>
        <v>-2.84822064600121E-007</v>
      </c>
      <c r="L4" s="5" t="b">
        <f aca="false">AND(ABS(K4)&lt;0.005,C4=B4,ABS(E4-D4)&lt;0.0000001,ABS(G4-F4)&lt;0.0001)</f>
        <v>1</v>
      </c>
    </row>
    <row r="5" customFormat="false" ht="15" hidden="false" customHeight="false" outlineLevel="0" collapsed="false">
      <c r="A5" s="0" t="n">
        <v>4</v>
      </c>
      <c r="B5" s="6" t="n">
        <v>45375</v>
      </c>
      <c r="C5" s="14" t="n">
        <f aca="false">INDEX(Calc!$A$3:$A$1502,MATCH(4,Calc!$AG$3:$AG$1502,0))</f>
        <v>45375</v>
      </c>
      <c r="D5" s="7" t="n">
        <v>0.868065965109487</v>
      </c>
      <c r="E5" s="15" t="n">
        <f aca="false">INDEX(Calc!$R$3:$R$1502,MATCH(4,Calc!$AG$3:$AG$1502,0))</f>
        <v>0.868065965109487</v>
      </c>
      <c r="F5" s="16" t="n">
        <v>598.201007160302</v>
      </c>
      <c r="G5" s="17" t="n">
        <f aca="false">INDEX(Calc!$S$3:$S$1502,MATCH(4,Calc!$AG$3:$AG$1502,0))</f>
        <v>598.201007160302</v>
      </c>
      <c r="H5" s="18" t="s">
        <v>45</v>
      </c>
      <c r="I5" s="19" t="n">
        <v>-13.252501</v>
      </c>
      <c r="J5" s="20" t="n">
        <f aca="false">SUMIF(Calc!$AH$3:$AH$1502,4,Calc!$O$3:$O$1502)+SUMIF(Calc!$AG$3:$AG$1502,4,Calc!$W$3:$W$1502)+SUMIF(Calc!$AG$3:$AG$1502,4,Calc!$AJ$3:$AJ$1502)-Inputs!$B$9</f>
        <v>-13.2525011307952</v>
      </c>
      <c r="K5" s="21" t="n">
        <f aca="false">J5-I5</f>
        <v>-1.30795157815555E-007</v>
      </c>
      <c r="L5" s="5" t="b">
        <f aca="false">AND(ABS(K5)&lt;0.005,C5=B5,ABS(E5-D5)&lt;0.0000001,ABS(G5-F5)&lt;0.0001)</f>
        <v>1</v>
      </c>
    </row>
    <row r="6" customFormat="false" ht="15" hidden="false" customHeight="false" outlineLevel="0" collapsed="false">
      <c r="A6" s="0" t="n">
        <v>5</v>
      </c>
      <c r="B6" s="6" t="n">
        <v>45463</v>
      </c>
      <c r="C6" s="14" t="n">
        <f aca="false">INDEX(Calc!$A$3:$A$1502,MATCH(5,Calc!$AG$3:$AG$1502,0))</f>
        <v>45463</v>
      </c>
      <c r="D6" s="7" t="n">
        <v>0.924194624604417</v>
      </c>
      <c r="E6" s="15" t="n">
        <f aca="false">INDEX(Calc!$R$3:$R$1502,MATCH(5,Calc!$AG$3:$AG$1502,0))</f>
        <v>0.924194624604417</v>
      </c>
      <c r="F6" s="16" t="n">
        <v>559.754779031112</v>
      </c>
      <c r="G6" s="17" t="n">
        <f aca="false">INDEX(Calc!$S$3:$S$1502,MATCH(5,Calc!$AG$3:$AG$1502,0))</f>
        <v>559.754779031112</v>
      </c>
      <c r="H6" s="18" t="s">
        <v>45</v>
      </c>
      <c r="I6" s="19" t="n">
        <v>-15.511969</v>
      </c>
      <c r="J6" s="20" t="n">
        <f aca="false">SUMIF(Calc!$AH$3:$AH$1502,5,Calc!$O$3:$O$1502)+SUMIF(Calc!$AG$3:$AG$1502,5,Calc!$W$3:$W$1502)+SUMIF(Calc!$AG$3:$AG$1502,5,Calc!$AJ$3:$AJ$1502)-Inputs!$B$9</f>
        <v>-15.5119686470276</v>
      </c>
      <c r="K6" s="21" t="n">
        <f aca="false">J6-I6</f>
        <v>3.52972394424E-007</v>
      </c>
      <c r="L6" s="5" t="b">
        <f aca="false">AND(ABS(K6)&lt;0.005,C6=B6,ABS(E6-D6)&lt;0.0000001,ABS(G6-F6)&lt;0.0001)</f>
        <v>1</v>
      </c>
    </row>
    <row r="7" customFormat="false" ht="15" hidden="false" customHeight="false" outlineLevel="0" collapsed="false">
      <c r="A7" s="0" t="n">
        <v>6</v>
      </c>
      <c r="B7" s="6" t="n">
        <v>45543</v>
      </c>
      <c r="C7" s="14" t="n">
        <f aca="false">INDEX(Calc!$A$3:$A$1502,MATCH(6,Calc!$AG$3:$AG$1502,0))</f>
        <v>45543</v>
      </c>
      <c r="D7" s="7" t="n">
        <v>0.901098815227061</v>
      </c>
      <c r="E7" s="15" t="n">
        <f aca="false">INDEX(Calc!$R$3:$R$1502,MATCH(6,Calc!$AG$3:$AG$1502,0))</f>
        <v>0.901098815227061</v>
      </c>
      <c r="F7" s="16" t="n">
        <v>520.766408956647</v>
      </c>
      <c r="G7" s="17" t="n">
        <f aca="false">INDEX(Calc!$S$3:$S$1502,MATCH(6,Calc!$AG$3:$AG$1502,0))</f>
        <v>520.766408956647</v>
      </c>
      <c r="H7" s="18" t="s">
        <v>45</v>
      </c>
      <c r="I7" s="19" t="n">
        <v>-12.725474</v>
      </c>
      <c r="J7" s="20" t="n">
        <f aca="false">SUMIF(Calc!$AH$3:$AH$1502,6,Calc!$O$3:$O$1502)+SUMIF(Calc!$AG$3:$AG$1502,6,Calc!$W$3:$W$1502)+SUMIF(Calc!$AG$3:$AG$1502,6,Calc!$AJ$3:$AJ$1502)-Inputs!$B$9</f>
        <v>-12.7254736142816</v>
      </c>
      <c r="K7" s="21" t="n">
        <f aca="false">J7-I7</f>
        <v>3.85718447404315E-007</v>
      </c>
      <c r="L7" s="5" t="b">
        <f aca="false">AND(ABS(K7)&lt;0.005,C7=B7,ABS(E7-D7)&lt;0.0000001,ABS(G7-F7)&lt;0.0001)</f>
        <v>1</v>
      </c>
    </row>
    <row r="8" customFormat="false" ht="15" hidden="false" customHeight="false" outlineLevel="0" collapsed="false">
      <c r="A8" s="0" t="n">
        <v>7</v>
      </c>
      <c r="B8" s="6" t="n">
        <v>45562</v>
      </c>
      <c r="C8" s="14" t="n">
        <f aca="false">INDEX(Calc!$A$3:$A$1502,MATCH(7,Calc!$AG$3:$AG$1502,0))</f>
        <v>45562</v>
      </c>
      <c r="D8" s="7" t="n">
        <v>0.908794639463661</v>
      </c>
      <c r="E8" s="15" t="n">
        <f aca="false">INDEX(Calc!$R$3:$R$1502,MATCH(7,Calc!$AG$3:$AG$1502,0))</f>
        <v>0.908794639463661</v>
      </c>
      <c r="F8" s="16" t="n">
        <v>516.155960548879</v>
      </c>
      <c r="G8" s="17" t="n">
        <f aca="false">INDEX(Calc!$S$3:$S$1502,MATCH(7,Calc!$AG$3:$AG$1502,0))</f>
        <v>516.155960548879</v>
      </c>
      <c r="H8" s="18" t="s">
        <v>45</v>
      </c>
      <c r="I8" s="19" t="n">
        <v>-12.681564</v>
      </c>
      <c r="J8" s="20" t="n">
        <f aca="false">SUMIF(Calc!$AH$3:$AH$1502,7,Calc!$O$3:$O$1502)+SUMIF(Calc!$AG$3:$AG$1502,7,Calc!$W$3:$W$1502)+SUMIF(Calc!$AG$3:$AG$1502,7,Calc!$AJ$3:$AJ$1502)-Inputs!$B$9</f>
        <v>-12.6815637123975</v>
      </c>
      <c r="K8" s="21" t="n">
        <f aca="false">J8-I8</f>
        <v>2.87602473392212E-007</v>
      </c>
      <c r="L8" s="5" t="b">
        <f aca="false">AND(ABS(K8)&lt;0.005,C8=B8,ABS(E8-D8)&lt;0.0000001,ABS(G8-F8)&lt;0.0001)</f>
        <v>1</v>
      </c>
    </row>
    <row r="9" customFormat="false" ht="15" hidden="false" customHeight="false" outlineLevel="0" collapsed="false">
      <c r="A9" s="0" t="n">
        <v>8</v>
      </c>
      <c r="B9" s="6" t="n">
        <v>45628</v>
      </c>
      <c r="C9" s="14" t="n">
        <f aca="false">INDEX(Calc!$A$3:$A$1502,MATCH(8,Calc!$AG$3:$AG$1502,0))</f>
        <v>45628</v>
      </c>
      <c r="D9" s="7" t="n">
        <v>0.863339701115261</v>
      </c>
      <c r="E9" s="15" t="n">
        <f aca="false">INDEX(Calc!$R$3:$R$1502,MATCH(8,Calc!$AG$3:$AG$1502,0))</f>
        <v>0.863339701115261</v>
      </c>
      <c r="F9" s="16" t="n">
        <v>570.097907747891</v>
      </c>
      <c r="G9" s="17" t="n">
        <f aca="false">INDEX(Calc!$S$3:$S$1502,MATCH(8,Calc!$AG$3:$AG$1502,0))</f>
        <v>570.097907747891</v>
      </c>
      <c r="H9" s="18" t="s">
        <v>45</v>
      </c>
      <c r="I9" s="19" t="n">
        <v>-12.321184</v>
      </c>
      <c r="J9" s="20" t="n">
        <f aca="false">SUMIF(Calc!$AH$3:$AH$1502,8,Calc!$O$3:$O$1502)+SUMIF(Calc!$AG$3:$AG$1502,8,Calc!$W$3:$W$1502)+SUMIF(Calc!$AG$3:$AG$1502,8,Calc!$AJ$3:$AJ$1502)-Inputs!$B$9</f>
        <v>-12.3211840740536</v>
      </c>
      <c r="K9" s="21" t="n">
        <f aca="false">J9-I9</f>
        <v>-7.40535774923501E-008</v>
      </c>
      <c r="L9" s="5" t="b">
        <f aca="false">AND(ABS(K9)&lt;0.005,C9=B9,ABS(E9-D9)&lt;0.0000001,ABS(G9-F9)&lt;0.0001)</f>
        <v>1</v>
      </c>
    </row>
    <row r="10" customFormat="false" ht="15" hidden="false" customHeight="false" outlineLevel="0" collapsed="false">
      <c r="A10" s="0" t="n">
        <v>9</v>
      </c>
      <c r="B10" s="6" t="n">
        <v>45706</v>
      </c>
      <c r="C10" s="14" t="n">
        <f aca="false">INDEX(Calc!$A$3:$A$1502,MATCH(9,Calc!$AG$3:$AG$1502,0))</f>
        <v>45706</v>
      </c>
      <c r="D10" s="7" t="n">
        <v>0.863503444084112</v>
      </c>
      <c r="E10" s="15" t="n">
        <f aca="false">INDEX(Calc!$R$3:$R$1502,MATCH(9,Calc!$AG$3:$AG$1502,0))</f>
        <v>0.863503444084112</v>
      </c>
      <c r="F10" s="16" t="n">
        <v>500.05621031551</v>
      </c>
      <c r="G10" s="17" t="n">
        <f aca="false">INDEX(Calc!$S$3:$S$1502,MATCH(9,Calc!$AG$3:$AG$1502,0))</f>
        <v>500.05621031551</v>
      </c>
      <c r="H10" s="18" t="s">
        <v>45</v>
      </c>
      <c r="I10" s="19" t="n">
        <v>-13.460633</v>
      </c>
      <c r="J10" s="20" t="n">
        <f aca="false">SUMIF(Calc!$AH$3:$AH$1502,9,Calc!$O$3:$O$1502)+SUMIF(Calc!$AG$3:$AG$1502,9,Calc!$W$3:$W$1502)+SUMIF(Calc!$AG$3:$AG$1502,9,Calc!$AJ$3:$AJ$1502)-Inputs!$B$9</f>
        <v>-13.4606332496388</v>
      </c>
      <c r="K10" s="21" t="n">
        <f aca="false">J10-I10</f>
        <v>-2.49638823390796E-007</v>
      </c>
      <c r="L10" s="5" t="b">
        <f aca="false">AND(ABS(K10)&lt;0.005,C10=B10,ABS(E10-D10)&lt;0.0000001,ABS(G10-F10)&lt;0.0001)</f>
        <v>1</v>
      </c>
    </row>
    <row r="11" customFormat="false" ht="15" hidden="false" customHeight="false" outlineLevel="0" collapsed="false">
      <c r="A11" s="0" t="n">
        <v>10</v>
      </c>
      <c r="B11" s="6" t="n">
        <v>45816</v>
      </c>
      <c r="C11" s="14" t="n">
        <f aca="false">INDEX(Calc!$A$3:$A$1502,MATCH(10,Calc!$AG$3:$AG$1502,0))</f>
        <v>45816</v>
      </c>
      <c r="D11" s="7" t="n">
        <v>0.846806155141499</v>
      </c>
      <c r="E11" s="15" t="n">
        <f aca="false">INDEX(Calc!$R$3:$R$1502,MATCH(10,Calc!$AG$3:$AG$1502,0))</f>
        <v>0.846806155141499</v>
      </c>
      <c r="F11" s="16" t="n">
        <v>533.561786742107</v>
      </c>
      <c r="G11" s="17" t="n">
        <f aca="false">INDEX(Calc!$S$3:$S$1502,MATCH(10,Calc!$AG$3:$AG$1502,0))</f>
        <v>533.561786742107</v>
      </c>
      <c r="H11" s="18" t="s">
        <v>45</v>
      </c>
      <c r="I11" s="19" t="n">
        <v>-12.516458</v>
      </c>
      <c r="J11" s="20" t="n">
        <f aca="false">SUMIF(Calc!$AH$3:$AH$1502,10,Calc!$O$3:$O$1502)+SUMIF(Calc!$AG$3:$AG$1502,10,Calc!$W$3:$W$1502)+SUMIF(Calc!$AG$3:$AG$1502,10,Calc!$AJ$3:$AJ$1502)-Inputs!$B$9</f>
        <v>-12.5164577745248</v>
      </c>
      <c r="K11" s="21" t="n">
        <f aca="false">J11-I11</f>
        <v>2.25475224269189E-007</v>
      </c>
      <c r="L11" s="5" t="b">
        <f aca="false">AND(ABS(K11)&lt;0.005,C11=B11,ABS(E11-D11)&lt;0.0000001,ABS(G11-F11)&lt;0.0001)</f>
        <v>1</v>
      </c>
    </row>
    <row r="12" customFormat="false" ht="15" hidden="false" customHeight="false" outlineLevel="0" collapsed="false">
      <c r="A12" s="0" t="n">
        <v>11</v>
      </c>
      <c r="B12" s="6" t="n">
        <v>45834</v>
      </c>
      <c r="C12" s="14" t="n">
        <f aca="false">INDEX(Calc!$A$3:$A$1502,MATCH(11,Calc!$AG$3:$AG$1502,0))</f>
        <v>45834</v>
      </c>
      <c r="D12" s="7" t="n">
        <v>0.85718419932201</v>
      </c>
      <c r="E12" s="15" t="n">
        <f aca="false">INDEX(Calc!$R$3:$R$1502,MATCH(11,Calc!$AG$3:$AG$1502,0))</f>
        <v>0.85718419932201</v>
      </c>
      <c r="F12" s="16" t="n">
        <v>556.772767796564</v>
      </c>
      <c r="G12" s="17" t="n">
        <f aca="false">INDEX(Calc!$S$3:$S$1502,MATCH(11,Calc!$AG$3:$AG$1502,0))</f>
        <v>556.772767796564</v>
      </c>
      <c r="H12" s="18" t="s">
        <v>45</v>
      </c>
      <c r="I12" s="19" t="n">
        <v>-12.267212</v>
      </c>
      <c r="J12" s="20" t="n">
        <f aca="false">SUMIF(Calc!$AH$3:$AH$1502,11,Calc!$O$3:$O$1502)+SUMIF(Calc!$AG$3:$AG$1502,11,Calc!$W$3:$W$1502)+SUMIF(Calc!$AG$3:$AG$1502,11,Calc!$AJ$3:$AJ$1502)-Inputs!$B$9</f>
        <v>-12.2672120132734</v>
      </c>
      <c r="K12" s="21" t="n">
        <f aca="false">J12-I12</f>
        <v>-1.32733912749927E-008</v>
      </c>
      <c r="L12" s="5" t="b">
        <f aca="false">AND(ABS(K12)&lt;0.005,C12=B12,ABS(E12-D12)&lt;0.0000001,ABS(G12-F12)&lt;0.0001)</f>
        <v>1</v>
      </c>
    </row>
    <row r="13" customFormat="false" ht="15" hidden="false" customHeight="false" outlineLevel="0" collapsed="false">
      <c r="A13" s="0" t="n">
        <v>12</v>
      </c>
      <c r="B13" s="6" t="n">
        <v>45888</v>
      </c>
      <c r="C13" s="14" t="n">
        <f aca="false">INDEX(Calc!$A$3:$A$1502,MATCH(12,Calc!$AG$3:$AG$1502,0))</f>
        <v>45888</v>
      </c>
      <c r="D13" s="7" t="n">
        <v>0.852139558595783</v>
      </c>
      <c r="E13" s="15" t="n">
        <f aca="false">INDEX(Calc!$R$3:$R$1502,MATCH(12,Calc!$AG$3:$AG$1502,0))</f>
        <v>0.852139558595783</v>
      </c>
      <c r="F13" s="16" t="n">
        <v>572.575070766003</v>
      </c>
      <c r="G13" s="17" t="n">
        <f aca="false">INDEX(Calc!$S$3:$S$1502,MATCH(12,Calc!$AG$3:$AG$1502,0))</f>
        <v>572.575070766003</v>
      </c>
      <c r="H13" s="18" t="s">
        <v>75</v>
      </c>
      <c r="I13" s="19" t="n">
        <v>4.111547</v>
      </c>
      <c r="J13" s="20" t="n">
        <f aca="false">SUMIF(Calc!$AH$3:$AH$1502,12,Calc!$O$3:$O$1502)+SUMIF(Calc!$AG$3:$AG$1502,12,Calc!$W$3:$W$1502)+SUMIF(Calc!$AG$3:$AG$1502,12,Calc!$AJ$3:$AJ$1502)-Inputs!$B$9</f>
        <v>4.11154740427748</v>
      </c>
      <c r="K13" s="21" t="n">
        <f aca="false">J13-I13</f>
        <v>4.04277484378213E-007</v>
      </c>
      <c r="L13" s="5" t="b">
        <f aca="false">AND(ABS(K13)&lt;0.005,C13=B13,ABS(E13-D13)&lt;0.0000001,ABS(G13-F13)&lt;0.0001)</f>
        <v>1</v>
      </c>
    </row>
    <row r="14" customFormat="false" ht="15" hidden="false" customHeight="false" outlineLevel="0" collapsed="false">
      <c r="A14" s="0" t="n">
        <v>13</v>
      </c>
      <c r="B14" s="6" t="n">
        <v>46007</v>
      </c>
      <c r="C14" s="14" t="n">
        <f aca="false">INDEX(Calc!$A$3:$A$1502,MATCH(13,Calc!$AG$3:$AG$1502,0))</f>
        <v>46007</v>
      </c>
      <c r="D14" s="7" t="n">
        <v>0.910529544032361</v>
      </c>
      <c r="E14" s="15" t="n">
        <f aca="false">INDEX(Calc!$R$3:$R$1502,MATCH(13,Calc!$AG$3:$AG$1502,0))</f>
        <v>0.910529544032361</v>
      </c>
      <c r="F14" s="16" t="n">
        <v>506.822419620663</v>
      </c>
      <c r="G14" s="17" t="n">
        <f aca="false">INDEX(Calc!$S$3:$S$1502,MATCH(13,Calc!$AG$3:$AG$1502,0))</f>
        <v>506.822419620663</v>
      </c>
      <c r="H14" s="18" t="s">
        <v>45</v>
      </c>
      <c r="I14" s="19" t="n">
        <v>-12.409342</v>
      </c>
      <c r="J14" s="20" t="n">
        <f aca="false">SUMIF(Calc!$AH$3:$AH$1502,13,Calc!$O$3:$O$1502)+SUMIF(Calc!$AG$3:$AG$1502,13,Calc!$W$3:$W$1502)+SUMIF(Calc!$AG$3:$AG$1502,13,Calc!$AJ$3:$AJ$1502)-Inputs!$B$9</f>
        <v>-12.4093417002163</v>
      </c>
      <c r="K14" s="21" t="n">
        <f aca="false">J14-I14</f>
        <v>2.99783740942416E-007</v>
      </c>
      <c r="L14" s="5" t="b">
        <f aca="false">AND(ABS(K14)&lt;0.005,C14=B14,ABS(E14-D14)&lt;0.0000001,ABS(G14-F14)&lt;0.0001)</f>
        <v>1</v>
      </c>
    </row>
    <row r="15" customFormat="false" ht="15" hidden="false" customHeight="false" outlineLevel="0" collapsed="false">
      <c r="A15" s="0" t="n">
        <v>14</v>
      </c>
      <c r="B15" s="6" t="n">
        <v>46049</v>
      </c>
      <c r="C15" s="14" t="n">
        <f aca="false">INDEX(Calc!$A$3:$A$1502,MATCH(14,Calc!$AG$3:$AG$1502,0))</f>
        <v>46049</v>
      </c>
      <c r="D15" s="7" t="n">
        <v>0.902917052911703</v>
      </c>
      <c r="E15" s="15" t="n">
        <f aca="false">INDEX(Calc!$R$3:$R$1502,MATCH(14,Calc!$AG$3:$AG$1502,0))</f>
        <v>0.902917052911703</v>
      </c>
      <c r="F15" s="16" t="n">
        <v>527.193808521793</v>
      </c>
      <c r="G15" s="17" t="n">
        <f aca="false">INDEX(Calc!$S$3:$S$1502,MATCH(14,Calc!$AG$3:$AG$1502,0))</f>
        <v>527.193808521793</v>
      </c>
      <c r="H15" s="18" t="s">
        <v>45</v>
      </c>
      <c r="I15" s="19" t="n">
        <v>-11.975051</v>
      </c>
      <c r="J15" s="20" t="n">
        <f aca="false">SUMIF(Calc!$AH$3:$AH$1502,14,Calc!$O$3:$O$1502)+SUMIF(Calc!$AG$3:$AG$1502,14,Calc!$W$3:$W$1502)+SUMIF(Calc!$AG$3:$AG$1502,14,Calc!$AJ$3:$AJ$1502)-Inputs!$B$9</f>
        <v>-11.975050710954</v>
      </c>
      <c r="K15" s="21" t="n">
        <f aca="false">J15-I15</f>
        <v>2.89046042212249E-007</v>
      </c>
      <c r="L15" s="5" t="b">
        <f aca="false">AND(ABS(K15)&lt;0.005,C15=B15,ABS(E15-D15)&lt;0.0000001,ABS(G15-F15)&lt;0.0001)</f>
        <v>1</v>
      </c>
    </row>
    <row r="16" customFormat="false" ht="15" hidden="false" customHeight="false" outlineLevel="0" collapsed="false">
      <c r="A16" s="0" t="n">
        <v>15</v>
      </c>
      <c r="B16" s="6" t="n">
        <v>46112</v>
      </c>
      <c r="C16" s="14" t="n">
        <f aca="false">INDEX(Calc!$A$3:$A$1502,MATCH(15,Calc!$AG$3:$AG$1502,0))</f>
        <v>46112</v>
      </c>
      <c r="D16" s="7" t="n">
        <v>0.874077315692695</v>
      </c>
      <c r="E16" s="15" t="n">
        <f aca="false">INDEX(Calc!$R$3:$R$1502,MATCH(15,Calc!$AG$3:$AG$1502,0))</f>
        <v>0.874077315692695</v>
      </c>
      <c r="F16" s="16" t="n">
        <v>474.910781372347</v>
      </c>
      <c r="G16" s="17" t="n">
        <f aca="false">INDEX(Calc!$S$3:$S$1502,MATCH(15,Calc!$AG$3:$AG$1502,0))</f>
        <v>474.910781372347</v>
      </c>
      <c r="H16" s="18" t="s">
        <v>45</v>
      </c>
      <c r="I16" s="19" t="n">
        <v>-13.034529</v>
      </c>
      <c r="J16" s="20" t="n">
        <f aca="false">SUMIF(Calc!$AH$3:$AH$1502,15,Calc!$O$3:$O$1502)+SUMIF(Calc!$AG$3:$AG$1502,15,Calc!$W$3:$W$1502)+SUMIF(Calc!$AG$3:$AG$1502,15,Calc!$AJ$3:$AJ$1502)-Inputs!$B$9</f>
        <v>-13.0345292199529</v>
      </c>
      <c r="K16" s="21" t="n">
        <f aca="false">J16-I16</f>
        <v>-2.19952925206712E-007</v>
      </c>
      <c r="L16" s="5" t="b">
        <f aca="false">AND(ABS(K16)&lt;0.005,C16=B16,ABS(E16-D16)&lt;0.0000001,ABS(G16-F16)&lt;0.0001)</f>
        <v>1</v>
      </c>
    </row>
    <row r="17" customFormat="false" ht="15" hidden="false" customHeight="false" outlineLevel="0" collapsed="false">
      <c r="A17" s="0" t="n">
        <v>16</v>
      </c>
      <c r="B17" s="6" t="n">
        <v>46192</v>
      </c>
      <c r="C17" s="14" t="n">
        <f aca="false">INDEX(Calc!$A$3:$A$1502,MATCH(16,Calc!$AG$3:$AG$1502,0))</f>
        <v>46192</v>
      </c>
      <c r="D17" s="7" t="n">
        <v>0.830513214434368</v>
      </c>
      <c r="E17" s="15" t="n">
        <f aca="false">INDEX(Calc!$R$3:$R$1502,MATCH(16,Calc!$AG$3:$AG$1502,0))</f>
        <v>0.830513214434368</v>
      </c>
      <c r="F17" s="16" t="n">
        <v>524.314947501013</v>
      </c>
      <c r="G17" s="17" t="n">
        <f aca="false">INDEX(Calc!$S$3:$S$1502,MATCH(16,Calc!$AG$3:$AG$1502,0))</f>
        <v>524.314947501013</v>
      </c>
      <c r="H17" s="18" t="s">
        <v>75</v>
      </c>
      <c r="I17" s="19" t="n">
        <v>-7.847661</v>
      </c>
      <c r="J17" s="20" t="n">
        <f aca="false">SUMIF(Calc!$AH$3:$AH$1502,16,Calc!$O$3:$O$1502)+SUMIF(Calc!$AG$3:$AG$1502,16,Calc!$W$3:$W$1502)+SUMIF(Calc!$AG$3:$AG$1502,16,Calc!$AJ$3:$AJ$1502)-Inputs!$B$9</f>
        <v>-7.84766090050356</v>
      </c>
      <c r="K17" s="21" t="n">
        <f aca="false">J17-I17</f>
        <v>9.94964421963118E-008</v>
      </c>
      <c r="L17" s="5" t="b">
        <f aca="false">AND(ABS(K17)&lt;0.005,C17=B17,ABS(E17-D17)&lt;0.0000001,ABS(G17-F17)&lt;0.0001)</f>
        <v>1</v>
      </c>
    </row>
    <row r="18" customFormat="false" ht="15" hidden="false" customHeight="false" outlineLevel="0" collapsed="false">
      <c r="A18" s="0" t="n">
        <v>17</v>
      </c>
      <c r="B18" s="6" t="n">
        <v>46233</v>
      </c>
      <c r="C18" s="14" t="n">
        <f aca="false">INDEX(Calc!$A$3:$A$1502,MATCH(17,Calc!$AG$3:$AG$1502,0))</f>
        <v>46233</v>
      </c>
      <c r="D18" s="7" t="n">
        <v>0.866249784733642</v>
      </c>
      <c r="E18" s="15" t="n">
        <f aca="false">INDEX(Calc!$R$3:$R$1502,MATCH(17,Calc!$AG$3:$AG$1502,0))</f>
        <v>0.866249784733642</v>
      </c>
      <c r="F18" s="16" t="n">
        <v>480.703909601727</v>
      </c>
      <c r="G18" s="17" t="n">
        <f aca="false">INDEX(Calc!$S$3:$S$1502,MATCH(17,Calc!$AG$3:$AG$1502,0))</f>
        <v>480.703909601727</v>
      </c>
      <c r="H18" s="18" t="s">
        <v>45</v>
      </c>
      <c r="I18" s="19" t="n">
        <v>-11.496811</v>
      </c>
      <c r="J18" s="20" t="n">
        <f aca="false">SUMIF(Calc!$AH$3:$AH$1502,17,Calc!$O$3:$O$1502)+SUMIF(Calc!$AG$3:$AG$1502,17,Calc!$W$3:$W$1502)+SUMIF(Calc!$AG$3:$AG$1502,17,Calc!$AJ$3:$AJ$1502)-Inputs!$B$9</f>
        <v>-11.4968109176458</v>
      </c>
      <c r="K18" s="21" t="n">
        <f aca="false">J18-I18</f>
        <v>8.23542354311257E-008</v>
      </c>
      <c r="L18" s="5" t="b">
        <f aca="false">AND(ABS(K18)&lt;0.005,C18=B18,ABS(E18-D18)&lt;0.0000001,ABS(G18-F18)&lt;0.0001)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1"/>
      <c r="B1" s="1" t="s">
        <v>76</v>
      </c>
      <c r="C1" s="1" t="s">
        <v>77</v>
      </c>
      <c r="D1" s="1" t="s">
        <v>74</v>
      </c>
    </row>
    <row r="2" customFormat="false" ht="15" hidden="false" customHeight="false" outlineLevel="0" collapsed="false">
      <c r="A2" s="1" t="s">
        <v>78</v>
      </c>
      <c r="B2" s="18" t="n">
        <v>17</v>
      </c>
      <c r="C2" s="2" t="n">
        <f aca="false">MAX(Calc!$AG$3:$AG$1502)</f>
        <v>17</v>
      </c>
      <c r="D2" s="9" t="b">
        <f aca="false">B2=C2</f>
        <v>1</v>
      </c>
    </row>
    <row r="3" customFormat="false" ht="15" hidden="false" customHeight="false" outlineLevel="0" collapsed="false">
      <c r="A3" s="1" t="s">
        <v>79</v>
      </c>
      <c r="B3" s="22" t="n">
        <v>892.966822</v>
      </c>
      <c r="C3" s="23" t="n">
        <f aca="false">Calc!X1502+Calc!AJ1502</f>
        <v>892.966822134287</v>
      </c>
      <c r="D3" s="9" t="b">
        <f aca="false">ABS(B3-C3)&lt;0.01</f>
        <v>1</v>
      </c>
    </row>
    <row r="4" customFormat="false" ht="15" hidden="false" customHeight="false" outlineLevel="0" collapsed="false">
      <c r="A4" s="1" t="s">
        <v>80</v>
      </c>
      <c r="B4" s="18" t="n">
        <v>17</v>
      </c>
      <c r="C4" s="2" t="n">
        <f aca="false">COUNTIF(Trades!L2:L18,TRUE())</f>
        <v>17</v>
      </c>
      <c r="D4" s="9" t="b">
        <f aca="false">B4=C4</f>
        <v>1</v>
      </c>
    </row>
    <row r="5" customFormat="false" ht="15" hidden="false" customHeight="false" outlineLevel="0" collapsed="false">
      <c r="A5" s="1" t="s">
        <v>81</v>
      </c>
      <c r="B5" s="18"/>
      <c r="C5" s="2"/>
      <c r="D5" s="9" t="b">
        <f aca="false">AND(D2,D3,D4)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2026-10-02T07:59:02Z</dcterms:created>
  <dc:creator>openpyxl</dc:creator>
  <dc:description/>
  <dc:language>en-US</dc:language>
  <cp:lastModifiedBy/>
  <dcterms:modified xsi:type="dcterms:W3CDTF">2026-10-02T07:59:03Z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